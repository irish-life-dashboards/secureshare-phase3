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Q:\Corporate_Business\Act\3 Monthly Work\Mismatch Report &amp; EUR\2026 Calculations\02. February 2026\Excess Unit Costs\"/>
    </mc:Choice>
  </mc:AlternateContent>
  <xr:revisionPtr revIDLastSave="0" documentId="13_ncr:1_{B7936D6A-C0FC-4C37-8CBD-9D5E3574ADB7}" xr6:coauthVersionLast="47" xr6:coauthVersionMax="47" xr10:uidLastSave="{00000000-0000-0000-0000-000000000000}"/>
  <bookViews>
    <workbookView xWindow="28680" yWindow="15" windowWidth="29040" windowHeight="15720" xr2:uid="{00000000-000D-0000-FFFF-FFFF00000000}"/>
  </bookViews>
  <sheets>
    <sheet name="Cover Sheet" sheetId="1" r:id="rId1"/>
    <sheet name="Summary " sheetId="7" r:id="rId2"/>
    <sheet name="Detail" sheetId="4" r:id="rId3"/>
    <sheet name="Summary of DataBase Log" sheetId="6" r:id="rId4"/>
  </sheets>
  <externalReferences>
    <externalReference r:id="rId5"/>
  </externalReferences>
  <definedNames>
    <definedName name="_xlnm._FilterDatabase" localSheetId="2" hidden="1">Detail!$A$1:$L$19</definedName>
  </definedNames>
  <calcPr calcId="191029" calcMode="manual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4" l="1"/>
  <c r="G17" i="4"/>
  <c r="H17" i="4"/>
  <c r="J17" i="4"/>
  <c r="K17" i="4"/>
  <c r="L17" i="4"/>
  <c r="F18" i="4"/>
  <c r="G18" i="4"/>
  <c r="H18" i="4"/>
  <c r="J18" i="4"/>
  <c r="K18" i="4"/>
  <c r="L18" i="4"/>
  <c r="F19" i="4"/>
  <c r="G19" i="4"/>
  <c r="H19" i="4"/>
  <c r="J19" i="4"/>
  <c r="K19" i="4"/>
  <c r="L19" i="4"/>
  <c r="L16" i="4"/>
  <c r="K16" i="4"/>
  <c r="J16" i="4"/>
  <c r="H16" i="4"/>
  <c r="G16" i="4"/>
  <c r="F16" i="4"/>
  <c r="L15" i="4"/>
  <c r="K15" i="4"/>
  <c r="J15" i="4"/>
  <c r="H15" i="4"/>
  <c r="G15" i="4"/>
  <c r="F15" i="4"/>
  <c r="L14" i="4"/>
  <c r="K14" i="4"/>
  <c r="J14" i="4"/>
  <c r="H14" i="4"/>
  <c r="G14" i="4"/>
  <c r="F14" i="4"/>
  <c r="L13" i="4"/>
  <c r="K13" i="4"/>
  <c r="J13" i="4"/>
  <c r="H13" i="4"/>
  <c r="G13" i="4"/>
  <c r="F13" i="4"/>
  <c r="J11" i="4"/>
  <c r="K11" i="4"/>
  <c r="L11" i="4"/>
  <c r="J12" i="4"/>
  <c r="C8" i="4"/>
  <c r="C9" i="4"/>
  <c r="C10" i="4"/>
  <c r="C11" i="4"/>
  <c r="C12" i="4"/>
  <c r="C7" i="4"/>
  <c r="L12" i="4"/>
  <c r="K12" i="4"/>
  <c r="L10" i="4" l="1"/>
  <c r="K10" i="4"/>
  <c r="J10" i="4"/>
  <c r="L9" i="4"/>
  <c r="K9" i="4"/>
  <c r="J9" i="4"/>
  <c r="L8" i="4"/>
  <c r="K8" i="4"/>
  <c r="J8" i="4"/>
  <c r="L7" i="4"/>
  <c r="K7" i="4"/>
  <c r="J7" i="4"/>
  <c r="B27" i="4"/>
  <c r="K2" i="7" l="1"/>
  <c r="I18" i="7" l="1"/>
  <c r="J21" i="7"/>
  <c r="I13" i="7"/>
  <c r="K5" i="7" l="1"/>
  <c r="G23" i="7"/>
  <c r="E23" i="7"/>
  <c r="C23" i="7"/>
  <c r="I23" i="7" l="1"/>
  <c r="K4" i="7" l="1"/>
  <c r="K3" i="7" l="1"/>
  <c r="L5" i="7" l="1"/>
  <c r="H20" i="7" l="1"/>
  <c r="H15" i="7"/>
  <c r="F10" i="7"/>
  <c r="D10" i="7"/>
  <c r="H18" i="7" l="1"/>
  <c r="H19" i="7"/>
  <c r="H21" i="7"/>
  <c r="E29" i="7" l="1"/>
  <c r="F9" i="7"/>
  <c r="F8" i="7"/>
  <c r="D9" i="7"/>
  <c r="D8" i="7"/>
  <c r="H16" i="7" l="1"/>
  <c r="F11" i="7"/>
  <c r="N5" i="7" s="1"/>
  <c r="D11" i="7"/>
  <c r="M5" i="7" l="1"/>
  <c r="H14" i="7"/>
  <c r="A3" i="4" l="1"/>
  <c r="H13" i="7" l="1"/>
  <c r="O4" i="7" l="1"/>
  <c r="O5" i="7"/>
  <c r="P5" i="7" s="1"/>
  <c r="O2" i="7"/>
  <c r="E30" i="7"/>
  <c r="O3" i="7" l="1"/>
  <c r="O6" i="7" s="1"/>
  <c r="M3" i="7" l="1"/>
  <c r="N3" i="7" l="1"/>
  <c r="L3" i="7" l="1"/>
  <c r="P3" i="7" l="1"/>
  <c r="M4" i="7" l="1"/>
  <c r="N4" i="7" l="1"/>
  <c r="J23" i="7" l="1"/>
  <c r="L4" i="7"/>
  <c r="P4" i="7" l="1"/>
  <c r="E7" i="4" l="1"/>
  <c r="B6" i="4" l="1"/>
  <c r="E8" i="7" l="1"/>
  <c r="M2" i="7" s="1"/>
  <c r="M6" i="7" s="1"/>
  <c r="E27" i="7"/>
  <c r="L6" i="4" l="1"/>
  <c r="K6" i="4"/>
  <c r="J6" i="4"/>
  <c r="E12" i="4" l="1"/>
  <c r="E8" i="4"/>
  <c r="E9" i="4"/>
  <c r="E11" i="4"/>
  <c r="E10" i="4"/>
  <c r="H11" i="4" l="1"/>
  <c r="H12" i="4"/>
  <c r="H7" i="4" l="1"/>
  <c r="H9" i="4"/>
  <c r="H10" i="4"/>
  <c r="H8" i="4"/>
  <c r="B21" i="4" l="1"/>
  <c r="E28" i="7" l="1"/>
  <c r="G8" i="7"/>
  <c r="N2" i="7" s="1"/>
  <c r="N6" i="7" s="1"/>
  <c r="B3" i="4" l="1"/>
  <c r="C3" i="7" l="1"/>
  <c r="L2" i="7" s="1"/>
  <c r="E26" i="7"/>
  <c r="E31" i="7" s="1"/>
  <c r="J25" i="7" s="1"/>
  <c r="B31" i="4"/>
  <c r="L6" i="7" l="1"/>
  <c r="P6" i="7" s="1"/>
  <c r="P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Toomey, Eimear</author>
  </authors>
  <commentList>
    <comment ref="H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McCarthy, Cliona:</t>
        </r>
        <r>
          <rPr>
            <sz val="9"/>
            <color indexed="81"/>
            <rFont val="Tahoma"/>
            <family val="2"/>
          </rPr>
          <t xml:space="preserve">
Systemic losses in CB represent the timing element of the Appropriations process which is not &gt; 5 days.  These losses are risk accepted and are not included in the CB Risk Appetite Statement.  All other timing losses are included under backdating service delays or errors (txns &gt; 5 days):
Please use this generic comment for update to database and ARC for bulk appropriations: </t>
        </r>
      </text>
    </comment>
    <comment ref="H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McCarthy, Cliona:</t>
        </r>
        <r>
          <rPr>
            <sz val="9"/>
            <color indexed="81"/>
            <rFont val="Tahoma"/>
            <family val="2"/>
          </rPr>
          <t xml:space="preserve">
General backdating timing delays  when processing actions within the DC area.  This is the balance bulk amount which contains no mbr/scheme/theme event &gt; €5K or €10K:
Please use this comentary on the CB database and ARC for bulk delay entries.</t>
        </r>
      </text>
    </comment>
    <comment ref="H24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McCarthy, Cliona:</t>
        </r>
        <r>
          <rPr>
            <sz val="9"/>
            <color indexed="81"/>
            <rFont val="Tahoma"/>
            <family val="2"/>
          </rPr>
          <t xml:space="preserve">
General backdating timing errors when processing actions within the DC area.  This is the left over BULK amount which contains no mbr/scheme/theme event &gt; €5K or €10K.
Please use this comentary on the CB database and ARC for bulk error entries.</t>
        </r>
      </text>
    </comment>
    <comment ref="H27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McCarthy, Cliona:</t>
        </r>
        <r>
          <rPr>
            <sz val="9"/>
            <color indexed="81"/>
            <rFont val="Tahoma"/>
            <family val="2"/>
          </rPr>
          <t xml:space="preserve">
General timing UJ errors  when processing actions within the DC area.  This is the balance bulk amount which contains no mbr/scheme/theme event &gt; €5K or €10K:
Please use this comentary on the CB database and ARC for bulk UJ entries.</t>
        </r>
      </text>
    </comment>
    <comment ref="H29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McCarthy, Cliona:</t>
        </r>
        <r>
          <rPr>
            <sz val="9"/>
            <color indexed="81"/>
            <rFont val="Tahoma"/>
            <family val="2"/>
          </rPr>
          <t xml:space="preserve">
General timing UJ errors  when processing actions within the DC area.  This is the balance bulk amount which contains no mbr/scheme/theme event &gt; €5K or €10K:
Please use this comentary on the CB database and ARC for bulk UJ entries.</t>
        </r>
      </text>
    </comment>
  </commentList>
</comments>
</file>

<file path=xl/sharedStrings.xml><?xml version="1.0" encoding="utf-8"?>
<sst xmlns="http://schemas.openxmlformats.org/spreadsheetml/2006/main" count="172" uniqueCount="80">
  <si>
    <t xml:space="preserve">KRI Information Report </t>
  </si>
  <si>
    <t>Month</t>
  </si>
  <si>
    <t>Prepared By</t>
  </si>
  <si>
    <t>Date</t>
  </si>
  <si>
    <t>CB Finance Approved By:</t>
  </si>
  <si>
    <t>DC Operations Approved By:</t>
  </si>
  <si>
    <t xml:space="preserve">Date </t>
  </si>
  <si>
    <t>Updated to CB Waiver/Losses Database</t>
  </si>
  <si>
    <t>Updated By</t>
  </si>
  <si>
    <t xml:space="preserve"> LOSS TYPE</t>
  </si>
  <si>
    <r>
      <t>Total</t>
    </r>
    <r>
      <rPr>
        <sz val="11"/>
        <color rgb="FFFF0000"/>
        <rFont val="Calibri"/>
        <family val="2"/>
        <scheme val="minor"/>
      </rPr>
      <t xml:space="preserve">            - Loss </t>
    </r>
    <r>
      <rPr>
        <sz val="11"/>
        <color theme="1"/>
        <rFont val="Calibri"/>
        <family val="2"/>
        <scheme val="minor"/>
      </rPr>
      <t>/+Gain</t>
    </r>
  </si>
  <si>
    <t>Scheme Number</t>
  </si>
  <si>
    <r>
      <t xml:space="preserve">Sig Scheme Loss          &gt;    </t>
    </r>
    <r>
      <rPr>
        <sz val="11"/>
        <color rgb="FFFF0000"/>
        <rFont val="Calibri"/>
        <family val="2"/>
        <scheme val="minor"/>
      </rPr>
      <t xml:space="preserve">€-10K </t>
    </r>
    <r>
      <rPr>
        <sz val="11"/>
        <color theme="1"/>
        <rFont val="Calibri"/>
        <family val="2"/>
        <scheme val="minor"/>
      </rPr>
      <t>/ €+10K</t>
    </r>
  </si>
  <si>
    <r>
      <t xml:space="preserve">Sig Member Loss &gt;                   </t>
    </r>
    <r>
      <rPr>
        <sz val="11"/>
        <color rgb="FFFF0000"/>
        <rFont val="Calibri"/>
        <family val="2"/>
        <scheme val="minor"/>
      </rPr>
      <t xml:space="preserve">€-5K </t>
    </r>
    <r>
      <rPr>
        <sz val="11"/>
        <color theme="1"/>
        <rFont val="Calibri"/>
        <family val="2"/>
        <scheme val="minor"/>
      </rPr>
      <t>/ €+5K</t>
    </r>
  </si>
  <si>
    <t>Summary Reason for Loss Event</t>
  </si>
  <si>
    <t>This will appear on ARC  (Group Risk database)</t>
  </si>
  <si>
    <t>Appropriations</t>
  </si>
  <si>
    <t xml:space="preserve"> </t>
  </si>
  <si>
    <t>Backdating Service Delay</t>
  </si>
  <si>
    <t>Backdating Service Error</t>
  </si>
  <si>
    <t>Unit Journals Backdating Service Error</t>
  </si>
  <si>
    <t>Any delays for external funds are not included in this report.</t>
  </si>
  <si>
    <t xml:space="preserve">General Information </t>
  </si>
  <si>
    <t>All of the above losses have been reported through Administrator and are not included on the CB W/L Database untill signed off and approved by CB Finance and DC Operations Exec Management.</t>
  </si>
  <si>
    <t>Reportable Errors for this  month are:</t>
  </si>
  <si>
    <t>All loss amounts are inclusive of pre-funding.</t>
  </si>
  <si>
    <t>*** All negative figures quoted are losses and are in Red</t>
  </si>
  <si>
    <t>N'A</t>
  </si>
  <si>
    <t>Gross Amount</t>
  </si>
  <si>
    <t>Rec 1</t>
  </si>
  <si>
    <t>Rec 2</t>
  </si>
  <si>
    <t>Rec 3</t>
  </si>
  <si>
    <t>Rec 4</t>
  </si>
  <si>
    <t>Rec 5</t>
  </si>
  <si>
    <t>Rec 6</t>
  </si>
  <si>
    <t>Rec 7</t>
  </si>
  <si>
    <t>Total Amount</t>
  </si>
  <si>
    <t>No of Records on ARC</t>
  </si>
  <si>
    <t>Rec 8</t>
  </si>
  <si>
    <t>DC is approving the individual significant movements and commentary, while Finance is approving the overall reporting finance totals</t>
  </si>
  <si>
    <t>CLI Losses for this month are:</t>
  </si>
  <si>
    <t>Are there any significant trends or issues to be noted - make sure to include on Detail w/s:</t>
  </si>
  <si>
    <r>
      <t>Sig Trend/Theme &gt;</t>
    </r>
    <r>
      <rPr>
        <sz val="11"/>
        <color rgb="FFFF0000"/>
        <rFont val="Calibri"/>
        <family val="2"/>
        <scheme val="minor"/>
      </rPr>
      <t>€-5K</t>
    </r>
    <r>
      <rPr>
        <sz val="11"/>
        <color theme="1"/>
        <rFont val="Calibri"/>
        <family val="2"/>
        <scheme val="minor"/>
      </rPr>
      <t>/ €5K</t>
    </r>
  </si>
  <si>
    <t>- Completed within Normal Business Practice (within SLA)</t>
  </si>
  <si>
    <t>- Completed outside SLA</t>
  </si>
  <si>
    <t>Type</t>
  </si>
  <si>
    <t>Systemic</t>
  </si>
  <si>
    <t>Period</t>
  </si>
  <si>
    <t>Amount</t>
  </si>
  <si>
    <t>Q1</t>
  </si>
  <si>
    <t>Q2</t>
  </si>
  <si>
    <t>Q3</t>
  </si>
  <si>
    <t>Q4</t>
  </si>
  <si>
    <t>Service</t>
  </si>
  <si>
    <t>Delay</t>
  </si>
  <si>
    <t>Error</t>
  </si>
  <si>
    <t>Unit Journals</t>
  </si>
  <si>
    <t>Total cost</t>
  </si>
  <si>
    <t>Gain/Loss on Backdating Service Costs completed within 5 day SLA</t>
  </si>
  <si>
    <t>Gain/Loss on Backdating Service Costs completed outside of 5 day SLA</t>
  </si>
  <si>
    <t>Gain/Loss on Backdating Service Errors completed outside of 5 day SLA</t>
  </si>
  <si>
    <t xml:space="preserve">Unit Journals </t>
  </si>
  <si>
    <t xml:space="preserve">Total Cost </t>
  </si>
  <si>
    <t>CLI Losses this month are:</t>
  </si>
  <si>
    <t>Loss Trend / Event</t>
  </si>
  <si>
    <t>Cover sheet to be updated</t>
  </si>
  <si>
    <t>Totals (Current Month)</t>
  </si>
  <si>
    <t xml:space="preserve">April Total </t>
  </si>
  <si>
    <t>Member No</t>
  </si>
  <si>
    <t>Backdating Service Delay - within SLA</t>
  </si>
  <si>
    <t>Backdating Service Delay - Outside SLA</t>
  </si>
  <si>
    <t>Cost</t>
  </si>
  <si>
    <t>Approps over the month (1 day timing delay)</t>
  </si>
  <si>
    <t>Summary for month</t>
  </si>
  <si>
    <r>
      <t xml:space="preserve">Sig Member Loss             &gt;   </t>
    </r>
    <r>
      <rPr>
        <sz val="11"/>
        <color rgb="FFFF0000"/>
        <rFont val="Calibri"/>
        <family val="2"/>
        <scheme val="minor"/>
      </rPr>
      <t xml:space="preserve">€-5K </t>
    </r>
    <r>
      <rPr>
        <sz val="11"/>
        <color theme="1"/>
        <rFont val="Calibri"/>
        <family val="2"/>
        <scheme val="minor"/>
      </rPr>
      <t>/ €+5K</t>
    </r>
  </si>
  <si>
    <t>Monthly Total</t>
  </si>
  <si>
    <t>Total</t>
  </si>
  <si>
    <t>Reportable Errors for this month are:</t>
  </si>
  <si>
    <t>Q1 (February Only)</t>
  </si>
  <si>
    <t>Unit Journal on scheme 601104 member number 0868074 on 05/02/2026 for a total of €971.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</si>
</sst>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€&quot;#,##0;[Red]\-&quot;€&quot;#,##0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&quot;€&quot;#,##0"/>
    <numFmt numFmtId="167" formatCode="0.0000"/>
    <numFmt numFmtId="168" formatCode="0.000"/>
    <numFmt numFmtId="169" formatCode="0.0%"/>
    <numFmt numFmtId="170" formatCode="0.0000%"/>
    <numFmt numFmtId="171" formatCode="_-* #,##0.0_-;\-* #,##0.0_-;_-* &quot;-&quot;??_-;_-@_-"/>
    <numFmt numFmtId="172" formatCode="mmmm\ yyyy"/>
  </numFmts>
  <fonts count="3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2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rgb="FF00B0F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61">
    <xf numFmtId="0" fontId="0" fillId="0" borderId="0"/>
    <xf numFmtId="0" fontId="8" fillId="0" borderId="0"/>
    <xf numFmtId="164" fontId="9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4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4" fillId="0" borderId="0"/>
    <xf numFmtId="9" fontId="17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8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9" fontId="14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5" fillId="2" borderId="1" xfId="0" applyFont="1" applyFill="1" applyBorder="1"/>
    <xf numFmtId="3" fontId="0" fillId="0" borderId="1" xfId="0" applyNumberFormat="1" applyBorder="1"/>
    <xf numFmtId="3" fontId="10" fillId="0" borderId="1" xfId="0" applyNumberFormat="1" applyFont="1" applyBorder="1"/>
    <xf numFmtId="0" fontId="10" fillId="0" borderId="1" xfId="0" applyFont="1" applyBorder="1"/>
    <xf numFmtId="0" fontId="0" fillId="4" borderId="1" xfId="0" applyFill="1" applyBorder="1"/>
    <xf numFmtId="0" fontId="11" fillId="0" borderId="1" xfId="0" applyFont="1" applyBorder="1" applyAlignment="1">
      <alignment horizontal="center" vertical="center" wrapText="1"/>
    </xf>
    <xf numFmtId="0" fontId="7" fillId="0" borderId="0" xfId="0" applyFont="1"/>
    <xf numFmtId="0" fontId="4" fillId="0" borderId="0" xfId="0" applyFont="1"/>
    <xf numFmtId="0" fontId="6" fillId="0" borderId="0" xfId="0" applyFont="1" applyAlignment="1">
      <alignment horizontal="left" vertical="center" wrapText="1"/>
    </xf>
    <xf numFmtId="0" fontId="2" fillId="0" borderId="0" xfId="0" applyFont="1"/>
    <xf numFmtId="0" fontId="6" fillId="0" borderId="0" xfId="0" applyFont="1" applyAlignment="1">
      <alignment wrapText="1"/>
    </xf>
    <xf numFmtId="0" fontId="2" fillId="5" borderId="1" xfId="0" applyFont="1" applyFill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1" xfId="0" quotePrefix="1" applyFont="1" applyBorder="1" applyAlignment="1">
      <alignment horizontal="left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3" fontId="11" fillId="4" borderId="1" xfId="0" applyNumberFormat="1" applyFont="1" applyFill="1" applyBorder="1" applyAlignment="1">
      <alignment horizontal="center" vertical="center" wrapText="1"/>
    </xf>
    <xf numFmtId="3" fontId="16" fillId="0" borderId="1" xfId="0" applyNumberFormat="1" applyFont="1" applyBorder="1" applyAlignment="1">
      <alignment horizontal="center" vertical="center" wrapText="1"/>
    </xf>
    <xf numFmtId="165" fontId="16" fillId="0" borderId="1" xfId="3" applyNumberFormat="1" applyFont="1" applyBorder="1" applyAlignment="1">
      <alignment vertical="center" wrapText="1"/>
    </xf>
    <xf numFmtId="0" fontId="15" fillId="4" borderId="1" xfId="0" applyFont="1" applyFill="1" applyBorder="1" applyAlignment="1">
      <alignment horizontal="center" vertical="center" wrapText="1"/>
    </xf>
    <xf numFmtId="3" fontId="15" fillId="4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6" fontId="1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3" fontId="16" fillId="0" borderId="1" xfId="0" quotePrefix="1" applyNumberFormat="1" applyFont="1" applyBorder="1" applyAlignment="1">
      <alignment horizontal="center" vertical="center" wrapText="1"/>
    </xf>
    <xf numFmtId="3" fontId="15" fillId="0" borderId="1" xfId="0" quotePrefix="1" applyNumberFormat="1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/>
    </xf>
    <xf numFmtId="166" fontId="1" fillId="0" borderId="0" xfId="0" applyNumberFormat="1" applyFont="1" applyAlignment="1">
      <alignment horizontal="center" wrapText="1"/>
    </xf>
    <xf numFmtId="166" fontId="20" fillId="0" borderId="0" xfId="0" applyNumberFormat="1" applyFont="1" applyAlignment="1">
      <alignment horizontal="center" wrapText="1"/>
    </xf>
    <xf numFmtId="0" fontId="20" fillId="0" borderId="0" xfId="0" applyFont="1" applyAlignment="1">
      <alignment horizontal="center" wrapText="1"/>
    </xf>
    <xf numFmtId="166" fontId="24" fillId="0" borderId="0" xfId="0" applyNumberFormat="1" applyFont="1" applyAlignment="1">
      <alignment horizontal="center" wrapText="1"/>
    </xf>
    <xf numFmtId="3" fontId="25" fillId="0" borderId="1" xfId="0" quotePrefix="1" applyNumberFormat="1" applyFont="1" applyBorder="1" applyAlignment="1">
      <alignment horizontal="center" vertical="center" wrapText="1"/>
    </xf>
    <xf numFmtId="14" fontId="0" fillId="0" borderId="0" xfId="0" applyNumberFormat="1"/>
    <xf numFmtId="168" fontId="2" fillId="7" borderId="1" xfId="0" applyNumberFormat="1" applyFont="1" applyFill="1" applyBorder="1" applyAlignment="1">
      <alignment horizontal="center"/>
    </xf>
    <xf numFmtId="43" fontId="2" fillId="0" borderId="1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169" fontId="0" fillId="0" borderId="0" xfId="60" applyNumberFormat="1" applyFont="1"/>
    <xf numFmtId="170" fontId="1" fillId="0" borderId="0" xfId="60" applyNumberFormat="1" applyFont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168" fontId="0" fillId="8" borderId="1" xfId="0" applyNumberFormat="1" applyFill="1" applyBorder="1" applyAlignment="1">
      <alignment horizontal="center"/>
    </xf>
    <xf numFmtId="168" fontId="7" fillId="7" borderId="1" xfId="0" applyNumberFormat="1" applyFont="1" applyFill="1" applyBorder="1" applyAlignment="1">
      <alignment horizontal="center"/>
    </xf>
    <xf numFmtId="167" fontId="20" fillId="0" borderId="1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1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3" fontId="16" fillId="0" borderId="1" xfId="0" applyNumberFormat="1" applyFont="1" applyBorder="1" applyAlignment="1">
      <alignment horizontal="center" vertical="center"/>
    </xf>
    <xf numFmtId="43" fontId="11" fillId="0" borderId="1" xfId="0" applyNumberFormat="1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3" fontId="29" fillId="0" borderId="1" xfId="0" applyNumberFormat="1" applyFont="1" applyBorder="1" applyAlignment="1">
      <alignment horizontal="center" vertical="center" wrapText="1"/>
    </xf>
    <xf numFmtId="3" fontId="27" fillId="0" borderId="1" xfId="0" quotePrefix="1" applyNumberFormat="1" applyFont="1" applyBorder="1" applyAlignment="1">
      <alignment horizontal="center" vertical="center" wrapText="1"/>
    </xf>
    <xf numFmtId="6" fontId="26" fillId="0" borderId="1" xfId="0" applyNumberFormat="1" applyFont="1" applyBorder="1" applyAlignment="1">
      <alignment horizontal="center" vertical="center" wrapText="1"/>
    </xf>
    <xf numFmtId="171" fontId="30" fillId="0" borderId="0" xfId="3" applyNumberFormat="1" applyFont="1" applyAlignment="1">
      <alignment horizontal="center"/>
    </xf>
    <xf numFmtId="43" fontId="30" fillId="0" borderId="0" xfId="3" applyFont="1" applyAlignment="1">
      <alignment horizontal="center"/>
    </xf>
    <xf numFmtId="171" fontId="31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71" fontId="30" fillId="0" borderId="0" xfId="0" applyNumberFormat="1" applyFont="1" applyAlignment="1">
      <alignment horizontal="center"/>
    </xf>
    <xf numFmtId="0" fontId="20" fillId="0" borderId="0" xfId="0" applyFont="1" applyAlignment="1">
      <alignment horizontal="left"/>
    </xf>
    <xf numFmtId="0" fontId="33" fillId="0" borderId="1" xfId="0" applyFont="1" applyBorder="1" applyAlignment="1">
      <alignment horizontal="center"/>
    </xf>
    <xf numFmtId="14" fontId="33" fillId="0" borderId="1" xfId="0" applyNumberFormat="1" applyFont="1" applyBorder="1" applyAlignment="1">
      <alignment horizontal="center"/>
    </xf>
    <xf numFmtId="1" fontId="27" fillId="0" borderId="1" xfId="0" quotePrefix="1" applyNumberFormat="1" applyFont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/>
    </xf>
    <xf numFmtId="14" fontId="33" fillId="9" borderId="1" xfId="0" applyNumberFormat="1" applyFont="1" applyFill="1" applyBorder="1" applyAlignment="1">
      <alignment horizontal="center"/>
    </xf>
    <xf numFmtId="0" fontId="33" fillId="8" borderId="1" xfId="0" applyFont="1" applyFill="1" applyBorder="1" applyAlignment="1">
      <alignment horizontal="center"/>
    </xf>
    <xf numFmtId="14" fontId="33" fillId="8" borderId="1" xfId="0" applyNumberFormat="1" applyFont="1" applyFill="1" applyBorder="1" applyAlignment="1">
      <alignment horizontal="center"/>
    </xf>
    <xf numFmtId="168" fontId="0" fillId="4" borderId="1" xfId="0" applyNumberFormat="1" applyFill="1" applyBorder="1" applyAlignment="1">
      <alignment horizontal="center"/>
    </xf>
    <xf numFmtId="3" fontId="26" fillId="0" borderId="1" xfId="0" applyNumberFormat="1" applyFont="1" applyBorder="1" applyAlignment="1">
      <alignment horizontal="center" vertical="center" wrapText="1"/>
    </xf>
    <xf numFmtId="172" fontId="0" fillId="0" borderId="0" xfId="0" applyNumberFormat="1" applyAlignment="1">
      <alignment horizontal="center"/>
    </xf>
    <xf numFmtId="17" fontId="7" fillId="8" borderId="8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</cellXfs>
  <cellStyles count="61">
    <cellStyle name="Comma" xfId="3" builtinId="3"/>
    <cellStyle name="Comma 10" xfId="21" xr:uid="{00000000-0005-0000-0000-000001000000}"/>
    <cellStyle name="Comma 10 2" xfId="48" xr:uid="{00000000-0005-0000-0000-000002000000}"/>
    <cellStyle name="Comma 11" xfId="22" xr:uid="{00000000-0005-0000-0000-000003000000}"/>
    <cellStyle name="Comma 11 2" xfId="49" xr:uid="{00000000-0005-0000-0000-000004000000}"/>
    <cellStyle name="Comma 12" xfId="23" xr:uid="{00000000-0005-0000-0000-000005000000}"/>
    <cellStyle name="Comma 13" xfId="24" xr:uid="{00000000-0005-0000-0000-000006000000}"/>
    <cellStyle name="Comma 14" xfId="25" xr:uid="{00000000-0005-0000-0000-000007000000}"/>
    <cellStyle name="Comma 15" xfId="26" xr:uid="{00000000-0005-0000-0000-000008000000}"/>
    <cellStyle name="Comma 16" xfId="27" xr:uid="{00000000-0005-0000-0000-000009000000}"/>
    <cellStyle name="Comma 17" xfId="28" xr:uid="{00000000-0005-0000-0000-00000A000000}"/>
    <cellStyle name="Comma 18" xfId="29" xr:uid="{00000000-0005-0000-0000-00000B000000}"/>
    <cellStyle name="Comma 19" xfId="30" xr:uid="{00000000-0005-0000-0000-00000C000000}"/>
    <cellStyle name="Comma 2" xfId="2" xr:uid="{00000000-0005-0000-0000-00000D000000}"/>
    <cellStyle name="Comma 2 2" xfId="6" xr:uid="{00000000-0005-0000-0000-00000E000000}"/>
    <cellStyle name="Comma 20" xfId="31" xr:uid="{00000000-0005-0000-0000-00000F000000}"/>
    <cellStyle name="Comma 21" xfId="32" xr:uid="{00000000-0005-0000-0000-000010000000}"/>
    <cellStyle name="Comma 22" xfId="33" xr:uid="{00000000-0005-0000-0000-000011000000}"/>
    <cellStyle name="Comma 23" xfId="34" xr:uid="{00000000-0005-0000-0000-000012000000}"/>
    <cellStyle name="Comma 24" xfId="35" xr:uid="{00000000-0005-0000-0000-000013000000}"/>
    <cellStyle name="Comma 25" xfId="36" xr:uid="{00000000-0005-0000-0000-000014000000}"/>
    <cellStyle name="Comma 26" xfId="37" xr:uid="{00000000-0005-0000-0000-000015000000}"/>
    <cellStyle name="Comma 27" xfId="38" xr:uid="{00000000-0005-0000-0000-000016000000}"/>
    <cellStyle name="Comma 28" xfId="39" xr:uid="{00000000-0005-0000-0000-000017000000}"/>
    <cellStyle name="Comma 29" xfId="40" xr:uid="{00000000-0005-0000-0000-000018000000}"/>
    <cellStyle name="Comma 3" xfId="5" xr:uid="{00000000-0005-0000-0000-000019000000}"/>
    <cellStyle name="Comma 4" xfId="15" xr:uid="{00000000-0005-0000-0000-00001A000000}"/>
    <cellStyle name="Comma 4 2" xfId="42" xr:uid="{00000000-0005-0000-0000-00001B000000}"/>
    <cellStyle name="Comma 5" xfId="16" xr:uid="{00000000-0005-0000-0000-00001C000000}"/>
    <cellStyle name="Comma 5 2" xfId="43" xr:uid="{00000000-0005-0000-0000-00001D000000}"/>
    <cellStyle name="Comma 6" xfId="17" xr:uid="{00000000-0005-0000-0000-00001E000000}"/>
    <cellStyle name="Comma 6 2" xfId="44" xr:uid="{00000000-0005-0000-0000-00001F000000}"/>
    <cellStyle name="Comma 7" xfId="18" xr:uid="{00000000-0005-0000-0000-000020000000}"/>
    <cellStyle name="Comma 7 2" xfId="45" xr:uid="{00000000-0005-0000-0000-000021000000}"/>
    <cellStyle name="Comma 8" xfId="19" xr:uid="{00000000-0005-0000-0000-000022000000}"/>
    <cellStyle name="Comma 8 2" xfId="46" xr:uid="{00000000-0005-0000-0000-000023000000}"/>
    <cellStyle name="Comma 9" xfId="20" xr:uid="{00000000-0005-0000-0000-000024000000}"/>
    <cellStyle name="Comma 9 2" xfId="47" xr:uid="{00000000-0005-0000-0000-000025000000}"/>
    <cellStyle name="Euro" xfId="7" xr:uid="{00000000-0005-0000-0000-000026000000}"/>
    <cellStyle name="Normal" xfId="0" builtinId="0"/>
    <cellStyle name="Normal 10" xfId="59" xr:uid="{00000000-0005-0000-0000-000028000000}"/>
    <cellStyle name="Normal 2" xfId="1" xr:uid="{00000000-0005-0000-0000-000029000000}"/>
    <cellStyle name="Normal 2 2" xfId="8" xr:uid="{00000000-0005-0000-0000-00002A000000}"/>
    <cellStyle name="Normal 3" xfId="4" xr:uid="{00000000-0005-0000-0000-00002B000000}"/>
    <cellStyle name="Normal 4" xfId="10" xr:uid="{00000000-0005-0000-0000-00002C000000}"/>
    <cellStyle name="Normal 4 2" xfId="12" xr:uid="{00000000-0005-0000-0000-00002D000000}"/>
    <cellStyle name="Normal 5" xfId="11" xr:uid="{00000000-0005-0000-0000-00002E000000}"/>
    <cellStyle name="Normal 5 2" xfId="13" xr:uid="{00000000-0005-0000-0000-00002F000000}"/>
    <cellStyle name="Normal 6" xfId="14" xr:uid="{00000000-0005-0000-0000-000030000000}"/>
    <cellStyle name="Normal 6 2" xfId="41" xr:uid="{00000000-0005-0000-0000-000031000000}"/>
    <cellStyle name="Normal 7" xfId="50" xr:uid="{00000000-0005-0000-0000-000032000000}"/>
    <cellStyle name="Normal 7 2" xfId="54" xr:uid="{00000000-0005-0000-0000-000033000000}"/>
    <cellStyle name="Normal 8" xfId="51" xr:uid="{00000000-0005-0000-0000-000034000000}"/>
    <cellStyle name="Normal 8 2" xfId="52" xr:uid="{00000000-0005-0000-0000-000035000000}"/>
    <cellStyle name="Normal 8 2 2" xfId="55" xr:uid="{00000000-0005-0000-0000-000036000000}"/>
    <cellStyle name="Normal 8 3" xfId="53" xr:uid="{00000000-0005-0000-0000-000037000000}"/>
    <cellStyle name="Normal 9" xfId="56" xr:uid="{00000000-0005-0000-0000-000038000000}"/>
    <cellStyle name="Normal 9 2" xfId="58" xr:uid="{00000000-0005-0000-0000-000039000000}"/>
    <cellStyle name="Normal 9 3" xfId="57" xr:uid="{00000000-0005-0000-0000-00003A000000}"/>
    <cellStyle name="Per cent" xfId="60" builtinId="5"/>
    <cellStyle name="Percent 2" xfId="9" xr:uid="{00000000-0005-0000-0000-00003C000000}"/>
  </cellStyles>
  <dxfs count="20"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  <fill>
        <patternFill patternType="solid">
          <bgColor rgb="FFFFFF00"/>
        </patternFill>
      </fill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  <fill>
        <patternFill patternType="solid">
          <bgColor rgb="FFFFFF00"/>
        </patternFill>
      </fill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FFFFCC"/>
      <color rgb="FFFDD9EB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Corporate_Business\Act\3%20Monthly%20Work\Mismatch%20Report%20&amp;%20EUR\2026%20Calculations\02.%20February%202026\Excess%20Unit%20Costs\Excess%20unit%20costs%20February%202026.xlsx" TargetMode="External"/><Relationship Id="rId1" Type="http://schemas.openxmlformats.org/officeDocument/2006/relationships/externalLinkPath" Target="Excess%20unit%20costs%20February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note on resw"/>
      <sheetName val="New Format Analysis"/>
      <sheetName val="BLOCK lines"/>
      <sheetName val="DC Timing Costs Pivot"/>
      <sheetName val="Scheme Trans"/>
      <sheetName val="New Format KRI mbr level"/>
      <sheetName val="Unallocated Cash"/>
      <sheetName val="Fin Sep Results"/>
      <sheetName val="DB Timing Costs"/>
      <sheetName val="Unit Journals"/>
      <sheetName val="Prices"/>
      <sheetName val="DC Timing Costs old"/>
      <sheetName val="SchemeNames"/>
    </sheetNames>
    <sheetDataSet>
      <sheetData sheetId="0">
        <row r="25">
          <cell r="B25">
            <v>-25589.568954719507</v>
          </cell>
        </row>
        <row r="26">
          <cell r="B26">
            <v>-80031.484498357982</v>
          </cell>
        </row>
        <row r="27">
          <cell r="B27">
            <v>-22452.692096773448</v>
          </cell>
        </row>
        <row r="30">
          <cell r="B30">
            <v>-971.32943325200006</v>
          </cell>
        </row>
      </sheetData>
      <sheetData sheetId="1"/>
      <sheetData sheetId="2"/>
      <sheetData sheetId="3"/>
      <sheetData sheetId="4">
        <row r="11">
          <cell r="A11">
            <v>-14603.220033667963</v>
          </cell>
          <cell r="B11">
            <v>2945</v>
          </cell>
          <cell r="I11" t="str">
            <v>Irish Life and Canada Life D scheme, RSP of €2.8m with effective date 23/02/2026 and system date 24/02/2026. CB Approps were informed on 23/02/2026 (PM). Preapprop was added on 24/02/2026. Loss due to price movements.</v>
          </cell>
        </row>
        <row r="13">
          <cell r="A13">
            <v>27805.652319166526</v>
          </cell>
          <cell r="B13">
            <v>3123</v>
          </cell>
          <cell r="I13" t="str">
            <v>Intel Ireland DC Plan scheme, RSP of €4.5m with effective date 11/02/2026 and system date 13/02/2026. CB Approps were informed on 12/02/2026 (AM) and preapprop was added on 12/02/2026. Gain due to price movements.</v>
          </cell>
        </row>
        <row r="14">
          <cell r="A14">
            <v>10151.321612435002</v>
          </cell>
          <cell r="B14">
            <v>3645</v>
          </cell>
          <cell r="I14" t="str">
            <v>Aer Lingus scheme, RSP of €1.3m with effective date 04/02/2026 and system date 06/02/2026. CB Approps were informed on 04/02/2026 (PM). Preapprop was added on 05/02/2026. Gain due to price movements.</v>
          </cell>
        </row>
        <row r="16">
          <cell r="A16">
            <v>31389.849076627903</v>
          </cell>
          <cell r="B16">
            <v>3990</v>
          </cell>
          <cell r="I16" t="str">
            <v>Stryker Ireland DC Pension P scheme, RSP of €3.7m with effective date 11/02/2026 and system date 13/02/2026. CB Approps were informed on 12/02/2026 (AM). Preapprop was added on 12/02/2026. Gain due to price movements.</v>
          </cell>
        </row>
        <row r="17">
          <cell r="A17">
            <v>-16637.567122100998</v>
          </cell>
          <cell r="B17">
            <v>6849</v>
          </cell>
          <cell r="I17" t="str">
            <v>Maples Group scheme, SP of €0.4m with effective date 07/10/2025 was reversed and reinstated on other funds. CB Approps were not informed. Loss due to price movements. More Detail TBC</v>
          </cell>
        </row>
        <row r="18">
          <cell r="A18">
            <v>11609.705345877001</v>
          </cell>
          <cell r="B18">
            <v>9839</v>
          </cell>
          <cell r="I18" t="str">
            <v>BKSW / RESW - Analysed Separately</v>
          </cell>
        </row>
      </sheetData>
      <sheetData sheetId="5">
        <row r="3">
          <cell r="E3" t="str">
            <v>Transaction Type</v>
          </cell>
          <cell r="G3" t="str">
            <v>Effective Date</v>
          </cell>
          <cell r="H3" t="str">
            <v>System Date</v>
          </cell>
        </row>
        <row r="4">
          <cell r="E4" t="str">
            <v>RSP</v>
          </cell>
          <cell r="G4">
            <v>46076</v>
          </cell>
          <cell r="H4">
            <v>46077</v>
          </cell>
        </row>
        <row r="5">
          <cell r="E5" t="str">
            <v>RSP</v>
          </cell>
          <cell r="G5">
            <v>46064</v>
          </cell>
          <cell r="H5">
            <v>46066</v>
          </cell>
        </row>
        <row r="6">
          <cell r="E6" t="str">
            <v>RSP</v>
          </cell>
          <cell r="G6">
            <v>46057</v>
          </cell>
          <cell r="H6">
            <v>46059</v>
          </cell>
        </row>
        <row r="7">
          <cell r="E7" t="str">
            <v>RSP</v>
          </cell>
          <cell r="G7">
            <v>46064</v>
          </cell>
          <cell r="H7">
            <v>46066</v>
          </cell>
        </row>
        <row r="8">
          <cell r="E8" t="str">
            <v>SP</v>
          </cell>
          <cell r="G8">
            <v>45937</v>
          </cell>
          <cell r="H8">
            <v>46062</v>
          </cell>
        </row>
        <row r="9">
          <cell r="E9" t="str">
            <v>RESW</v>
          </cell>
          <cell r="G9">
            <v>45901</v>
          </cell>
          <cell r="H9">
            <v>46080</v>
          </cell>
        </row>
      </sheetData>
      <sheetData sheetId="6">
        <row r="43">
          <cell r="B43">
            <v>3106456</v>
          </cell>
          <cell r="G43">
            <v>31530.843848410001</v>
          </cell>
          <cell r="H43" t="str">
            <v>SWTH</v>
          </cell>
          <cell r="J43">
            <v>45777</v>
          </cell>
          <cell r="K43">
            <v>46076</v>
          </cell>
          <cell r="P43" t="str">
            <v>Member 3106456: SWTH of €0.2m with effective date 30/04/2025 and system date 23/02/2026. CB Approps were informed on 09/02/2026 (pm). Preapprop was added on 10/02/2026. Gain due to price movements.</v>
          </cell>
        </row>
        <row r="44">
          <cell r="B44">
            <v>572500</v>
          </cell>
          <cell r="G44">
            <v>5837.9654084800004</v>
          </cell>
          <cell r="H44" t="str">
            <v>ERET</v>
          </cell>
          <cell r="J44">
            <v>46071</v>
          </cell>
          <cell r="K44">
            <v>46078</v>
          </cell>
          <cell r="P44" t="str">
            <v>Member 572500: ERET of €1.2m with effective date 18/02/2026 and system date 25/02/2026. CB Approps were informed on 10/02/2026 (pm). Preapprop was added on 20/02/2026. Gain due to price movements.</v>
          </cell>
        </row>
        <row r="46">
          <cell r="B46">
            <v>522757</v>
          </cell>
          <cell r="G46">
            <v>17846.05297547</v>
          </cell>
          <cell r="H46" t="str">
            <v>SWTH</v>
          </cell>
          <cell r="J46">
            <v>46058</v>
          </cell>
          <cell r="K46">
            <v>46076</v>
          </cell>
          <cell r="P46" t="str">
            <v>Member 522757: SWTH of €1.1m with effective date 05/02/2026 and system date 23/02/2026. CB Approps were informed on 06/02/2026 (am). Preapprop was added on 06/02/2026. Gain due to price movements.</v>
          </cell>
        </row>
        <row r="50">
          <cell r="B50">
            <v>892703</v>
          </cell>
          <cell r="G50">
            <v>-5185.9243900849997</v>
          </cell>
          <cell r="H50" t="str">
            <v>WTHD</v>
          </cell>
          <cell r="J50">
            <v>46064</v>
          </cell>
          <cell r="K50">
            <v>46071</v>
          </cell>
          <cell r="P50" t="str">
            <v>Member 892703: WTHD of €1m with effective date 11/02/2026 and system date 18/02/2026. CB Approps were informed on 12/02/2026 (am). Preapprop was added on 12/02/2026. Loss due to price movements.</v>
          </cell>
        </row>
        <row r="51">
          <cell r="B51">
            <v>1192326</v>
          </cell>
          <cell r="G51">
            <v>7415.4114340100004</v>
          </cell>
          <cell r="H51" t="str">
            <v>NRET</v>
          </cell>
          <cell r="J51">
            <v>46066</v>
          </cell>
          <cell r="K51">
            <v>46076</v>
          </cell>
          <cell r="P51" t="str">
            <v>Member 1192326: NRET of €1.2m with effective date 13/02/2026 and system date 23/02/2026. CB Approps were informed on 17/02/2026 (pm). Preapprop was added on 18/02/2026. Gain due to price movements.</v>
          </cell>
        </row>
        <row r="52">
          <cell r="B52">
            <v>943670</v>
          </cell>
          <cell r="G52">
            <v>15155.452074192001</v>
          </cell>
          <cell r="H52" t="str">
            <v>NRET</v>
          </cell>
          <cell r="J52">
            <v>46010</v>
          </cell>
          <cell r="K52">
            <v>46064</v>
          </cell>
          <cell r="P52" t="str">
            <v>Member 943670: NRET of €0.5m with effective date 19/12/2025 and system date 11/02/2026. CB Approps were informed but the transaction was processed before we could preappop. Gain due to price movements.</v>
          </cell>
        </row>
        <row r="53">
          <cell r="B53">
            <v>1068983</v>
          </cell>
          <cell r="G53">
            <v>6634.5019560660003</v>
          </cell>
          <cell r="H53" t="str">
            <v>WTHD</v>
          </cell>
          <cell r="J53">
            <v>46065</v>
          </cell>
          <cell r="K53">
            <v>46078</v>
          </cell>
          <cell r="P53" t="str">
            <v>Member 1068983: WTHD of €0.4m with effective date 12/02/2026 and system date 23/02/2026. CB Approps were not informed. Gain due to price movements.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C37"/>
  <sheetViews>
    <sheetView tabSelected="1" view="pageLayout" zoomScaleNormal="100" workbookViewId="0">
      <selection activeCell="B8" sqref="B8"/>
    </sheetView>
  </sheetViews>
  <sheetFormatPr defaultRowHeight="14.4" x14ac:dyDescent="0.3"/>
  <cols>
    <col min="1" max="1" width="47.44140625" customWidth="1"/>
    <col min="2" max="2" width="25.5546875" customWidth="1"/>
    <col min="3" max="3" width="11.44140625" customWidth="1"/>
  </cols>
  <sheetData>
    <row r="3" spans="1:3" ht="25.8" x14ac:dyDescent="0.3">
      <c r="A3" s="90" t="s">
        <v>0</v>
      </c>
      <c r="B3" s="91"/>
      <c r="C3" s="91"/>
    </row>
    <row r="4" spans="1:3" ht="14.55" customHeight="1" x14ac:dyDescent="0.3">
      <c r="B4" s="20"/>
    </row>
    <row r="5" spans="1:3" ht="18" customHeight="1" x14ac:dyDescent="0.35">
      <c r="A5" s="15" t="s">
        <v>1</v>
      </c>
      <c r="B5" s="88">
        <v>46054</v>
      </c>
    </row>
    <row r="6" spans="1:3" ht="18" customHeight="1" x14ac:dyDescent="0.35">
      <c r="A6" s="15" t="s">
        <v>2</v>
      </c>
      <c r="B6" s="20" t="s">
        <v>17</v>
      </c>
    </row>
    <row r="7" spans="1:3" ht="18" customHeight="1" x14ac:dyDescent="0.35">
      <c r="A7" s="15" t="s">
        <v>3</v>
      </c>
      <c r="B7" s="21">
        <v>46090</v>
      </c>
    </row>
    <row r="8" spans="1:3" ht="18" customHeight="1" x14ac:dyDescent="0.35">
      <c r="A8" s="15"/>
      <c r="B8" s="20"/>
    </row>
    <row r="9" spans="1:3" ht="18" customHeight="1" x14ac:dyDescent="0.35">
      <c r="A9" s="15"/>
      <c r="B9" s="20"/>
    </row>
    <row r="10" spans="1:3" ht="18" customHeight="1" x14ac:dyDescent="0.35">
      <c r="A10" s="15" t="s">
        <v>4</v>
      </c>
      <c r="B10" s="20" t="s">
        <v>17</v>
      </c>
    </row>
    <row r="11" spans="1:3" ht="18" customHeight="1" x14ac:dyDescent="0.35">
      <c r="A11" s="15" t="s">
        <v>3</v>
      </c>
      <c r="B11" s="21" t="s">
        <v>17</v>
      </c>
    </row>
    <row r="12" spans="1:3" ht="18" customHeight="1" x14ac:dyDescent="0.35">
      <c r="A12" s="15"/>
      <c r="B12" s="20"/>
    </row>
    <row r="13" spans="1:3" ht="18" customHeight="1" x14ac:dyDescent="0.35">
      <c r="A13" s="15"/>
      <c r="B13" s="20"/>
    </row>
    <row r="14" spans="1:3" ht="18" customHeight="1" x14ac:dyDescent="0.35">
      <c r="A14" s="15" t="s">
        <v>5</v>
      </c>
      <c r="B14" s="20" t="s">
        <v>17</v>
      </c>
    </row>
    <row r="15" spans="1:3" ht="18" customHeight="1" x14ac:dyDescent="0.35">
      <c r="A15" s="15" t="s">
        <v>6</v>
      </c>
      <c r="B15" s="21" t="s">
        <v>17</v>
      </c>
    </row>
    <row r="16" spans="1:3" ht="18" customHeight="1" x14ac:dyDescent="0.35">
      <c r="A16" s="15"/>
      <c r="B16" s="20"/>
    </row>
    <row r="17" spans="1:2" ht="18" customHeight="1" x14ac:dyDescent="0.35">
      <c r="A17" s="15" t="s">
        <v>7</v>
      </c>
    </row>
    <row r="18" spans="1:2" ht="18" customHeight="1" x14ac:dyDescent="0.35">
      <c r="A18" s="15" t="s">
        <v>8</v>
      </c>
    </row>
    <row r="19" spans="1:2" ht="18" customHeight="1" x14ac:dyDescent="0.35">
      <c r="A19" s="15" t="s">
        <v>3</v>
      </c>
    </row>
    <row r="20" spans="1:2" ht="18" customHeight="1" x14ac:dyDescent="0.35">
      <c r="A20" s="15"/>
    </row>
    <row r="22" spans="1:2" ht="18" x14ac:dyDescent="0.35">
      <c r="A22" s="15" t="s">
        <v>22</v>
      </c>
    </row>
    <row r="23" spans="1:2" ht="78" x14ac:dyDescent="0.3">
      <c r="A23" s="16" t="s">
        <v>23</v>
      </c>
    </row>
    <row r="24" spans="1:2" ht="15.6" x14ac:dyDescent="0.3">
      <c r="A24" s="16" t="s">
        <v>25</v>
      </c>
    </row>
    <row r="25" spans="1:2" ht="31.2" x14ac:dyDescent="0.3">
      <c r="A25" s="16" t="s">
        <v>21</v>
      </c>
    </row>
    <row r="26" spans="1:2" ht="46.8" x14ac:dyDescent="0.3">
      <c r="A26" s="18" t="s">
        <v>39</v>
      </c>
    </row>
    <row r="27" spans="1:2" x14ac:dyDescent="0.3">
      <c r="A27" s="2"/>
    </row>
    <row r="28" spans="1:2" x14ac:dyDescent="0.3">
      <c r="A28" s="14" t="s">
        <v>26</v>
      </c>
    </row>
    <row r="30" spans="1:2" x14ac:dyDescent="0.3">
      <c r="A30" s="14"/>
    </row>
    <row r="31" spans="1:2" x14ac:dyDescent="0.3">
      <c r="A31" s="17" t="s">
        <v>40</v>
      </c>
      <c r="B31" s="19"/>
    </row>
    <row r="32" spans="1:2" x14ac:dyDescent="0.3">
      <c r="A32" s="17" t="s">
        <v>24</v>
      </c>
      <c r="B32" s="19"/>
    </row>
    <row r="33" spans="1:2" x14ac:dyDescent="0.3">
      <c r="A33" s="17"/>
      <c r="B33" s="17"/>
    </row>
    <row r="34" spans="1:2" ht="15" thickBot="1" x14ac:dyDescent="0.35">
      <c r="A34" s="17" t="s">
        <v>41</v>
      </c>
      <c r="B34" s="17"/>
    </row>
    <row r="35" spans="1:2" x14ac:dyDescent="0.3">
      <c r="A35" s="92" t="s">
        <v>17</v>
      </c>
      <c r="B35" s="93"/>
    </row>
    <row r="36" spans="1:2" x14ac:dyDescent="0.3">
      <c r="A36" s="94"/>
      <c r="B36" s="95"/>
    </row>
    <row r="37" spans="1:2" ht="15" thickBot="1" x14ac:dyDescent="0.35">
      <c r="A37" s="96"/>
      <c r="B37" s="97"/>
    </row>
  </sheetData>
  <mergeCells count="2">
    <mergeCell ref="A3:C3"/>
    <mergeCell ref="A35:B37"/>
  </mergeCells>
  <pageMargins left="0.7" right="0.7" top="0.75" bottom="0.75" header="0.3" footer="0.3"/>
  <pageSetup paperSize="9" orientation="portrait" r:id="rId1"/>
  <headerFooter>
    <oddHeader>&amp;CCB Finance/DC Operations - Monthly KRI Report</oddHeader>
    <oddFooter xml:space="preserve">&amp;C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P41"/>
  <sheetViews>
    <sheetView zoomScale="85" zoomScaleNormal="85" workbookViewId="0">
      <selection activeCell="B3" sqref="B3"/>
    </sheetView>
  </sheetViews>
  <sheetFormatPr defaultColWidth="9.21875" defaultRowHeight="14.4" x14ac:dyDescent="0.3"/>
  <cols>
    <col min="1" max="1" width="30.77734375" style="62" customWidth="1"/>
    <col min="2" max="2" width="19.5546875" style="20" bestFit="1" customWidth="1"/>
    <col min="3" max="3" width="18.44140625" style="20" customWidth="1"/>
    <col min="4" max="4" width="34.5546875" style="20" bestFit="1" customWidth="1"/>
    <col min="5" max="5" width="16.5546875" style="20" customWidth="1"/>
    <col min="6" max="6" width="18.5546875" style="20" customWidth="1"/>
    <col min="7" max="7" width="17.77734375" style="20" customWidth="1"/>
    <col min="8" max="8" width="19.77734375" style="20" customWidth="1"/>
    <col min="9" max="9" width="15" style="20" customWidth="1"/>
    <col min="10" max="10" width="17.5546875" style="20" bestFit="1" customWidth="1"/>
    <col min="11" max="11" width="15.5546875" style="20" bestFit="1" customWidth="1"/>
    <col min="12" max="15" width="5.21875" style="20" bestFit="1" customWidth="1"/>
    <col min="16" max="16" width="6" style="20" bestFit="1" customWidth="1"/>
    <col min="17" max="16384" width="9.21875" style="20"/>
  </cols>
  <sheetData>
    <row r="1" spans="1:16" ht="20.100000000000001" customHeight="1" x14ac:dyDescent="0.3">
      <c r="A1" s="48" t="s">
        <v>45</v>
      </c>
      <c r="B1" s="48" t="s">
        <v>16</v>
      </c>
      <c r="C1" s="48"/>
      <c r="D1" s="48" t="s">
        <v>69</v>
      </c>
      <c r="E1" s="48"/>
      <c r="F1" s="48" t="s">
        <v>70</v>
      </c>
      <c r="G1" s="48"/>
      <c r="H1" s="48" t="s">
        <v>19</v>
      </c>
      <c r="I1" s="48"/>
      <c r="P1" s="76" t="s">
        <v>76</v>
      </c>
    </row>
    <row r="2" spans="1:16" x14ac:dyDescent="0.3">
      <c r="A2" s="49" t="s">
        <v>46</v>
      </c>
      <c r="B2" s="49" t="s">
        <v>47</v>
      </c>
      <c r="C2" s="49" t="s">
        <v>48</v>
      </c>
      <c r="D2" s="49" t="s">
        <v>47</v>
      </c>
      <c r="E2" s="49" t="s">
        <v>48</v>
      </c>
      <c r="F2" s="49" t="s">
        <v>47</v>
      </c>
      <c r="G2" s="49" t="s">
        <v>48</v>
      </c>
      <c r="H2" s="49" t="s">
        <v>47</v>
      </c>
      <c r="I2" s="49" t="s">
        <v>48</v>
      </c>
      <c r="K2" s="74" t="str">
        <f>B3</f>
        <v>Q1 (February Only)</v>
      </c>
      <c r="L2" s="73">
        <f>SUMIFS( $C$3:$C$21, $B$3:$B$21, $K2)</f>
        <v>-2.5589568954719508E-2</v>
      </c>
      <c r="M2" s="73">
        <f>SUMIFS( $E$3:$E$21, $D$3:$D$21, $K2)</f>
        <v>-8.003148449835798E-2</v>
      </c>
      <c r="N2" s="73">
        <f>SUMIFS( $G$3:$G$21, $F$3:$F$21, $K2)</f>
        <v>-2.2452692096773447E-2</v>
      </c>
      <c r="O2" s="73">
        <f>SUMIFS( $I$3:$I$21, $H$3:$H$21, $K2)</f>
        <v>-9.7132943325200008E-4</v>
      </c>
      <c r="P2" s="75">
        <f>SUM(L2:O2)</f>
        <v>-0.12904507498310294</v>
      </c>
    </row>
    <row r="3" spans="1:16" x14ac:dyDescent="0.3">
      <c r="A3" s="50"/>
      <c r="B3" s="51" t="s">
        <v>78</v>
      </c>
      <c r="C3" s="53">
        <f>Detail!$B$3/1000000</f>
        <v>-2.5589568954719508E-2</v>
      </c>
      <c r="D3" s="52" t="s">
        <v>49</v>
      </c>
      <c r="E3" s="52">
        <v>0</v>
      </c>
      <c r="F3" s="52" t="s">
        <v>49</v>
      </c>
      <c r="G3" s="52">
        <v>0</v>
      </c>
      <c r="H3" s="52" t="s">
        <v>49</v>
      </c>
      <c r="I3" s="52">
        <v>0</v>
      </c>
      <c r="J3" s="44"/>
      <c r="K3" s="74" t="str">
        <f>B4</f>
        <v>Q2</v>
      </c>
      <c r="L3" s="73">
        <f t="shared" ref="L3:L5" si="0">SUMIFS( $C$3:$C$21, $B$3:$B$21, $K3)</f>
        <v>0</v>
      </c>
      <c r="M3" s="73">
        <f t="shared" ref="M3:M5" si="1">SUMIFS( $E$3:$E$21, $D$3:$D$21, $K3)</f>
        <v>0</v>
      </c>
      <c r="N3" s="73">
        <f t="shared" ref="N3:N5" si="2">SUMIFS( $G$3:$G$21, $F$3:$F$21, $K3)</f>
        <v>0</v>
      </c>
      <c r="O3" s="73">
        <f t="shared" ref="O3:O5" si="3">SUMIFS( $I$3:$I$21, $H$3:$H$21, $K3)</f>
        <v>0</v>
      </c>
      <c r="P3" s="75">
        <f t="shared" ref="P3:P5" si="4">SUM(L3:O3)</f>
        <v>0</v>
      </c>
    </row>
    <row r="4" spans="1:16" x14ac:dyDescent="0.3">
      <c r="A4" s="50"/>
      <c r="B4" s="51" t="s">
        <v>50</v>
      </c>
      <c r="C4" s="86">
        <v>0</v>
      </c>
      <c r="D4" s="52" t="s">
        <v>50</v>
      </c>
      <c r="E4" s="52">
        <v>0</v>
      </c>
      <c r="F4" s="52" t="s">
        <v>50</v>
      </c>
      <c r="G4" s="52">
        <v>0</v>
      </c>
      <c r="H4" s="52" t="s">
        <v>50</v>
      </c>
      <c r="I4" s="52">
        <v>0</v>
      </c>
      <c r="J4" s="44"/>
      <c r="K4" s="74" t="str">
        <f>B5</f>
        <v>Q3</v>
      </c>
      <c r="L4" s="73">
        <f t="shared" si="0"/>
        <v>0</v>
      </c>
      <c r="M4" s="73">
        <f t="shared" si="1"/>
        <v>0</v>
      </c>
      <c r="N4" s="73">
        <f t="shared" si="2"/>
        <v>0</v>
      </c>
      <c r="O4" s="73">
        <f t="shared" si="3"/>
        <v>0</v>
      </c>
      <c r="P4" s="75">
        <f t="shared" si="4"/>
        <v>0</v>
      </c>
    </row>
    <row r="5" spans="1:16" x14ac:dyDescent="0.3">
      <c r="A5" s="50"/>
      <c r="B5" s="51" t="s">
        <v>51</v>
      </c>
      <c r="C5" s="86">
        <v>0</v>
      </c>
      <c r="D5" s="52" t="s">
        <v>51</v>
      </c>
      <c r="E5" s="52">
        <v>0</v>
      </c>
      <c r="F5" s="52" t="s">
        <v>51</v>
      </c>
      <c r="G5" s="52">
        <v>0</v>
      </c>
      <c r="H5" s="52" t="s">
        <v>51</v>
      </c>
      <c r="I5" s="52">
        <v>0</v>
      </c>
      <c r="J5" s="44"/>
      <c r="K5" s="74" t="str">
        <f>B6</f>
        <v>Q4</v>
      </c>
      <c r="L5" s="73">
        <f t="shared" si="0"/>
        <v>0</v>
      </c>
      <c r="M5" s="73">
        <f t="shared" si="1"/>
        <v>0</v>
      </c>
      <c r="N5" s="73">
        <f t="shared" si="2"/>
        <v>0</v>
      </c>
      <c r="O5" s="73">
        <f t="shared" si="3"/>
        <v>0</v>
      </c>
      <c r="P5" s="75">
        <f t="shared" si="4"/>
        <v>0</v>
      </c>
    </row>
    <row r="6" spans="1:16" x14ac:dyDescent="0.3">
      <c r="A6" s="50"/>
      <c r="B6" s="51" t="s">
        <v>52</v>
      </c>
      <c r="C6" s="86">
        <v>0</v>
      </c>
      <c r="D6" s="52" t="s">
        <v>52</v>
      </c>
      <c r="E6" s="52">
        <v>0</v>
      </c>
      <c r="F6" s="52" t="s">
        <v>52</v>
      </c>
      <c r="G6" s="52">
        <v>0</v>
      </c>
      <c r="H6" s="52" t="s">
        <v>52</v>
      </c>
      <c r="I6" s="52">
        <v>0</v>
      </c>
      <c r="J6" s="44"/>
      <c r="K6" s="76" t="s">
        <v>76</v>
      </c>
      <c r="L6" s="77">
        <f>SUM(L2:L5)</f>
        <v>-2.5589568954719508E-2</v>
      </c>
      <c r="M6" s="77">
        <f t="shared" ref="M6:O6" si="5">SUM(M2:M5)</f>
        <v>-8.003148449835798E-2</v>
      </c>
      <c r="N6" s="77">
        <f t="shared" si="5"/>
        <v>-2.2452692096773447E-2</v>
      </c>
      <c r="O6" s="77">
        <f t="shared" si="5"/>
        <v>-9.7132943325200008E-4</v>
      </c>
      <c r="P6" s="75">
        <f>SUM(L6:O6)</f>
        <v>-0.12904507498310294</v>
      </c>
    </row>
    <row r="7" spans="1:16" x14ac:dyDescent="0.3">
      <c r="A7" s="50" t="s">
        <v>53</v>
      </c>
      <c r="B7" s="52" t="s">
        <v>47</v>
      </c>
      <c r="C7" s="52" t="s">
        <v>48</v>
      </c>
      <c r="D7" s="52" t="s">
        <v>47</v>
      </c>
      <c r="E7" s="52" t="s">
        <v>48</v>
      </c>
      <c r="F7" s="52" t="s">
        <v>47</v>
      </c>
      <c r="G7" s="52" t="s">
        <v>48</v>
      </c>
      <c r="H7" s="52" t="s">
        <v>47</v>
      </c>
      <c r="I7" s="52" t="s">
        <v>48</v>
      </c>
      <c r="J7" s="44"/>
      <c r="K7" s="44"/>
      <c r="L7" s="44"/>
    </row>
    <row r="8" spans="1:16" x14ac:dyDescent="0.3">
      <c r="A8" s="50" t="s">
        <v>54</v>
      </c>
      <c r="B8" s="52" t="s">
        <v>49</v>
      </c>
      <c r="C8" s="52">
        <v>0</v>
      </c>
      <c r="D8" s="51" t="str">
        <f t="shared" ref="D8:D10" si="6">B3</f>
        <v>Q1 (February Only)</v>
      </c>
      <c r="E8" s="53">
        <f>Detail!$B$6/1000000</f>
        <v>-8.003148449835798E-2</v>
      </c>
      <c r="F8" s="51" t="str">
        <f t="shared" ref="F8:F10" si="7">B3</f>
        <v>Q1 (February Only)</v>
      </c>
      <c r="G8" s="53">
        <f>Detail!$B$21/1000000</f>
        <v>-2.2452692096773447E-2</v>
      </c>
      <c r="H8" s="52" t="s">
        <v>49</v>
      </c>
      <c r="I8" s="52">
        <v>0</v>
      </c>
      <c r="J8" s="44"/>
      <c r="K8" s="44"/>
      <c r="L8" s="44"/>
    </row>
    <row r="9" spans="1:16" x14ac:dyDescent="0.3">
      <c r="A9" s="50"/>
      <c r="B9" s="52" t="s">
        <v>50</v>
      </c>
      <c r="C9" s="52">
        <v>0</v>
      </c>
      <c r="D9" s="51" t="str">
        <f t="shared" si="6"/>
        <v>Q2</v>
      </c>
      <c r="E9" s="86">
        <v>0</v>
      </c>
      <c r="F9" s="51" t="str">
        <f t="shared" si="7"/>
        <v>Q2</v>
      </c>
      <c r="G9" s="86">
        <v>0</v>
      </c>
      <c r="H9" s="52" t="s">
        <v>50</v>
      </c>
      <c r="I9" s="52">
        <v>0</v>
      </c>
      <c r="J9" s="44"/>
      <c r="K9" s="44"/>
      <c r="L9" s="44"/>
    </row>
    <row r="10" spans="1:16" x14ac:dyDescent="0.3">
      <c r="A10" s="50"/>
      <c r="B10" s="52" t="s">
        <v>51</v>
      </c>
      <c r="C10" s="52">
        <v>0</v>
      </c>
      <c r="D10" s="51" t="str">
        <f t="shared" si="6"/>
        <v>Q3</v>
      </c>
      <c r="E10" s="86">
        <v>0</v>
      </c>
      <c r="F10" s="51" t="str">
        <f t="shared" si="7"/>
        <v>Q3</v>
      </c>
      <c r="G10" s="86">
        <v>0</v>
      </c>
      <c r="H10" s="52" t="s">
        <v>51</v>
      </c>
      <c r="I10" s="52">
        <v>0</v>
      </c>
      <c r="J10" s="44"/>
      <c r="K10" s="44"/>
      <c r="L10" s="44"/>
    </row>
    <row r="11" spans="1:16" x14ac:dyDescent="0.3">
      <c r="A11" s="50"/>
      <c r="B11" s="52" t="s">
        <v>52</v>
      </c>
      <c r="C11" s="52">
        <v>0</v>
      </c>
      <c r="D11" s="51" t="str">
        <f>B6</f>
        <v>Q4</v>
      </c>
      <c r="E11" s="86">
        <v>0</v>
      </c>
      <c r="F11" s="51" t="str">
        <f>B6</f>
        <v>Q4</v>
      </c>
      <c r="G11" s="86">
        <v>0</v>
      </c>
      <c r="H11" s="52" t="s">
        <v>52</v>
      </c>
      <c r="I11" s="52">
        <v>0</v>
      </c>
      <c r="J11" s="44"/>
      <c r="K11" s="44"/>
      <c r="L11" s="44"/>
    </row>
    <row r="12" spans="1:16" x14ac:dyDescent="0.3">
      <c r="A12" s="50" t="s">
        <v>53</v>
      </c>
      <c r="B12" s="52" t="s">
        <v>47</v>
      </c>
      <c r="C12" s="52" t="s">
        <v>48</v>
      </c>
      <c r="D12" s="52" t="s">
        <v>47</v>
      </c>
      <c r="E12" s="52" t="s">
        <v>48</v>
      </c>
      <c r="F12" s="52" t="s">
        <v>47</v>
      </c>
      <c r="G12" s="52" t="s">
        <v>48</v>
      </c>
      <c r="H12" s="52" t="s">
        <v>47</v>
      </c>
      <c r="I12" s="52" t="s">
        <v>48</v>
      </c>
      <c r="J12" s="44"/>
      <c r="K12" s="44"/>
      <c r="L12" s="44"/>
    </row>
    <row r="13" spans="1:16" x14ac:dyDescent="0.3">
      <c r="A13" s="50" t="s">
        <v>55</v>
      </c>
      <c r="B13" s="52" t="s">
        <v>49</v>
      </c>
      <c r="C13" s="52">
        <v>0</v>
      </c>
      <c r="D13" s="52" t="s">
        <v>49</v>
      </c>
      <c r="E13" s="52">
        <v>0</v>
      </c>
      <c r="F13" s="52" t="s">
        <v>49</v>
      </c>
      <c r="G13" s="52">
        <v>0</v>
      </c>
      <c r="H13" s="51" t="str">
        <f t="shared" ref="H13:H15" si="8">B3</f>
        <v>Q1 (February Only)</v>
      </c>
      <c r="I13" s="53">
        <f>Detail!$B$24</f>
        <v>0</v>
      </c>
      <c r="J13" s="44"/>
      <c r="K13" s="44"/>
      <c r="L13" s="44"/>
    </row>
    <row r="14" spans="1:16" x14ac:dyDescent="0.3">
      <c r="A14" s="50"/>
      <c r="B14" s="52" t="s">
        <v>50</v>
      </c>
      <c r="C14" s="52">
        <v>0</v>
      </c>
      <c r="D14" s="52" t="s">
        <v>50</v>
      </c>
      <c r="E14" s="52">
        <v>0</v>
      </c>
      <c r="F14" s="52" t="s">
        <v>50</v>
      </c>
      <c r="G14" s="52">
        <v>0</v>
      </c>
      <c r="H14" s="51" t="str">
        <f t="shared" si="8"/>
        <v>Q2</v>
      </c>
      <c r="I14" s="86">
        <v>0</v>
      </c>
      <c r="J14" s="44"/>
      <c r="K14" s="44"/>
      <c r="L14" s="44"/>
    </row>
    <row r="15" spans="1:16" x14ac:dyDescent="0.3">
      <c r="A15" s="50"/>
      <c r="B15" s="52" t="s">
        <v>51</v>
      </c>
      <c r="C15" s="52">
        <v>0</v>
      </c>
      <c r="D15" s="52" t="s">
        <v>51</v>
      </c>
      <c r="E15" s="52">
        <v>0</v>
      </c>
      <c r="F15" s="52" t="s">
        <v>51</v>
      </c>
      <c r="G15" s="52">
        <v>0</v>
      </c>
      <c r="H15" s="51" t="str">
        <f t="shared" si="8"/>
        <v>Q3</v>
      </c>
      <c r="I15" s="86">
        <v>0</v>
      </c>
      <c r="J15" s="44"/>
      <c r="K15" s="44"/>
      <c r="L15" s="44"/>
    </row>
    <row r="16" spans="1:16" x14ac:dyDescent="0.3">
      <c r="A16" s="50"/>
      <c r="B16" s="52" t="s">
        <v>52</v>
      </c>
      <c r="C16" s="52">
        <v>0</v>
      </c>
      <c r="D16" s="52" t="s">
        <v>52</v>
      </c>
      <c r="E16" s="52">
        <v>0</v>
      </c>
      <c r="F16" s="52" t="s">
        <v>52</v>
      </c>
      <c r="G16" s="52">
        <v>0</v>
      </c>
      <c r="H16" s="51" t="str">
        <f>B6</f>
        <v>Q4</v>
      </c>
      <c r="I16" s="86">
        <v>0</v>
      </c>
      <c r="J16" s="44"/>
      <c r="K16" s="44"/>
      <c r="L16" s="44"/>
    </row>
    <row r="17" spans="1:12" x14ac:dyDescent="0.3">
      <c r="A17" s="50" t="s">
        <v>56</v>
      </c>
      <c r="B17" s="52" t="s">
        <v>47</v>
      </c>
      <c r="C17" s="52" t="s">
        <v>48</v>
      </c>
      <c r="D17" s="52" t="s">
        <v>47</v>
      </c>
      <c r="E17" s="52" t="s">
        <v>48</v>
      </c>
      <c r="F17" s="52" t="s">
        <v>47</v>
      </c>
      <c r="G17" s="52" t="s">
        <v>48</v>
      </c>
      <c r="H17" s="52" t="s">
        <v>47</v>
      </c>
      <c r="I17" s="52" t="s">
        <v>48</v>
      </c>
      <c r="J17" s="44"/>
      <c r="K17" s="44"/>
      <c r="L17" s="44"/>
    </row>
    <row r="18" spans="1:12" x14ac:dyDescent="0.3">
      <c r="A18" s="50"/>
      <c r="B18" s="52" t="s">
        <v>49</v>
      </c>
      <c r="C18" s="52">
        <v>0</v>
      </c>
      <c r="D18" s="52" t="s">
        <v>49</v>
      </c>
      <c r="E18" s="52">
        <v>0</v>
      </c>
      <c r="F18" s="52" t="s">
        <v>49</v>
      </c>
      <c r="G18" s="52">
        <v>0</v>
      </c>
      <c r="H18" s="51" t="str">
        <f t="shared" ref="H18:H20" si="9">B3</f>
        <v>Q1 (February Only)</v>
      </c>
      <c r="I18" s="53">
        <f>Detail!$B$27/1000000</f>
        <v>-9.7132943325200008E-4</v>
      </c>
      <c r="J18" s="44"/>
      <c r="K18" s="44"/>
      <c r="L18" s="44"/>
    </row>
    <row r="19" spans="1:12" x14ac:dyDescent="0.3">
      <c r="A19" s="50"/>
      <c r="B19" s="52" t="s">
        <v>50</v>
      </c>
      <c r="C19" s="52">
        <v>0</v>
      </c>
      <c r="D19" s="52" t="s">
        <v>50</v>
      </c>
      <c r="E19" s="52">
        <v>0</v>
      </c>
      <c r="F19" s="52" t="s">
        <v>50</v>
      </c>
      <c r="G19" s="52">
        <v>0</v>
      </c>
      <c r="H19" s="51" t="str">
        <f t="shared" si="9"/>
        <v>Q2</v>
      </c>
      <c r="I19" s="86">
        <v>0</v>
      </c>
      <c r="J19" s="44"/>
      <c r="K19" s="44"/>
      <c r="L19" s="44"/>
    </row>
    <row r="20" spans="1:12" x14ac:dyDescent="0.3">
      <c r="A20" s="50"/>
      <c r="B20" s="52" t="s">
        <v>51</v>
      </c>
      <c r="C20" s="52">
        <v>0</v>
      </c>
      <c r="D20" s="52" t="s">
        <v>51</v>
      </c>
      <c r="E20" s="52">
        <v>0</v>
      </c>
      <c r="F20" s="52" t="s">
        <v>51</v>
      </c>
      <c r="G20" s="52">
        <v>0</v>
      </c>
      <c r="H20" s="51" t="str">
        <f t="shared" si="9"/>
        <v>Q3</v>
      </c>
      <c r="I20" s="86">
        <v>0</v>
      </c>
      <c r="J20" s="44"/>
      <c r="K20" s="44"/>
      <c r="L20" s="44"/>
    </row>
    <row r="21" spans="1:12" x14ac:dyDescent="0.3">
      <c r="A21" s="50"/>
      <c r="B21" s="52" t="s">
        <v>52</v>
      </c>
      <c r="C21" s="52">
        <v>0</v>
      </c>
      <c r="D21" s="52" t="s">
        <v>52</v>
      </c>
      <c r="E21" s="52">
        <v>0</v>
      </c>
      <c r="F21" s="52" t="s">
        <v>52</v>
      </c>
      <c r="G21" s="52">
        <v>0</v>
      </c>
      <c r="H21" s="51" t="str">
        <f>B6</f>
        <v>Q4</v>
      </c>
      <c r="I21" s="86">
        <v>0</v>
      </c>
      <c r="J21" s="89" t="str">
        <f>B3</f>
        <v>Q1 (February Only)</v>
      </c>
      <c r="K21" s="44"/>
      <c r="L21" s="44"/>
    </row>
    <row r="22" spans="1:12" x14ac:dyDescent="0.3">
      <c r="A22" s="50"/>
      <c r="B22" s="52"/>
      <c r="C22" s="52"/>
      <c r="D22" s="52"/>
      <c r="E22" s="52"/>
      <c r="F22" s="52"/>
      <c r="G22" s="52"/>
      <c r="H22" s="52"/>
      <c r="I22" s="52"/>
      <c r="J22" s="35" t="s">
        <v>57</v>
      </c>
      <c r="K22" s="44"/>
      <c r="L22" s="44"/>
    </row>
    <row r="23" spans="1:12" x14ac:dyDescent="0.3">
      <c r="A23" s="50" t="s">
        <v>66</v>
      </c>
      <c r="B23" s="52"/>
      <c r="C23" s="54">
        <f>C6</f>
        <v>0</v>
      </c>
      <c r="D23" s="55"/>
      <c r="E23" s="54">
        <f>E11</f>
        <v>0</v>
      </c>
      <c r="F23" s="55"/>
      <c r="G23" s="54">
        <f>G11</f>
        <v>0</v>
      </c>
      <c r="H23" s="55"/>
      <c r="I23" s="42">
        <f>I21+I16</f>
        <v>0</v>
      </c>
      <c r="J23" s="42">
        <f>I23+E23+G23+C23</f>
        <v>0</v>
      </c>
      <c r="K23" s="44"/>
      <c r="L23" s="44"/>
    </row>
    <row r="24" spans="1:12" x14ac:dyDescent="0.3">
      <c r="A24" s="56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</row>
    <row r="25" spans="1:12" ht="15.6" x14ac:dyDescent="0.3">
      <c r="A25" s="57" t="s">
        <v>73</v>
      </c>
      <c r="B25" s="58"/>
      <c r="C25" s="44"/>
      <c r="D25" s="44"/>
      <c r="E25" s="44"/>
      <c r="I25" s="44"/>
      <c r="J25" s="46">
        <f>J23-E31/10^6</f>
        <v>0.12904507498310294</v>
      </c>
      <c r="K25" s="44"/>
      <c r="L25" s="44"/>
    </row>
    <row r="26" spans="1:12" x14ac:dyDescent="0.3">
      <c r="A26" s="63" t="s">
        <v>72</v>
      </c>
      <c r="B26" s="78"/>
      <c r="C26" s="78"/>
      <c r="D26" s="78"/>
      <c r="E26" s="36">
        <f>Detail!B3</f>
        <v>-25589.568954719507</v>
      </c>
      <c r="F26" s="36"/>
      <c r="G26" s="36"/>
      <c r="H26" s="36"/>
      <c r="I26" s="36"/>
      <c r="J26" s="36"/>
      <c r="K26" s="36"/>
      <c r="L26" s="44"/>
    </row>
    <row r="27" spans="1:12" ht="15" customHeight="1" x14ac:dyDescent="0.3">
      <c r="A27" s="63" t="s">
        <v>58</v>
      </c>
      <c r="B27" s="38"/>
      <c r="C27" s="38"/>
      <c r="D27" s="44"/>
      <c r="E27" s="36">
        <f>Detail!B6</f>
        <v>-80031.484498357982</v>
      </c>
      <c r="F27" s="36"/>
      <c r="G27" s="36"/>
      <c r="H27" s="36"/>
      <c r="I27" s="36"/>
      <c r="J27" s="36"/>
      <c r="K27" s="36"/>
      <c r="L27" s="44"/>
    </row>
    <row r="28" spans="1:12" ht="15" customHeight="1" x14ac:dyDescent="0.3">
      <c r="A28" s="63" t="s">
        <v>59</v>
      </c>
      <c r="B28" s="56"/>
      <c r="C28" s="56"/>
      <c r="D28" s="38"/>
      <c r="E28" s="37">
        <f>Detail!B21</f>
        <v>-22452.692096773448</v>
      </c>
      <c r="F28" s="36"/>
      <c r="G28" s="36"/>
      <c r="H28" s="36"/>
      <c r="I28" s="36"/>
      <c r="J28" s="36"/>
      <c r="K28" s="36"/>
      <c r="L28" s="44"/>
    </row>
    <row r="29" spans="1:12" ht="15" customHeight="1" x14ac:dyDescent="0.3">
      <c r="A29" s="63" t="s">
        <v>60</v>
      </c>
      <c r="B29" s="56"/>
      <c r="C29" s="56"/>
      <c r="D29" s="38"/>
      <c r="E29" s="36">
        <f>Detail!B24</f>
        <v>0</v>
      </c>
      <c r="F29" s="36"/>
      <c r="G29" s="36"/>
      <c r="H29" s="36"/>
      <c r="I29" s="36"/>
      <c r="J29" s="36"/>
      <c r="K29" s="36"/>
      <c r="L29" s="44"/>
    </row>
    <row r="30" spans="1:12" x14ac:dyDescent="0.3">
      <c r="A30" s="64" t="s">
        <v>61</v>
      </c>
      <c r="B30" s="38"/>
      <c r="C30" s="38"/>
      <c r="D30" s="38"/>
      <c r="E30" s="36">
        <f>Detail!B27</f>
        <v>-971.32943325200006</v>
      </c>
      <c r="F30" s="36"/>
      <c r="G30" s="36"/>
      <c r="H30" s="38"/>
      <c r="I30" s="38"/>
      <c r="J30" s="44"/>
      <c r="K30" s="44"/>
      <c r="L30" s="44"/>
    </row>
    <row r="31" spans="1:12" x14ac:dyDescent="0.3">
      <c r="A31" s="64" t="s">
        <v>62</v>
      </c>
      <c r="B31" s="38"/>
      <c r="C31" s="38"/>
      <c r="D31" s="38"/>
      <c r="E31" s="39">
        <f>SUM(E26:E30)</f>
        <v>-129045.07498310294</v>
      </c>
      <c r="F31" s="39"/>
      <c r="G31" s="39"/>
      <c r="H31" s="37"/>
      <c r="I31" s="38"/>
      <c r="J31" s="44"/>
      <c r="K31" s="44"/>
      <c r="L31" s="44"/>
    </row>
    <row r="32" spans="1:12" x14ac:dyDescent="0.3">
      <c r="A32" s="56"/>
      <c r="B32" s="44"/>
      <c r="C32" s="44"/>
      <c r="D32" s="44"/>
      <c r="E32" s="44"/>
      <c r="F32" s="44"/>
      <c r="G32" s="44"/>
      <c r="H32" s="36"/>
      <c r="I32" s="44"/>
      <c r="J32" s="44"/>
      <c r="K32" s="44"/>
      <c r="L32" s="44"/>
    </row>
    <row r="33" spans="1:12" x14ac:dyDescent="0.3">
      <c r="A33" s="56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</row>
    <row r="34" spans="1:12" x14ac:dyDescent="0.3">
      <c r="A34" s="50" t="s">
        <v>63</v>
      </c>
      <c r="B34" s="52">
        <v>0</v>
      </c>
      <c r="C34" s="44"/>
      <c r="D34" s="44"/>
      <c r="E34" s="44"/>
      <c r="F34" s="44"/>
      <c r="G34" s="44"/>
      <c r="H34" s="44"/>
      <c r="I34" s="44"/>
      <c r="J34" s="44"/>
      <c r="K34" s="44"/>
      <c r="L34" s="44"/>
    </row>
    <row r="35" spans="1:12" x14ac:dyDescent="0.3">
      <c r="A35" s="50" t="s">
        <v>77</v>
      </c>
      <c r="B35" s="52">
        <v>0</v>
      </c>
      <c r="C35" s="44"/>
      <c r="D35" s="44"/>
      <c r="E35" s="44"/>
      <c r="F35" s="44"/>
      <c r="G35" s="44"/>
      <c r="H35" s="44"/>
      <c r="I35" s="44"/>
      <c r="J35" s="44"/>
      <c r="K35" s="44"/>
      <c r="L35" s="44"/>
    </row>
    <row r="36" spans="1:12" ht="28.8" x14ac:dyDescent="0.3">
      <c r="A36" s="50" t="s">
        <v>64</v>
      </c>
      <c r="B36" s="59" t="s">
        <v>65</v>
      </c>
      <c r="C36" s="44"/>
      <c r="D36" s="44"/>
      <c r="E36" s="44"/>
      <c r="F36" s="44"/>
      <c r="G36" s="44"/>
      <c r="H36" s="44"/>
      <c r="I36" s="44"/>
      <c r="J36" s="44"/>
      <c r="K36" s="44"/>
      <c r="L36" s="44"/>
    </row>
    <row r="37" spans="1:12" x14ac:dyDescent="0.3">
      <c r="A37" s="56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</row>
    <row r="38" spans="1:12" x14ac:dyDescent="0.3">
      <c r="A38" s="60"/>
      <c r="B38" s="61"/>
      <c r="C38" s="61"/>
      <c r="D38" s="61"/>
    </row>
    <row r="39" spans="1:12" x14ac:dyDescent="0.3">
      <c r="A39" s="60"/>
      <c r="B39" s="61"/>
      <c r="C39" s="61"/>
      <c r="D39" s="61"/>
    </row>
    <row r="40" spans="1:12" x14ac:dyDescent="0.3">
      <c r="A40" s="60"/>
      <c r="B40" s="61"/>
      <c r="C40" s="61"/>
      <c r="D40" s="61"/>
    </row>
    <row r="41" spans="1:12" x14ac:dyDescent="0.3">
      <c r="A41" s="60"/>
      <c r="B41" s="61"/>
      <c r="C41" s="61"/>
      <c r="D41" s="61"/>
    </row>
  </sheetData>
  <phoneticPr fontId="28" type="noConversion"/>
  <conditionalFormatting sqref="D3:E6 H3:I12 C7:E7 C8:C11 H22:I22 H23">
    <cfRule type="cellIs" dxfId="19" priority="82" operator="lessThan">
      <formula>0</formula>
    </cfRule>
    <cfRule type="cellIs" dxfId="18" priority="83" operator="greaterThan">
      <formula>0</formula>
    </cfRule>
  </conditionalFormatting>
  <conditionalFormatting sqref="E26:I29 F29:J29 E30:G31">
    <cfRule type="cellIs" dxfId="17" priority="80" operator="lessThan">
      <formula>0</formula>
    </cfRule>
    <cfRule type="cellIs" dxfId="16" priority="81" operator="greaterThan">
      <formula>0</formula>
    </cfRule>
  </conditionalFormatting>
  <conditionalFormatting sqref="F3:G7 C12:G23">
    <cfRule type="cellIs" dxfId="15" priority="38" operator="lessThan">
      <formula>0</formula>
    </cfRule>
    <cfRule type="cellIs" dxfId="14" priority="39" operator="greaterThan">
      <formula>0</formula>
    </cfRule>
  </conditionalFormatting>
  <conditionalFormatting sqref="H32">
    <cfRule type="cellIs" dxfId="13" priority="27" operator="lessThan">
      <formula>0</formula>
    </cfRule>
    <cfRule type="cellIs" dxfId="12" priority="28" operator="greaterThan">
      <formula>0</formula>
    </cfRule>
  </conditionalFormatting>
  <conditionalFormatting sqref="H17:I17">
    <cfRule type="cellIs" dxfId="11" priority="40" operator="lessThan">
      <formula>0</formula>
    </cfRule>
    <cfRule type="cellIs" dxfId="10" priority="41" operator="greaterThan">
      <formula>0</formula>
    </cfRule>
  </conditionalFormatting>
  <conditionalFormatting sqref="I26:K28">
    <cfRule type="cellIs" dxfId="9" priority="33" operator="lessThan">
      <formula>0</formula>
    </cfRule>
    <cfRule type="cellIs" dxfId="8" priority="34" operator="greaterThan">
      <formula>0</formula>
    </cfRule>
  </conditionalFormatting>
  <conditionalFormatting sqref="J25">
    <cfRule type="cellIs" dxfId="7" priority="3" operator="lessThan">
      <formula>0</formula>
    </cfRule>
    <cfRule type="cellIs" dxfId="6" priority="4" operator="greaterThan">
      <formula>0</formula>
    </cfRule>
  </conditionalFormatting>
  <conditionalFormatting sqref="K26:K29">
    <cfRule type="cellIs" dxfId="5" priority="29" operator="lessThan">
      <formula>0</formula>
    </cfRule>
    <cfRule type="cellIs" dxfId="4" priority="30" operator="greaterThan">
      <formula>0</formula>
    </cfRule>
  </conditionalFormatting>
  <pageMargins left="0.25" right="0.25" top="0.75" bottom="0.75" header="0.3" footer="0.3"/>
  <pageSetup paperSize="9" scale="6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E37"/>
  <sheetViews>
    <sheetView zoomScale="95" zoomScaleNormal="95" workbookViewId="0">
      <pane xSplit="2" ySplit="2" topLeftCell="C3" activePane="bottomRight" state="frozen"/>
      <selection activeCell="B8" sqref="B8"/>
      <selection pane="topRight" activeCell="B8" sqref="B8"/>
      <selection pane="bottomLeft" activeCell="B8" sqref="B8"/>
      <selection pane="bottomRight" activeCell="H27" sqref="H27"/>
    </sheetView>
  </sheetViews>
  <sheetFormatPr defaultRowHeight="14.4" x14ac:dyDescent="0.3"/>
  <cols>
    <col min="1" max="1" width="30.77734375" customWidth="1"/>
    <col min="2" max="2" width="15.5546875" bestFit="1" customWidth="1"/>
    <col min="3" max="3" width="15.77734375" bestFit="1" customWidth="1"/>
    <col min="4" max="4" width="13.44140625" bestFit="1" customWidth="1"/>
    <col min="5" max="5" width="15.5546875" bestFit="1" customWidth="1"/>
    <col min="6" max="6" width="15.77734375" bestFit="1" customWidth="1"/>
    <col min="7" max="7" width="17.44140625" bestFit="1" customWidth="1"/>
    <col min="8" max="8" width="116.21875" customWidth="1"/>
    <col min="9" max="9" width="12.44140625" customWidth="1"/>
    <col min="10" max="10" width="16.5546875" style="20" bestFit="1" customWidth="1"/>
    <col min="11" max="11" width="13.5546875" style="20" bestFit="1" customWidth="1"/>
    <col min="12" max="12" width="12.44140625" style="20" bestFit="1" customWidth="1"/>
  </cols>
  <sheetData>
    <row r="1" spans="1:31" ht="43.2" x14ac:dyDescent="0.3">
      <c r="A1" s="6" t="s">
        <v>9</v>
      </c>
      <c r="B1" s="6" t="s">
        <v>10</v>
      </c>
      <c r="C1" s="6" t="s">
        <v>11</v>
      </c>
      <c r="D1" s="6" t="s">
        <v>42</v>
      </c>
      <c r="E1" s="6" t="s">
        <v>12</v>
      </c>
      <c r="F1" s="6" t="s">
        <v>74</v>
      </c>
      <c r="G1" s="6" t="s">
        <v>13</v>
      </c>
      <c r="H1" s="6" t="s">
        <v>14</v>
      </c>
    </row>
    <row r="2" spans="1:31" x14ac:dyDescent="0.3">
      <c r="A2" s="6"/>
      <c r="B2" s="6"/>
      <c r="C2" s="6"/>
      <c r="D2" s="6"/>
      <c r="E2" s="6"/>
      <c r="F2" s="6" t="s">
        <v>68</v>
      </c>
      <c r="G2" s="6" t="s">
        <v>71</v>
      </c>
      <c r="H2" s="6" t="s">
        <v>15</v>
      </c>
    </row>
    <row r="3" spans="1:31" ht="28.8" x14ac:dyDescent="0.3">
      <c r="A3" s="5" t="str">
        <f>'Summary '!A26</f>
        <v>Approps over the month (1 day timing delay)</v>
      </c>
      <c r="B3" s="23">
        <f>[1]Summary!$B$25</f>
        <v>-25589.568954719507</v>
      </c>
      <c r="C3" s="13"/>
      <c r="D3" s="13"/>
      <c r="E3" s="31"/>
      <c r="F3" s="31"/>
      <c r="G3" s="13"/>
      <c r="H3" s="4" t="s">
        <v>27</v>
      </c>
    </row>
    <row r="4" spans="1:31" x14ac:dyDescent="0.3">
      <c r="A4" s="7"/>
      <c r="B4" s="23"/>
      <c r="C4" s="24"/>
      <c r="D4" s="24"/>
      <c r="E4" s="25" t="s">
        <v>17</v>
      </c>
      <c r="F4" s="25"/>
      <c r="G4" s="24"/>
      <c r="H4" s="7"/>
    </row>
    <row r="5" spans="1:31" x14ac:dyDescent="0.3">
      <c r="A5" s="5" t="s">
        <v>18</v>
      </c>
      <c r="B5" s="23"/>
      <c r="C5" s="13"/>
      <c r="D5" s="13"/>
      <c r="E5" s="26"/>
      <c r="F5" s="26"/>
      <c r="G5" s="13"/>
      <c r="H5" s="4"/>
    </row>
    <row r="6" spans="1:31" ht="28.8" x14ac:dyDescent="0.3">
      <c r="A6" s="22" t="s">
        <v>43</v>
      </c>
      <c r="B6" s="23">
        <f>[1]Summary!$B$26</f>
        <v>-80031.484498357982</v>
      </c>
      <c r="C6" s="13"/>
      <c r="D6" s="13"/>
      <c r="E6" s="23"/>
      <c r="F6" s="23"/>
      <c r="G6" s="26"/>
      <c r="H6" s="32"/>
      <c r="J6" s="79" t="str">
        <f>'[1]Scheme Trans'!E3</f>
        <v>Transaction Type</v>
      </c>
      <c r="K6" s="80" t="str">
        <f>'[1]Scheme Trans'!G3</f>
        <v>Effective Date</v>
      </c>
      <c r="L6" s="80" t="str">
        <f>'[1]Scheme Trans'!H3</f>
        <v>System Date</v>
      </c>
    </row>
    <row r="7" spans="1:31" ht="27.6" x14ac:dyDescent="0.3">
      <c r="A7" s="22"/>
      <c r="B7" s="23"/>
      <c r="C7" s="69">
        <f>'[1]DC Timing Costs Pivot'!B11</f>
        <v>2945</v>
      </c>
      <c r="D7" s="69"/>
      <c r="E7" s="72">
        <f>'[1]DC Timing Costs Pivot'!A11</f>
        <v>-14603.220033667963</v>
      </c>
      <c r="F7" s="71"/>
      <c r="G7" s="71"/>
      <c r="H7" s="71" t="str">
        <f>'[1]DC Timing Costs Pivot'!I11</f>
        <v>Irish Life and Canada Life D scheme, RSP of €2.8m with effective date 23/02/2026 and system date 24/02/2026. CB Approps were informed on 23/02/2026 (PM). Preapprop was added on 24/02/2026. Loss due to price movements.</v>
      </c>
      <c r="I7" s="41"/>
      <c r="J7" s="82" t="str">
        <f>'[1]Scheme Trans'!E4</f>
        <v>RSP</v>
      </c>
      <c r="K7" s="83">
        <f>'[1]Scheme Trans'!G4</f>
        <v>46076</v>
      </c>
      <c r="L7" s="83">
        <f>'[1]Scheme Trans'!H4</f>
        <v>46077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</row>
    <row r="8" spans="1:31" ht="27.6" x14ac:dyDescent="0.3">
      <c r="A8" s="22"/>
      <c r="B8" s="23"/>
      <c r="C8" s="69">
        <f>'[1]DC Timing Costs Pivot'!B13</f>
        <v>3123</v>
      </c>
      <c r="D8" s="69"/>
      <c r="E8" s="72">
        <f>'[1]DC Timing Costs Pivot'!A13</f>
        <v>27805.652319166526</v>
      </c>
      <c r="F8" s="71"/>
      <c r="G8" s="71"/>
      <c r="H8" s="71" t="str">
        <f>'[1]DC Timing Costs Pivot'!I13</f>
        <v>Intel Ireland DC Plan scheme, RSP of €4.5m with effective date 11/02/2026 and system date 13/02/2026. CB Approps were informed on 12/02/2026 (AM) and preapprop was added on 12/02/2026. Gain due to price movements.</v>
      </c>
      <c r="I8" s="41"/>
      <c r="J8" s="82" t="str">
        <f>'[1]Scheme Trans'!E5</f>
        <v>RSP</v>
      </c>
      <c r="K8" s="83">
        <f>'[1]Scheme Trans'!G5</f>
        <v>46064</v>
      </c>
      <c r="L8" s="83">
        <f>'[1]Scheme Trans'!H5</f>
        <v>46066</v>
      </c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</row>
    <row r="9" spans="1:31" ht="27.6" x14ac:dyDescent="0.3">
      <c r="A9" s="22"/>
      <c r="B9" s="23"/>
      <c r="C9" s="69">
        <f>'[1]DC Timing Costs Pivot'!B14</f>
        <v>3645</v>
      </c>
      <c r="D9" s="69"/>
      <c r="E9" s="72">
        <f>'[1]DC Timing Costs Pivot'!A14</f>
        <v>10151.321612435002</v>
      </c>
      <c r="F9" s="71"/>
      <c r="G9" s="71"/>
      <c r="H9" s="71" t="str">
        <f>'[1]DC Timing Costs Pivot'!I14</f>
        <v>Aer Lingus scheme, RSP of €1.3m with effective date 04/02/2026 and system date 06/02/2026. CB Approps were informed on 04/02/2026 (PM). Preapprop was added on 05/02/2026. Gain due to price movements.</v>
      </c>
      <c r="I9" s="41"/>
      <c r="J9" s="82" t="str">
        <f>'[1]Scheme Trans'!E6</f>
        <v>RSP</v>
      </c>
      <c r="K9" s="83">
        <f>'[1]Scheme Trans'!G6</f>
        <v>46057</v>
      </c>
      <c r="L9" s="83">
        <f>'[1]Scheme Trans'!H6</f>
        <v>46059</v>
      </c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</row>
    <row r="10" spans="1:31" ht="27.6" x14ac:dyDescent="0.3">
      <c r="A10" s="22"/>
      <c r="B10" s="23"/>
      <c r="C10" s="69">
        <f>'[1]DC Timing Costs Pivot'!B16</f>
        <v>3990</v>
      </c>
      <c r="D10" s="69"/>
      <c r="E10" s="72">
        <f>'[1]DC Timing Costs Pivot'!A16</f>
        <v>31389.849076627903</v>
      </c>
      <c r="F10" s="71"/>
      <c r="G10" s="71"/>
      <c r="H10" s="71" t="str">
        <f>'[1]DC Timing Costs Pivot'!I16</f>
        <v>Stryker Ireland DC Pension P scheme, RSP of €3.7m with effective date 11/02/2026 and system date 13/02/2026. CB Approps were informed on 12/02/2026 (AM). Preapprop was added on 12/02/2026. Gain due to price movements.</v>
      </c>
      <c r="I10" s="41"/>
      <c r="J10" s="82" t="str">
        <f>'[1]Scheme Trans'!E7</f>
        <v>RSP</v>
      </c>
      <c r="K10" s="83">
        <f>'[1]Scheme Trans'!G7</f>
        <v>46064</v>
      </c>
      <c r="L10" s="83">
        <f>'[1]Scheme Trans'!H7</f>
        <v>46066</v>
      </c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</row>
    <row r="11" spans="1:31" ht="27.6" x14ac:dyDescent="0.3">
      <c r="A11" s="22"/>
      <c r="B11" s="23"/>
      <c r="C11" s="69">
        <f>'[1]DC Timing Costs Pivot'!B17</f>
        <v>6849</v>
      </c>
      <c r="D11" s="69"/>
      <c r="E11" s="72">
        <f>'[1]DC Timing Costs Pivot'!A17</f>
        <v>-16637.567122100998</v>
      </c>
      <c r="F11" s="71"/>
      <c r="G11" s="71"/>
      <c r="H11" s="71" t="str">
        <f>'[1]DC Timing Costs Pivot'!I17</f>
        <v>Maples Group scheme, SP of €0.4m with effective date 07/10/2025 was reversed and reinstated on other funds. CB Approps were not informed. Loss due to price movements. More Detail TBC</v>
      </c>
      <c r="I11" s="41"/>
      <c r="J11" s="82" t="str">
        <f>'[1]Scheme Trans'!E8</f>
        <v>SP</v>
      </c>
      <c r="K11" s="83">
        <f>'[1]Scheme Trans'!G8</f>
        <v>45937</v>
      </c>
      <c r="L11" s="83">
        <f>'[1]Scheme Trans'!H8</f>
        <v>46062</v>
      </c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 spans="1:31" ht="27.6" x14ac:dyDescent="0.3">
      <c r="A12" s="22"/>
      <c r="B12" s="23"/>
      <c r="C12" s="69">
        <f>'[1]DC Timing Costs Pivot'!B18</f>
        <v>9839</v>
      </c>
      <c r="D12" s="69"/>
      <c r="E12" s="72">
        <f>'[1]DC Timing Costs Pivot'!A18</f>
        <v>11609.705345877001</v>
      </c>
      <c r="F12" s="71"/>
      <c r="G12" s="71"/>
      <c r="H12" s="71" t="str">
        <f>'[1]DC Timing Costs Pivot'!I18</f>
        <v>BKSW / RESW - Analysed Separately</v>
      </c>
      <c r="I12" s="41"/>
      <c r="J12" s="82" t="str">
        <f>'[1]Scheme Trans'!E9</f>
        <v>RESW</v>
      </c>
      <c r="K12" s="83">
        <f>'[1]Scheme Trans'!G9</f>
        <v>45901</v>
      </c>
      <c r="L12" s="83">
        <f>'[1]Scheme Trans'!H9</f>
        <v>46080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</row>
    <row r="13" spans="1:31" ht="27.6" x14ac:dyDescent="0.3">
      <c r="A13" s="22"/>
      <c r="B13" s="23"/>
      <c r="C13" s="69"/>
      <c r="D13" s="69"/>
      <c r="E13" s="72"/>
      <c r="F13" s="81">
        <f>'[1]New Format KRI mbr level'!B43</f>
        <v>3106456</v>
      </c>
      <c r="G13" s="71">
        <f>'[1]New Format KRI mbr level'!G43</f>
        <v>31530.843848410001</v>
      </c>
      <c r="H13" s="71" t="str">
        <f>'[1]New Format KRI mbr level'!P43</f>
        <v>Member 3106456: SWTH of €0.2m with effective date 30/04/2025 and system date 23/02/2026. CB Approps were informed on 09/02/2026 (pm). Preapprop was added on 10/02/2026. Gain due to price movements.</v>
      </c>
      <c r="I13" s="41"/>
      <c r="J13" s="84" t="str">
        <f>'[1]New Format KRI mbr level'!H43</f>
        <v>SWTH</v>
      </c>
      <c r="K13" s="85">
        <f>'[1]New Format KRI mbr level'!J43</f>
        <v>45777</v>
      </c>
      <c r="L13" s="85">
        <f>'[1]New Format KRI mbr level'!K43</f>
        <v>46076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</row>
    <row r="14" spans="1:31" ht="27.6" x14ac:dyDescent="0.3">
      <c r="A14" s="22"/>
      <c r="B14" s="23"/>
      <c r="C14" s="69"/>
      <c r="D14" s="69"/>
      <c r="E14" s="72"/>
      <c r="F14" s="81">
        <f>'[1]New Format KRI mbr level'!B44</f>
        <v>572500</v>
      </c>
      <c r="G14" s="71">
        <f>'[1]New Format KRI mbr level'!G44</f>
        <v>5837.9654084800004</v>
      </c>
      <c r="H14" s="71" t="str">
        <f>'[1]New Format KRI mbr level'!P44</f>
        <v>Member 572500: ERET of €1.2m with effective date 18/02/2026 and system date 25/02/2026. CB Approps were informed on 10/02/2026 (pm). Preapprop was added on 20/02/2026. Gain due to price movements.</v>
      </c>
      <c r="I14" s="41"/>
      <c r="J14" s="84" t="str">
        <f>'[1]New Format KRI mbr level'!H44</f>
        <v>ERET</v>
      </c>
      <c r="K14" s="85">
        <f>'[1]New Format KRI mbr level'!J44</f>
        <v>46071</v>
      </c>
      <c r="L14" s="85">
        <f>'[1]New Format KRI mbr level'!K44</f>
        <v>46078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</row>
    <row r="15" spans="1:31" ht="27.6" x14ac:dyDescent="0.3">
      <c r="A15" s="22"/>
      <c r="B15" s="23"/>
      <c r="C15" s="69"/>
      <c r="D15" s="69"/>
      <c r="E15" s="72"/>
      <c r="F15" s="81">
        <f>'[1]New Format KRI mbr level'!B46</f>
        <v>522757</v>
      </c>
      <c r="G15" s="71">
        <f>'[1]New Format KRI mbr level'!G46</f>
        <v>17846.05297547</v>
      </c>
      <c r="H15" s="71" t="str">
        <f>'[1]New Format KRI mbr level'!P46</f>
        <v>Member 522757: SWTH of €1.1m with effective date 05/02/2026 and system date 23/02/2026. CB Approps were informed on 06/02/2026 (am). Preapprop was added on 06/02/2026. Gain due to price movements.</v>
      </c>
      <c r="I15" s="41"/>
      <c r="J15" s="84" t="str">
        <f>'[1]New Format KRI mbr level'!H46</f>
        <v>SWTH</v>
      </c>
      <c r="K15" s="85">
        <f>'[1]New Format KRI mbr level'!J46</f>
        <v>46058</v>
      </c>
      <c r="L15" s="85">
        <f>'[1]New Format KRI mbr level'!K46</f>
        <v>46076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</row>
    <row r="16" spans="1:31" ht="27.6" x14ac:dyDescent="0.3">
      <c r="A16" s="22"/>
      <c r="B16" s="23"/>
      <c r="C16" s="69"/>
      <c r="D16" s="69"/>
      <c r="E16" s="72"/>
      <c r="F16" s="81">
        <f>'[1]New Format KRI mbr level'!B50</f>
        <v>892703</v>
      </c>
      <c r="G16" s="71">
        <f>'[1]New Format KRI mbr level'!G50</f>
        <v>-5185.9243900849997</v>
      </c>
      <c r="H16" s="71" t="str">
        <f>'[1]New Format KRI mbr level'!P50</f>
        <v>Member 892703: WTHD of €1m with effective date 11/02/2026 and system date 18/02/2026. CB Approps were informed on 12/02/2026 (am). Preapprop was added on 12/02/2026. Loss due to price movements.</v>
      </c>
      <c r="I16" s="41"/>
      <c r="J16" s="84" t="str">
        <f>'[1]New Format KRI mbr level'!H50</f>
        <v>WTHD</v>
      </c>
      <c r="K16" s="85">
        <f>'[1]New Format KRI mbr level'!J50</f>
        <v>46064</v>
      </c>
      <c r="L16" s="85">
        <f>'[1]New Format KRI mbr level'!K50</f>
        <v>46071</v>
      </c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</row>
    <row r="17" spans="1:31" ht="27.6" x14ac:dyDescent="0.3">
      <c r="A17" s="22"/>
      <c r="B17" s="23"/>
      <c r="C17" s="69"/>
      <c r="D17" s="69"/>
      <c r="E17" s="72"/>
      <c r="F17" s="81">
        <f>'[1]New Format KRI mbr level'!B51</f>
        <v>1192326</v>
      </c>
      <c r="G17" s="71">
        <f>'[1]New Format KRI mbr level'!G51</f>
        <v>7415.4114340100004</v>
      </c>
      <c r="H17" s="71" t="str">
        <f>'[1]New Format KRI mbr level'!P51</f>
        <v>Member 1192326: NRET of €1.2m with effective date 13/02/2026 and system date 23/02/2026. CB Approps were informed on 17/02/2026 (pm). Preapprop was added on 18/02/2026. Gain due to price movements.</v>
      </c>
      <c r="I17" s="41"/>
      <c r="J17" s="84" t="str">
        <f>'[1]New Format KRI mbr level'!H51</f>
        <v>NRET</v>
      </c>
      <c r="K17" s="85">
        <f>'[1]New Format KRI mbr level'!J51</f>
        <v>46066</v>
      </c>
      <c r="L17" s="85">
        <f>'[1]New Format KRI mbr level'!K51</f>
        <v>46076</v>
      </c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</row>
    <row r="18" spans="1:31" ht="27.6" x14ac:dyDescent="0.3">
      <c r="A18" s="22"/>
      <c r="B18" s="23"/>
      <c r="C18" s="69"/>
      <c r="D18" s="69"/>
      <c r="E18" s="72"/>
      <c r="F18" s="81">
        <f>'[1]New Format KRI mbr level'!B52</f>
        <v>943670</v>
      </c>
      <c r="G18" s="71">
        <f>'[1]New Format KRI mbr level'!G52</f>
        <v>15155.452074192001</v>
      </c>
      <c r="H18" s="71" t="str">
        <f>'[1]New Format KRI mbr level'!P52</f>
        <v>Member 943670: NRET of €0.5m with effective date 19/12/2025 and system date 11/02/2026. CB Approps were informed but the transaction was processed before we could preappop. Gain due to price movements.</v>
      </c>
      <c r="I18" s="41"/>
      <c r="J18" s="84" t="str">
        <f>'[1]New Format KRI mbr level'!H52</f>
        <v>NRET</v>
      </c>
      <c r="K18" s="85">
        <f>'[1]New Format KRI mbr level'!J52</f>
        <v>46010</v>
      </c>
      <c r="L18" s="85">
        <f>'[1]New Format KRI mbr level'!K52</f>
        <v>46064</v>
      </c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</row>
    <row r="19" spans="1:31" ht="27.6" x14ac:dyDescent="0.3">
      <c r="A19" s="22"/>
      <c r="B19" s="23"/>
      <c r="C19" s="69"/>
      <c r="D19" s="69"/>
      <c r="E19" s="72"/>
      <c r="F19" s="81">
        <f>'[1]New Format KRI mbr level'!B53</f>
        <v>1068983</v>
      </c>
      <c r="G19" s="71">
        <f>'[1]New Format KRI mbr level'!G53</f>
        <v>6634.5019560660003</v>
      </c>
      <c r="H19" s="71" t="str">
        <f>'[1]New Format KRI mbr level'!P53</f>
        <v>Member 1068983: WTHD of €0.4m with effective date 12/02/2026 and system date 23/02/2026. CB Approps were not informed. Gain due to price movements.</v>
      </c>
      <c r="I19" s="41"/>
      <c r="J19" s="84" t="str">
        <f>'[1]New Format KRI mbr level'!H53</f>
        <v>WTHD</v>
      </c>
      <c r="K19" s="85">
        <f>'[1]New Format KRI mbr level'!J53</f>
        <v>46065</v>
      </c>
      <c r="L19" s="85">
        <f>'[1]New Format KRI mbr level'!K53</f>
        <v>46078</v>
      </c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</row>
    <row r="20" spans="1:31" x14ac:dyDescent="0.3">
      <c r="A20" s="22"/>
      <c r="B20" s="23"/>
      <c r="C20" s="69"/>
      <c r="D20" s="70"/>
      <c r="E20" s="71"/>
      <c r="F20" s="69"/>
      <c r="G20" s="72"/>
      <c r="H20" s="72"/>
      <c r="I20" s="41"/>
      <c r="J20" s="21"/>
      <c r="K20" s="21"/>
    </row>
    <row r="21" spans="1:31" x14ac:dyDescent="0.3">
      <c r="A21" s="22" t="s">
        <v>44</v>
      </c>
      <c r="B21" s="23">
        <f>[1]Summary!$B$27</f>
        <v>-22452.692096773448</v>
      </c>
      <c r="C21" s="3"/>
      <c r="D21" s="13"/>
      <c r="E21" s="26"/>
      <c r="F21" s="26"/>
      <c r="G21" s="26"/>
      <c r="H21" s="47"/>
      <c r="I21" s="41"/>
    </row>
    <row r="22" spans="1:31" x14ac:dyDescent="0.3">
      <c r="A22" s="22"/>
      <c r="B22" s="23"/>
      <c r="C22" s="13"/>
      <c r="D22" s="13"/>
      <c r="E22" s="34"/>
      <c r="F22" s="34"/>
      <c r="G22" s="26"/>
      <c r="H22" s="47"/>
    </row>
    <row r="23" spans="1:31" x14ac:dyDescent="0.3">
      <c r="A23" s="7"/>
      <c r="B23" s="29"/>
      <c r="C23" s="24"/>
      <c r="D23" s="24"/>
      <c r="E23" s="25" t="s">
        <v>17</v>
      </c>
      <c r="F23" s="25"/>
      <c r="G23" s="24"/>
      <c r="H23" s="7"/>
    </row>
    <row r="24" spans="1:31" x14ac:dyDescent="0.3">
      <c r="A24" s="5" t="s">
        <v>19</v>
      </c>
      <c r="B24" s="26">
        <v>0</v>
      </c>
      <c r="C24" s="13"/>
      <c r="D24" s="13"/>
      <c r="E24" s="26"/>
      <c r="F24" s="26"/>
      <c r="G24" s="13"/>
      <c r="H24" s="13"/>
    </row>
    <row r="25" spans="1:31" x14ac:dyDescent="0.3">
      <c r="A25" s="5"/>
      <c r="B25" s="23"/>
      <c r="C25" s="13"/>
      <c r="D25" s="27"/>
      <c r="E25" s="26"/>
      <c r="F25" s="26"/>
      <c r="G25" s="13"/>
      <c r="H25" s="13"/>
    </row>
    <row r="26" spans="1:31" x14ac:dyDescent="0.3">
      <c r="A26" s="7"/>
      <c r="B26" s="28"/>
      <c r="C26" s="24"/>
      <c r="D26" s="24"/>
      <c r="E26" s="25" t="s">
        <v>17</v>
      </c>
      <c r="F26" s="25"/>
      <c r="G26" s="24"/>
      <c r="H26" s="7"/>
    </row>
    <row r="27" spans="1:31" x14ac:dyDescent="0.3">
      <c r="A27" s="5" t="s">
        <v>61</v>
      </c>
      <c r="B27" s="33">
        <f>[1]Summary!$B$30</f>
        <v>-971.32943325200006</v>
      </c>
      <c r="C27" s="13"/>
      <c r="D27" s="65"/>
      <c r="E27" s="66"/>
      <c r="F27" s="67"/>
      <c r="G27" s="26"/>
      <c r="H27" s="87" t="s">
        <v>79</v>
      </c>
    </row>
    <row r="28" spans="1:31" x14ac:dyDescent="0.3">
      <c r="A28" s="4"/>
      <c r="B28" s="30"/>
      <c r="C28" s="13"/>
      <c r="D28" s="65"/>
      <c r="E28" s="66"/>
      <c r="F28" s="67"/>
      <c r="G28" s="26"/>
      <c r="H28" s="68"/>
    </row>
    <row r="29" spans="1:31" x14ac:dyDescent="0.3">
      <c r="A29" s="4"/>
      <c r="B29" s="30"/>
      <c r="C29" s="13"/>
      <c r="D29" s="23"/>
      <c r="E29" s="23"/>
      <c r="F29" s="23"/>
      <c r="G29" s="26"/>
      <c r="H29" s="43"/>
    </row>
    <row r="30" spans="1:31" x14ac:dyDescent="0.3">
      <c r="A30" s="7"/>
      <c r="B30" s="28"/>
      <c r="C30" s="24"/>
      <c r="D30" s="24"/>
      <c r="E30" s="25" t="s">
        <v>17</v>
      </c>
      <c r="F30" s="25"/>
      <c r="G30" s="24"/>
      <c r="H30" s="7"/>
    </row>
    <row r="31" spans="1:31" x14ac:dyDescent="0.3">
      <c r="A31" s="5" t="s">
        <v>75</v>
      </c>
      <c r="B31" s="40">
        <f>SUM(B3,B6,B21,B24,B27)</f>
        <v>-129045.07498310294</v>
      </c>
      <c r="C31" s="13"/>
      <c r="D31" s="13"/>
      <c r="E31" s="13"/>
      <c r="F31" s="13"/>
      <c r="G31" s="13"/>
      <c r="H31" s="4"/>
    </row>
    <row r="32" spans="1:31" x14ac:dyDescent="0.3">
      <c r="A32" s="1"/>
      <c r="B32" s="1"/>
      <c r="C32" s="1"/>
      <c r="D32" s="1"/>
      <c r="E32" s="1"/>
      <c r="F32" s="1"/>
      <c r="G32" s="1"/>
    </row>
    <row r="37" spans="5:8" x14ac:dyDescent="0.3">
      <c r="E37" s="45"/>
      <c r="H37" s="1"/>
    </row>
  </sheetData>
  <autoFilter ref="A1:L19" xr:uid="{00000000-0001-0000-0200-000000000000}"/>
  <sortState xmlns:xlrd2="http://schemas.microsoft.com/office/spreadsheetml/2017/richdata2" ref="A86:H105">
    <sortCondition descending="1" ref="G86:G105"/>
  </sortState>
  <conditionalFormatting sqref="D20 B3:B21">
    <cfRule type="cellIs" dxfId="3" priority="365" operator="lessThan">
      <formula>0</formula>
    </cfRule>
  </conditionalFormatting>
  <conditionalFormatting sqref="D20:E20 I20 F7:H19 B3:B21">
    <cfRule type="cellIs" dxfId="2" priority="366" operator="greaterThan">
      <formula>0</formula>
    </cfRule>
  </conditionalFormatting>
  <conditionalFormatting sqref="B27">
    <cfRule type="cellIs" dxfId="1" priority="499" operator="greaterThan">
      <formula>0</formula>
    </cfRule>
  </conditionalFormatting>
  <conditionalFormatting sqref="B31">
    <cfRule type="cellIs" dxfId="0" priority="498" operator="greaterThan">
      <formula>0</formula>
    </cfRule>
  </conditionalFormatting>
  <pageMargins left="0.7" right="0.7" top="0.75" bottom="0.75" header="0.3" footer="0.3"/>
  <pageSetup paperSize="9" scale="56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L12"/>
  <sheetViews>
    <sheetView workbookViewId="0"/>
  </sheetViews>
  <sheetFormatPr defaultRowHeight="35.1" customHeight="1" x14ac:dyDescent="0.3"/>
  <cols>
    <col min="1" max="1" width="32.44140625" customWidth="1"/>
    <col min="2" max="2" width="14.44140625" customWidth="1"/>
    <col min="3" max="3" width="10.5546875" customWidth="1"/>
    <col min="11" max="11" width="13.5546875" customWidth="1"/>
    <col min="12" max="12" width="12.44140625" customWidth="1"/>
  </cols>
  <sheetData>
    <row r="1" spans="1:12" ht="35.1" customHeight="1" x14ac:dyDescent="0.3">
      <c r="A1" s="8"/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  <c r="J1" s="8" t="s">
        <v>38</v>
      </c>
      <c r="K1" s="8" t="s">
        <v>36</v>
      </c>
      <c r="L1" s="8" t="s">
        <v>37</v>
      </c>
    </row>
    <row r="2" spans="1:12" ht="35.1" customHeight="1" x14ac:dyDescent="0.3">
      <c r="A2" s="5" t="s">
        <v>16</v>
      </c>
      <c r="B2" s="9"/>
      <c r="C2" s="9"/>
      <c r="D2" s="3"/>
      <c r="E2" s="3"/>
      <c r="F2" s="3"/>
      <c r="G2" s="3"/>
      <c r="H2" s="3"/>
      <c r="I2" s="3"/>
      <c r="J2" s="3"/>
      <c r="K2" s="9"/>
      <c r="L2" s="3"/>
    </row>
    <row r="3" spans="1:12" ht="11.55" customHeight="1" x14ac:dyDescent="0.3">
      <c r="A3" s="7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35.1" customHeight="1" x14ac:dyDescent="0.3">
      <c r="A4" s="5" t="s">
        <v>18</v>
      </c>
      <c r="B4" s="9"/>
      <c r="C4" s="9"/>
      <c r="D4" s="9"/>
      <c r="E4" s="9"/>
      <c r="F4" s="9"/>
      <c r="G4" s="9"/>
      <c r="H4" s="9"/>
      <c r="I4" s="9"/>
      <c r="J4" s="9"/>
      <c r="K4" s="9"/>
      <c r="L4" s="3"/>
    </row>
    <row r="5" spans="1:12" ht="14.1" customHeight="1" x14ac:dyDescent="0.3">
      <c r="A5" s="7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 ht="28.05" customHeight="1" x14ac:dyDescent="0.3">
      <c r="A6" s="22" t="s">
        <v>44</v>
      </c>
      <c r="B6" s="9"/>
      <c r="C6" s="9"/>
      <c r="D6" s="9"/>
      <c r="E6" s="9"/>
      <c r="F6" s="9"/>
      <c r="G6" s="9"/>
      <c r="H6" s="9"/>
      <c r="I6" s="9"/>
      <c r="J6" s="9"/>
      <c r="K6" s="9"/>
      <c r="L6" s="3"/>
    </row>
    <row r="7" spans="1:12" ht="14.1" customHeight="1" x14ac:dyDescent="0.3">
      <c r="A7" s="7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ht="35.1" customHeight="1" x14ac:dyDescent="0.3">
      <c r="A8" s="5" t="s">
        <v>19</v>
      </c>
      <c r="B8" s="9"/>
      <c r="C8" s="3"/>
      <c r="D8" s="3"/>
      <c r="E8" s="3"/>
      <c r="F8" s="3"/>
      <c r="G8" s="3"/>
      <c r="H8" s="3"/>
      <c r="I8" s="3"/>
      <c r="J8" s="3"/>
      <c r="K8" s="9"/>
      <c r="L8" s="3"/>
    </row>
    <row r="9" spans="1:12" ht="14.1" customHeight="1" x14ac:dyDescent="0.3">
      <c r="A9" s="7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 ht="35.1" customHeight="1" x14ac:dyDescent="0.3">
      <c r="A10" s="5" t="s">
        <v>20</v>
      </c>
      <c r="B10" s="9"/>
      <c r="C10" s="3"/>
      <c r="D10" s="9"/>
      <c r="E10" s="3"/>
      <c r="F10" s="3"/>
      <c r="G10" s="3"/>
      <c r="H10" s="3"/>
      <c r="I10" s="3"/>
      <c r="J10" s="3"/>
      <c r="K10" s="9"/>
      <c r="L10" s="3"/>
    </row>
    <row r="11" spans="1:12" ht="14.55" customHeight="1" x14ac:dyDescent="0.3">
      <c r="A11" s="7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ht="35.1" customHeight="1" x14ac:dyDescent="0.3">
      <c r="A12" s="5" t="s">
        <v>67</v>
      </c>
      <c r="B12" s="10"/>
      <c r="C12" s="11"/>
      <c r="D12" s="11"/>
      <c r="E12" s="11"/>
      <c r="F12" s="11"/>
      <c r="G12" s="11"/>
      <c r="H12" s="11"/>
      <c r="I12" s="11"/>
      <c r="J12" s="11"/>
      <c r="K12" s="10"/>
      <c r="L12" s="11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ad17fa1f-6e56-4698-a331-2599427e9c36}" enabled="1" method="Standard" siteId="{54a6c0e8-b873-47a7-a0e3-b1af69cb1d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Sheet</vt:lpstr>
      <vt:lpstr>Summary </vt:lpstr>
      <vt:lpstr>Detail</vt:lpstr>
      <vt:lpstr>Summary of DataBase Log</vt:lpstr>
    </vt:vector>
  </TitlesOfParts>
  <Company>Irish Life &amp; Permanent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MURRAY, NUALA</dc:creator>
  <cp:lastModifiedBy>O'Brien, Kevin</cp:lastModifiedBy>
  <cp:lastPrinted>2020-01-08T10:10:44Z</cp:lastPrinted>
  <dcterms:created xsi:type="dcterms:W3CDTF">2016-01-21T11:29:43Z</dcterms:created>
  <dcterms:modified xsi:type="dcterms:W3CDTF">2026-03-10T14:53:42Z</dcterms:modified>
</cp:coreProperties>
</file>