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rporate_Business\Act\3 Monthly Work\Mismatch Report &amp; EUR\2026 Calculations\03. March 2026\Excess Unit Costs\"/>
    </mc:Choice>
  </mc:AlternateContent>
  <xr:revisionPtr revIDLastSave="0" documentId="13_ncr:1_{549DAC6D-081C-450B-BF49-0CAA7ED20D4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 Sheet" sheetId="1" r:id="rId1"/>
    <sheet name="Summary " sheetId="7" r:id="rId2"/>
    <sheet name="Detail" sheetId="4" r:id="rId3"/>
    <sheet name="Summary of DataBase Log" sheetId="6" r:id="rId4"/>
  </sheets>
  <externalReferences>
    <externalReference r:id="rId5"/>
  </externalReferences>
  <definedNames>
    <definedName name="_xlnm._FilterDatabase" localSheetId="2" hidden="1">Detail!$A$1:$I$33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E34" i="4"/>
  <c r="C27" i="4"/>
  <c r="E27" i="4"/>
  <c r="C28" i="4"/>
  <c r="E28" i="4"/>
  <c r="C29" i="4"/>
  <c r="E29" i="4"/>
  <c r="C30" i="4"/>
  <c r="E30" i="4"/>
  <c r="C31" i="4"/>
  <c r="E31" i="4"/>
  <c r="C32" i="4"/>
  <c r="E32" i="4"/>
  <c r="C33" i="4"/>
  <c r="E33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E7" i="4"/>
  <c r="C7" i="4"/>
  <c r="B42" i="4"/>
  <c r="B36" i="4"/>
  <c r="B6" i="4"/>
  <c r="B3" i="4"/>
  <c r="K2" i="7" l="1"/>
  <c r="I18" i="7" l="1"/>
  <c r="J21" i="7"/>
  <c r="I13" i="7"/>
  <c r="K5" i="7" l="1"/>
  <c r="G23" i="7"/>
  <c r="E23" i="7"/>
  <c r="C23" i="7"/>
  <c r="I23" i="7" l="1"/>
  <c r="K4" i="7" l="1"/>
  <c r="K3" i="7" l="1"/>
  <c r="L5" i="7" l="1"/>
  <c r="H20" i="7" l="1"/>
  <c r="H15" i="7"/>
  <c r="F10" i="7"/>
  <c r="D10" i="7"/>
  <c r="H18" i="7" l="1"/>
  <c r="H19" i="7"/>
  <c r="H21" i="7"/>
  <c r="E29" i="7" l="1"/>
  <c r="F9" i="7"/>
  <c r="F8" i="7"/>
  <c r="D9" i="7"/>
  <c r="D8" i="7"/>
  <c r="H16" i="7" l="1"/>
  <c r="F11" i="7"/>
  <c r="N5" i="7" s="1"/>
  <c r="D11" i="7"/>
  <c r="M5" i="7" l="1"/>
  <c r="H14" i="7"/>
  <c r="A3" i="4" l="1"/>
  <c r="H13" i="7" l="1"/>
  <c r="O4" i="7" l="1"/>
  <c r="O5" i="7"/>
  <c r="P5" i="7" s="1"/>
  <c r="O2" i="7"/>
  <c r="E30" i="7"/>
  <c r="O3" i="7" l="1"/>
  <c r="O6" i="7" s="1"/>
  <c r="M3" i="7" l="1"/>
  <c r="N3" i="7" l="1"/>
  <c r="L3" i="7" l="1"/>
  <c r="P3" i="7" l="1"/>
  <c r="M4" i="7" l="1"/>
  <c r="N4" i="7" l="1"/>
  <c r="J23" i="7" l="1"/>
  <c r="L4" i="7"/>
  <c r="P4" i="7" l="1"/>
  <c r="E8" i="7" l="1"/>
  <c r="M2" i="7" s="1"/>
  <c r="M6" i="7" s="1"/>
  <c r="E27" i="7"/>
  <c r="E28" i="7" l="1"/>
  <c r="G8" i="7"/>
  <c r="N2" i="7" s="1"/>
  <c r="N6" i="7" s="1"/>
  <c r="C3" i="7" l="1"/>
  <c r="L2" i="7" s="1"/>
  <c r="E26" i="7"/>
  <c r="E31" i="7" s="1"/>
  <c r="J25" i="7" s="1"/>
  <c r="B46" i="4"/>
  <c r="L6" i="7" l="1"/>
  <c r="P6" i="7" s="1"/>
  <c r="P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Toomey, Eimear</author>
  </authors>
  <commentList>
    <comment ref="H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Systemic losses in CB represent the timing element of the Appropriations process which is not &gt; 5 days.  These losses are risk accepted and are not included in the CB Risk Appetite Statement.  All other timing losses are included under backdating service delays or errors (txns &gt; 5 days):
Please use this generic comment for update to database and ARC for bulk appropriations: </t>
        </r>
      </text>
    </comment>
    <comment ref="H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delays  when processing actions within the DC area.  This is the balance bulk amount which contains no mbr/scheme/theme event &gt; €5K or €10K:
Please use this comentary on the CB database and ARC for bulk delay entries.</t>
        </r>
      </text>
    </comment>
    <comment ref="H3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errors when processing actions within the DC area.  This is the left over BULK amount which contains no mbr/scheme/theme event &gt; €5K or €10K.
Please use this comentary on the CB database and ARC for bulk error entries.</t>
        </r>
      </text>
    </comment>
    <comment ref="H4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  <comment ref="H4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</commentList>
</comments>
</file>

<file path=xl/sharedStrings.xml><?xml version="1.0" encoding="utf-8"?>
<sst xmlns="http://schemas.openxmlformats.org/spreadsheetml/2006/main" count="199" uniqueCount="105">
  <si>
    <t xml:space="preserve">KRI Information Report </t>
  </si>
  <si>
    <t>Month</t>
  </si>
  <si>
    <t>Prepared By</t>
  </si>
  <si>
    <t>Date</t>
  </si>
  <si>
    <t>CB Finance Approved By:</t>
  </si>
  <si>
    <t>DC Operations Approved By:</t>
  </si>
  <si>
    <t xml:space="preserve">Date </t>
  </si>
  <si>
    <t>Updated to CB Waiver/Losses Database</t>
  </si>
  <si>
    <t>Updated By</t>
  </si>
  <si>
    <t xml:space="preserve"> LOSS TYPE</t>
  </si>
  <si>
    <r>
      <t>Total</t>
    </r>
    <r>
      <rPr>
        <sz val="11"/>
        <color rgb="FFFF0000"/>
        <rFont val="Calibri"/>
        <family val="2"/>
        <scheme val="minor"/>
      </rPr>
      <t xml:space="preserve">            - Loss </t>
    </r>
    <r>
      <rPr>
        <sz val="11"/>
        <color theme="1"/>
        <rFont val="Calibri"/>
        <family val="2"/>
        <scheme val="minor"/>
      </rPr>
      <t>/+Gain</t>
    </r>
  </si>
  <si>
    <t>Scheme Number</t>
  </si>
  <si>
    <r>
      <t xml:space="preserve">Sig Scheme Loss          &gt;    </t>
    </r>
    <r>
      <rPr>
        <sz val="11"/>
        <color rgb="FFFF0000"/>
        <rFont val="Calibri"/>
        <family val="2"/>
        <scheme val="minor"/>
      </rPr>
      <t xml:space="preserve">€-10K </t>
    </r>
    <r>
      <rPr>
        <sz val="11"/>
        <color theme="1"/>
        <rFont val="Calibri"/>
        <family val="2"/>
        <scheme val="minor"/>
      </rPr>
      <t>/ €+10K</t>
    </r>
  </si>
  <si>
    <r>
      <t xml:space="preserve">Sig Member Loss &gt;                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</si>
  <si>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Summary Reason for Loss Event</t>
  </si>
  <si>
    <t>This will appear on ARC  (Group Risk database)</t>
  </si>
  <si>
    <t>Appropriations</t>
  </si>
  <si>
    <t xml:space="preserve"> </t>
  </si>
  <si>
    <t>Backdating Service Delay</t>
  </si>
  <si>
    <t>Backdating Service Error</t>
  </si>
  <si>
    <t>Unit Journals Backdating Service Error</t>
  </si>
  <si>
    <t>Any delays for external funds are not included in this report.</t>
  </si>
  <si>
    <t xml:space="preserve">General Information </t>
  </si>
  <si>
    <t>All of the above losses have been reported through Administrator and are not included on the CB W/L Database untill signed off and approved by CB Finance and DC Operations Exec Management.</t>
  </si>
  <si>
    <t>Reportable Errors for this  month are:</t>
  </si>
  <si>
    <t>All loss amounts are inclusive of pre-funding.</t>
  </si>
  <si>
    <t>*** All negative figures quoted are losses and are in Red</t>
  </si>
  <si>
    <t>N'A</t>
  </si>
  <si>
    <t>Gross Amount</t>
  </si>
  <si>
    <t>Rec 1</t>
  </si>
  <si>
    <t>Rec 2</t>
  </si>
  <si>
    <t>Rec 3</t>
  </si>
  <si>
    <t>Rec 4</t>
  </si>
  <si>
    <t>Rec 5</t>
  </si>
  <si>
    <t>Rec 6</t>
  </si>
  <si>
    <t>Rec 7</t>
  </si>
  <si>
    <t>Total Amount</t>
  </si>
  <si>
    <t>No of Records on ARC</t>
  </si>
  <si>
    <t>Rec 8</t>
  </si>
  <si>
    <t>DC is approving the individual significant movements and commentary, while Finance is approving the overall reporting finance totals</t>
  </si>
  <si>
    <t>CLI Losses for this month are:</t>
  </si>
  <si>
    <t>Are there any significant trends or issues to be noted - make sure to include on Detail w/s:</t>
  </si>
  <si>
    <r>
      <t>Sig Trend/Theme &gt;</t>
    </r>
    <r>
      <rPr>
        <sz val="11"/>
        <color rgb="FFFF0000"/>
        <rFont val="Calibri"/>
        <family val="2"/>
        <scheme val="minor"/>
      </rPr>
      <t>€-5K</t>
    </r>
    <r>
      <rPr>
        <sz val="11"/>
        <color theme="1"/>
        <rFont val="Calibri"/>
        <family val="2"/>
        <scheme val="minor"/>
      </rPr>
      <t>/ €5K</t>
    </r>
  </si>
  <si>
    <t>- Completed within Normal Business Practice (within SLA)</t>
  </si>
  <si>
    <t>- Completed outside SLA</t>
  </si>
  <si>
    <t>Type</t>
  </si>
  <si>
    <t>Systemic</t>
  </si>
  <si>
    <t>Period</t>
  </si>
  <si>
    <t>Amount</t>
  </si>
  <si>
    <t>Q1</t>
  </si>
  <si>
    <t>Q2</t>
  </si>
  <si>
    <t>Q3</t>
  </si>
  <si>
    <t>Q4</t>
  </si>
  <si>
    <t>Service</t>
  </si>
  <si>
    <t>Delay</t>
  </si>
  <si>
    <t>Error</t>
  </si>
  <si>
    <t>Unit Journals</t>
  </si>
  <si>
    <t>Total cost</t>
  </si>
  <si>
    <t>Gain/Loss on Backdating Service Costs completed within 5 day SLA</t>
  </si>
  <si>
    <t>Gain/Loss on Backdating Service Costs completed outside of 5 day SLA</t>
  </si>
  <si>
    <t>Gain/Loss on Backdating Service Errors completed outside of 5 day SLA</t>
  </si>
  <si>
    <t xml:space="preserve">Unit Journals </t>
  </si>
  <si>
    <t xml:space="preserve">Total Cost </t>
  </si>
  <si>
    <t>CLI Losses this month are:</t>
  </si>
  <si>
    <t>Loss Trend / Event</t>
  </si>
  <si>
    <t>Cover sheet to be updated</t>
  </si>
  <si>
    <t>Totals (Current Month)</t>
  </si>
  <si>
    <t xml:space="preserve">April Total </t>
  </si>
  <si>
    <t>Member No</t>
  </si>
  <si>
    <t>Backdating Service Delay - within SLA</t>
  </si>
  <si>
    <t>Backdating Service Delay - Outside SLA</t>
  </si>
  <si>
    <t>Cost</t>
  </si>
  <si>
    <t>Approps over the month (1 day timing delay)</t>
  </si>
  <si>
    <t>Summary for month</t>
  </si>
  <si>
    <r>
      <t xml:space="preserve">Sig Member Loss             &gt;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</si>
  <si>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Monthly Total</t>
  </si>
  <si>
    <t>Total</t>
  </si>
  <si>
    <t>Reportable Errors for this month are:</t>
  </si>
  <si>
    <t>PRB min 0.75% AMC scheme, SP of €0.1m with effective date 20/08/2021 and system date 05/03/2026. CB Approps were not informed. Loss due to price movements.</t>
  </si>
  <si>
    <t>PRB Canada Life no trail scheme, SP of €0.6m with effective date 02/03/2026 and system date 06/03/2026. CB Approps were not informed. Gain due to price movements.</t>
  </si>
  <si>
    <t>Enet Defined Contribution Pl scheme, RSP of €0.2m with effective date 26/09/2025 and system date 02/03/2026. CB Approps were not informed. Loss due to price movements.</t>
  </si>
  <si>
    <t>SWTH of €0.6m with effective date 19/03/2026 and system date 23/03/2026. CB Approps were informed on 20/3/26. Preapprop was added on 20/03/2026. Gain due to price movements.</t>
  </si>
  <si>
    <t>Mediolanum International Fund scheme, SWTH of €0.9m with effective date 20/03/2026 and system date 23/03/2026. CB Approps were informed on 23/3/26. Preapprop was added on 23/03/2026. Loss due to price movements.</t>
  </si>
  <si>
    <t>Mediolanum International Fund scheme, SWTHs of €1.1m and €0.26m with effective date 03/03/2026 and system date 04/03/2026. CB Approps were informed on 03/03/2026 PM. Preapprop was added on 04/03/2026. Loss due to price movements.</t>
  </si>
  <si>
    <t>Irish Life and Canada Life D scheme, RSP of €4m with effective date 23/03/2026 and system date 27/03/2026. CB Approps were informed on 24/03/2026 PM. Preapprop was added on 25/03/2026. Loss due to price movements.</t>
  </si>
  <si>
    <t>CHC Ireland DAC. scheme, SWTH of €1.1m with effective date 06/03/2026 and system date 12/03/2026. CB Approps were informed on 09/03/2026. Preapprop was added on 09/03/2026. Gain due to price movements.</t>
  </si>
  <si>
    <t>Intel Ireland DC Plan scheme, RSP of €1.5m with effective date 11/03/2026 and system date 16/03/2026. CB Approps were informed on 11/03/2026 PM. Preapprop was added on 12/03/2026. Gain due to price movements.</t>
  </si>
  <si>
    <t>Intel Ireland DC Plan scheme, RSP of €1.5m with effective date 25/03/2026 and system date 27/03/2026. CB Approps were informed on 26/03/2026. Preapprop was added on 26/03/2026. Gain due to price movements.</t>
  </si>
  <si>
    <t>PricewaterhouseCoopers scheme, RSP of €2m with effective date 02/03/2026 and system date 06/03/2026. CB Approps were informed on 03/03/2026. Preapprop was added on 03/03/2026. Gain due to price movements.</t>
  </si>
  <si>
    <t>BKD &amp; Partners Limited scheme, SWTH of €0m with effective date 04/03/2026 and system date 19/03/2026. CB Approps were informed on 04/03/2026 PM. Preapprop was added on 05/03/2026. Gain due to price movements.</t>
  </si>
  <si>
    <t>Irving Oil Ireland Limited scheme, SWTH of €0.7m with effective date 23/03/2026 and system date 24/03/2026. CB Approps were informed on 24/03/2026. Preapprop was added on 24/03/2026. Loss due to price movements.</t>
  </si>
  <si>
    <t>Google Ireland Limited scheme, RSP of €8.2m with effective date 26/03/2026 and system date 27/03/2026. CB Approps were informed on 26/03/2026. Preapprop was added on 27/03/2026. Gain due to price movements.</t>
  </si>
  <si>
    <t>Google Ireland Limited scheme, WTHD of €0.6m with effective date 20/03/2026 and system date 30/03/2026. CB Approps were informed on 09/03/2026, quoting effective date 09/03/2026. Preapprop was added on 10/03/2026. Gain due to price movements.</t>
  </si>
  <si>
    <t>Aer Lingus scheme, RSP of €1.3m with effective date 18/03/2026 and system date 23/03/2026. CB Approps were informed on 19/03/2026. Preapprop was added on 19/03/2026. Gain due to price movements.</t>
  </si>
  <si>
    <t>Dornan Engineering Limited scheme, SP of €1.1m with effective date 16/03/2026 and system date 23/03/2026. CB Approps were informed 16/03/2026. Preapprop added 19/03/2026. Gain due to price movements.</t>
  </si>
  <si>
    <t>Irish Life and Canada Life scheme, RSP of €1.4m with effective date 23/03/2026 and system date 27/03/2026. CB Approps were informed on 24/03/2026. Preapprop was added on 25/03/2026. Loss due to price movements.</t>
  </si>
  <si>
    <t>Kerry Group Plc scheme, RSP of €1.5m with effective date 18/03/2026 and system date 23/03/2026. CB Approps were informed on 19/03/2026. Preapprop was added on 19/03/2026. Gain due to price movements.</t>
  </si>
  <si>
    <t>PERSONAL RETIREMENT BONDS (R scheme, SWTH of €0.7m with effective date 27/02/2026 and system date 06/03/2026. CB Approps were informed 06/03/2026 PM. Loss due to price movements.</t>
  </si>
  <si>
    <t>I.N.T.O. AVC Plan scheme, RSP of €3.2m with effective date 30/03/2026 and system date 31/03/2026. CB Approps were informed on 31/03/2026. Preapprop was added on 31/03/2026. Loss due to price movements.</t>
  </si>
  <si>
    <t>A.S.T.I. AVC Plan scheme, RSP of €1.9m with effective date 30/03/2026 and system date 31/03/2026. CB Approps were informed on 31/03/2026. Preapprop was added on 31/03/2026. Loss due to price movements.</t>
  </si>
  <si>
    <t>Stryker Ireland DC Pension P scheme, RSP of €3.4m with effective date 11/03/2026 and system date 16/03/2026. CB Approps were informed on 13/3/2026 PM. Preapprop was added on 16/03/2026. Gain due to price movements.</t>
  </si>
  <si>
    <t>PMI Software Ltd scheme, WTHD of €0.9m with effective date 02/03/2026 and system date 06/03/2026. CB Approps were informed on 05/03/2026 PM. Preapprop was added on 06/03/2026. Loss due to price movements.</t>
  </si>
  <si>
    <t>Project Management Limited scheme, ERET of €1.2m with effective date 06/03/2026 and system date 25/03/2026. CB Approps were informed on 24/03/2026 PM. Preapprop was added on 25/03/2026. Loss due to price movements.</t>
  </si>
  <si>
    <t>PRB Jardine Lloyd Thompson L scheme, SWTH of €0.9m with effective date 25/03/2026 and system date 27/03/2026. CB Approps were informed on 26/03/2026. Preapprop was added on 26/03/2026. Loss due to price movements.</t>
  </si>
  <si>
    <t>Q1 (March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</si>
</sst>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€&quot;#,##0;[Red]\-&quot;€&quot;#,##0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€&quot;#,##0"/>
    <numFmt numFmtId="167" formatCode="0.0000"/>
    <numFmt numFmtId="168" formatCode="0.000"/>
    <numFmt numFmtId="169" formatCode="0.0%"/>
    <numFmt numFmtId="170" formatCode="0.0000%"/>
    <numFmt numFmtId="171" formatCode="_-* #,##0.0_-;\-* #,##0.0_-;_-* &quot;-&quot;??_-;_-@_-"/>
    <numFmt numFmtId="172" formatCode="mmmm\ yyyy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1">
    <xf numFmtId="0" fontId="0" fillId="0" borderId="0"/>
    <xf numFmtId="0" fontId="8" fillId="0" borderId="0"/>
    <xf numFmtId="164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4" fillId="0" borderId="0"/>
    <xf numFmtId="9" fontId="1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9" fontId="14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2" borderId="1" xfId="0" applyFont="1" applyFill="1" applyBorder="1"/>
    <xf numFmtId="3" fontId="0" fillId="0" borderId="1" xfId="0" applyNumberFormat="1" applyBorder="1"/>
    <xf numFmtId="3" fontId="10" fillId="0" borderId="1" xfId="0" applyNumberFormat="1" applyFont="1" applyBorder="1"/>
    <xf numFmtId="0" fontId="10" fillId="0" borderId="1" xfId="0" applyFont="1" applyBorder="1"/>
    <xf numFmtId="0" fontId="0" fillId="4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6" fillId="0" borderId="0" xfId="0" applyFont="1" applyAlignment="1">
      <alignment wrapText="1"/>
    </xf>
    <xf numFmtId="0" fontId="2" fillId="5" borderId="1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5" fontId="16" fillId="0" borderId="1" xfId="3" applyNumberFormat="1" applyFont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6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3" fontId="16" fillId="0" borderId="1" xfId="0" quotePrefix="1" applyNumberFormat="1" applyFont="1" applyBorder="1" applyAlignment="1">
      <alignment horizontal="center" vertical="center" wrapText="1"/>
    </xf>
    <xf numFmtId="3" fontId="15" fillId="0" borderId="1" xfId="0" quotePrefix="1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166" fontId="1" fillId="0" borderId="0" xfId="0" applyNumberFormat="1" applyFont="1" applyAlignment="1">
      <alignment horizontal="center" wrapText="1"/>
    </xf>
    <xf numFmtId="166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3" fontId="25" fillId="0" borderId="1" xfId="0" quotePrefix="1" applyNumberFormat="1" applyFont="1" applyBorder="1" applyAlignment="1">
      <alignment horizontal="center" vertical="center" wrapText="1"/>
    </xf>
    <xf numFmtId="14" fontId="0" fillId="0" borderId="0" xfId="0" applyNumberFormat="1"/>
    <xf numFmtId="168" fontId="2" fillId="7" borderId="1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69" fontId="0" fillId="0" borderId="0" xfId="60" applyNumberFormat="1" applyFont="1"/>
    <xf numFmtId="170" fontId="1" fillId="0" borderId="0" xfId="60" applyNumberFormat="1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7" fillId="7" borderId="1" xfId="0" applyNumberFormat="1" applyFont="1" applyFill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3" fontId="16" fillId="0" borderId="1" xfId="0" applyNumberFormat="1" applyFont="1" applyBorder="1" applyAlignment="1">
      <alignment horizontal="center" vertical="center"/>
    </xf>
    <xf numFmtId="43" fontId="11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3" fontId="27" fillId="0" borderId="1" xfId="0" quotePrefix="1" applyNumberFormat="1" applyFont="1" applyBorder="1" applyAlignment="1">
      <alignment horizontal="center" vertical="center" wrapText="1"/>
    </xf>
    <xf numFmtId="6" fontId="26" fillId="0" borderId="1" xfId="0" applyNumberFormat="1" applyFont="1" applyBorder="1" applyAlignment="1">
      <alignment horizontal="center" vertical="center" wrapText="1"/>
    </xf>
    <xf numFmtId="171" fontId="30" fillId="0" borderId="0" xfId="3" applyNumberFormat="1" applyFont="1" applyAlignment="1">
      <alignment horizontal="center"/>
    </xf>
    <xf numFmtId="43" fontId="30" fillId="0" borderId="0" xfId="3" applyFont="1" applyAlignment="1">
      <alignment horizontal="center"/>
    </xf>
    <xf numFmtId="171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71" fontId="3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" fontId="27" fillId="0" borderId="1" xfId="0" quotePrefix="1" applyNumberFormat="1" applyFont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/>
    </xf>
    <xf numFmtId="3" fontId="26" fillId="0" borderId="1" xfId="0" applyNumberFormat="1" applyFont="1" applyBorder="1" applyAlignment="1">
      <alignment horizontal="center" vertical="center" wrapText="1"/>
    </xf>
    <xf numFmtId="172" fontId="0" fillId="0" borderId="0" xfId="0" applyNumberFormat="1" applyAlignment="1">
      <alignment horizontal="center"/>
    </xf>
    <xf numFmtId="17" fontId="7" fillId="8" borderId="8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7" fillId="0" borderId="1" xfId="0" quotePrefix="1" applyNumberFormat="1" applyFont="1" applyBorder="1" applyAlignment="1">
      <alignment horizontal="center" vertical="center" wrapText="1"/>
    </xf>
  </cellXfs>
  <cellStyles count="61">
    <cellStyle name="Comma" xfId="3" builtinId="3"/>
    <cellStyle name="Comma 10" xfId="21" xr:uid="{00000000-0005-0000-0000-000001000000}"/>
    <cellStyle name="Comma 10 2" xfId="48" xr:uid="{00000000-0005-0000-0000-000002000000}"/>
    <cellStyle name="Comma 11" xfId="22" xr:uid="{00000000-0005-0000-0000-000003000000}"/>
    <cellStyle name="Comma 11 2" xfId="49" xr:uid="{00000000-0005-0000-0000-000004000000}"/>
    <cellStyle name="Comma 12" xfId="23" xr:uid="{00000000-0005-0000-0000-000005000000}"/>
    <cellStyle name="Comma 13" xfId="24" xr:uid="{00000000-0005-0000-0000-000006000000}"/>
    <cellStyle name="Comma 14" xfId="25" xr:uid="{00000000-0005-0000-0000-000007000000}"/>
    <cellStyle name="Comma 15" xfId="26" xr:uid="{00000000-0005-0000-0000-000008000000}"/>
    <cellStyle name="Comma 16" xfId="27" xr:uid="{00000000-0005-0000-0000-000009000000}"/>
    <cellStyle name="Comma 17" xfId="28" xr:uid="{00000000-0005-0000-0000-00000A000000}"/>
    <cellStyle name="Comma 18" xfId="29" xr:uid="{00000000-0005-0000-0000-00000B000000}"/>
    <cellStyle name="Comma 19" xfId="30" xr:uid="{00000000-0005-0000-0000-00000C000000}"/>
    <cellStyle name="Comma 2" xfId="2" xr:uid="{00000000-0005-0000-0000-00000D000000}"/>
    <cellStyle name="Comma 2 2" xfId="6" xr:uid="{00000000-0005-0000-0000-00000E000000}"/>
    <cellStyle name="Comma 20" xfId="31" xr:uid="{00000000-0005-0000-0000-00000F000000}"/>
    <cellStyle name="Comma 21" xfId="32" xr:uid="{00000000-0005-0000-0000-000010000000}"/>
    <cellStyle name="Comma 22" xfId="33" xr:uid="{00000000-0005-0000-0000-000011000000}"/>
    <cellStyle name="Comma 23" xfId="34" xr:uid="{00000000-0005-0000-0000-000012000000}"/>
    <cellStyle name="Comma 24" xfId="35" xr:uid="{00000000-0005-0000-0000-000013000000}"/>
    <cellStyle name="Comma 25" xfId="36" xr:uid="{00000000-0005-0000-0000-000014000000}"/>
    <cellStyle name="Comma 26" xfId="37" xr:uid="{00000000-0005-0000-0000-000015000000}"/>
    <cellStyle name="Comma 27" xfId="38" xr:uid="{00000000-0005-0000-0000-000016000000}"/>
    <cellStyle name="Comma 28" xfId="39" xr:uid="{00000000-0005-0000-0000-000017000000}"/>
    <cellStyle name="Comma 29" xfId="40" xr:uid="{00000000-0005-0000-0000-000018000000}"/>
    <cellStyle name="Comma 3" xfId="5" xr:uid="{00000000-0005-0000-0000-000019000000}"/>
    <cellStyle name="Comma 4" xfId="15" xr:uid="{00000000-0005-0000-0000-00001A000000}"/>
    <cellStyle name="Comma 4 2" xfId="42" xr:uid="{00000000-0005-0000-0000-00001B000000}"/>
    <cellStyle name="Comma 5" xfId="16" xr:uid="{00000000-0005-0000-0000-00001C000000}"/>
    <cellStyle name="Comma 5 2" xfId="43" xr:uid="{00000000-0005-0000-0000-00001D000000}"/>
    <cellStyle name="Comma 6" xfId="17" xr:uid="{00000000-0005-0000-0000-00001E000000}"/>
    <cellStyle name="Comma 6 2" xfId="44" xr:uid="{00000000-0005-0000-0000-00001F000000}"/>
    <cellStyle name="Comma 7" xfId="18" xr:uid="{00000000-0005-0000-0000-000020000000}"/>
    <cellStyle name="Comma 7 2" xfId="45" xr:uid="{00000000-0005-0000-0000-000021000000}"/>
    <cellStyle name="Comma 8" xfId="19" xr:uid="{00000000-0005-0000-0000-000022000000}"/>
    <cellStyle name="Comma 8 2" xfId="46" xr:uid="{00000000-0005-0000-0000-000023000000}"/>
    <cellStyle name="Comma 9" xfId="20" xr:uid="{00000000-0005-0000-0000-000024000000}"/>
    <cellStyle name="Comma 9 2" xfId="47" xr:uid="{00000000-0005-0000-0000-000025000000}"/>
    <cellStyle name="Euro" xfId="7" xr:uid="{00000000-0005-0000-0000-000026000000}"/>
    <cellStyle name="Normal" xfId="0" builtinId="0"/>
    <cellStyle name="Normal 10" xfId="59" xr:uid="{00000000-0005-0000-0000-000028000000}"/>
    <cellStyle name="Normal 2" xfId="1" xr:uid="{00000000-0005-0000-0000-000029000000}"/>
    <cellStyle name="Normal 2 2" xfId="8" xr:uid="{00000000-0005-0000-0000-00002A000000}"/>
    <cellStyle name="Normal 3" xfId="4" xr:uid="{00000000-0005-0000-0000-00002B000000}"/>
    <cellStyle name="Normal 4" xfId="10" xr:uid="{00000000-0005-0000-0000-00002C000000}"/>
    <cellStyle name="Normal 4 2" xfId="12" xr:uid="{00000000-0005-0000-0000-00002D000000}"/>
    <cellStyle name="Normal 5" xfId="11" xr:uid="{00000000-0005-0000-0000-00002E000000}"/>
    <cellStyle name="Normal 5 2" xfId="13" xr:uid="{00000000-0005-0000-0000-00002F000000}"/>
    <cellStyle name="Normal 6" xfId="14" xr:uid="{00000000-0005-0000-0000-000030000000}"/>
    <cellStyle name="Normal 6 2" xfId="41" xr:uid="{00000000-0005-0000-0000-000031000000}"/>
    <cellStyle name="Normal 7" xfId="50" xr:uid="{00000000-0005-0000-0000-000032000000}"/>
    <cellStyle name="Normal 7 2" xfId="54" xr:uid="{00000000-0005-0000-0000-000033000000}"/>
    <cellStyle name="Normal 8" xfId="51" xr:uid="{00000000-0005-0000-0000-000034000000}"/>
    <cellStyle name="Normal 8 2" xfId="52" xr:uid="{00000000-0005-0000-0000-000035000000}"/>
    <cellStyle name="Normal 8 2 2" xfId="55" xr:uid="{00000000-0005-0000-0000-000036000000}"/>
    <cellStyle name="Normal 8 3" xfId="53" xr:uid="{00000000-0005-0000-0000-000037000000}"/>
    <cellStyle name="Normal 9" xfId="56" xr:uid="{00000000-0005-0000-0000-000038000000}"/>
    <cellStyle name="Normal 9 2" xfId="58" xr:uid="{00000000-0005-0000-0000-000039000000}"/>
    <cellStyle name="Normal 9 3" xfId="57" xr:uid="{00000000-0005-0000-0000-00003A000000}"/>
    <cellStyle name="Per cent" xfId="60" builtinId="5"/>
    <cellStyle name="Percent 2" xfId="9" xr:uid="{00000000-0005-0000-0000-00003C000000}"/>
  </cellStyles>
  <dxfs count="20"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CC"/>
      <color rgb="FFFDD9E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Corporate_Business\Act\3%20Monthly%20Work\Mismatch%20Report%20&amp;%20EUR\2026%20Calculations\03.%20March%202026\Excess%20Unit%20Costs\Excess%20unit%20costs%20March%202026.xlsx" TargetMode="External"/><Relationship Id="rId1" Type="http://schemas.openxmlformats.org/officeDocument/2006/relationships/externalLinkPath" Target="Excess%20unit%20costs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note on resw"/>
      <sheetName val="New Format Analysis"/>
      <sheetName val="BLOCK lines"/>
      <sheetName val="DC Timing Costs Pivot"/>
      <sheetName val="Scheme Trans"/>
      <sheetName val="New Format KRI mbr level"/>
      <sheetName val="Unallocated Cash"/>
      <sheetName val="unalloc removed"/>
      <sheetName val="Fin Sep Results"/>
      <sheetName val="DB Timing Costs"/>
      <sheetName val="Unit Journals"/>
      <sheetName val="Prices"/>
      <sheetName val="DC Timing Costs old"/>
      <sheetName val="SchemeNames"/>
    </sheetNames>
    <sheetDataSet>
      <sheetData sheetId="0">
        <row r="25">
          <cell r="B25">
            <v>77966.630570256908</v>
          </cell>
        </row>
        <row r="26">
          <cell r="B26">
            <v>-49229.377180336582</v>
          </cell>
        </row>
        <row r="27">
          <cell r="B27">
            <v>470402.13440054731</v>
          </cell>
        </row>
        <row r="30">
          <cell r="B30">
            <v>0</v>
          </cell>
        </row>
      </sheetData>
      <sheetData sheetId="1"/>
      <sheetData sheetId="2"/>
      <sheetData sheetId="3"/>
      <sheetData sheetId="4">
        <row r="11">
          <cell r="A11">
            <v>10752.114136843</v>
          </cell>
          <cell r="B11">
            <v>1987</v>
          </cell>
        </row>
        <row r="12">
          <cell r="A12">
            <v>-14636.398874194001</v>
          </cell>
          <cell r="B12">
            <v>2549</v>
          </cell>
        </row>
        <row r="13">
          <cell r="A13">
            <v>-10374.402834558001</v>
          </cell>
          <cell r="B13">
            <v>2549</v>
          </cell>
        </row>
        <row r="14">
          <cell r="A14">
            <v>-33040.043497050901</v>
          </cell>
          <cell r="B14">
            <v>2945</v>
          </cell>
        </row>
        <row r="15">
          <cell r="A15">
            <v>25541.017190469996</v>
          </cell>
          <cell r="B15">
            <v>3000</v>
          </cell>
        </row>
        <row r="16">
          <cell r="A16">
            <v>11618.87056711601</v>
          </cell>
          <cell r="B16">
            <v>3123</v>
          </cell>
        </row>
        <row r="17">
          <cell r="A17">
            <v>13440.107656880096</v>
          </cell>
          <cell r="B17">
            <v>3123</v>
          </cell>
        </row>
        <row r="18">
          <cell r="A18">
            <v>21952.356945639203</v>
          </cell>
          <cell r="B18">
            <v>3299</v>
          </cell>
        </row>
        <row r="19">
          <cell r="A19">
            <v>12454.405250427999</v>
          </cell>
          <cell r="B19">
            <v>3414</v>
          </cell>
        </row>
        <row r="20">
          <cell r="A20">
            <v>-13121.576406884</v>
          </cell>
          <cell r="B20">
            <v>3516</v>
          </cell>
        </row>
        <row r="21">
          <cell r="A21">
            <v>-15523.885385764001</v>
          </cell>
          <cell r="B21">
            <v>3516</v>
          </cell>
        </row>
        <row r="22">
          <cell r="A22">
            <v>82228.588318030917</v>
          </cell>
          <cell r="B22">
            <v>3616</v>
          </cell>
        </row>
        <row r="23">
          <cell r="A23">
            <v>22019.466828463999</v>
          </cell>
          <cell r="B23">
            <v>3616</v>
          </cell>
        </row>
        <row r="24">
          <cell r="A24">
            <v>11022.245695397878</v>
          </cell>
          <cell r="B24">
            <v>3645</v>
          </cell>
        </row>
        <row r="25">
          <cell r="A25">
            <v>12612.292957768001</v>
          </cell>
          <cell r="B25">
            <v>3772</v>
          </cell>
        </row>
        <row r="26">
          <cell r="A26">
            <v>-11768.587039800999</v>
          </cell>
          <cell r="B26">
            <v>3860</v>
          </cell>
        </row>
        <row r="27">
          <cell r="A27">
            <v>13832.9649285921</v>
          </cell>
          <cell r="B27">
            <v>3888</v>
          </cell>
        </row>
        <row r="28">
          <cell r="A28">
            <v>-23974.849377080001</v>
          </cell>
          <cell r="B28">
            <v>7205</v>
          </cell>
        </row>
        <row r="29">
          <cell r="A29">
            <v>-33605.459661761</v>
          </cell>
          <cell r="B29">
            <v>7205</v>
          </cell>
        </row>
        <row r="30">
          <cell r="A30">
            <v>11219.39139696</v>
          </cell>
          <cell r="B30">
            <v>7227</v>
          </cell>
        </row>
        <row r="31">
          <cell r="A31">
            <v>-13378.176502214999</v>
          </cell>
          <cell r="B31">
            <v>7278</v>
          </cell>
        </row>
        <row r="32">
          <cell r="A32">
            <v>-24424.149663753997</v>
          </cell>
          <cell r="B32">
            <v>8398</v>
          </cell>
        </row>
        <row r="33">
          <cell r="A33">
            <v>-13093.218137086</v>
          </cell>
          <cell r="B33">
            <v>8399</v>
          </cell>
        </row>
        <row r="34">
          <cell r="A34">
            <v>23819.353959081996</v>
          </cell>
          <cell r="B34">
            <v>3990</v>
          </cell>
        </row>
        <row r="35">
          <cell r="A35">
            <v>-13405.156377808011</v>
          </cell>
          <cell r="B35">
            <v>9819</v>
          </cell>
        </row>
        <row r="36">
          <cell r="A36">
            <v>-20287.302387463002</v>
          </cell>
          <cell r="B36">
            <v>9811</v>
          </cell>
        </row>
        <row r="37">
          <cell r="A37">
            <v>-13835.179896819998</v>
          </cell>
          <cell r="B37">
            <v>5268</v>
          </cell>
        </row>
        <row r="38">
          <cell r="A38">
            <v>-11730.821938129999</v>
          </cell>
          <cell r="B38">
            <v>7769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C37"/>
  <sheetViews>
    <sheetView view="pageLayout" zoomScaleNormal="100" workbookViewId="0">
      <selection activeCell="B5" sqref="B5"/>
    </sheetView>
  </sheetViews>
  <sheetFormatPr defaultRowHeight="14.5" x14ac:dyDescent="0.35"/>
  <cols>
    <col min="1" max="1" width="47.453125" customWidth="1"/>
    <col min="2" max="2" width="25.54296875" customWidth="1"/>
    <col min="3" max="3" width="11.453125" customWidth="1"/>
  </cols>
  <sheetData>
    <row r="3" spans="1:3" ht="26" x14ac:dyDescent="0.35">
      <c r="A3" s="84" t="s">
        <v>0</v>
      </c>
      <c r="B3" s="85"/>
      <c r="C3" s="85"/>
    </row>
    <row r="4" spans="1:3" ht="14.5" customHeight="1" x14ac:dyDescent="0.35">
      <c r="B4" s="20"/>
    </row>
    <row r="5" spans="1:3" ht="18" customHeight="1" x14ac:dyDescent="0.45">
      <c r="A5" s="15" t="s">
        <v>1</v>
      </c>
      <c r="B5" s="82">
        <v>46082</v>
      </c>
    </row>
    <row r="6" spans="1:3" ht="18" customHeight="1" x14ac:dyDescent="0.45">
      <c r="A6" s="15" t="s">
        <v>2</v>
      </c>
      <c r="B6" s="20" t="s">
        <v>17</v>
      </c>
    </row>
    <row r="7" spans="1:3" ht="18" customHeight="1" x14ac:dyDescent="0.45">
      <c r="A7" s="15" t="s">
        <v>3</v>
      </c>
      <c r="B7" s="21">
        <v>46125</v>
      </c>
    </row>
    <row r="8" spans="1:3" ht="18" customHeight="1" x14ac:dyDescent="0.45">
      <c r="A8" s="15"/>
      <c r="B8" s="20"/>
    </row>
    <row r="9" spans="1:3" ht="18" customHeight="1" x14ac:dyDescent="0.45">
      <c r="A9" s="15"/>
      <c r="B9" s="20"/>
    </row>
    <row r="10" spans="1:3" ht="18" customHeight="1" x14ac:dyDescent="0.45">
      <c r="A10" s="15" t="s">
        <v>4</v>
      </c>
      <c r="B10" s="20" t="s">
        <v>17</v>
      </c>
    </row>
    <row r="11" spans="1:3" ht="18" customHeight="1" x14ac:dyDescent="0.45">
      <c r="A11" s="15" t="s">
        <v>3</v>
      </c>
      <c r="B11" s="21" t="s">
        <v>17</v>
      </c>
    </row>
    <row r="12" spans="1:3" ht="18" customHeight="1" x14ac:dyDescent="0.45">
      <c r="A12" s="15"/>
      <c r="B12" s="20"/>
    </row>
    <row r="13" spans="1:3" ht="18" customHeight="1" x14ac:dyDescent="0.45">
      <c r="A13" s="15"/>
      <c r="B13" s="20"/>
    </row>
    <row r="14" spans="1:3" ht="18" customHeight="1" x14ac:dyDescent="0.45">
      <c r="A14" s="15" t="s">
        <v>5</v>
      </c>
      <c r="B14" s="20" t="s">
        <v>17</v>
      </c>
    </row>
    <row r="15" spans="1:3" ht="18" customHeight="1" x14ac:dyDescent="0.45">
      <c r="A15" s="15" t="s">
        <v>6</v>
      </c>
      <c r="B15" s="21" t="s">
        <v>17</v>
      </c>
    </row>
    <row r="16" spans="1:3" ht="18" customHeight="1" x14ac:dyDescent="0.45">
      <c r="A16" s="15"/>
      <c r="B16" s="20"/>
    </row>
    <row r="17" spans="1:2" ht="18" customHeight="1" x14ac:dyDescent="0.45">
      <c r="A17" s="15" t="s">
        <v>7</v>
      </c>
    </row>
    <row r="18" spans="1:2" ht="18" customHeight="1" x14ac:dyDescent="0.45">
      <c r="A18" s="15" t="s">
        <v>8</v>
      </c>
    </row>
    <row r="19" spans="1:2" ht="18" customHeight="1" x14ac:dyDescent="0.45">
      <c r="A19" s="15" t="s">
        <v>3</v>
      </c>
    </row>
    <row r="20" spans="1:2" ht="18" customHeight="1" x14ac:dyDescent="0.45">
      <c r="A20" s="15"/>
    </row>
    <row r="22" spans="1:2" ht="18.5" x14ac:dyDescent="0.45">
      <c r="A22" s="15" t="s">
        <v>22</v>
      </c>
    </row>
    <row r="23" spans="1:2" ht="77.5" x14ac:dyDescent="0.35">
      <c r="A23" s="16" t="s">
        <v>23</v>
      </c>
    </row>
    <row r="24" spans="1:2" ht="15.5" x14ac:dyDescent="0.35">
      <c r="A24" s="16" t="s">
        <v>25</v>
      </c>
    </row>
    <row r="25" spans="1:2" ht="31" x14ac:dyDescent="0.35">
      <c r="A25" s="16" t="s">
        <v>21</v>
      </c>
    </row>
    <row r="26" spans="1:2" ht="46.5" x14ac:dyDescent="0.35">
      <c r="A26" s="18" t="s">
        <v>39</v>
      </c>
    </row>
    <row r="27" spans="1:2" x14ac:dyDescent="0.35">
      <c r="A27" s="2"/>
    </row>
    <row r="28" spans="1:2" x14ac:dyDescent="0.35">
      <c r="A28" s="14" t="s">
        <v>26</v>
      </c>
    </row>
    <row r="30" spans="1:2" x14ac:dyDescent="0.35">
      <c r="A30" s="14"/>
    </row>
    <row r="31" spans="1:2" x14ac:dyDescent="0.35">
      <c r="A31" s="17" t="s">
        <v>40</v>
      </c>
      <c r="B31" s="19"/>
    </row>
    <row r="32" spans="1:2" x14ac:dyDescent="0.35">
      <c r="A32" s="17" t="s">
        <v>24</v>
      </c>
      <c r="B32" s="19"/>
    </row>
    <row r="33" spans="1:2" x14ac:dyDescent="0.35">
      <c r="A33" s="17"/>
      <c r="B33" s="17"/>
    </row>
    <row r="34" spans="1:2" ht="15" thickBot="1" x14ac:dyDescent="0.4">
      <c r="A34" s="17" t="s">
        <v>41</v>
      </c>
      <c r="B34" s="17"/>
    </row>
    <row r="35" spans="1:2" x14ac:dyDescent="0.35">
      <c r="A35" s="86" t="s">
        <v>17</v>
      </c>
      <c r="B35" s="87"/>
    </row>
    <row r="36" spans="1:2" x14ac:dyDescent="0.35">
      <c r="A36" s="88"/>
      <c r="B36" s="89"/>
    </row>
    <row r="37" spans="1:2" ht="15" thickBot="1" x14ac:dyDescent="0.4">
      <c r="A37" s="90"/>
      <c r="B37" s="91"/>
    </row>
  </sheetData>
  <mergeCells count="2">
    <mergeCell ref="A3:C3"/>
    <mergeCell ref="A35:B37"/>
  </mergeCells>
  <pageMargins left="0.7" right="0.7" top="0.75" bottom="0.75" header="0.3" footer="0.3"/>
  <pageSetup paperSize="9" orientation="portrait" r:id="rId1"/>
  <headerFooter>
    <oddHeader>&amp;CCB Finance/DC Operations - Monthly KRI Report</oddHead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41"/>
  <sheetViews>
    <sheetView zoomScale="85" zoomScaleNormal="85" workbookViewId="0">
      <selection activeCell="H29" sqref="H29"/>
    </sheetView>
  </sheetViews>
  <sheetFormatPr defaultColWidth="9.1796875" defaultRowHeight="14.5" x14ac:dyDescent="0.35"/>
  <cols>
    <col min="1" max="1" width="30.81640625" style="62" customWidth="1"/>
    <col min="2" max="2" width="19.54296875" style="20" bestFit="1" customWidth="1"/>
    <col min="3" max="3" width="18.453125" style="20" customWidth="1"/>
    <col min="4" max="4" width="34.54296875" style="20" bestFit="1" customWidth="1"/>
    <col min="5" max="5" width="16.54296875" style="20" customWidth="1"/>
    <col min="6" max="6" width="18.54296875" style="20" customWidth="1"/>
    <col min="7" max="7" width="17.81640625" style="20" customWidth="1"/>
    <col min="8" max="8" width="19.81640625" style="20" customWidth="1"/>
    <col min="9" max="9" width="15" style="20" customWidth="1"/>
    <col min="10" max="10" width="17.54296875" style="20" bestFit="1" customWidth="1"/>
    <col min="11" max="11" width="15.54296875" style="20" bestFit="1" customWidth="1"/>
    <col min="12" max="15" width="5.1796875" style="20" bestFit="1" customWidth="1"/>
    <col min="16" max="16" width="6" style="20" bestFit="1" customWidth="1"/>
    <col min="17" max="16384" width="9.1796875" style="20"/>
  </cols>
  <sheetData>
    <row r="1" spans="1:16" ht="20.149999999999999" customHeight="1" x14ac:dyDescent="0.35">
      <c r="A1" s="48" t="s">
        <v>45</v>
      </c>
      <c r="B1" s="48" t="s">
        <v>16</v>
      </c>
      <c r="C1" s="48"/>
      <c r="D1" s="48" t="s">
        <v>69</v>
      </c>
      <c r="E1" s="48"/>
      <c r="F1" s="48" t="s">
        <v>70</v>
      </c>
      <c r="G1" s="48"/>
      <c r="H1" s="48" t="s">
        <v>19</v>
      </c>
      <c r="I1" s="48"/>
      <c r="P1" s="76" t="s">
        <v>76</v>
      </c>
    </row>
    <row r="2" spans="1:16" x14ac:dyDescent="0.35">
      <c r="A2" s="49" t="s">
        <v>46</v>
      </c>
      <c r="B2" s="49" t="s">
        <v>47</v>
      </c>
      <c r="C2" s="49" t="s">
        <v>48</v>
      </c>
      <c r="D2" s="49" t="s">
        <v>47</v>
      </c>
      <c r="E2" s="49" t="s">
        <v>48</v>
      </c>
      <c r="F2" s="49" t="s">
        <v>47</v>
      </c>
      <c r="G2" s="49" t="s">
        <v>48</v>
      </c>
      <c r="H2" s="49" t="s">
        <v>47</v>
      </c>
      <c r="I2" s="49" t="s">
        <v>48</v>
      </c>
      <c r="K2" s="74" t="str">
        <f>B3</f>
        <v>Q1 (March Only)</v>
      </c>
      <c r="L2" s="73">
        <f ca="1">SUMIFS( $C$3:$C$21, $B$3:$B$21, $K2)</f>
        <v>7.7966630570256906E-2</v>
      </c>
      <c r="M2" s="73">
        <f ca="1">SUMIFS( $E$3:$E$21, $D$3:$D$21, $K2)</f>
        <v>-4.9229377180336584E-2</v>
      </c>
      <c r="N2" s="73">
        <f ca="1">SUMIFS( $G$3:$G$21, $F$3:$F$21, $K2)</f>
        <v>0.47040213440054729</v>
      </c>
      <c r="O2" s="73">
        <f ca="1">SUMIFS( $I$3:$I$21, $H$3:$H$21, $K2)</f>
        <v>0</v>
      </c>
      <c r="P2" s="75">
        <f ca="1">SUM(L2:O2)</f>
        <v>0.49913938779046763</v>
      </c>
    </row>
    <row r="3" spans="1:16" x14ac:dyDescent="0.35">
      <c r="A3" s="50"/>
      <c r="B3" s="51" t="s">
        <v>104</v>
      </c>
      <c r="C3" s="53">
        <f ca="1">Detail!$B$3/1000000</f>
        <v>7.7966630570256906E-2</v>
      </c>
      <c r="D3" s="52" t="s">
        <v>49</v>
      </c>
      <c r="E3" s="52">
        <v>0</v>
      </c>
      <c r="F3" s="52" t="s">
        <v>49</v>
      </c>
      <c r="G3" s="52">
        <v>0</v>
      </c>
      <c r="H3" s="52" t="s">
        <v>49</v>
      </c>
      <c r="I3" s="52">
        <v>0</v>
      </c>
      <c r="J3" s="44"/>
      <c r="K3" s="74" t="str">
        <f>B4</f>
        <v>Q2</v>
      </c>
      <c r="L3" s="73">
        <f t="shared" ref="L3:L5" si="0">SUMIFS( $C$3:$C$21, $B$3:$B$21, $K3)</f>
        <v>0</v>
      </c>
      <c r="M3" s="73">
        <f t="shared" ref="M3:M5" si="1">SUMIFS( $E$3:$E$21, $D$3:$D$21, $K3)</f>
        <v>0</v>
      </c>
      <c r="N3" s="73">
        <f t="shared" ref="N3:N5" si="2">SUMIFS( $G$3:$G$21, $F$3:$F$21, $K3)</f>
        <v>0</v>
      </c>
      <c r="O3" s="73">
        <f t="shared" ref="O3:O5" si="3">SUMIFS( $I$3:$I$21, $H$3:$H$21, $K3)</f>
        <v>0</v>
      </c>
      <c r="P3" s="75">
        <f t="shared" ref="P3:P5" si="4">SUM(L3:O3)</f>
        <v>0</v>
      </c>
    </row>
    <row r="4" spans="1:16" x14ac:dyDescent="0.35">
      <c r="A4" s="50"/>
      <c r="B4" s="51" t="s">
        <v>50</v>
      </c>
      <c r="C4" s="80">
        <v>0</v>
      </c>
      <c r="D4" s="52" t="s">
        <v>50</v>
      </c>
      <c r="E4" s="52">
        <v>0</v>
      </c>
      <c r="F4" s="52" t="s">
        <v>50</v>
      </c>
      <c r="G4" s="52">
        <v>0</v>
      </c>
      <c r="H4" s="52" t="s">
        <v>50</v>
      </c>
      <c r="I4" s="52">
        <v>0</v>
      </c>
      <c r="J4" s="44"/>
      <c r="K4" s="74" t="str">
        <f>B5</f>
        <v>Q3</v>
      </c>
      <c r="L4" s="73">
        <f t="shared" si="0"/>
        <v>0</v>
      </c>
      <c r="M4" s="73">
        <f t="shared" si="1"/>
        <v>0</v>
      </c>
      <c r="N4" s="73">
        <f t="shared" si="2"/>
        <v>0</v>
      </c>
      <c r="O4" s="73">
        <f t="shared" si="3"/>
        <v>0</v>
      </c>
      <c r="P4" s="75">
        <f t="shared" si="4"/>
        <v>0</v>
      </c>
    </row>
    <row r="5" spans="1:16" x14ac:dyDescent="0.35">
      <c r="A5" s="50"/>
      <c r="B5" s="51" t="s">
        <v>51</v>
      </c>
      <c r="C5" s="80">
        <v>0</v>
      </c>
      <c r="D5" s="52" t="s">
        <v>51</v>
      </c>
      <c r="E5" s="52">
        <v>0</v>
      </c>
      <c r="F5" s="52" t="s">
        <v>51</v>
      </c>
      <c r="G5" s="52">
        <v>0</v>
      </c>
      <c r="H5" s="52" t="s">
        <v>51</v>
      </c>
      <c r="I5" s="52">
        <v>0</v>
      </c>
      <c r="J5" s="44"/>
      <c r="K5" s="74" t="str">
        <f>B6</f>
        <v>Q4</v>
      </c>
      <c r="L5" s="73">
        <f t="shared" si="0"/>
        <v>0</v>
      </c>
      <c r="M5" s="73">
        <f t="shared" si="1"/>
        <v>0</v>
      </c>
      <c r="N5" s="73">
        <f t="shared" si="2"/>
        <v>0</v>
      </c>
      <c r="O5" s="73">
        <f t="shared" si="3"/>
        <v>0</v>
      </c>
      <c r="P5" s="75">
        <f t="shared" si="4"/>
        <v>0</v>
      </c>
    </row>
    <row r="6" spans="1:16" x14ac:dyDescent="0.35">
      <c r="A6" s="50"/>
      <c r="B6" s="51" t="s">
        <v>52</v>
      </c>
      <c r="C6" s="80">
        <v>0</v>
      </c>
      <c r="D6" s="52" t="s">
        <v>52</v>
      </c>
      <c r="E6" s="52">
        <v>0</v>
      </c>
      <c r="F6" s="52" t="s">
        <v>52</v>
      </c>
      <c r="G6" s="52">
        <v>0</v>
      </c>
      <c r="H6" s="52" t="s">
        <v>52</v>
      </c>
      <c r="I6" s="52">
        <v>0</v>
      </c>
      <c r="J6" s="44"/>
      <c r="K6" s="76" t="s">
        <v>76</v>
      </c>
      <c r="L6" s="77">
        <f ca="1">SUM(L2:L5)</f>
        <v>7.7966630570256906E-2</v>
      </c>
      <c r="M6" s="77">
        <f t="shared" ref="M6:O6" ca="1" si="5">SUM(M2:M5)</f>
        <v>-4.9229377180336584E-2</v>
      </c>
      <c r="N6" s="77">
        <f t="shared" ca="1" si="5"/>
        <v>0.47040213440054729</v>
      </c>
      <c r="O6" s="77">
        <f t="shared" ca="1" si="5"/>
        <v>0</v>
      </c>
      <c r="P6" s="75">
        <f ca="1">SUM(L6:O6)</f>
        <v>0.49913938779046763</v>
      </c>
    </row>
    <row r="7" spans="1:16" x14ac:dyDescent="0.35">
      <c r="A7" s="50" t="s">
        <v>53</v>
      </c>
      <c r="B7" s="52" t="s">
        <v>47</v>
      </c>
      <c r="C7" s="52" t="s">
        <v>48</v>
      </c>
      <c r="D7" s="52" t="s">
        <v>47</v>
      </c>
      <c r="E7" s="52" t="s">
        <v>48</v>
      </c>
      <c r="F7" s="52" t="s">
        <v>47</v>
      </c>
      <c r="G7" s="52" t="s">
        <v>48</v>
      </c>
      <c r="H7" s="52" t="s">
        <v>47</v>
      </c>
      <c r="I7" s="52" t="s">
        <v>48</v>
      </c>
      <c r="J7" s="44"/>
      <c r="K7" s="44"/>
      <c r="L7" s="44"/>
    </row>
    <row r="8" spans="1:16" x14ac:dyDescent="0.35">
      <c r="A8" s="50" t="s">
        <v>54</v>
      </c>
      <c r="B8" s="52" t="s">
        <v>49</v>
      </c>
      <c r="C8" s="52">
        <v>0</v>
      </c>
      <c r="D8" s="51" t="str">
        <f t="shared" ref="D8:D10" si="6">B3</f>
        <v>Q1 (March Only)</v>
      </c>
      <c r="E8" s="53">
        <f ca="1">Detail!$B$6/1000000</f>
        <v>-4.9229377180336584E-2</v>
      </c>
      <c r="F8" s="51" t="str">
        <f t="shared" ref="F8:F10" si="7">B3</f>
        <v>Q1 (March Only)</v>
      </c>
      <c r="G8" s="53">
        <f ca="1">Detail!$B$36/1000000</f>
        <v>0.47040213440054729</v>
      </c>
      <c r="H8" s="52" t="s">
        <v>49</v>
      </c>
      <c r="I8" s="52">
        <v>0</v>
      </c>
      <c r="J8" s="44"/>
      <c r="K8" s="44"/>
      <c r="L8" s="44"/>
    </row>
    <row r="9" spans="1:16" x14ac:dyDescent="0.35">
      <c r="A9" s="50"/>
      <c r="B9" s="52" t="s">
        <v>50</v>
      </c>
      <c r="C9" s="52">
        <v>0</v>
      </c>
      <c r="D9" s="51" t="str">
        <f t="shared" si="6"/>
        <v>Q2</v>
      </c>
      <c r="E9" s="80">
        <v>0</v>
      </c>
      <c r="F9" s="51" t="str">
        <f t="shared" si="7"/>
        <v>Q2</v>
      </c>
      <c r="G9" s="80">
        <v>0</v>
      </c>
      <c r="H9" s="52" t="s">
        <v>50</v>
      </c>
      <c r="I9" s="52">
        <v>0</v>
      </c>
      <c r="J9" s="44"/>
      <c r="K9" s="44"/>
      <c r="L9" s="44"/>
    </row>
    <row r="10" spans="1:16" x14ac:dyDescent="0.35">
      <c r="A10" s="50"/>
      <c r="B10" s="52" t="s">
        <v>51</v>
      </c>
      <c r="C10" s="52">
        <v>0</v>
      </c>
      <c r="D10" s="51" t="str">
        <f t="shared" si="6"/>
        <v>Q3</v>
      </c>
      <c r="E10" s="80">
        <v>0</v>
      </c>
      <c r="F10" s="51" t="str">
        <f t="shared" si="7"/>
        <v>Q3</v>
      </c>
      <c r="G10" s="80">
        <v>0</v>
      </c>
      <c r="H10" s="52" t="s">
        <v>51</v>
      </c>
      <c r="I10" s="52">
        <v>0</v>
      </c>
      <c r="J10" s="44"/>
      <c r="K10" s="44"/>
      <c r="L10" s="44"/>
    </row>
    <row r="11" spans="1:16" x14ac:dyDescent="0.35">
      <c r="A11" s="50"/>
      <c r="B11" s="52" t="s">
        <v>52</v>
      </c>
      <c r="C11" s="52">
        <v>0</v>
      </c>
      <c r="D11" s="51" t="str">
        <f>B6</f>
        <v>Q4</v>
      </c>
      <c r="E11" s="80">
        <v>0</v>
      </c>
      <c r="F11" s="51" t="str">
        <f>B6</f>
        <v>Q4</v>
      </c>
      <c r="G11" s="80">
        <v>0</v>
      </c>
      <c r="H11" s="52" t="s">
        <v>52</v>
      </c>
      <c r="I11" s="52">
        <v>0</v>
      </c>
      <c r="J11" s="44"/>
      <c r="K11" s="44"/>
      <c r="L11" s="44"/>
    </row>
    <row r="12" spans="1:16" x14ac:dyDescent="0.35">
      <c r="A12" s="50" t="s">
        <v>53</v>
      </c>
      <c r="B12" s="52" t="s">
        <v>47</v>
      </c>
      <c r="C12" s="52" t="s">
        <v>48</v>
      </c>
      <c r="D12" s="52" t="s">
        <v>47</v>
      </c>
      <c r="E12" s="52" t="s">
        <v>48</v>
      </c>
      <c r="F12" s="52" t="s">
        <v>47</v>
      </c>
      <c r="G12" s="52" t="s">
        <v>48</v>
      </c>
      <c r="H12" s="52" t="s">
        <v>47</v>
      </c>
      <c r="I12" s="52" t="s">
        <v>48</v>
      </c>
      <c r="J12" s="44"/>
      <c r="K12" s="44"/>
      <c r="L12" s="44"/>
    </row>
    <row r="13" spans="1:16" x14ac:dyDescent="0.35">
      <c r="A13" s="50" t="s">
        <v>55</v>
      </c>
      <c r="B13" s="52" t="s">
        <v>49</v>
      </c>
      <c r="C13" s="52">
        <v>0</v>
      </c>
      <c r="D13" s="52" t="s">
        <v>49</v>
      </c>
      <c r="E13" s="52">
        <v>0</v>
      </c>
      <c r="F13" s="52" t="s">
        <v>49</v>
      </c>
      <c r="G13" s="52">
        <v>0</v>
      </c>
      <c r="H13" s="51" t="str">
        <f t="shared" ref="H13:H15" si="8">B3</f>
        <v>Q1 (March Only)</v>
      </c>
      <c r="I13" s="53">
        <f>Detail!$B$39</f>
        <v>0</v>
      </c>
      <c r="J13" s="44"/>
      <c r="K13" s="44"/>
      <c r="L13" s="44"/>
    </row>
    <row r="14" spans="1:16" x14ac:dyDescent="0.35">
      <c r="A14" s="50"/>
      <c r="B14" s="52" t="s">
        <v>50</v>
      </c>
      <c r="C14" s="52">
        <v>0</v>
      </c>
      <c r="D14" s="52" t="s">
        <v>50</v>
      </c>
      <c r="E14" s="52">
        <v>0</v>
      </c>
      <c r="F14" s="52" t="s">
        <v>50</v>
      </c>
      <c r="G14" s="52">
        <v>0</v>
      </c>
      <c r="H14" s="51" t="str">
        <f t="shared" si="8"/>
        <v>Q2</v>
      </c>
      <c r="I14" s="80">
        <v>0</v>
      </c>
      <c r="J14" s="44"/>
      <c r="K14" s="44"/>
      <c r="L14" s="44"/>
    </row>
    <row r="15" spans="1:16" x14ac:dyDescent="0.35">
      <c r="A15" s="50"/>
      <c r="B15" s="52" t="s">
        <v>51</v>
      </c>
      <c r="C15" s="52">
        <v>0</v>
      </c>
      <c r="D15" s="52" t="s">
        <v>51</v>
      </c>
      <c r="E15" s="52">
        <v>0</v>
      </c>
      <c r="F15" s="52" t="s">
        <v>51</v>
      </c>
      <c r="G15" s="52">
        <v>0</v>
      </c>
      <c r="H15" s="51" t="str">
        <f t="shared" si="8"/>
        <v>Q3</v>
      </c>
      <c r="I15" s="80">
        <v>0</v>
      </c>
      <c r="J15" s="44"/>
      <c r="K15" s="44"/>
      <c r="L15" s="44"/>
    </row>
    <row r="16" spans="1:16" x14ac:dyDescent="0.35">
      <c r="A16" s="50"/>
      <c r="B16" s="52" t="s">
        <v>52</v>
      </c>
      <c r="C16" s="52">
        <v>0</v>
      </c>
      <c r="D16" s="52" t="s">
        <v>52</v>
      </c>
      <c r="E16" s="52">
        <v>0</v>
      </c>
      <c r="F16" s="52" t="s">
        <v>52</v>
      </c>
      <c r="G16" s="52">
        <v>0</v>
      </c>
      <c r="H16" s="51" t="str">
        <f>B6</f>
        <v>Q4</v>
      </c>
      <c r="I16" s="80">
        <v>0</v>
      </c>
      <c r="J16" s="44"/>
      <c r="K16" s="44"/>
      <c r="L16" s="44"/>
    </row>
    <row r="17" spans="1:12" x14ac:dyDescent="0.35">
      <c r="A17" s="50" t="s">
        <v>56</v>
      </c>
      <c r="B17" s="52" t="s">
        <v>47</v>
      </c>
      <c r="C17" s="52" t="s">
        <v>48</v>
      </c>
      <c r="D17" s="52" t="s">
        <v>47</v>
      </c>
      <c r="E17" s="52" t="s">
        <v>48</v>
      </c>
      <c r="F17" s="52" t="s">
        <v>47</v>
      </c>
      <c r="G17" s="52" t="s">
        <v>48</v>
      </c>
      <c r="H17" s="52" t="s">
        <v>47</v>
      </c>
      <c r="I17" s="52" t="s">
        <v>48</v>
      </c>
      <c r="J17" s="44"/>
      <c r="K17" s="44"/>
      <c r="L17" s="44"/>
    </row>
    <row r="18" spans="1:12" x14ac:dyDescent="0.35">
      <c r="A18" s="50"/>
      <c r="B18" s="52" t="s">
        <v>49</v>
      </c>
      <c r="C18" s="52">
        <v>0</v>
      </c>
      <c r="D18" s="52" t="s">
        <v>49</v>
      </c>
      <c r="E18" s="52">
        <v>0</v>
      </c>
      <c r="F18" s="52" t="s">
        <v>49</v>
      </c>
      <c r="G18" s="52">
        <v>0</v>
      </c>
      <c r="H18" s="51" t="str">
        <f t="shared" ref="H18:H20" si="9">B3</f>
        <v>Q1 (March Only)</v>
      </c>
      <c r="I18" s="53">
        <f ca="1">Detail!$B$42/1000000</f>
        <v>0</v>
      </c>
      <c r="J18" s="44"/>
      <c r="K18" s="44"/>
      <c r="L18" s="44"/>
    </row>
    <row r="19" spans="1:12" x14ac:dyDescent="0.35">
      <c r="A19" s="50"/>
      <c r="B19" s="52" t="s">
        <v>50</v>
      </c>
      <c r="C19" s="52">
        <v>0</v>
      </c>
      <c r="D19" s="52" t="s">
        <v>50</v>
      </c>
      <c r="E19" s="52">
        <v>0</v>
      </c>
      <c r="F19" s="52" t="s">
        <v>50</v>
      </c>
      <c r="G19" s="52">
        <v>0</v>
      </c>
      <c r="H19" s="51" t="str">
        <f t="shared" si="9"/>
        <v>Q2</v>
      </c>
      <c r="I19" s="80">
        <v>0</v>
      </c>
      <c r="J19" s="44"/>
      <c r="K19" s="44"/>
      <c r="L19" s="44"/>
    </row>
    <row r="20" spans="1:12" x14ac:dyDescent="0.35">
      <c r="A20" s="50"/>
      <c r="B20" s="52" t="s">
        <v>51</v>
      </c>
      <c r="C20" s="52">
        <v>0</v>
      </c>
      <c r="D20" s="52" t="s">
        <v>51</v>
      </c>
      <c r="E20" s="52">
        <v>0</v>
      </c>
      <c r="F20" s="52" t="s">
        <v>51</v>
      </c>
      <c r="G20" s="52">
        <v>0</v>
      </c>
      <c r="H20" s="51" t="str">
        <f t="shared" si="9"/>
        <v>Q3</v>
      </c>
      <c r="I20" s="80">
        <v>0</v>
      </c>
      <c r="J20" s="44"/>
      <c r="K20" s="44"/>
      <c r="L20" s="44"/>
    </row>
    <row r="21" spans="1:12" x14ac:dyDescent="0.35">
      <c r="A21" s="50"/>
      <c r="B21" s="52" t="s">
        <v>52</v>
      </c>
      <c r="C21" s="52">
        <v>0</v>
      </c>
      <c r="D21" s="52" t="s">
        <v>52</v>
      </c>
      <c r="E21" s="52">
        <v>0</v>
      </c>
      <c r="F21" s="52" t="s">
        <v>52</v>
      </c>
      <c r="G21" s="52">
        <v>0</v>
      </c>
      <c r="H21" s="51" t="str">
        <f>B6</f>
        <v>Q4</v>
      </c>
      <c r="I21" s="80">
        <v>0</v>
      </c>
      <c r="J21" s="83" t="str">
        <f>B3</f>
        <v>Q1 (March Only)</v>
      </c>
      <c r="K21" s="44"/>
      <c r="L21" s="44"/>
    </row>
    <row r="22" spans="1:12" x14ac:dyDescent="0.35">
      <c r="A22" s="50"/>
      <c r="B22" s="52"/>
      <c r="C22" s="52"/>
      <c r="D22" s="52"/>
      <c r="E22" s="52"/>
      <c r="F22" s="52"/>
      <c r="G22" s="52"/>
      <c r="H22" s="52"/>
      <c r="I22" s="52"/>
      <c r="J22" s="35" t="s">
        <v>57</v>
      </c>
      <c r="K22" s="44"/>
      <c r="L22" s="44"/>
    </row>
    <row r="23" spans="1:12" x14ac:dyDescent="0.35">
      <c r="A23" s="50" t="s">
        <v>66</v>
      </c>
      <c r="B23" s="52"/>
      <c r="C23" s="54">
        <f>C6</f>
        <v>0</v>
      </c>
      <c r="D23" s="55"/>
      <c r="E23" s="54">
        <f>E11</f>
        <v>0</v>
      </c>
      <c r="F23" s="55"/>
      <c r="G23" s="54">
        <f>G11</f>
        <v>0</v>
      </c>
      <c r="H23" s="55"/>
      <c r="I23" s="42">
        <f>I21+I16</f>
        <v>0</v>
      </c>
      <c r="J23" s="42">
        <f>I23+E23+G23+C23</f>
        <v>0</v>
      </c>
      <c r="K23" s="44"/>
      <c r="L23" s="44"/>
    </row>
    <row r="24" spans="1:12" x14ac:dyDescent="0.35">
      <c r="A24" s="56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ht="15.5" x14ac:dyDescent="0.35">
      <c r="A25" s="57" t="s">
        <v>73</v>
      </c>
      <c r="B25" s="58"/>
      <c r="C25" s="44"/>
      <c r="D25" s="44"/>
      <c r="E25" s="44"/>
      <c r="I25" s="44"/>
      <c r="J25" s="46">
        <f ca="1">J23-E31/10^6</f>
        <v>-0.49913938779046763</v>
      </c>
      <c r="K25" s="44"/>
      <c r="L25" s="44"/>
    </row>
    <row r="26" spans="1:12" x14ac:dyDescent="0.35">
      <c r="A26" s="63" t="s">
        <v>72</v>
      </c>
      <c r="B26" s="78"/>
      <c r="C26" s="78"/>
      <c r="D26" s="78"/>
      <c r="E26" s="36">
        <f ca="1">Detail!B3</f>
        <v>77966.630570256908</v>
      </c>
      <c r="F26" s="36"/>
      <c r="G26" s="36"/>
      <c r="H26" s="36"/>
      <c r="I26" s="36"/>
      <c r="J26" s="36"/>
      <c r="K26" s="36"/>
      <c r="L26" s="44"/>
    </row>
    <row r="27" spans="1:12" ht="15" customHeight="1" x14ac:dyDescent="0.35">
      <c r="A27" s="63" t="s">
        <v>58</v>
      </c>
      <c r="B27" s="38"/>
      <c r="C27" s="38"/>
      <c r="D27" s="44"/>
      <c r="E27" s="36">
        <f ca="1">Detail!B6</f>
        <v>-49229.377180336582</v>
      </c>
      <c r="F27" s="36"/>
      <c r="G27" s="36"/>
      <c r="H27" s="36"/>
      <c r="I27" s="36"/>
      <c r="J27" s="36"/>
      <c r="K27" s="36"/>
      <c r="L27" s="44"/>
    </row>
    <row r="28" spans="1:12" ht="15" customHeight="1" x14ac:dyDescent="0.35">
      <c r="A28" s="63" t="s">
        <v>59</v>
      </c>
      <c r="B28" s="56"/>
      <c r="C28" s="56"/>
      <c r="D28" s="38"/>
      <c r="E28" s="37">
        <f ca="1">Detail!B36</f>
        <v>470402.13440054731</v>
      </c>
      <c r="F28" s="36"/>
      <c r="G28" s="36"/>
      <c r="H28" s="36"/>
      <c r="I28" s="36"/>
      <c r="J28" s="36"/>
      <c r="K28" s="36"/>
      <c r="L28" s="44"/>
    </row>
    <row r="29" spans="1:12" ht="15" customHeight="1" x14ac:dyDescent="0.35">
      <c r="A29" s="63" t="s">
        <v>60</v>
      </c>
      <c r="B29" s="56"/>
      <c r="C29" s="56"/>
      <c r="D29" s="38"/>
      <c r="E29" s="36">
        <f>Detail!B39</f>
        <v>0</v>
      </c>
      <c r="F29" s="36"/>
      <c r="G29" s="36"/>
      <c r="H29" s="36"/>
      <c r="I29" s="36"/>
      <c r="J29" s="36"/>
      <c r="K29" s="36"/>
      <c r="L29" s="44"/>
    </row>
    <row r="30" spans="1:12" x14ac:dyDescent="0.35">
      <c r="A30" s="64" t="s">
        <v>61</v>
      </c>
      <c r="B30" s="38"/>
      <c r="C30" s="38"/>
      <c r="D30" s="38"/>
      <c r="E30" s="36">
        <f ca="1">Detail!B42</f>
        <v>0</v>
      </c>
      <c r="F30" s="36"/>
      <c r="G30" s="36"/>
      <c r="H30" s="38"/>
      <c r="I30" s="38"/>
      <c r="J30" s="44"/>
      <c r="K30" s="44"/>
      <c r="L30" s="44"/>
    </row>
    <row r="31" spans="1:12" x14ac:dyDescent="0.35">
      <c r="A31" s="64" t="s">
        <v>62</v>
      </c>
      <c r="B31" s="38"/>
      <c r="C31" s="38"/>
      <c r="D31" s="38"/>
      <c r="E31" s="39">
        <f ca="1">SUM(E26:E30)</f>
        <v>499139.38779046765</v>
      </c>
      <c r="F31" s="39"/>
      <c r="G31" s="39"/>
      <c r="H31" s="37"/>
      <c r="I31" s="38"/>
      <c r="J31" s="44"/>
      <c r="K31" s="44"/>
      <c r="L31" s="44"/>
    </row>
    <row r="32" spans="1:12" x14ac:dyDescent="0.35">
      <c r="A32" s="56"/>
      <c r="B32" s="44"/>
      <c r="C32" s="44"/>
      <c r="D32" s="44"/>
      <c r="E32" s="44"/>
      <c r="F32" s="44"/>
      <c r="G32" s="44"/>
      <c r="H32" s="36"/>
      <c r="I32" s="44"/>
      <c r="J32" s="44"/>
      <c r="K32" s="44"/>
      <c r="L32" s="44"/>
    </row>
    <row r="33" spans="1:12" x14ac:dyDescent="0.35">
      <c r="A33" s="56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 x14ac:dyDescent="0.35">
      <c r="A34" s="50" t="s">
        <v>63</v>
      </c>
      <c r="B34" s="52">
        <v>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spans="1:12" x14ac:dyDescent="0.35">
      <c r="A35" s="50" t="s">
        <v>77</v>
      </c>
      <c r="B35" s="52">
        <v>0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29" x14ac:dyDescent="0.35">
      <c r="A36" s="50" t="s">
        <v>64</v>
      </c>
      <c r="B36" s="59" t="s">
        <v>65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</row>
    <row r="37" spans="1:12" x14ac:dyDescent="0.35">
      <c r="A37" s="56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spans="1:12" x14ac:dyDescent="0.35">
      <c r="A38" s="60"/>
      <c r="B38" s="61"/>
      <c r="C38" s="61"/>
      <c r="D38" s="61"/>
    </row>
    <row r="39" spans="1:12" x14ac:dyDescent="0.35">
      <c r="A39" s="60"/>
      <c r="B39" s="61"/>
      <c r="C39" s="61"/>
      <c r="D39" s="61"/>
    </row>
    <row r="40" spans="1:12" x14ac:dyDescent="0.35">
      <c r="A40" s="60"/>
      <c r="B40" s="61"/>
      <c r="C40" s="61"/>
      <c r="D40" s="61"/>
    </row>
    <row r="41" spans="1:12" x14ac:dyDescent="0.35">
      <c r="A41" s="60"/>
      <c r="B41" s="61"/>
      <c r="C41" s="61"/>
      <c r="D41" s="61"/>
    </row>
  </sheetData>
  <phoneticPr fontId="28" type="noConversion"/>
  <conditionalFormatting sqref="D3:E6 H3:I12 C7:E7 C8:C11 H22:I22 H23">
    <cfRule type="cellIs" dxfId="19" priority="82" operator="lessThan">
      <formula>0</formula>
    </cfRule>
    <cfRule type="cellIs" dxfId="18" priority="83" operator="greaterThan">
      <formula>0</formula>
    </cfRule>
  </conditionalFormatting>
  <conditionalFormatting sqref="E26:I29 F29:J29 E30:G31">
    <cfRule type="cellIs" dxfId="17" priority="80" operator="lessThan">
      <formula>0</formula>
    </cfRule>
    <cfRule type="cellIs" dxfId="16" priority="81" operator="greaterThan">
      <formula>0</formula>
    </cfRule>
  </conditionalFormatting>
  <conditionalFormatting sqref="F3:G7 C12:G23">
    <cfRule type="cellIs" dxfId="15" priority="38" operator="lessThan">
      <formula>0</formula>
    </cfRule>
    <cfRule type="cellIs" dxfId="14" priority="39" operator="greaterThan">
      <formula>0</formula>
    </cfRule>
  </conditionalFormatting>
  <conditionalFormatting sqref="H32">
    <cfRule type="cellIs" dxfId="13" priority="27" operator="lessThan">
      <formula>0</formula>
    </cfRule>
    <cfRule type="cellIs" dxfId="12" priority="28" operator="greaterThan">
      <formula>0</formula>
    </cfRule>
  </conditionalFormatting>
  <conditionalFormatting sqref="H17:I17">
    <cfRule type="cellIs" dxfId="11" priority="40" operator="lessThan">
      <formula>0</formula>
    </cfRule>
    <cfRule type="cellIs" dxfId="10" priority="41" operator="greaterThan">
      <formula>0</formula>
    </cfRule>
  </conditionalFormatting>
  <conditionalFormatting sqref="I26:K28">
    <cfRule type="cellIs" dxfId="9" priority="33" operator="lessThan">
      <formula>0</formula>
    </cfRule>
    <cfRule type="cellIs" dxfId="8" priority="34" operator="greaterThan">
      <formula>0</formula>
    </cfRule>
  </conditionalFormatting>
  <conditionalFormatting sqref="J25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K26:K29">
    <cfRule type="cellIs" dxfId="5" priority="29" operator="lessThan">
      <formula>0</formula>
    </cfRule>
    <cfRule type="cellIs" dxfId="4" priority="30" operator="greaterThan">
      <formula>0</formula>
    </cfRule>
  </conditionalFormatting>
  <pageMargins left="0.25" right="0.25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52"/>
  <sheetViews>
    <sheetView tabSelected="1" zoomScale="95" zoomScaleNormal="95" workbookViewId="0">
      <pane xSplit="2" ySplit="2" topLeftCell="C3" activePane="bottomRight" state="frozen"/>
      <selection activeCell="B8" sqref="B8"/>
      <selection pane="topRight" activeCell="B8" sqref="B8"/>
      <selection pane="bottomLeft" activeCell="B8" sqref="B8"/>
      <selection pane="bottomRight" activeCell="E7" sqref="E7:E34"/>
    </sheetView>
  </sheetViews>
  <sheetFormatPr defaultRowHeight="14.5" x14ac:dyDescent="0.35"/>
  <cols>
    <col min="1" max="1" width="30.81640625" customWidth="1"/>
    <col min="2" max="2" width="15.54296875" bestFit="1" customWidth="1"/>
    <col min="3" max="3" width="15.81640625" bestFit="1" customWidth="1"/>
    <col min="4" max="4" width="13.453125" bestFit="1" customWidth="1"/>
    <col min="5" max="5" width="15.54296875" bestFit="1" customWidth="1"/>
    <col min="6" max="6" width="15.81640625" bestFit="1" customWidth="1"/>
    <col min="7" max="7" width="17.453125" bestFit="1" customWidth="1"/>
    <col min="8" max="8" width="116.1796875" customWidth="1"/>
    <col min="9" max="9" width="12.453125" customWidth="1"/>
  </cols>
  <sheetData>
    <row r="1" spans="1:28" ht="43.5" x14ac:dyDescent="0.35">
      <c r="A1" s="6" t="s">
        <v>9</v>
      </c>
      <c r="B1" s="6" t="s">
        <v>10</v>
      </c>
      <c r="C1" s="6" t="s">
        <v>11</v>
      </c>
      <c r="D1" s="6" t="s">
        <v>42</v>
      </c>
      <c r="E1" s="6" t="s">
        <v>12</v>
      </c>
      <c r="F1" s="6" t="s">
        <v>74</v>
      </c>
      <c r="G1" s="6" t="s">
        <v>13</v>
      </c>
      <c r="H1" s="6" t="s">
        <v>14</v>
      </c>
    </row>
    <row r="2" spans="1:28" x14ac:dyDescent="0.35">
      <c r="A2" s="6"/>
      <c r="B2" s="6"/>
      <c r="C2" s="6"/>
      <c r="D2" s="6"/>
      <c r="E2" s="6"/>
      <c r="F2" s="6" t="s">
        <v>68</v>
      </c>
      <c r="G2" s="6" t="s">
        <v>71</v>
      </c>
      <c r="H2" s="6" t="s">
        <v>15</v>
      </c>
    </row>
    <row r="3" spans="1:28" ht="29" x14ac:dyDescent="0.35">
      <c r="A3" s="5" t="str">
        <f ca="1">'Summary '!A26</f>
        <v>Approps over the month (1 day timing delay)</v>
      </c>
      <c r="B3" s="23">
        <f ca="1">[1]Summary!$B$25</f>
        <v>77966.630570256908</v>
      </c>
      <c r="C3" s="13"/>
      <c r="D3" s="13"/>
      <c r="E3" s="31"/>
      <c r="F3" s="31"/>
      <c r="G3" s="13"/>
      <c r="H3" s="4" t="s">
        <v>27</v>
      </c>
    </row>
    <row r="4" spans="1:28" x14ac:dyDescent="0.35">
      <c r="A4" s="7"/>
      <c r="B4" s="23"/>
      <c r="C4" s="24"/>
      <c r="D4" s="24"/>
      <c r="E4" s="25" t="s">
        <v>17</v>
      </c>
      <c r="F4" s="25"/>
      <c r="G4" s="24"/>
      <c r="H4" s="7"/>
    </row>
    <row r="5" spans="1:28" x14ac:dyDescent="0.35">
      <c r="A5" s="5" t="s">
        <v>18</v>
      </c>
      <c r="B5" s="23"/>
      <c r="C5" s="13"/>
      <c r="D5" s="13"/>
      <c r="E5" s="26"/>
      <c r="F5" s="26"/>
      <c r="G5" s="13"/>
      <c r="H5" s="4"/>
    </row>
    <row r="6" spans="1:28" ht="29" x14ac:dyDescent="0.35">
      <c r="A6" s="22" t="s">
        <v>43</v>
      </c>
      <c r="B6" s="23">
        <f ca="1">[1]Summary!$B$26</f>
        <v>-49229.377180336582</v>
      </c>
      <c r="C6" s="13"/>
      <c r="D6" s="13"/>
      <c r="E6" s="23"/>
      <c r="F6" s="23"/>
      <c r="G6" s="26"/>
      <c r="H6" s="32"/>
    </row>
    <row r="7" spans="1:28" ht="26" x14ac:dyDescent="0.35">
      <c r="A7" s="22"/>
      <c r="B7" s="23"/>
      <c r="C7" s="69">
        <f ca="1">'[1]DC Timing Costs Pivot'!B11</f>
        <v>1987</v>
      </c>
      <c r="D7" s="69"/>
      <c r="E7" s="72">
        <f ca="1">'[1]DC Timing Costs Pivot'!A11</f>
        <v>10752.114136843</v>
      </c>
      <c r="F7" s="92">
        <v>610760</v>
      </c>
      <c r="G7" s="71"/>
      <c r="H7" s="71" t="s">
        <v>81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26" x14ac:dyDescent="0.35">
      <c r="A8" s="22"/>
      <c r="B8" s="23"/>
      <c r="C8" s="69">
        <f ca="1">'[1]DC Timing Costs Pivot'!B12</f>
        <v>2549</v>
      </c>
      <c r="D8" s="69"/>
      <c r="E8" s="72">
        <f ca="1">'[1]DC Timing Costs Pivot'!A12</f>
        <v>-14636.398874194001</v>
      </c>
      <c r="F8" s="92">
        <v>731936</v>
      </c>
      <c r="G8" s="71"/>
      <c r="H8" s="71" t="s">
        <v>82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26" x14ac:dyDescent="0.35">
      <c r="A9" s="22"/>
      <c r="B9" s="23"/>
      <c r="C9" s="69">
        <f ca="1">'[1]DC Timing Costs Pivot'!B13</f>
        <v>2549</v>
      </c>
      <c r="D9" s="69"/>
      <c r="E9" s="72">
        <f ca="1">'[1]DC Timing Costs Pivot'!A13</f>
        <v>-10374.402834558001</v>
      </c>
      <c r="F9" s="92"/>
      <c r="G9" s="71"/>
      <c r="H9" s="71" t="s">
        <v>83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26" x14ac:dyDescent="0.35">
      <c r="A10" s="22"/>
      <c r="B10" s="23"/>
      <c r="C10" s="69">
        <f ca="1">'[1]DC Timing Costs Pivot'!B14</f>
        <v>2945</v>
      </c>
      <c r="D10" s="69"/>
      <c r="E10" s="72">
        <f ca="1">'[1]DC Timing Costs Pivot'!A14</f>
        <v>-33040.043497050901</v>
      </c>
      <c r="F10" s="92"/>
      <c r="G10" s="71"/>
      <c r="H10" s="71" t="s">
        <v>84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26" x14ac:dyDescent="0.35">
      <c r="A11" s="22"/>
      <c r="B11" s="23"/>
      <c r="C11" s="69">
        <f ca="1">'[1]DC Timing Costs Pivot'!B15</f>
        <v>3000</v>
      </c>
      <c r="D11" s="69"/>
      <c r="E11" s="72">
        <f ca="1">'[1]DC Timing Costs Pivot'!A15</f>
        <v>25541.017190469996</v>
      </c>
      <c r="F11" s="92"/>
      <c r="G11" s="71"/>
      <c r="H11" s="71" t="s">
        <v>85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26" x14ac:dyDescent="0.35">
      <c r="A12" s="22"/>
      <c r="B12" s="23"/>
      <c r="C12" s="69">
        <f ca="1">'[1]DC Timing Costs Pivot'!B16</f>
        <v>3123</v>
      </c>
      <c r="D12" s="69"/>
      <c r="E12" s="72">
        <f ca="1">'[1]DC Timing Costs Pivot'!A16</f>
        <v>11618.87056711601</v>
      </c>
      <c r="F12" s="92"/>
      <c r="G12" s="71"/>
      <c r="H12" s="71" t="s">
        <v>86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26" x14ac:dyDescent="0.35">
      <c r="A13" s="22"/>
      <c r="B13" s="23"/>
      <c r="C13" s="69">
        <f ca="1">'[1]DC Timing Costs Pivot'!B17</f>
        <v>3123</v>
      </c>
      <c r="D13" s="69"/>
      <c r="E13" s="72">
        <f ca="1">'[1]DC Timing Costs Pivot'!A17</f>
        <v>13440.107656880096</v>
      </c>
      <c r="F13" s="92"/>
      <c r="G13" s="71"/>
      <c r="H13" s="71" t="s">
        <v>87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26" x14ac:dyDescent="0.35">
      <c r="A14" s="22"/>
      <c r="B14" s="23"/>
      <c r="C14" s="69">
        <f ca="1">'[1]DC Timing Costs Pivot'!B18</f>
        <v>3299</v>
      </c>
      <c r="D14" s="69"/>
      <c r="E14" s="72">
        <f ca="1">'[1]DC Timing Costs Pivot'!A18</f>
        <v>21952.356945639203</v>
      </c>
      <c r="F14" s="92"/>
      <c r="G14" s="71"/>
      <c r="H14" s="71" t="s">
        <v>88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26" x14ac:dyDescent="0.35">
      <c r="A15" s="22"/>
      <c r="B15" s="23"/>
      <c r="C15" s="69">
        <f ca="1">'[1]DC Timing Costs Pivot'!B19</f>
        <v>3414</v>
      </c>
      <c r="D15" s="69"/>
      <c r="E15" s="72">
        <f ca="1">'[1]DC Timing Costs Pivot'!A19</f>
        <v>12454.405250427999</v>
      </c>
      <c r="F15" s="92"/>
      <c r="G15" s="71"/>
      <c r="H15" s="71" t="s">
        <v>89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26" x14ac:dyDescent="0.35">
      <c r="A16" s="22"/>
      <c r="B16" s="23"/>
      <c r="C16" s="69">
        <f ca="1">'[1]DC Timing Costs Pivot'!B20</f>
        <v>3516</v>
      </c>
      <c r="D16" s="69"/>
      <c r="E16" s="72">
        <f ca="1">'[1]DC Timing Costs Pivot'!A20</f>
        <v>-13121.576406884</v>
      </c>
      <c r="F16" s="92"/>
      <c r="G16" s="71"/>
      <c r="H16" s="71" t="s">
        <v>90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26" x14ac:dyDescent="0.35">
      <c r="A17" s="22"/>
      <c r="B17" s="23"/>
      <c r="C17" s="69">
        <f ca="1">'[1]DC Timing Costs Pivot'!B21</f>
        <v>3516</v>
      </c>
      <c r="D17" s="69"/>
      <c r="E17" s="72">
        <f ca="1">'[1]DC Timing Costs Pivot'!A21</f>
        <v>-15523.885385764001</v>
      </c>
      <c r="F17" s="92"/>
      <c r="G17" s="71"/>
      <c r="H17" s="71" t="s">
        <v>90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26" x14ac:dyDescent="0.35">
      <c r="A18" s="22"/>
      <c r="B18" s="23"/>
      <c r="C18" s="69">
        <f ca="1">'[1]DC Timing Costs Pivot'!B22</f>
        <v>3616</v>
      </c>
      <c r="D18" s="69"/>
      <c r="E18" s="72">
        <f ca="1">'[1]DC Timing Costs Pivot'!A22</f>
        <v>82228.588318030917</v>
      </c>
      <c r="F18" s="92"/>
      <c r="G18" s="71"/>
      <c r="H18" s="71" t="s">
        <v>91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26" x14ac:dyDescent="0.35">
      <c r="A19" s="22"/>
      <c r="B19" s="23"/>
      <c r="C19" s="69">
        <f ca="1">'[1]DC Timing Costs Pivot'!B23</f>
        <v>3616</v>
      </c>
      <c r="D19" s="69"/>
      <c r="E19" s="72">
        <f ca="1">'[1]DC Timing Costs Pivot'!A23</f>
        <v>22019.466828463999</v>
      </c>
      <c r="F19" s="92"/>
      <c r="G19" s="71"/>
      <c r="H19" s="71" t="s">
        <v>92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26" x14ac:dyDescent="0.35">
      <c r="A20" s="22"/>
      <c r="B20" s="23"/>
      <c r="C20" s="69">
        <f ca="1">'[1]DC Timing Costs Pivot'!B24</f>
        <v>3645</v>
      </c>
      <c r="D20" s="69"/>
      <c r="E20" s="72">
        <f ca="1">'[1]DC Timing Costs Pivot'!A24</f>
        <v>11022.245695397878</v>
      </c>
      <c r="F20" s="92"/>
      <c r="G20" s="71"/>
      <c r="H20" s="71" t="s">
        <v>93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26" x14ac:dyDescent="0.35">
      <c r="A21" s="22"/>
      <c r="B21" s="23"/>
      <c r="C21" s="69">
        <f ca="1">'[1]DC Timing Costs Pivot'!B25</f>
        <v>3772</v>
      </c>
      <c r="D21" s="69"/>
      <c r="E21" s="72">
        <f ca="1">'[1]DC Timing Costs Pivot'!A25</f>
        <v>12612.292957768001</v>
      </c>
      <c r="F21" s="79"/>
      <c r="G21" s="71"/>
      <c r="H21" s="71" t="s">
        <v>94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26" x14ac:dyDescent="0.35">
      <c r="A22" s="22"/>
      <c r="B22" s="23"/>
      <c r="C22" s="69">
        <f ca="1">'[1]DC Timing Costs Pivot'!B26</f>
        <v>3860</v>
      </c>
      <c r="D22" s="69"/>
      <c r="E22" s="72">
        <f ca="1">'[1]DC Timing Costs Pivot'!A26</f>
        <v>-11768.587039800999</v>
      </c>
      <c r="F22" s="79"/>
      <c r="G22" s="71"/>
      <c r="H22" s="71" t="s">
        <v>95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26" x14ac:dyDescent="0.35">
      <c r="A23" s="22"/>
      <c r="B23" s="23"/>
      <c r="C23" s="69">
        <f ca="1">'[1]DC Timing Costs Pivot'!B27</f>
        <v>3888</v>
      </c>
      <c r="D23" s="69"/>
      <c r="E23" s="72">
        <f ca="1">'[1]DC Timing Costs Pivot'!A27</f>
        <v>13832.9649285921</v>
      </c>
      <c r="F23" s="79"/>
      <c r="G23" s="71"/>
      <c r="H23" s="71" t="s">
        <v>96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26" x14ac:dyDescent="0.35">
      <c r="A24" s="22"/>
      <c r="B24" s="23"/>
      <c r="C24" s="69">
        <f ca="1">'[1]DC Timing Costs Pivot'!B28</f>
        <v>7205</v>
      </c>
      <c r="D24" s="69"/>
      <c r="E24" s="72">
        <f ca="1">'[1]DC Timing Costs Pivot'!A28</f>
        <v>-23974.849377080001</v>
      </c>
      <c r="F24" s="79"/>
      <c r="G24" s="71"/>
      <c r="H24" s="71" t="s">
        <v>78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26" x14ac:dyDescent="0.35">
      <c r="A25" s="22"/>
      <c r="B25" s="23"/>
      <c r="C25" s="69">
        <f ca="1">'[1]DC Timing Costs Pivot'!B29</f>
        <v>7205</v>
      </c>
      <c r="D25" s="69"/>
      <c r="E25" s="72">
        <f ca="1">'[1]DC Timing Costs Pivot'!A29</f>
        <v>-33605.459661761</v>
      </c>
      <c r="F25" s="79"/>
      <c r="G25" s="71"/>
      <c r="H25" s="71" t="s">
        <v>78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26" x14ac:dyDescent="0.35">
      <c r="A26" s="22"/>
      <c r="B26" s="23"/>
      <c r="C26" s="69">
        <f ca="1">'[1]DC Timing Costs Pivot'!B30</f>
        <v>7227</v>
      </c>
      <c r="D26" s="69"/>
      <c r="E26" s="72">
        <f ca="1">'[1]DC Timing Costs Pivot'!A30</f>
        <v>11219.39139696</v>
      </c>
      <c r="F26" s="79"/>
      <c r="G26" s="71"/>
      <c r="H26" s="71" t="s">
        <v>79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26" x14ac:dyDescent="0.35">
      <c r="A27" s="22"/>
      <c r="B27" s="23"/>
      <c r="C27" s="69">
        <f ca="1">'[1]DC Timing Costs Pivot'!B31</f>
        <v>7278</v>
      </c>
      <c r="D27" s="69"/>
      <c r="E27" s="72">
        <f ca="1">'[1]DC Timing Costs Pivot'!A31</f>
        <v>-13378.176502214999</v>
      </c>
      <c r="F27" s="79"/>
      <c r="G27" s="71"/>
      <c r="H27" s="71" t="s">
        <v>97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26" x14ac:dyDescent="0.35">
      <c r="A28" s="22"/>
      <c r="B28" s="23"/>
      <c r="C28" s="69">
        <f ca="1">'[1]DC Timing Costs Pivot'!B32</f>
        <v>8398</v>
      </c>
      <c r="D28" s="69"/>
      <c r="E28" s="72">
        <f ca="1">'[1]DC Timing Costs Pivot'!A32</f>
        <v>-24424.149663753997</v>
      </c>
      <c r="F28" s="79"/>
      <c r="G28" s="71"/>
      <c r="H28" s="71" t="s">
        <v>98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ht="26" x14ac:dyDescent="0.35">
      <c r="A29" s="22"/>
      <c r="B29" s="23"/>
      <c r="C29" s="69">
        <f ca="1">'[1]DC Timing Costs Pivot'!B33</f>
        <v>8399</v>
      </c>
      <c r="D29" s="69"/>
      <c r="E29" s="72">
        <f ca="1">'[1]DC Timing Costs Pivot'!A33</f>
        <v>-13093.218137086</v>
      </c>
      <c r="F29" s="79"/>
      <c r="G29" s="71"/>
      <c r="H29" s="71" t="s">
        <v>99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spans="1:28" ht="26" x14ac:dyDescent="0.35">
      <c r="A30" s="22"/>
      <c r="B30" s="23"/>
      <c r="C30" s="69">
        <f ca="1">'[1]DC Timing Costs Pivot'!B34</f>
        <v>3990</v>
      </c>
      <c r="D30" s="69"/>
      <c r="E30" s="72">
        <f ca="1">'[1]DC Timing Costs Pivot'!A34</f>
        <v>23819.353959081996</v>
      </c>
      <c r="F30" s="79"/>
      <c r="G30" s="71"/>
      <c r="H30" s="71" t="s">
        <v>100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26" x14ac:dyDescent="0.35">
      <c r="A31" s="22"/>
      <c r="B31" s="23"/>
      <c r="C31" s="69">
        <f ca="1">'[1]DC Timing Costs Pivot'!B35</f>
        <v>9819</v>
      </c>
      <c r="D31" s="69"/>
      <c r="E31" s="72">
        <f ca="1">'[1]DC Timing Costs Pivot'!A35</f>
        <v>-13405.156377808011</v>
      </c>
      <c r="F31" s="79"/>
      <c r="G31" s="71"/>
      <c r="H31" s="71" t="s">
        <v>80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26" x14ac:dyDescent="0.35">
      <c r="A32" s="22"/>
      <c r="B32" s="23"/>
      <c r="C32" s="69">
        <f ca="1">'[1]DC Timing Costs Pivot'!B36</f>
        <v>9811</v>
      </c>
      <c r="D32" s="69"/>
      <c r="E32" s="72">
        <f ca="1">'[1]DC Timing Costs Pivot'!A36</f>
        <v>-20287.302387463002</v>
      </c>
      <c r="F32" s="79"/>
      <c r="G32" s="71"/>
      <c r="H32" s="71" t="s">
        <v>101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26" x14ac:dyDescent="0.35">
      <c r="A33" s="22"/>
      <c r="B33" s="23"/>
      <c r="C33" s="69">
        <f ca="1">'[1]DC Timing Costs Pivot'!B37</f>
        <v>5268</v>
      </c>
      <c r="D33" s="69"/>
      <c r="E33" s="72">
        <f ca="1">'[1]DC Timing Costs Pivot'!A37</f>
        <v>-13835.179896819998</v>
      </c>
      <c r="F33" s="79"/>
      <c r="G33" s="71"/>
      <c r="H33" s="71" t="s">
        <v>102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26" x14ac:dyDescent="0.35">
      <c r="A34" s="22"/>
      <c r="B34" s="23"/>
      <c r="C34" s="69">
        <f ca="1">'[1]DC Timing Costs Pivot'!B38</f>
        <v>7769</v>
      </c>
      <c r="D34" s="69"/>
      <c r="E34" s="72">
        <f ca="1">'[1]DC Timing Costs Pivot'!A38</f>
        <v>-11730.821938129999</v>
      </c>
      <c r="F34" s="69"/>
      <c r="G34" s="72"/>
      <c r="H34" s="71" t="s">
        <v>103</v>
      </c>
      <c r="I34" s="41"/>
    </row>
    <row r="35" spans="1:28" x14ac:dyDescent="0.35">
      <c r="A35" s="22"/>
      <c r="B35" s="23"/>
      <c r="C35" s="69"/>
      <c r="D35" s="70"/>
      <c r="E35" s="71"/>
      <c r="F35" s="69"/>
      <c r="G35" s="72"/>
      <c r="H35" s="72"/>
      <c r="I35" s="41"/>
    </row>
    <row r="36" spans="1:28" x14ac:dyDescent="0.35">
      <c r="A36" s="22" t="s">
        <v>44</v>
      </c>
      <c r="B36" s="23">
        <f ca="1">[1]Summary!$B$27</f>
        <v>470402.13440054731</v>
      </c>
      <c r="C36" s="3"/>
      <c r="D36" s="13"/>
      <c r="E36" s="26"/>
      <c r="F36" s="26"/>
      <c r="G36" s="26"/>
      <c r="H36" s="47"/>
      <c r="I36" s="41"/>
    </row>
    <row r="37" spans="1:28" x14ac:dyDescent="0.35">
      <c r="A37" s="22"/>
      <c r="B37" s="23"/>
      <c r="C37" s="13"/>
      <c r="D37" s="13"/>
      <c r="E37" s="34"/>
      <c r="F37" s="34"/>
      <c r="G37" s="26"/>
      <c r="H37" s="47"/>
    </row>
    <row r="38" spans="1:28" x14ac:dyDescent="0.35">
      <c r="A38" s="7"/>
      <c r="B38" s="29"/>
      <c r="C38" s="24"/>
      <c r="D38" s="24"/>
      <c r="E38" s="25" t="s">
        <v>17</v>
      </c>
      <c r="F38" s="25"/>
      <c r="G38" s="24"/>
      <c r="H38" s="7"/>
    </row>
    <row r="39" spans="1:28" x14ac:dyDescent="0.35">
      <c r="A39" s="5" t="s">
        <v>19</v>
      </c>
      <c r="B39" s="26">
        <v>0</v>
      </c>
      <c r="C39" s="13"/>
      <c r="D39" s="13"/>
      <c r="E39" s="26"/>
      <c r="F39" s="26"/>
      <c r="G39" s="13"/>
      <c r="H39" s="13"/>
    </row>
    <row r="40" spans="1:28" x14ac:dyDescent="0.35">
      <c r="A40" s="5"/>
      <c r="B40" s="23"/>
      <c r="C40" s="13"/>
      <c r="D40" s="27"/>
      <c r="E40" s="26"/>
      <c r="F40" s="26"/>
      <c r="G40" s="13"/>
      <c r="H40" s="13"/>
    </row>
    <row r="41" spans="1:28" x14ac:dyDescent="0.35">
      <c r="A41" s="7"/>
      <c r="B41" s="28"/>
      <c r="C41" s="24"/>
      <c r="D41" s="24"/>
      <c r="E41" s="25" t="s">
        <v>17</v>
      </c>
      <c r="F41" s="25"/>
      <c r="G41" s="24"/>
      <c r="H41" s="7"/>
    </row>
    <row r="42" spans="1:28" x14ac:dyDescent="0.35">
      <c r="A42" s="5" t="s">
        <v>61</v>
      </c>
      <c r="B42" s="33">
        <f ca="1">[1]Summary!$B$30</f>
        <v>0</v>
      </c>
      <c r="C42" s="13"/>
      <c r="D42" s="65"/>
      <c r="E42" s="66"/>
      <c r="F42" s="67"/>
      <c r="G42" s="26"/>
      <c r="H42" s="81"/>
    </row>
    <row r="43" spans="1:28" x14ac:dyDescent="0.35">
      <c r="A43" s="4"/>
      <c r="B43" s="30"/>
      <c r="C43" s="13"/>
      <c r="D43" s="65"/>
      <c r="E43" s="66"/>
      <c r="F43" s="67"/>
      <c r="G43" s="26"/>
      <c r="H43" s="68"/>
    </row>
    <row r="44" spans="1:28" x14ac:dyDescent="0.35">
      <c r="A44" s="4"/>
      <c r="B44" s="30"/>
      <c r="C44" s="13"/>
      <c r="D44" s="23"/>
      <c r="E44" s="23"/>
      <c r="F44" s="23"/>
      <c r="G44" s="26"/>
      <c r="H44" s="43"/>
    </row>
    <row r="45" spans="1:28" x14ac:dyDescent="0.35">
      <c r="A45" s="7"/>
      <c r="B45" s="28"/>
      <c r="C45" s="24"/>
      <c r="D45" s="24"/>
      <c r="E45" s="25" t="s">
        <v>17</v>
      </c>
      <c r="F45" s="25"/>
      <c r="G45" s="24"/>
      <c r="H45" s="7"/>
    </row>
    <row r="46" spans="1:28" x14ac:dyDescent="0.35">
      <c r="A46" s="5" t="s">
        <v>75</v>
      </c>
      <c r="B46" s="40">
        <f ca="1">SUM(B3,B6,B36,B39,B42)</f>
        <v>499139.38779046765</v>
      </c>
      <c r="C46" s="13"/>
      <c r="D46" s="13"/>
      <c r="E46" s="13"/>
      <c r="F46" s="13"/>
      <c r="G46" s="13"/>
      <c r="H46" s="4"/>
    </row>
    <row r="47" spans="1:28" x14ac:dyDescent="0.35">
      <c r="A47" s="1"/>
      <c r="B47" s="1"/>
      <c r="C47" s="1"/>
      <c r="D47" s="1"/>
      <c r="E47" s="1"/>
      <c r="F47" s="1"/>
      <c r="G47" s="1"/>
    </row>
    <row r="52" spans="5:8" x14ac:dyDescent="0.35">
      <c r="E52" s="45"/>
      <c r="H52" s="1"/>
    </row>
  </sheetData>
  <autoFilter ref="A1:I33" xr:uid="{00000000-0001-0000-0200-000000000000}"/>
  <sortState xmlns:xlrd2="http://schemas.microsoft.com/office/spreadsheetml/2017/richdata2" ref="A101:H120">
    <sortCondition descending="1" ref="G101:G120"/>
  </sortState>
  <conditionalFormatting sqref="B3:B36 D35">
    <cfRule type="cellIs" dxfId="3" priority="365" operator="lessThan">
      <formula>0</formula>
    </cfRule>
  </conditionalFormatting>
  <conditionalFormatting sqref="B3:B36 F7:H7 D35:E35 I34:I35 F8:G33 H8:H34">
    <cfRule type="cellIs" dxfId="2" priority="366" operator="greaterThan">
      <formula>0</formula>
    </cfRule>
  </conditionalFormatting>
  <conditionalFormatting sqref="B42">
    <cfRule type="cellIs" dxfId="1" priority="499" operator="greaterThan">
      <formula>0</formula>
    </cfRule>
  </conditionalFormatting>
  <conditionalFormatting sqref="B46">
    <cfRule type="cellIs" dxfId="0" priority="498" operator="greaterThan">
      <formula>0</formula>
    </cfRule>
  </conditionalFormatting>
  <pageMargins left="0.7" right="0.7" top="0.75" bottom="0.75" header="0.3" footer="0.3"/>
  <pageSetup paperSize="9" scale="5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12"/>
  <sheetViews>
    <sheetView workbookViewId="0"/>
  </sheetViews>
  <sheetFormatPr defaultRowHeight="35.15" customHeight="1" x14ac:dyDescent="0.35"/>
  <cols>
    <col min="1" max="1" width="32.453125" customWidth="1"/>
    <col min="2" max="2" width="14.453125" customWidth="1"/>
    <col min="3" max="3" width="10.54296875" customWidth="1"/>
    <col min="11" max="11" width="13.54296875" customWidth="1"/>
    <col min="12" max="12" width="12.453125" customWidth="1"/>
  </cols>
  <sheetData>
    <row r="1" spans="1:12" ht="35.15" customHeight="1" x14ac:dyDescent="0.35">
      <c r="A1" s="8"/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38</v>
      </c>
      <c r="K1" s="8" t="s">
        <v>36</v>
      </c>
      <c r="L1" s="8" t="s">
        <v>37</v>
      </c>
    </row>
    <row r="2" spans="1:12" ht="35.15" customHeight="1" x14ac:dyDescent="0.35">
      <c r="A2" s="5" t="s">
        <v>16</v>
      </c>
      <c r="B2" s="9"/>
      <c r="C2" s="9"/>
      <c r="D2" s="3"/>
      <c r="E2" s="3"/>
      <c r="F2" s="3"/>
      <c r="G2" s="3"/>
      <c r="H2" s="3"/>
      <c r="I2" s="3"/>
      <c r="J2" s="3"/>
      <c r="K2" s="9"/>
      <c r="L2" s="3"/>
    </row>
    <row r="3" spans="1:12" ht="11.5" customHeight="1" x14ac:dyDescent="0.35">
      <c r="A3" s="7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35.15" customHeight="1" x14ac:dyDescent="0.35">
      <c r="A4" s="5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3"/>
    </row>
    <row r="5" spans="1:12" ht="14.15" customHeight="1" x14ac:dyDescent="0.35">
      <c r="A5" s="7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28" customHeight="1" x14ac:dyDescent="0.35">
      <c r="A6" s="22" t="s">
        <v>44</v>
      </c>
      <c r="B6" s="9"/>
      <c r="C6" s="9"/>
      <c r="D6" s="9"/>
      <c r="E6" s="9"/>
      <c r="F6" s="9"/>
      <c r="G6" s="9"/>
      <c r="H6" s="9"/>
      <c r="I6" s="9"/>
      <c r="J6" s="9"/>
      <c r="K6" s="9"/>
      <c r="L6" s="3"/>
    </row>
    <row r="7" spans="1:12" ht="14.15" customHeight="1" x14ac:dyDescent="0.35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35.15" customHeight="1" x14ac:dyDescent="0.35">
      <c r="A8" s="5" t="s">
        <v>19</v>
      </c>
      <c r="B8" s="9"/>
      <c r="C8" s="3"/>
      <c r="D8" s="3"/>
      <c r="E8" s="3"/>
      <c r="F8" s="3"/>
      <c r="G8" s="3"/>
      <c r="H8" s="3"/>
      <c r="I8" s="3"/>
      <c r="J8" s="3"/>
      <c r="K8" s="9"/>
      <c r="L8" s="3"/>
    </row>
    <row r="9" spans="1:12" ht="14.15" customHeight="1" x14ac:dyDescent="0.35">
      <c r="A9" s="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35.15" customHeight="1" x14ac:dyDescent="0.35">
      <c r="A10" s="5" t="s">
        <v>20</v>
      </c>
      <c r="B10" s="9"/>
      <c r="C10" s="3"/>
      <c r="D10" s="9"/>
      <c r="E10" s="3"/>
      <c r="F10" s="3"/>
      <c r="G10" s="3"/>
      <c r="H10" s="3"/>
      <c r="I10" s="3"/>
      <c r="J10" s="3"/>
      <c r="K10" s="9"/>
      <c r="L10" s="3"/>
    </row>
    <row r="11" spans="1:12" ht="14.5" customHeight="1" x14ac:dyDescent="0.35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35.15" customHeight="1" x14ac:dyDescent="0.35">
      <c r="A12" s="5" t="s">
        <v>67</v>
      </c>
      <c r="B12" s="10"/>
      <c r="C12" s="11"/>
      <c r="D12" s="11"/>
      <c r="E12" s="11"/>
      <c r="F12" s="11"/>
      <c r="G12" s="11"/>
      <c r="H12" s="11"/>
      <c r="I12" s="11"/>
      <c r="J12" s="11"/>
      <c r="K12" s="10"/>
      <c r="L12" s="1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</vt:lpstr>
      <vt:lpstr>Detail</vt:lpstr>
      <vt:lpstr>Summary of DataBase Log</vt:lpstr>
    </vt:vector>
  </TitlesOfParts>
  <Company>Irish Life &amp; Permanent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NUALA</dc:creator>
  <cp:lastModifiedBy>Hughes, Amy</cp:lastModifiedBy>
  <cp:lastPrinted>2020-01-08T10:10:44Z</cp:lastPrinted>
  <dcterms:created xsi:type="dcterms:W3CDTF">2016-01-21T11:29:43Z</dcterms:created>
  <dcterms:modified xsi:type="dcterms:W3CDTF">2026-04-13T14:54:53Z</dcterms:modified>
</cp:coreProperties>
</file>