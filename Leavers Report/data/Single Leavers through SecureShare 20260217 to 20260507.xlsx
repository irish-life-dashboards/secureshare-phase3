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P001488\Autoenrolment\Leavers\"/>
    </mc:Choice>
  </mc:AlternateContent>
  <xr:revisionPtr revIDLastSave="0" documentId="8_{0C815B58-1988-46D2-BE84-B86E3CF468C1}" xr6:coauthVersionLast="47" xr6:coauthVersionMax="47" xr10:uidLastSave="{00000000-0000-0000-0000-000000000000}"/>
  <bookViews>
    <workbookView xWindow="28680" yWindow="-120" windowWidth="29040" windowHeight="15720" xr2:uid="{45DE1D4C-27F0-4F4C-AC19-148B5C939465}"/>
  </bookViews>
  <sheets>
    <sheet name="Stats" sheetId="3" r:id="rId1"/>
    <sheet name="Single Leavers" sheetId="2" r:id="rId2"/>
    <sheet name="SQL" sheetId="5" r:id="rId3"/>
  </sheets>
  <definedNames>
    <definedName name="_xlnm._FilterDatabase" localSheetId="1" hidden="1">'Single Leavers'!$A$3:$O$3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D18" i="3"/>
  <c r="D13" i="3"/>
  <c r="D12" i="3"/>
  <c r="D6" i="3"/>
  <c r="D7" i="3"/>
  <c r="D8" i="3"/>
  <c r="D5" i="3"/>
  <c r="D14" i="3" l="1"/>
  <c r="D15" i="3"/>
  <c r="D9" i="3"/>
  <c r="D21" i="3"/>
</calcChain>
</file>

<file path=xl/sharedStrings.xml><?xml version="1.0" encoding="utf-8"?>
<sst xmlns="http://schemas.openxmlformats.org/spreadsheetml/2006/main" count="3710" uniqueCount="1200">
  <si>
    <t xml:space="preserve">Single Leavers Submissions </t>
  </si>
  <si>
    <t>From</t>
  </si>
  <si>
    <t>To</t>
  </si>
  <si>
    <t>Status</t>
  </si>
  <si>
    <t>at 12/03/26</t>
  </si>
  <si>
    <t>at  07/05/26</t>
  </si>
  <si>
    <t>Cancelled</t>
  </si>
  <si>
    <t>Completed</t>
  </si>
  <si>
    <t>Complete Work</t>
  </si>
  <si>
    <t>Pending</t>
  </si>
  <si>
    <t>Completed by</t>
  </si>
  <si>
    <t>BOT1</t>
  </si>
  <si>
    <t>RETBOT</t>
  </si>
  <si>
    <t>% of Completed items done by a BOT</t>
  </si>
  <si>
    <t>Work Type Created</t>
  </si>
  <si>
    <t>Auto Quote</t>
  </si>
  <si>
    <t>Query DC</t>
  </si>
  <si>
    <t>% of cases where data entered matched a single scheme member</t>
  </si>
  <si>
    <r>
      <t xml:space="preserve">Items highlighted in blue or </t>
    </r>
    <r>
      <rPr>
        <b/>
        <i/>
        <sz val="11"/>
        <color theme="9" tint="0.39997558519241921"/>
        <rFont val="Aptos Narrow"/>
        <family val="2"/>
        <scheme val="minor"/>
      </rPr>
      <t>green</t>
    </r>
    <r>
      <rPr>
        <b/>
        <i/>
        <sz val="11"/>
        <color rgb="FF0070C0"/>
        <rFont val="Aptos Narrow"/>
        <family val="2"/>
        <scheme val="minor"/>
      </rPr>
      <t xml:space="preserve"> were on the last report</t>
    </r>
  </si>
  <si>
    <t>Date Created</t>
  </si>
  <si>
    <t>Source</t>
  </si>
  <si>
    <t>Reference</t>
  </si>
  <si>
    <t>Scheme Number</t>
  </si>
  <si>
    <t>Scheme Name</t>
  </si>
  <si>
    <t>Broker</t>
  </si>
  <si>
    <t>Broker Code</t>
  </si>
  <si>
    <t>Work Type</t>
  </si>
  <si>
    <t>Work Description</t>
  </si>
  <si>
    <t>Info</t>
  </si>
  <si>
    <t>Date Completed</t>
  </si>
  <si>
    <t>Team</t>
  </si>
  <si>
    <t>Completed_By</t>
  </si>
  <si>
    <t>Emp From</t>
  </si>
  <si>
    <t xml:space="preserve">SecureShare Pat the </t>
  </si>
  <si>
    <t>162549M</t>
  </si>
  <si>
    <t>Pat the Baker</t>
  </si>
  <si>
    <t>Mercer (Ireland) Limited</t>
  </si>
  <si>
    <t>NJ72</t>
  </si>
  <si>
    <t>Individual Leavers - No Match Found</t>
  </si>
  <si>
    <t xml:space="preserve"> Individual Leavers - No Match Found DOL: 05/ ... (see attached file for full description)</t>
  </si>
  <si>
    <t>WIP</t>
  </si>
  <si>
    <t>Mercer/Marsh</t>
  </si>
  <si>
    <t>NULL</t>
  </si>
  <si>
    <t>mariakiernan@patthebaker.com</t>
  </si>
  <si>
    <t>162547M</t>
  </si>
  <si>
    <t>n/a</t>
  </si>
  <si>
    <t xml:space="preserve"> Individual Leavers DOL: 24/04/2026 Member Na ... (see attached file for full description)</t>
  </si>
  <si>
    <t xml:space="preserve">SecureShare Solenis </t>
  </si>
  <si>
    <t>162538M</t>
  </si>
  <si>
    <t>Diversey Ireland Ltd</t>
  </si>
  <si>
    <t>Lockton Insurance Brokers (Irelan</t>
  </si>
  <si>
    <t>VP38</t>
  </si>
  <si>
    <t xml:space="preserve"> Individual Leavers DOL: 30/04/2026 Member Na ... (see attached file for full description)</t>
  </si>
  <si>
    <t>Cornmarket</t>
  </si>
  <si>
    <t>RiBarnes@solenis.com</t>
  </si>
  <si>
    <t>162537M</t>
  </si>
  <si>
    <t xml:space="preserve"> Individual Leavers DOL: 31/07/2025 Member Na ... (see attached file for full description)</t>
  </si>
  <si>
    <t>162534M</t>
  </si>
  <si>
    <t xml:space="preserve"> Individual Leavers DOL: 19/12/2025 Member Na ... (see attached file for full description)</t>
  </si>
  <si>
    <t>162530M</t>
  </si>
  <si>
    <t xml:space="preserve"> Individual Leavers DOL: 31/05/2025 Member Na ... (see attached file for full description)</t>
  </si>
  <si>
    <t>SecureShare Irish Li</t>
  </si>
  <si>
    <t>162508M</t>
  </si>
  <si>
    <t>Arigna Fuels</t>
  </si>
  <si>
    <t>Tom O'Dea</t>
  </si>
  <si>
    <t xml:space="preserve"> Individual Leavers DOL: 03/04/2026 Member Na ... (see attached file for full description)</t>
  </si>
  <si>
    <t>DC Direct</t>
  </si>
  <si>
    <t>Tom.ODea@fcd.irishlife.ie</t>
  </si>
  <si>
    <t>SecureShare St Crona</t>
  </si>
  <si>
    <t>162285M</t>
  </si>
  <si>
    <t>NFVSP St Cronan's Association CLG</t>
  </si>
  <si>
    <t>ILFS Corporate Business</t>
  </si>
  <si>
    <t>A300</t>
  </si>
  <si>
    <t>Bot Attempt Duplicate Midas Number |  Individual Leavers Left: 17/05/2026 Member Na ... (s</t>
  </si>
  <si>
    <t>Key Accounts</t>
  </si>
  <si>
    <t>angela.moore@cronans.ie</t>
  </si>
  <si>
    <t>SecureShare Richmond</t>
  </si>
  <si>
    <t>162274M</t>
  </si>
  <si>
    <t>Richmond Marketing Limited</t>
  </si>
  <si>
    <t>James Nolan</t>
  </si>
  <si>
    <t xml:space="preserve"> Individual Leavers DOL: 24/02/2026 Member Na ... (see attached file for full description)</t>
  </si>
  <si>
    <t>ElizabethFinn@richmondmarketing.com</t>
  </si>
  <si>
    <t>SecureShare Unio Emp</t>
  </si>
  <si>
    <t>162220M</t>
  </si>
  <si>
    <t>Sulzer Pump Solutions Ire Ltd - Manu</t>
  </si>
  <si>
    <t>Unio (BONDS)</t>
  </si>
  <si>
    <t>NJ24</t>
  </si>
  <si>
    <t>Invesco</t>
  </si>
  <si>
    <t>G791</t>
  </si>
  <si>
    <t>lisa.doyle@unio.ie</t>
  </si>
  <si>
    <t xml:space="preserve">SecureShare Viatris </t>
  </si>
  <si>
    <t>161815M</t>
  </si>
  <si>
    <t>Viatris Pension Plan</t>
  </si>
  <si>
    <t>Aon Ireland Ltd.</t>
  </si>
  <si>
    <t>A612</t>
  </si>
  <si>
    <t>Viatris Pension Plan 609839 (Galway) Ref Myla ... (see attached file for full description)</t>
  </si>
  <si>
    <t>Elaine.Haslam@Viatris.com</t>
  </si>
  <si>
    <t>SecureShare Entain G</t>
  </si>
  <si>
    <t>161799M</t>
  </si>
  <si>
    <t>The Ladbroke (Ireland) Pension Scheme</t>
  </si>
  <si>
    <t>A100</t>
  </si>
  <si>
    <t xml:space="preserve"> Individual Leavers DOL: 27/04/2026 Member Na ... (see attached file for full description)</t>
  </si>
  <si>
    <t>Carol.fields@entaingroup.com</t>
  </si>
  <si>
    <t>SecureShare JCDecaux</t>
  </si>
  <si>
    <t>161653M</t>
  </si>
  <si>
    <t>JCDecaux Ireland Ltd.</t>
  </si>
  <si>
    <t>A631</t>
  </si>
  <si>
    <t xml:space="preserve"> Individual Leavers - No Match Found DOL: 24/ ... (see attached file for full description)</t>
  </si>
  <si>
    <t>tony.dutton@jcdecaux.ie</t>
  </si>
  <si>
    <t>SecureShare Magnet N</t>
  </si>
  <si>
    <t>161218M</t>
  </si>
  <si>
    <t>Enet Defined Contribution Plan</t>
  </si>
  <si>
    <t>PWC Financial Consulting DAC</t>
  </si>
  <si>
    <t>RT02</t>
  </si>
  <si>
    <t>manual set up 2 plans same ER</t>
  </si>
  <si>
    <t>K715</t>
  </si>
  <si>
    <t>bridget.gleeson@enet.ie</t>
  </si>
  <si>
    <t>SecureShare Kerrigan</t>
  </si>
  <si>
    <t>161211M</t>
  </si>
  <si>
    <t>Kerrigan Sheanon Newman ULC</t>
  </si>
  <si>
    <t>John Small</t>
  </si>
  <si>
    <t>Bot Attempt No Employee Contributions Detected |  Individual Leavers Left: 24/04/2026 Memb</t>
  </si>
  <si>
    <t>nmullan@ksn.ie</t>
  </si>
  <si>
    <t xml:space="preserve">SecureShare Tiffany </t>
  </si>
  <si>
    <t>161188M</t>
  </si>
  <si>
    <t>Tiffany and Co Jewellers LTD</t>
  </si>
  <si>
    <t>Willis Towers Watson Life &amp; Pensi</t>
  </si>
  <si>
    <t>E096</t>
  </si>
  <si>
    <t xml:space="preserve"> Individual Leavers - No Match Found DOL: 31/ ... (see attached file for full description)</t>
  </si>
  <si>
    <t>kylie-anne.o'mara@tiffany.com</t>
  </si>
  <si>
    <t>SecureShare Rowex Li</t>
  </si>
  <si>
    <t>160969M</t>
  </si>
  <si>
    <t>Rowex Limited</t>
  </si>
  <si>
    <t>RM91</t>
  </si>
  <si>
    <t xml:space="preserve"> Individual Leavers - No Match Found DOL: 04/ ... (see attached file for full description)</t>
  </si>
  <si>
    <t>F381</t>
  </si>
  <si>
    <t>daria.shelepova@sandoz.com</t>
  </si>
  <si>
    <t xml:space="preserve">SecureShare Society </t>
  </si>
  <si>
    <t>160567M</t>
  </si>
  <si>
    <t>Society of Saint Vincent De Paul</t>
  </si>
  <si>
    <t>LSO issued to mbr</t>
  </si>
  <si>
    <t>Brokerage</t>
  </si>
  <si>
    <t>H598</t>
  </si>
  <si>
    <t>Amanpreet.Kaur@svp.ie</t>
  </si>
  <si>
    <t>SecureShare SYS Fina</t>
  </si>
  <si>
    <t>160560M</t>
  </si>
  <si>
    <t>Bunzl Supplies Ireland Limited</t>
  </si>
  <si>
    <t>SYS Financial Ltd</t>
  </si>
  <si>
    <t>E221</t>
  </si>
  <si>
    <t xml:space="preserve"> Individual Leavers DOL: 28/05/2026 Member Na ... (see attached file for full description)</t>
  </si>
  <si>
    <t>ellen@sysfinancial.ie</t>
  </si>
  <si>
    <t>SecureShare Age Acti</t>
  </si>
  <si>
    <t>160557M</t>
  </si>
  <si>
    <t>Age Action Ireland Limited</t>
  </si>
  <si>
    <t>jcoen@ageaction.ie</t>
  </si>
  <si>
    <t xml:space="preserve">SecureShare Patrick </t>
  </si>
  <si>
    <t>160427M</t>
  </si>
  <si>
    <t>PATRICK J TOBIN LTD</t>
  </si>
  <si>
    <t>Mercer (Elect Existing Business)</t>
  </si>
  <si>
    <t>S168</t>
  </si>
  <si>
    <t>olivia.doheny@tobin.ie</t>
  </si>
  <si>
    <t>SecureShare Open Sky</t>
  </si>
  <si>
    <t>160382M</t>
  </si>
  <si>
    <t>Open Sky Data Systems Limited</t>
  </si>
  <si>
    <t>Unio  Ltd</t>
  </si>
  <si>
    <t>NJ23</t>
  </si>
  <si>
    <t xml:space="preserve"> Individual Leavers DOL: 29/04/2026 Member Na ... (see attached file for full description)</t>
  </si>
  <si>
    <t>jkwiatkowska@openskydata.com</t>
  </si>
  <si>
    <t>SecureShare Tandem P</t>
  </si>
  <si>
    <t>160332M</t>
  </si>
  <si>
    <t>Tandem Project Management Limited</t>
  </si>
  <si>
    <t xml:space="preserve"> Individual Leavers - No Match Found DOL: 27/ ... (see attached file for full description)</t>
  </si>
  <si>
    <t>margo.mulhall@tandempm.ie</t>
  </si>
  <si>
    <t>SecureShare Irish Fi</t>
  </si>
  <si>
    <t>160285M</t>
  </si>
  <si>
    <t>IRISH FILM INSTITUTE</t>
  </si>
  <si>
    <t xml:space="preserve"> Individual Leavers DOL: 01/05/2026 Member Na ... (see attached file for full description)</t>
  </si>
  <si>
    <t>agray@irishfilm.ie</t>
  </si>
  <si>
    <t>160256M</t>
  </si>
  <si>
    <t>Killarney Hotels Limited</t>
  </si>
  <si>
    <t xml:space="preserve"> Individual Leavers DOL: 03/05/2026 Member Na ... (see attached file for full description)</t>
  </si>
  <si>
    <t>SecureShare Independ</t>
  </si>
  <si>
    <t>160020M</t>
  </si>
  <si>
    <t>Independent Star Limited</t>
  </si>
  <si>
    <t>DOL 14/04/2026 Awaiting last cont</t>
  </si>
  <si>
    <t>J751</t>
  </si>
  <si>
    <t>liz.jones@reachplc.com</t>
  </si>
  <si>
    <t>160017M</t>
  </si>
  <si>
    <t>DOL 20/04/2026</t>
  </si>
  <si>
    <t>159917M</t>
  </si>
  <si>
    <t>Fifty Eight Secretarial Services Limited</t>
  </si>
  <si>
    <t>Bot Attempt Date of Leaving is Over a Month Away |  Individual Leavers Left: 22/06/2026 Me</t>
  </si>
  <si>
    <t>159769M</t>
  </si>
  <si>
    <t>Harmac Medical Products Limited</t>
  </si>
  <si>
    <t xml:space="preserve"> Individual Leavers DOL: 13/03/2026 Member Na ... (see attached file for full description)</t>
  </si>
  <si>
    <t>159767M</t>
  </si>
  <si>
    <t>DOL 30/04/2026</t>
  </si>
  <si>
    <t>SecureShare The Agri</t>
  </si>
  <si>
    <t>159759M</t>
  </si>
  <si>
    <t>The Agricultural Trust</t>
  </si>
  <si>
    <t>FBD Financial Solutions</t>
  </si>
  <si>
    <t>E206</t>
  </si>
  <si>
    <t>Bot Attempt No Employee Contributions Detected |  Individual Leavers Left: 26/05/2026 Memb</t>
  </si>
  <si>
    <t>sbuckley@farmersjournal.ie</t>
  </si>
  <si>
    <t>SecureShare Dormakab</t>
  </si>
  <si>
    <t>159752M</t>
  </si>
  <si>
    <t>Dormakaba Ireland Ltd</t>
  </si>
  <si>
    <t>Arthur J Gallagher Insurance Brok</t>
  </si>
  <si>
    <t>U925</t>
  </si>
  <si>
    <t xml:space="preserve"> Individual Leavers DOL: 27/03/2026 Member Na ... (see attached file for full description)</t>
  </si>
  <si>
    <t>kelima.keene-stewart@dormakaba.com</t>
  </si>
  <si>
    <t xml:space="preserve">SecureShare Lockton </t>
  </si>
  <si>
    <t>159511M</t>
  </si>
  <si>
    <t>Lockton Insurance Brokers</t>
  </si>
  <si>
    <t>O50 LSO generated</t>
  </si>
  <si>
    <t>H604</t>
  </si>
  <si>
    <t>Aileen.Bransfield@lockton.com</t>
  </si>
  <si>
    <t>SecureShare Plan Int</t>
  </si>
  <si>
    <t>159505M</t>
  </si>
  <si>
    <t>Plan International Ireland</t>
  </si>
  <si>
    <t>Money Plus Financial Brokers Ltd</t>
  </si>
  <si>
    <t>RN60</t>
  </si>
  <si>
    <t>M226</t>
  </si>
  <si>
    <t>danijela.krivosija@plan-international.org</t>
  </si>
  <si>
    <t xml:space="preserve">SecureShare Apleona </t>
  </si>
  <si>
    <t>159484M</t>
  </si>
  <si>
    <t>Apleona Ireland Limited</t>
  </si>
  <si>
    <t>Archive - Manual quote in progress</t>
  </si>
  <si>
    <t>fallon.oneill@apleona.com</t>
  </si>
  <si>
    <t>159461M</t>
  </si>
  <si>
    <t xml:space="preserve"> Individual Leavers DOL: 02/04/2026 Member Na ... (see attached file for full description)</t>
  </si>
  <si>
    <t>159457M</t>
  </si>
  <si>
    <t>SecureShare NFP Irel</t>
  </si>
  <si>
    <t>159249M</t>
  </si>
  <si>
    <t>Bristow Ireland Limited</t>
  </si>
  <si>
    <t>NFP Ireland Consultants Ltd</t>
  </si>
  <si>
    <t>VS41</t>
  </si>
  <si>
    <t xml:space="preserve"> Individual Leavers DOL: 29/05/2026 Member Na ... (see attached file for full description)</t>
  </si>
  <si>
    <t>catrina.murray@nfpireland.ie</t>
  </si>
  <si>
    <t>159224M</t>
  </si>
  <si>
    <t xml:space="preserve">LSO issued, MIL link sent </t>
  </si>
  <si>
    <t>H599</t>
  </si>
  <si>
    <t>159221M</t>
  </si>
  <si>
    <t>Bot Attempt Duplicate Midas Number | Left 24/04/2026</t>
  </si>
  <si>
    <t>SecureShare Sidetrad</t>
  </si>
  <si>
    <t>159200M</t>
  </si>
  <si>
    <t>Sidetrade Limited</t>
  </si>
  <si>
    <t>Bot Attempt AVC Only - Emailed Mbr to Contact Main Scheme |  Individual Leavers Left: 16/0</t>
  </si>
  <si>
    <t>fsanz@sidetrade.com</t>
  </si>
  <si>
    <t>SecureShare A C Niel</t>
  </si>
  <si>
    <t>159190M</t>
  </si>
  <si>
    <t>A.C. Nielsen of Ireland Limited</t>
  </si>
  <si>
    <t xml:space="preserve">Bot Attempt Date of Leaving not Detected | Leaving Company Individual Leavers Left: 08/05 </t>
  </si>
  <si>
    <t>Shirelle.Meredith@nielseniq.com</t>
  </si>
  <si>
    <t>SecureShare Savvi Cr</t>
  </si>
  <si>
    <t>158795M</t>
  </si>
  <si>
    <t>Savvi Credit Union Limited</t>
  </si>
  <si>
    <t>Hastings Life &amp; Pensions Ltd</t>
  </si>
  <si>
    <t>VW23</t>
  </si>
  <si>
    <t>Bot Attempt Duplicate Midas Number |  Individual Leavers Left: 03/04/2026 Member Na ... (s</t>
  </si>
  <si>
    <t>caroline.sweeney@savvi.ie</t>
  </si>
  <si>
    <t>158690M</t>
  </si>
  <si>
    <t>Hostelworld.com Ltd</t>
  </si>
  <si>
    <t>DOL: 04/04/2026 - LSO issued</t>
  </si>
  <si>
    <t>F380</t>
  </si>
  <si>
    <t xml:space="preserve">SecureShare Medical </t>
  </si>
  <si>
    <t>158664M</t>
  </si>
  <si>
    <t>Medical Protection Society Ltd</t>
  </si>
  <si>
    <t>Rose Private Clients Ltd</t>
  </si>
  <si>
    <t>PA46</t>
  </si>
  <si>
    <t>Lucy.Lockwood@medicalprotection.org</t>
  </si>
  <si>
    <t>158663M</t>
  </si>
  <si>
    <t xml:space="preserve"> Individual Leavers DOL: 23/04/2026 Member Na ... (see attached file for full description)</t>
  </si>
  <si>
    <t>158660M</t>
  </si>
  <si>
    <t xml:space="preserve"> Individual Leavers DOL: 31/03/2026 Member Na ... (see attached file for full description)</t>
  </si>
  <si>
    <t>158659M</t>
  </si>
  <si>
    <t>Bot Attempt Manual Quotation Required |  Individual Leavers Left: 31/03/2026 Member Na ...</t>
  </si>
  <si>
    <t>158658M</t>
  </si>
  <si>
    <t>Bot Attempt Manual Quotation Required |  Individual Leavers Left: 27/03/2026 Member Na ...</t>
  </si>
  <si>
    <t>158655M</t>
  </si>
  <si>
    <t>158654M</t>
  </si>
  <si>
    <t>158653M</t>
  </si>
  <si>
    <t xml:space="preserve">050 LSO issued </t>
  </si>
  <si>
    <t>C712</t>
  </si>
  <si>
    <t>158652M</t>
  </si>
  <si>
    <t xml:space="preserve"> Individual Leavers DOL: 19/03/2026 Member Na ... (see attached file for full description)</t>
  </si>
  <si>
    <t>158651M</t>
  </si>
  <si>
    <t xml:space="preserve">Arch. CSC – Manual – multiple policies same ER DOL: 11/03/2026 </t>
  </si>
  <si>
    <t>SecureShare Moog Ire</t>
  </si>
  <si>
    <t>158572M</t>
  </si>
  <si>
    <t>Moog Ireland Limited</t>
  </si>
  <si>
    <t>Hewitt Associates Limited</t>
  </si>
  <si>
    <t>NE65</t>
  </si>
  <si>
    <t xml:space="preserve">O50 LSO posted </t>
  </si>
  <si>
    <t>jtobin@moog.com</t>
  </si>
  <si>
    <t>158495M</t>
  </si>
  <si>
    <t xml:space="preserve">O50 LSO issued </t>
  </si>
  <si>
    <t>SecureShare Joseph G</t>
  </si>
  <si>
    <t>157959M</t>
  </si>
  <si>
    <t>Joseph G Byrne&amp;Sons Consulting Actuaries</t>
  </si>
  <si>
    <t xml:space="preserve">pend until final cont rec'd </t>
  </si>
  <si>
    <t>peter@byrneactuary.com</t>
  </si>
  <si>
    <t xml:space="preserve">SecureShare Liberty </t>
  </si>
  <si>
    <t>157924M</t>
  </si>
  <si>
    <t>Liberty Information Technology Ltd</t>
  </si>
  <si>
    <t xml:space="preserve"> Individual Leavers DOL: 20/04/2026 Member Na ... (see attached file for full description)</t>
  </si>
  <si>
    <t>Ciara.Meehan@liberty-it.co.uk</t>
  </si>
  <si>
    <t>SecureShare Rhomberg</t>
  </si>
  <si>
    <t>157911M</t>
  </si>
  <si>
    <t>Rhomberg Sersa Ireland Limited</t>
  </si>
  <si>
    <t>colette.fitzgerald@rsrg.com</t>
  </si>
  <si>
    <t>SecureShare Adapt IT</t>
  </si>
  <si>
    <t>157729M</t>
  </si>
  <si>
    <t>Adapt IT Limited</t>
  </si>
  <si>
    <t xml:space="preserve"> Individual Leavers DOL: 14/04/2026 Member Na ... (see attached file for full description)</t>
  </si>
  <si>
    <t>jlevis@adapt-it.com</t>
  </si>
  <si>
    <t>SecureShare Software</t>
  </si>
  <si>
    <t>157558M</t>
  </si>
  <si>
    <t>SoftwareOne Pipeline Ireland Ltd</t>
  </si>
  <si>
    <t>Eileen Gillick</t>
  </si>
  <si>
    <t>Thomas.Altman@softwareone.com</t>
  </si>
  <si>
    <t>SecureShare HMH Pens</t>
  </si>
  <si>
    <t>157029M</t>
  </si>
  <si>
    <t>HMH Pension Scheme</t>
  </si>
  <si>
    <t>sarah.hourigan@hmhco.com</t>
  </si>
  <si>
    <t>SecureShare Miele Ir</t>
  </si>
  <si>
    <t>156978M</t>
  </si>
  <si>
    <t>Miele Ireland Ltd.</t>
  </si>
  <si>
    <t>colette.morgan@miele.com</t>
  </si>
  <si>
    <t xml:space="preserve">SecureShare Western </t>
  </si>
  <si>
    <t>156971M</t>
  </si>
  <si>
    <t>Western Union International Ltd</t>
  </si>
  <si>
    <t>Bot Attempt Manual Quotation Required |  Individual Leavers Left: 17/04/2026 Member Na ...</t>
  </si>
  <si>
    <t>Siobhan.dunne@wu.com</t>
  </si>
  <si>
    <t>156968M</t>
  </si>
  <si>
    <t>Bot Attempt No Employee Contributions Detected |  Individual Leavers Left: 17/04/2026 Memb</t>
  </si>
  <si>
    <t>SecureShare Techrete</t>
  </si>
  <si>
    <t>156934M</t>
  </si>
  <si>
    <t>Techrete (Ireland) Limited</t>
  </si>
  <si>
    <t>Esek@techrete.ie</t>
  </si>
  <si>
    <t>156877M</t>
  </si>
  <si>
    <t>DOL - 22/03/2026 - LSO Requested.</t>
  </si>
  <si>
    <t>L495</t>
  </si>
  <si>
    <t>156734M</t>
  </si>
  <si>
    <t>Barretstown DC Pension Scheme</t>
  </si>
  <si>
    <t>DOL: 04/04/2026 LSO attached</t>
  </si>
  <si>
    <t>156154M</t>
  </si>
  <si>
    <t xml:space="preserve"> Individual Leavers DOL: 22/04/2026 Member Na ... (see attached file for full description)</t>
  </si>
  <si>
    <t xml:space="preserve">SecureShare Guerbet </t>
  </si>
  <si>
    <t>156057M</t>
  </si>
  <si>
    <t>Guerbet Ireland ulc</t>
  </si>
  <si>
    <t xml:space="preserve"> Individual Leavers DOL: 22/05/2026 Member Na ... (see attached file for full description)</t>
  </si>
  <si>
    <t>Aileen.McCarthy@guerbet.com</t>
  </si>
  <si>
    <t>SecureShare Kintetsu</t>
  </si>
  <si>
    <t>155821M</t>
  </si>
  <si>
    <t>Kintetsu World Express Ireland Ltd</t>
  </si>
  <si>
    <t>Paul Gormley</t>
  </si>
  <si>
    <t xml:space="preserve"> Individual Leavers - No Match Found DOL: 13/ ... (see attached file for full description)</t>
  </si>
  <si>
    <t>nicola.cherry@kwe.com</t>
  </si>
  <si>
    <t>SecureShare Quasar M</t>
  </si>
  <si>
    <t>155816M</t>
  </si>
  <si>
    <t>Quasar Med IE (QIE) LTD</t>
  </si>
  <si>
    <t>E074</t>
  </si>
  <si>
    <t xml:space="preserve"> O50 LSO generated – MIL link sent/Posted </t>
  </si>
  <si>
    <t>R198</t>
  </si>
  <si>
    <t>aoife.feeney@nordson.com</t>
  </si>
  <si>
    <t>SecureShare ICE Data</t>
  </si>
  <si>
    <t>155794M</t>
  </si>
  <si>
    <t>ICE Data Services Ire Ltd Pension Plan</t>
  </si>
  <si>
    <t xml:space="preserve"> Individual Leavers - No Match Found DOL: 03/ ... (see attached file for full description)</t>
  </si>
  <si>
    <t>Z660</t>
  </si>
  <si>
    <t>Htoo.Shein@ice.com</t>
  </si>
  <si>
    <t>SecureShare Lucozade</t>
  </si>
  <si>
    <t>155709M</t>
  </si>
  <si>
    <t>Lucozade Ribena Suntory Ireland Limited</t>
  </si>
  <si>
    <t>O50 LSO generated – MIL link will be sent once email address updated (see note)</t>
  </si>
  <si>
    <t>anna.greene@suntory.com</t>
  </si>
  <si>
    <t>SecureShare Pitney B</t>
  </si>
  <si>
    <t>155705M</t>
  </si>
  <si>
    <t>Pitney Bowes Ireland Limited</t>
  </si>
  <si>
    <t xml:space="preserve"> Individual Leavers DOL: 10/04/2026 Member Na ... (see attached file for full description)</t>
  </si>
  <si>
    <t>elizabeth.hughes@pb.com</t>
  </si>
  <si>
    <t>SecureShare Boots Co</t>
  </si>
  <si>
    <t>155654M</t>
  </si>
  <si>
    <t>Boots Ireland Retail Limited</t>
  </si>
  <si>
    <t>Irish Life</t>
  </si>
  <si>
    <t>A500</t>
  </si>
  <si>
    <t xml:space="preserve"> Individual Leavers DOL: 09/04/2026 Member Na ... (see attached file for full description)</t>
  </si>
  <si>
    <t>barry.somers@boots.co.uk</t>
  </si>
  <si>
    <t>SecureShare SEB Life</t>
  </si>
  <si>
    <t>155602M</t>
  </si>
  <si>
    <t>SEB Life International</t>
  </si>
  <si>
    <t xml:space="preserve"> Individual Leavers DOL: 06/03/2026 Member Na ... (see attached file for full description)</t>
  </si>
  <si>
    <t>Diana.Cronin@Seb.ie</t>
  </si>
  <si>
    <t>SecureShare First Ci</t>
  </si>
  <si>
    <t>155155M</t>
  </si>
  <si>
    <t>First Citizen Finance Limited</t>
  </si>
  <si>
    <t>Trident Benefit Consulting Limite</t>
  </si>
  <si>
    <t>RN54</t>
  </si>
  <si>
    <t>Bot Attempt Date of Leaving is Over a Month Away |  Individual Leavers Left: 08/07/2026 Me</t>
  </si>
  <si>
    <t>Naomi.Cooney@firstcitizen.ie</t>
  </si>
  <si>
    <t>SecureShare Coupa Op</t>
  </si>
  <si>
    <t>155136M</t>
  </si>
  <si>
    <t>Coupa Operations Inc.</t>
  </si>
  <si>
    <t xml:space="preserve"> Individual Leavers DOL: 19/04/2026 Member Na ... (see attached file for full description)</t>
  </si>
  <si>
    <t>emma.gates@coupa.com</t>
  </si>
  <si>
    <t>155131M</t>
  </si>
  <si>
    <t xml:space="preserve">mil link sent - lso </t>
  </si>
  <si>
    <t>H608</t>
  </si>
  <si>
    <t>SecureShare PHS Grou</t>
  </si>
  <si>
    <t>155070M</t>
  </si>
  <si>
    <t>PHS Group Ltd</t>
  </si>
  <si>
    <t xml:space="preserve">LSO issued </t>
  </si>
  <si>
    <t>lee.schofield@eagleeye.com</t>
  </si>
  <si>
    <t>155007M</t>
  </si>
  <si>
    <t>csc - Manual Needed - benefits same er 0992792</t>
  </si>
  <si>
    <t>D938</t>
  </si>
  <si>
    <t>SecureShare Swim Ire</t>
  </si>
  <si>
    <t>154998M</t>
  </si>
  <si>
    <t>Swim Ireland</t>
  </si>
  <si>
    <t>Elaine Breslin</t>
  </si>
  <si>
    <t>O50's LSOs on MIL</t>
  </si>
  <si>
    <t>elainemolloy@swimireland.ie</t>
  </si>
  <si>
    <t>154992M</t>
  </si>
  <si>
    <t>154989M</t>
  </si>
  <si>
    <t>CSC Attempt - manual required 2 plans same er</t>
  </si>
  <si>
    <t>154985M</t>
  </si>
  <si>
    <t xml:space="preserve"> Individual Leavers DOL: 08/04/2026 Member Na ... (see attached file for full description)</t>
  </si>
  <si>
    <t>SecureShare Grid Dyn</t>
  </si>
  <si>
    <t>154883M</t>
  </si>
  <si>
    <t>Grid Dynamics UK Ltd</t>
  </si>
  <si>
    <t>nloban@griddynamics.com</t>
  </si>
  <si>
    <t>SecureShare Hannover</t>
  </si>
  <si>
    <t>154875M</t>
  </si>
  <si>
    <t>Hannover Re (Ireland) DAC</t>
  </si>
  <si>
    <t>Unio</t>
  </si>
  <si>
    <t>NT07</t>
  </si>
  <si>
    <t>Bevin.Mcevoy@hannover-re.com</t>
  </si>
  <si>
    <t>154874M</t>
  </si>
  <si>
    <t>154859M</t>
  </si>
  <si>
    <t>Bot Attempt Disqualifying Remarks Detected |  Individual Leavers Left: 23/03/2026 Member N</t>
  </si>
  <si>
    <t>154858M</t>
  </si>
  <si>
    <t>Cool Planet Group Limited</t>
  </si>
  <si>
    <t>SecureShare Atradius</t>
  </si>
  <si>
    <t>154853M</t>
  </si>
  <si>
    <t>Atradius Reinsurance DAC</t>
  </si>
  <si>
    <t xml:space="preserve"> Individual Leavers DOL: 13/04/2026 Member Na ... (see attached file for full description)</t>
  </si>
  <si>
    <t>Joana.NEVES@atradius.com</t>
  </si>
  <si>
    <t>154830M</t>
  </si>
  <si>
    <t>Bot Attempt Disqualifying Remarks Detected |  Individual Leavers Left: 02/03/2026 Member N</t>
  </si>
  <si>
    <t>154825M</t>
  </si>
  <si>
    <t>Bot Attempt Disqualifying Remarks Detected |  Individual Leavers Left: 02/04/2026 Member N</t>
  </si>
  <si>
    <t>154822M</t>
  </si>
  <si>
    <t>Bot Attempt Disqualifying Remarks Detected |  Individual Leavers Left: 19/02/2026 Member N</t>
  </si>
  <si>
    <t>154440M</t>
  </si>
  <si>
    <t xml:space="preserve"> Individual Leavers DOL: 30/03/2026 Member Na ... (see attached file for full description)</t>
  </si>
  <si>
    <t xml:space="preserve">SecureShare Alexion </t>
  </si>
  <si>
    <t>153906M</t>
  </si>
  <si>
    <t>AstraZeneca Pharmaceuticals (Ire) Ltd</t>
  </si>
  <si>
    <t>Willis Towers Watson (Ireland) Lt</t>
  </si>
  <si>
    <t>E361</t>
  </si>
  <si>
    <t>C399</t>
  </si>
  <si>
    <t>hannah.burlinson@astrazeneca.com</t>
  </si>
  <si>
    <t>153836M</t>
  </si>
  <si>
    <t>153785M</t>
  </si>
  <si>
    <t xml:space="preserve">manual quote needed taxable quoted over 10k and mbr has other benefits </t>
  </si>
  <si>
    <t>153764M</t>
  </si>
  <si>
    <t>Bot Attempt Manual Quotation Required |  Individual Leavers Left: 11/04/2026 Member Na ...</t>
  </si>
  <si>
    <t xml:space="preserve">SecureShare Snap On </t>
  </si>
  <si>
    <t>153710M</t>
  </si>
  <si>
    <t>Snap-On Equipment Ireland</t>
  </si>
  <si>
    <t xml:space="preserve"> Individual Leaver - No Match Found DOL: 06/ ... (see attached file for full description)</t>
  </si>
  <si>
    <t>M341</t>
  </si>
  <si>
    <t>Kimberley.Hall@snapon.com</t>
  </si>
  <si>
    <t>SecureShare Expleo T</t>
  </si>
  <si>
    <t>153622M</t>
  </si>
  <si>
    <t>Expleo Technology Ireland Limited</t>
  </si>
  <si>
    <t xml:space="preserve">LSO issued, mil link sent </t>
  </si>
  <si>
    <t>caley.gillespie@expleogroup.com</t>
  </si>
  <si>
    <t>SecureShare HelsinnB</t>
  </si>
  <si>
    <t>153325M</t>
  </si>
  <si>
    <t>Helsinn Birex Pharmaceuticals Ltd</t>
  </si>
  <si>
    <t>U080</t>
  </si>
  <si>
    <t>Caroline.Brilly@helsinn.com</t>
  </si>
  <si>
    <t xml:space="preserve">SecureShare Charles </t>
  </si>
  <si>
    <t>152895M</t>
  </si>
  <si>
    <t>Charles River Laboratories Ireland Ltd</t>
  </si>
  <si>
    <t xml:space="preserve"> Individual Leavers DOL: 01/04/2026 Member Na ... (see attached file for full description)</t>
  </si>
  <si>
    <t>valerie.mcgrath@crl.com</t>
  </si>
  <si>
    <t>152894M</t>
  </si>
  <si>
    <t>Bot Attempt Manual Quotation Required |  Individual Leavers Left: 28/04/2026 Member Na ...</t>
  </si>
  <si>
    <t>152796M</t>
  </si>
  <si>
    <t>SecureShare Spectrum</t>
  </si>
  <si>
    <t>152794M</t>
  </si>
  <si>
    <t>Kelpac Medical Limited</t>
  </si>
  <si>
    <t>NK89</t>
  </si>
  <si>
    <t>annmarie.quirke@spectrumplastics.com</t>
  </si>
  <si>
    <t>SecureShare Saint Go</t>
  </si>
  <si>
    <t>152753M</t>
  </si>
  <si>
    <t>Saint Gobain Ireland</t>
  </si>
  <si>
    <t>LSO issued to Carolyn per scheme remarks</t>
  </si>
  <si>
    <t>Sam.Wallace@saint-gobain.com</t>
  </si>
  <si>
    <t>SecureShare Greencor</t>
  </si>
  <si>
    <t>152699M</t>
  </si>
  <si>
    <t>Greencore Group Plc</t>
  </si>
  <si>
    <t>Sharon.Soar@greencore.com</t>
  </si>
  <si>
    <t>152688M</t>
  </si>
  <si>
    <t>Tramway Investment Holdings Ltd</t>
  </si>
  <si>
    <t xml:space="preserve"> Individual Leavers DOL: 29/11/2025 Member Na ... (see attached file for full description)</t>
  </si>
  <si>
    <t>152651M</t>
  </si>
  <si>
    <t xml:space="preserve"> Individual Leavers DOL: 15/04/2026 Member Na ... (see attached file for full description)</t>
  </si>
  <si>
    <t>152598M</t>
  </si>
  <si>
    <t xml:space="preserve"> Individual Leavers DOL: 08/05/2026 Member Na ... (see attached file for full description)</t>
  </si>
  <si>
    <t xml:space="preserve">SecureShare Datalec </t>
  </si>
  <si>
    <t>152394M</t>
  </si>
  <si>
    <t>Datalec Precision Installations Limited</t>
  </si>
  <si>
    <t>c.faik@datalecltd.com</t>
  </si>
  <si>
    <t xml:space="preserve">SecureShare Finance </t>
  </si>
  <si>
    <t>152383M</t>
  </si>
  <si>
    <t>Welltel (Ireland) Limited</t>
  </si>
  <si>
    <t>Finance Matters</t>
  </si>
  <si>
    <t>RF91</t>
  </si>
  <si>
    <t>meher@financematters.ie</t>
  </si>
  <si>
    <t>SecureShare Aryza Ir</t>
  </si>
  <si>
    <t>152377M</t>
  </si>
  <si>
    <t>Aryza Ireland Ltd</t>
  </si>
  <si>
    <t>Joan Brady</t>
  </si>
  <si>
    <t xml:space="preserve"> Individual Leavers DOL: 27/02/2026 Member Na ... (see attached file for full description)</t>
  </si>
  <si>
    <t>Paula.brown@aryza.com</t>
  </si>
  <si>
    <t>SecureShare DP Pizza</t>
  </si>
  <si>
    <t>152375M</t>
  </si>
  <si>
    <t>DP Pizza Limited</t>
  </si>
  <si>
    <t>VV47</t>
  </si>
  <si>
    <t>Swetha.nandala@dominos.co.uk</t>
  </si>
  <si>
    <t xml:space="preserve">SecureShare Project </t>
  </si>
  <si>
    <t>152227M</t>
  </si>
  <si>
    <t>Project Management Limited</t>
  </si>
  <si>
    <t>Prem Clients and Prem Install</t>
  </si>
  <si>
    <t>rachael.bacon@pmgroup-global.com</t>
  </si>
  <si>
    <t>152186M</t>
  </si>
  <si>
    <t>LSO issued, MIL link sent</t>
  </si>
  <si>
    <t xml:space="preserve">SecureShare Keyloop </t>
  </si>
  <si>
    <t>152160M</t>
  </si>
  <si>
    <t>Keyloop (Ireland) Ltd</t>
  </si>
  <si>
    <t xml:space="preserve"> Individual Leavers - No Match Found DOL: 12/ ... (see attached file for full description)</t>
  </si>
  <si>
    <t>Indira.Chuy@keyloop.com</t>
  </si>
  <si>
    <t>152142M</t>
  </si>
  <si>
    <t>152134M</t>
  </si>
  <si>
    <t>152057M</t>
  </si>
  <si>
    <t xml:space="preserve"> Individual Leavers DOL: 24/03/2026 Member Na ... (see attached file for full description)</t>
  </si>
  <si>
    <t>ciaran.diviney@nfpireland.ie</t>
  </si>
  <si>
    <t>SecureShare Mitsubis</t>
  </si>
  <si>
    <t>152016M</t>
  </si>
  <si>
    <t>MITSUBISHI ELECTRIC EUROPE BV</t>
  </si>
  <si>
    <t>Monica.Mancini@meir.mee.com</t>
  </si>
  <si>
    <t>147980M</t>
  </si>
  <si>
    <t>Runway Benefits Scheme</t>
  </si>
  <si>
    <t>147440M</t>
  </si>
  <si>
    <t>SecureShare Chime</t>
  </si>
  <si>
    <t>147421M</t>
  </si>
  <si>
    <t>Chime</t>
  </si>
  <si>
    <t>katrina.puncule@chime.ie</t>
  </si>
  <si>
    <t>147341M</t>
  </si>
  <si>
    <t xml:space="preserve"> Individual Leavers - No Match Found DOL: 10/ ... (see attached file for full description)</t>
  </si>
  <si>
    <t xml:space="preserve">SecureShare Immedis </t>
  </si>
  <si>
    <t>147213M</t>
  </si>
  <si>
    <t>Immedis Ltd</t>
  </si>
  <si>
    <t>anju.singh@ukg.com</t>
  </si>
  <si>
    <t>SecureShare Walks Ag</t>
  </si>
  <si>
    <t>146827M</t>
  </si>
  <si>
    <t>Walks Agency Limited</t>
  </si>
  <si>
    <t>Bot Attempt No Member Name Detected | Left 13/03/2026</t>
  </si>
  <si>
    <t>lynsey.matthewson@hornblower.com</t>
  </si>
  <si>
    <t>SecureShare Sport Ir</t>
  </si>
  <si>
    <t>146753M</t>
  </si>
  <si>
    <t>Sport Ireland Facilities DAC</t>
  </si>
  <si>
    <t>Declan O'Hanlon</t>
  </si>
  <si>
    <t>LSO issued to mbr (per note attached)</t>
  </si>
  <si>
    <t>lizkelly@sportirelandcampus.ie</t>
  </si>
  <si>
    <t>SecureShare CSC Capi</t>
  </si>
  <si>
    <t>146492M</t>
  </si>
  <si>
    <t>CSC Finance Holding Ireland Limited</t>
  </si>
  <si>
    <t>Manisha.Sharma1@cscglobal.com</t>
  </si>
  <si>
    <t xml:space="preserve">SecureShare Carlyle </t>
  </si>
  <si>
    <t>146332M</t>
  </si>
  <si>
    <t>Carlyle Aviation Management Ltd</t>
  </si>
  <si>
    <t xml:space="preserve"> Individual Leavers DOL: 06/05/2026 Member Na ... (see attached file for full description)</t>
  </si>
  <si>
    <t>MarcusM@Carlyle.Aero</t>
  </si>
  <si>
    <t>146329M</t>
  </si>
  <si>
    <t xml:space="preserve"> DOL: 01/07/2026 - Pend for final conts</t>
  </si>
  <si>
    <t>146256M</t>
  </si>
  <si>
    <t>Bot Attempt No Member Name Detected | Left 27/03/2026</t>
  </si>
  <si>
    <t xml:space="preserve">SecureShare Horizon </t>
  </si>
  <si>
    <t>132178M</t>
  </si>
  <si>
    <t>Horizon Therapeutics Ireland DAC</t>
  </si>
  <si>
    <t>O50's lsos on MIL</t>
  </si>
  <si>
    <t>nrellis@amgen.com</t>
  </si>
  <si>
    <t xml:space="preserve">SecureShare Stantec </t>
  </si>
  <si>
    <t>132167M</t>
  </si>
  <si>
    <t>Stantec UK Limited Ireland Branch</t>
  </si>
  <si>
    <t>Frank Glennon L &amp; P Ltd</t>
  </si>
  <si>
    <t>A716</t>
  </si>
  <si>
    <t>Bot Attempt Duplicate Midas Number |  Individual Leavers Left: 14/02/2026 Member Na ... (s</t>
  </si>
  <si>
    <t>sam.kitteringham@stantec.com</t>
  </si>
  <si>
    <t>SecureShare Alliance</t>
  </si>
  <si>
    <t>132122M</t>
  </si>
  <si>
    <t>Alliance Medical Diagnostic Imaging Ltd</t>
  </si>
  <si>
    <t>Gerard Kirby</t>
  </si>
  <si>
    <t xml:space="preserve"> Individual Leavers - No Match Found DOL: 16/ ... (see attached file for full description)</t>
  </si>
  <si>
    <t>Stephanie.Keane@alliancemedical.ie</t>
  </si>
  <si>
    <t xml:space="preserve">SecureShare Klaviyo </t>
  </si>
  <si>
    <t>131982M</t>
  </si>
  <si>
    <t>Klaviyo Ireland Limited</t>
  </si>
  <si>
    <t>katie.oneill@klaviyo.com</t>
  </si>
  <si>
    <t>131979M</t>
  </si>
  <si>
    <t xml:space="preserve"> Individual Leavers DOL: 12/03/2026 Member Na ... (see attached file for full description)</t>
  </si>
  <si>
    <t>131226M</t>
  </si>
  <si>
    <t xml:space="preserve">pend until final cont invested </t>
  </si>
  <si>
    <t>SecureShare Molloy a</t>
  </si>
  <si>
    <t>131193M</t>
  </si>
  <si>
    <t>Molloy &amp; Sherry (Eirfreeze) Limited.</t>
  </si>
  <si>
    <t xml:space="preserve"> Individual Leavers - No Match Found DOL: 20/ ... (see attached file for full description)</t>
  </si>
  <si>
    <t>siobhan.fagg@molloyandsherry.ie</t>
  </si>
  <si>
    <t>131174M</t>
  </si>
  <si>
    <t>131171M</t>
  </si>
  <si>
    <t>Reason of Leaving - Retirement, For more info ... (see attached file for full description)</t>
  </si>
  <si>
    <t>F488</t>
  </si>
  <si>
    <t>SecureShare Mannok C</t>
  </si>
  <si>
    <t>131131M</t>
  </si>
  <si>
    <t>Mannok Cement Limited</t>
  </si>
  <si>
    <t xml:space="preserve"> Individual Leavers DOL: 30/01/2026 Member Na ... (see attached file for full description)</t>
  </si>
  <si>
    <t>lavinia.drumm@mannokbuild.com</t>
  </si>
  <si>
    <t>131090M</t>
  </si>
  <si>
    <t>130974M</t>
  </si>
  <si>
    <t>Bot Attempt Work item is not of type "Auto Quote" Error |  Individual Leavers Left: 30/03/</t>
  </si>
  <si>
    <t>SecureShare Leefield</t>
  </si>
  <si>
    <t>130654M</t>
  </si>
  <si>
    <t>LEEFIELD LTD. RETIREMENT SOLUTION PLAN</t>
  </si>
  <si>
    <t xml:space="preserve"> O50 LSO generated – MIL link sent</t>
  </si>
  <si>
    <t>F766</t>
  </si>
  <si>
    <t>quishtramore@gmail.com</t>
  </si>
  <si>
    <t>130505M</t>
  </si>
  <si>
    <t>Magnet Networks Limited</t>
  </si>
  <si>
    <t>SecureShare Celtic L</t>
  </si>
  <si>
    <t>130424M</t>
  </si>
  <si>
    <t>Celtic Linen Limited</t>
  </si>
  <si>
    <t xml:space="preserve"> Individual Leavers - No Match Found DOL: 18/ ... (see attached file for full description)</t>
  </si>
  <si>
    <t>maireadmurphy@jsg.com</t>
  </si>
  <si>
    <t>130071M</t>
  </si>
  <si>
    <t>SecureShare BNL Scie</t>
  </si>
  <si>
    <t>130017M</t>
  </si>
  <si>
    <t>BNL Sciences Limited</t>
  </si>
  <si>
    <t>joleary@bnlsciences.com</t>
  </si>
  <si>
    <t>SecureShare Dornan E</t>
  </si>
  <si>
    <t>130003M</t>
  </si>
  <si>
    <t>Dornan Engineering Limited</t>
  </si>
  <si>
    <t>Joseph G. Byrne &amp; Sons Consulting</t>
  </si>
  <si>
    <t>TU84</t>
  </si>
  <si>
    <t>CSC Attempt - check service dates from TVIN (same er) EE conts only available</t>
  </si>
  <si>
    <t>geraldine.fitzgerald@dornangroup.com</t>
  </si>
  <si>
    <t>SecureShare Chemco I</t>
  </si>
  <si>
    <t>129901M</t>
  </si>
  <si>
    <t>Chemco Ireland Ltd.</t>
  </si>
  <si>
    <t>n.brophy@chemco.ie</t>
  </si>
  <si>
    <t>SecureShare Shorla O</t>
  </si>
  <si>
    <t>129792M</t>
  </si>
  <si>
    <t>Shorla Oncology</t>
  </si>
  <si>
    <t xml:space="preserve"> Individual Leavers DOL: 26/03/2026 Member Na ... (see attached file for full description)</t>
  </si>
  <si>
    <t>stephanie.odwyer@shorlaoncology.com</t>
  </si>
  <si>
    <t>SecureShare Kingfish</t>
  </si>
  <si>
    <t>129658M</t>
  </si>
  <si>
    <t>Kingfisher Ireland Limited</t>
  </si>
  <si>
    <t>DOL 30/03/2026</t>
  </si>
  <si>
    <t>Caroline.Barrett@Screwfix.com</t>
  </si>
  <si>
    <t>SecureShare Arvato I</t>
  </si>
  <si>
    <t>129523M</t>
  </si>
  <si>
    <t>ARVATO IRELAND LIMITED</t>
  </si>
  <si>
    <t>CSC - manual required - value over 1 mill</t>
  </si>
  <si>
    <t>Cecilia.coogan@arvato.com</t>
  </si>
  <si>
    <t xml:space="preserve">SecureShare MongoDB </t>
  </si>
  <si>
    <t>129512M</t>
  </si>
  <si>
    <t>MongoDB Limited</t>
  </si>
  <si>
    <t>TM85</t>
  </si>
  <si>
    <t>DOL 23/03/2026</t>
  </si>
  <si>
    <t>employeeexperience@mongodb.com</t>
  </si>
  <si>
    <t>SecureShare Speciali</t>
  </si>
  <si>
    <t>129493M</t>
  </si>
  <si>
    <t>Specialist Technical Engineering Serv.</t>
  </si>
  <si>
    <t>VT80</t>
  </si>
  <si>
    <t>Pwhyte@stsgroup.ie</t>
  </si>
  <si>
    <t>129407M</t>
  </si>
  <si>
    <t xml:space="preserve"> Individual Leavers - No Match Found DOL: 30/ ... (see attached file for full description)</t>
  </si>
  <si>
    <t>129406M</t>
  </si>
  <si>
    <t>129374M</t>
  </si>
  <si>
    <t>Finastra International (Irl) Limited</t>
  </si>
  <si>
    <t>Bot Attempt Date of Leaving is Over a Month Away |  Individual Leavers Left: 15/05/2026 Me</t>
  </si>
  <si>
    <t>SecureShare Kirwan P</t>
  </si>
  <si>
    <t>129361M</t>
  </si>
  <si>
    <t>Propylon Ltd</t>
  </si>
  <si>
    <t>Kirwan Pike Insurance and Financi</t>
  </si>
  <si>
    <t>NJ35</t>
  </si>
  <si>
    <t xml:space="preserve">Bot Attempt Date of Leaving not Detected | Please issue LSO's Individual Leavers Left: 31 </t>
  </si>
  <si>
    <t>paul@kirwanpike.ie</t>
  </si>
  <si>
    <t>SecureShare Manpower</t>
  </si>
  <si>
    <t>129351M</t>
  </si>
  <si>
    <t>ManpowerGroup (Ireland) Ltd</t>
  </si>
  <si>
    <t>Sofie.houston@manpower.ie</t>
  </si>
  <si>
    <t>SecureShare Ingersol</t>
  </si>
  <si>
    <t>129275M</t>
  </si>
  <si>
    <t>Ingersoll- Rand Industrial Ire. Limited</t>
  </si>
  <si>
    <t>Bot Attempt Disqualifying Remarks Detected |  Individual Leavers Left: 10/04/2026 Member N</t>
  </si>
  <si>
    <t>Henrieta.Taraseviciute@irco.com</t>
  </si>
  <si>
    <t>SecureShare Carten C</t>
  </si>
  <si>
    <t>129120M</t>
  </si>
  <si>
    <t>Carten Controls Ltd</t>
  </si>
  <si>
    <t xml:space="preserve">DOL 27/03/2026, LSO issued </t>
  </si>
  <si>
    <t>amcgrath@cartencontrols.com</t>
  </si>
  <si>
    <t>SecureShare Dollinge</t>
  </si>
  <si>
    <t>128779M</t>
  </si>
  <si>
    <t>Dollinger Filtration Limited</t>
  </si>
  <si>
    <t xml:space="preserve"> Member already paid up</t>
  </si>
  <si>
    <t>Caroline.Costello@cleanova.com</t>
  </si>
  <si>
    <t xml:space="preserve">SecureShare Donegal </t>
  </si>
  <si>
    <t>128679M</t>
  </si>
  <si>
    <t>Donegal Airport</t>
  </si>
  <si>
    <t xml:space="preserve"> Individual Leavers DOL: 30/11/2025 Member Na ... (see attached file for full description)</t>
  </si>
  <si>
    <t>eilisdocherty@donegalairport.ie</t>
  </si>
  <si>
    <t>128678M</t>
  </si>
  <si>
    <t xml:space="preserve"> Individual Leavers DOL: 04/01/2026 Member Na ... (see attached file for full description)</t>
  </si>
  <si>
    <t>SecureShare Wesco Ir</t>
  </si>
  <si>
    <t>128567M</t>
  </si>
  <si>
    <t>WESCO ANIXTER IRELAND LIMITED</t>
  </si>
  <si>
    <t xml:space="preserve"> Individual Leavers DOL: 20/03/2026 Member Na ... (see attached file for full description)</t>
  </si>
  <si>
    <t>Su.Posthumus@wesco.com</t>
  </si>
  <si>
    <t>128550M</t>
  </si>
  <si>
    <t>mil link sent - lso</t>
  </si>
  <si>
    <t>SecureShare Gary Why</t>
  </si>
  <si>
    <t>128501M</t>
  </si>
  <si>
    <t>Screendragon (Ireland) Limited</t>
  </si>
  <si>
    <t>Gary Whyte</t>
  </si>
  <si>
    <t>TJ79</t>
  </si>
  <si>
    <t>info@garywhytefinancialservices.ie</t>
  </si>
  <si>
    <t xml:space="preserve">SecureShare XSellco </t>
  </si>
  <si>
    <t>128477M</t>
  </si>
  <si>
    <t>XSellco Software Limited</t>
  </si>
  <si>
    <t>Fran Meehan</t>
  </si>
  <si>
    <t>katia.urbani@edesk.com</t>
  </si>
  <si>
    <t>SecureShare FDC Grou</t>
  </si>
  <si>
    <t>128197M</t>
  </si>
  <si>
    <t>Keohane Readymix Limited</t>
  </si>
  <si>
    <t>FDC Financial Services Ltd</t>
  </si>
  <si>
    <t>RD03</t>
  </si>
  <si>
    <t>LSO generated &amp; posted</t>
  </si>
  <si>
    <t>adrianwhite@fdc.ie</t>
  </si>
  <si>
    <t>128196M</t>
  </si>
  <si>
    <t xml:space="preserve"> Individual Leavers - No Match Found DOL: 01/ ... (see attached file for full description)</t>
  </si>
  <si>
    <t>Z855</t>
  </si>
  <si>
    <t>SecureShare PAFS Ire</t>
  </si>
  <si>
    <t>128194M</t>
  </si>
  <si>
    <t>PAFS IRELAND LIMITED</t>
  </si>
  <si>
    <t>JMcInerney@phxa.com</t>
  </si>
  <si>
    <t>128099M</t>
  </si>
  <si>
    <t>o50 LSO</t>
  </si>
  <si>
    <t>G811</t>
  </si>
  <si>
    <t>128048M</t>
  </si>
  <si>
    <t>L'Oreal (UK) Limited</t>
  </si>
  <si>
    <t xml:space="preserve"> Individual Leavers DOL: 17/10/2025 Member Na ... (see attached file for full description)</t>
  </si>
  <si>
    <t>127947M</t>
  </si>
  <si>
    <t xml:space="preserve">Lsos already on MIL Archived </t>
  </si>
  <si>
    <t>SecureShare USAA Int</t>
  </si>
  <si>
    <t>127898M</t>
  </si>
  <si>
    <t>USAA INTERNATIONAL SERVCO DAC</t>
  </si>
  <si>
    <t>DOL: 31/03/2026 - CSC - ER Conts Only Manual needed</t>
  </si>
  <si>
    <t>Fiona.ODonnell@usaa.com</t>
  </si>
  <si>
    <t>SecureShare CCG Aona</t>
  </si>
  <si>
    <t>127873M</t>
  </si>
  <si>
    <t>CCG Aonad Slainte do Mhic Leinn Teo</t>
  </si>
  <si>
    <t>kevina.shaughnessy@universityofgalway.ie</t>
  </si>
  <si>
    <t>SecureShare Irish Ce</t>
  </si>
  <si>
    <t>127720M</t>
  </si>
  <si>
    <t>Irish Cement Ltd</t>
  </si>
  <si>
    <t>E080</t>
  </si>
  <si>
    <t>Bot Attempt Duplicate Midas Number |  Individual Leavers Left: 03/03/2026 Member Na ... (s</t>
  </si>
  <si>
    <t>Wdevereaux@irishcement.ie</t>
  </si>
  <si>
    <t>SecureShare Fairston</t>
  </si>
  <si>
    <t>127630M</t>
  </si>
  <si>
    <t>Glass Lewis Europe Ltd</t>
  </si>
  <si>
    <t>Declan Maher Financial Service</t>
  </si>
  <si>
    <t>VM23</t>
  </si>
  <si>
    <t>mags.griffin@fairstone.ie</t>
  </si>
  <si>
    <t>SecureShare AWP Heal</t>
  </si>
  <si>
    <t>127497M</t>
  </si>
  <si>
    <t>AWP Health &amp; Life SA</t>
  </si>
  <si>
    <t>UM51</t>
  </si>
  <si>
    <t>U50 LSO generated</t>
  </si>
  <si>
    <t>deborah.holton@allianzre.com</t>
  </si>
  <si>
    <t>SecureShare Experian</t>
  </si>
  <si>
    <t>127496M</t>
  </si>
  <si>
    <t>Experian</t>
  </si>
  <si>
    <t>Lane Clark &amp; Peacock Ireland Ltd.</t>
  </si>
  <si>
    <t>TT51</t>
  </si>
  <si>
    <t xml:space="preserve">O50's Posted </t>
  </si>
  <si>
    <t>katie.nanji-blake@experian.com</t>
  </si>
  <si>
    <t>127477M</t>
  </si>
  <si>
    <t>Bot Attempt Duplicate Midas Number |  Individual Leavers Left: 07/03/2026 Member Na ... (s</t>
  </si>
  <si>
    <t>127432M</t>
  </si>
  <si>
    <t xml:space="preserve">Bot Attempt Date of Leaving not Detected | PPS  - 7115489N Individual Leavers Left: 09/03 </t>
  </si>
  <si>
    <t>s.mcgowan@chemco.ie</t>
  </si>
  <si>
    <t>127356M</t>
  </si>
  <si>
    <t xml:space="preserve"> Individual Leavers - No Match Found DOL: 06/ ... (see attached file for full description)</t>
  </si>
  <si>
    <t>127314M</t>
  </si>
  <si>
    <t>Turnex Limited</t>
  </si>
  <si>
    <t>Yaping was employed by Allianz Re Dublin Bran ... (see attached file for full description)</t>
  </si>
  <si>
    <t>SecureShare Spearlin</t>
  </si>
  <si>
    <t>126847M</t>
  </si>
  <si>
    <t>Spearline Labs Limited</t>
  </si>
  <si>
    <t>Bot Attempt No Fund Value Detected | PPS 8081508O Individual Leavers Left: 27/03/20 ... (s</t>
  </si>
  <si>
    <t>Lorraine.Burns@cyara.com</t>
  </si>
  <si>
    <t>SecureShare Pavers L</t>
  </si>
  <si>
    <t>126766M</t>
  </si>
  <si>
    <t>Pavers Limited</t>
  </si>
  <si>
    <t>Sending O50 LSO by post  (NOND remark)</t>
  </si>
  <si>
    <t>U362</t>
  </si>
  <si>
    <t>Sarah.elliott@pavers.co.uk</t>
  </si>
  <si>
    <t>126606M</t>
  </si>
  <si>
    <t>126185M</t>
  </si>
  <si>
    <t xml:space="preserve"> Individual Leavers DOL: 03/02/2026 Member Na ... (see attached file for full description)</t>
  </si>
  <si>
    <t>SecureShare Shine</t>
  </si>
  <si>
    <t>126111M</t>
  </si>
  <si>
    <t>Shine</t>
  </si>
  <si>
    <t>ecurtis@shine.ie</t>
  </si>
  <si>
    <t>126064M</t>
  </si>
  <si>
    <t>Bot Attempt No Fund Value Detected |  Individual Leavers Left: 09/03/2026 Member Na ... (s</t>
  </si>
  <si>
    <t>SecureShare Anchor B</t>
  </si>
  <si>
    <t>125596M</t>
  </si>
  <si>
    <t>Anchor Bay Construction Access. Ire Ltd</t>
  </si>
  <si>
    <t>D735</t>
  </si>
  <si>
    <t xml:space="preserve"> Individual Leavers DOL: 26/02/2026 Member Na ... (see attached file for full description)</t>
  </si>
  <si>
    <t>martin.byrnes@anchor-bay.co.uk</t>
  </si>
  <si>
    <t>125544M</t>
  </si>
  <si>
    <t>LSO Generated Digitally</t>
  </si>
  <si>
    <t>F772</t>
  </si>
  <si>
    <t>125543M</t>
  </si>
  <si>
    <t>LSO Generated + Posted</t>
  </si>
  <si>
    <t>SecureShare Accord H</t>
  </si>
  <si>
    <t>125477M</t>
  </si>
  <si>
    <t>Accord Healthcare Ireland</t>
  </si>
  <si>
    <t xml:space="preserve"> Individual Leavers - No Match Found DOL: 28/ ... (see attached file for full description)</t>
  </si>
  <si>
    <t>K847</t>
  </si>
  <si>
    <t>jackie_Riddell@accord-healthcare.com</t>
  </si>
  <si>
    <t>125378M</t>
  </si>
  <si>
    <t>SecureShare BOC Gase</t>
  </si>
  <si>
    <t>124911M</t>
  </si>
  <si>
    <t>BOC Gases Ireland Limited</t>
  </si>
  <si>
    <t>Bot Attempt No Fund Value Detected |  Individual Leavers Left: 11/03/2026 Member Na ... (s</t>
  </si>
  <si>
    <t>geetha.mm@linde.com</t>
  </si>
  <si>
    <t xml:space="preserve">SecureShare Ballard </t>
  </si>
  <si>
    <t>124762M</t>
  </si>
  <si>
    <t>Lucan Village Pharmacy</t>
  </si>
  <si>
    <t>michael@lucanpharmacy.ie</t>
  </si>
  <si>
    <t>SecureShare Rockwell</t>
  </si>
  <si>
    <t>124639M</t>
  </si>
  <si>
    <t>Rockwell Automation Limited</t>
  </si>
  <si>
    <t xml:space="preserve"> Individual Leavers DOL: 23/02/2026 Member Na ... (see attached file for full description)</t>
  </si>
  <si>
    <t>Helen.OLeary@rockwellautomation.com</t>
  </si>
  <si>
    <t xml:space="preserve">SecureShare Trinity </t>
  </si>
  <si>
    <t>124638M</t>
  </si>
  <si>
    <t>Trinity Foundation</t>
  </si>
  <si>
    <t>feena.flanagan@tcd.ie</t>
  </si>
  <si>
    <t>SecureShare Vera Fin</t>
  </si>
  <si>
    <t>124607M</t>
  </si>
  <si>
    <t>Vera Financial DAC</t>
  </si>
  <si>
    <t>Bot Attempt No Employee Contributions Detected |  Individual Leavers Left: 03/04/2026 Memb</t>
  </si>
  <si>
    <t>francesca.ferrini@bbpmlife.com</t>
  </si>
  <si>
    <t>124237M</t>
  </si>
  <si>
    <t>SecureShare Union Of</t>
  </si>
  <si>
    <t>124234M</t>
  </si>
  <si>
    <t>Union of the Sisters of the Presentation</t>
  </si>
  <si>
    <t>Allen Retirement &amp; Finance Ltd (a</t>
  </si>
  <si>
    <t>RA51</t>
  </si>
  <si>
    <t xml:space="preserve"> Individual Leavers DOL: 26/03/2026 pend until final cont </t>
  </si>
  <si>
    <t>prespayroll@gmail.com</t>
  </si>
  <si>
    <t>124232M</t>
  </si>
  <si>
    <t>pend until final cont 03/04/2026 DOL: 28/03/2026</t>
  </si>
  <si>
    <t>124197M</t>
  </si>
  <si>
    <t>U50's LSOs on MIL</t>
  </si>
  <si>
    <t>SecureShare Roadston</t>
  </si>
  <si>
    <t>124061M</t>
  </si>
  <si>
    <t>Roadstone Limited</t>
  </si>
  <si>
    <t>comurphy@roadstone.ie</t>
  </si>
  <si>
    <t xml:space="preserve">SecureShare Element </t>
  </si>
  <si>
    <t>123754M</t>
  </si>
  <si>
    <t>Element Six</t>
  </si>
  <si>
    <t>VN70</t>
  </si>
  <si>
    <t>Bot Attempt Manual Quotation Required |  Individual Leavers Left: 27/02/2026 Member Na ...</t>
  </si>
  <si>
    <t>Sarah.McMahon@e6.com</t>
  </si>
  <si>
    <t>123672M</t>
  </si>
  <si>
    <t>SecureShare Anglo Be</t>
  </si>
  <si>
    <t>123670M</t>
  </si>
  <si>
    <t>Anglo Beef Processors Ireland</t>
  </si>
  <si>
    <t>PP Status - no further action required</t>
  </si>
  <si>
    <t>liga.eliase@abpireland.com</t>
  </si>
  <si>
    <t>SecureShare First Ir</t>
  </si>
  <si>
    <t>123411M</t>
  </si>
  <si>
    <t>Quintessential Brands Ireland</t>
  </si>
  <si>
    <t>Suzanne Lyons</t>
  </si>
  <si>
    <t xml:space="preserve"> Individual Leavers DOL: 13/02/2026 Member Na ... (see attached file for full description)</t>
  </si>
  <si>
    <t>Belinda.Rowlands@quintessentialbrands.com</t>
  </si>
  <si>
    <t>123410M</t>
  </si>
  <si>
    <t>Passed away 06.02.2026 Individual Leavers DOL ... (see attached file for full description)</t>
  </si>
  <si>
    <t>123409M</t>
  </si>
  <si>
    <t>Bot Attempt No Fund Value Detected |  Individual Leavers Left: 20/02/2026 Member Na ... (s</t>
  </si>
  <si>
    <t>122908M</t>
  </si>
  <si>
    <t>122894M</t>
  </si>
  <si>
    <t>Bot Attempt No Fund Value Detected |  Individual Leavers Left: 06/03/2026 Member Na ... (s</t>
  </si>
  <si>
    <t>122729M</t>
  </si>
  <si>
    <t>122491M</t>
  </si>
  <si>
    <t xml:space="preserve"> Individual Leavers DOL: 14/03/2026 Member Na ... (see attached file for full description)</t>
  </si>
  <si>
    <t>revathi.pratapa@linde.com</t>
  </si>
  <si>
    <t>122331M</t>
  </si>
  <si>
    <t>Bord na Mona PLC</t>
  </si>
  <si>
    <t>SecureShare Monument</t>
  </si>
  <si>
    <t>121804M</t>
  </si>
  <si>
    <t>Monument Insurance</t>
  </si>
  <si>
    <t>Bot Attempt Date of Leaving is Over a Month Away |  Individual Leavers Left: 15/04/2026 Me</t>
  </si>
  <si>
    <t>kate.conry@monumentregroup.com</t>
  </si>
  <si>
    <t>121696M</t>
  </si>
  <si>
    <t>For more information please contact amanpreet ... (see attached file for full description)</t>
  </si>
  <si>
    <t>121681M</t>
  </si>
  <si>
    <t>121641M</t>
  </si>
  <si>
    <t>121631M</t>
  </si>
  <si>
    <t xml:space="preserve"> Individual Leavers DOL: 06/02/2026 Member Na ... (see attached file for full description)</t>
  </si>
  <si>
    <t>SecureShare Northgat</t>
  </si>
  <si>
    <t>121611M</t>
  </si>
  <si>
    <t>Northgate Vehicle Hire Ireland Ltd</t>
  </si>
  <si>
    <t xml:space="preserve"> Individual Leavers DOL: 01/03/2026 Member Na ... (see attached file for full description)</t>
  </si>
  <si>
    <t>Belen.Roibas@northgatevehiclehire.ie</t>
  </si>
  <si>
    <t xml:space="preserve">SecureShare Boxever </t>
  </si>
  <si>
    <t>121199M</t>
  </si>
  <si>
    <t>Sitecore Ireland Limited</t>
  </si>
  <si>
    <t>Please do share his pension details with him  ... (see attached file for full description)</t>
  </si>
  <si>
    <t>Harshani.pabasara@sitecore.com</t>
  </si>
  <si>
    <t>SecureShare Demonwar</t>
  </si>
  <si>
    <t>120975M</t>
  </si>
  <si>
    <t>Demonware Limited</t>
  </si>
  <si>
    <t>DOL 06/03/2026</t>
  </si>
  <si>
    <t>cholmes@demonware.net</t>
  </si>
  <si>
    <t>SecureShare ElectroR</t>
  </si>
  <si>
    <t>116052M</t>
  </si>
  <si>
    <t>ElectroRoute Market Access Limited</t>
  </si>
  <si>
    <t>Leaving in February, please remove from Risk  ... (see attached file for full description)</t>
  </si>
  <si>
    <t>cara.mcintyre@electroroute.com</t>
  </si>
  <si>
    <t>SecureShare Key Plas</t>
  </si>
  <si>
    <t>115979M</t>
  </si>
  <si>
    <t>Key Plastics Limited</t>
  </si>
  <si>
    <t xml:space="preserve"> Individual Leavers DOL: 25/01/2026 Member Na ... (see attached file for full description)</t>
  </si>
  <si>
    <t>accounts@keyplastics.ie</t>
  </si>
  <si>
    <t>SecureShare Cordavis</t>
  </si>
  <si>
    <t>115950M</t>
  </si>
  <si>
    <t>Cordavis Limited</t>
  </si>
  <si>
    <t xml:space="preserve"> Individual Leavers DOL: 28/02/2026 Member Na ... (see attached file for full description)</t>
  </si>
  <si>
    <t>Joanne.Nolan@cordavis.com</t>
  </si>
  <si>
    <t>SecureShare Cheshire</t>
  </si>
  <si>
    <t>115915M</t>
  </si>
  <si>
    <t>Cheshire Foundation in Ireland</t>
  </si>
  <si>
    <t>Pls archive - No email or file attached</t>
  </si>
  <si>
    <t>E608</t>
  </si>
  <si>
    <t>alice.hyde@cheshire.ie</t>
  </si>
  <si>
    <t>SecureShare TransPer</t>
  </si>
  <si>
    <t>115222M</t>
  </si>
  <si>
    <t>TransPerfect Translations Limited</t>
  </si>
  <si>
    <t>patrick.knispel@transperfect.com</t>
  </si>
  <si>
    <t>115057M</t>
  </si>
  <si>
    <t>Dynam Aviation Ireland Limited</t>
  </si>
  <si>
    <t>Bot Attempt No Employee Contributions Detected |  Individual Leavers Left: 05/11/2025 Memb</t>
  </si>
  <si>
    <t>ed.pender@unio.ie</t>
  </si>
  <si>
    <t>114929M</t>
  </si>
  <si>
    <t xml:space="preserve"> Individual Leavers DOL: 20/02/2026 Member Na ... (see attached file for full description)</t>
  </si>
  <si>
    <t>114710M</t>
  </si>
  <si>
    <t>Early Retirement on the grounds of Ill health ... (see attached file for full description)</t>
  </si>
  <si>
    <t>U437</t>
  </si>
  <si>
    <t>114673M</t>
  </si>
  <si>
    <t>114666M</t>
  </si>
  <si>
    <t>pend until final cont 20/03/2026</t>
  </si>
  <si>
    <t xml:space="preserve">SecureShare Ornella </t>
  </si>
  <si>
    <t>114429M</t>
  </si>
  <si>
    <t>Patrona Underwriting Limited</t>
  </si>
  <si>
    <t xml:space="preserve">Bot Attempt Date of Leaving not Detected | PPSN 8080528P Individual Leavers Left: 19/03/2 </t>
  </si>
  <si>
    <t>gbrennan@ornellaunderwriting.ie</t>
  </si>
  <si>
    <t xml:space="preserve">SecureShare Premier </t>
  </si>
  <si>
    <t>114370M</t>
  </si>
  <si>
    <t>Premier Lotteries Ireland DAC</t>
  </si>
  <si>
    <t>Bot Attempt No Fund Value Detected |  Individual Leavers Left: 25/02/2026 Member Na ... (s</t>
  </si>
  <si>
    <t>Katherine.Markey@lottery.ie</t>
  </si>
  <si>
    <t>SecureShare Orsted O</t>
  </si>
  <si>
    <t>114294M</t>
  </si>
  <si>
    <t>Orsted Onshore Ireland Holdings Limited</t>
  </si>
  <si>
    <t>F499</t>
  </si>
  <si>
    <t>SECAL@orsted.com</t>
  </si>
  <si>
    <t>114209M</t>
  </si>
  <si>
    <t xml:space="preserve"> Individual Leavers DOL: 10/02/2026 Member Na ... (see attached file for full description)</t>
  </si>
  <si>
    <t>SecureShare KARE</t>
  </si>
  <si>
    <t>114113M</t>
  </si>
  <si>
    <t>NFVSP KARE</t>
  </si>
  <si>
    <t>anne.redican@kare.ie</t>
  </si>
  <si>
    <t>114076M</t>
  </si>
  <si>
    <t>Chris will have March contribution which will ... (see attached file for full description)</t>
  </si>
  <si>
    <t>114014M</t>
  </si>
  <si>
    <t>114012M</t>
  </si>
  <si>
    <t>SecureShare The Inst</t>
  </si>
  <si>
    <t>113757M</t>
  </si>
  <si>
    <t>The Institution of Engineers of Ireland</t>
  </si>
  <si>
    <t>emcnamara@engineersireland.ie</t>
  </si>
  <si>
    <t>SecureShare Compassr</t>
  </si>
  <si>
    <t>113701M</t>
  </si>
  <si>
    <t>Compassrock International (Ireland) Ltd</t>
  </si>
  <si>
    <t xml:space="preserve"> Individual Leavers DOL: 16/01/2026 Member Na ... (see attached file for full description)</t>
  </si>
  <si>
    <t>TPylarinou@compassrock.com</t>
  </si>
  <si>
    <t>113642M</t>
  </si>
  <si>
    <t>SecureShare SGS Irel</t>
  </si>
  <si>
    <t>113609M</t>
  </si>
  <si>
    <t>SGS IRELAND LIMITED</t>
  </si>
  <si>
    <t xml:space="preserve"> Individual Leavers DOL: 06/01/2026 Member Na ... (see attached file for full description)</t>
  </si>
  <si>
    <t>donna.orourke@sgs.com</t>
  </si>
  <si>
    <t>113595M</t>
  </si>
  <si>
    <t xml:space="preserve"> Individual Leavers DOL: 08/01/2026 Member Na ... (see attached file for full description)</t>
  </si>
  <si>
    <t>113589M</t>
  </si>
  <si>
    <t>113586M</t>
  </si>
  <si>
    <t>113567M</t>
  </si>
  <si>
    <t>Issued LSOs</t>
  </si>
  <si>
    <t>113466M</t>
  </si>
  <si>
    <t>Haleon Ireland Dungarvan Limited</t>
  </si>
  <si>
    <t>max.erickson@unio.ie</t>
  </si>
  <si>
    <t>113235M</t>
  </si>
  <si>
    <t>VR86</t>
  </si>
  <si>
    <t xml:space="preserve"> Individual Leavers - No Match Found DOL: 11/ ... (see attached file for full description)</t>
  </si>
  <si>
    <t>113158M</t>
  </si>
  <si>
    <t>pend until final conts rec'd</t>
  </si>
  <si>
    <t>SecureShare Versiv C</t>
  </si>
  <si>
    <t>113104M</t>
  </si>
  <si>
    <t>Versiv Composites Limited</t>
  </si>
  <si>
    <t>debbie.harte@versivcomposites.com</t>
  </si>
  <si>
    <t>113030M</t>
  </si>
  <si>
    <t>lsos already sent</t>
  </si>
  <si>
    <t>112932M</t>
  </si>
  <si>
    <t>lso sent to member</t>
  </si>
  <si>
    <t>SecureShare Kerry Pa</t>
  </si>
  <si>
    <t>112897M</t>
  </si>
  <si>
    <t>NFVSP Kerry Parents &amp; Friends Assoc</t>
  </si>
  <si>
    <t>anna.whelehan@kpfa.ie</t>
  </si>
  <si>
    <t>112891M</t>
  </si>
  <si>
    <t>112842M</t>
  </si>
  <si>
    <t>SecureShare NFVSP Su</t>
  </si>
  <si>
    <t>112391M</t>
  </si>
  <si>
    <t>NFVSP National Federation of Voluntary</t>
  </si>
  <si>
    <t>maria@fedvol.ie</t>
  </si>
  <si>
    <t xml:space="preserve">SecureShare Puratos </t>
  </si>
  <si>
    <t>112274M</t>
  </si>
  <si>
    <t>Puratos Crest Foods Ltd</t>
  </si>
  <si>
    <t>Bot Attempt No Fund Value Detected |  Individual Leavers Left: 31/01/2026 Member Na ... (s</t>
  </si>
  <si>
    <t>dsmith@puratos.com</t>
  </si>
  <si>
    <t>112217M</t>
  </si>
  <si>
    <t xml:space="preserve">DOL 25/02/2026 </t>
  </si>
  <si>
    <t>111972M</t>
  </si>
  <si>
    <t>111634M</t>
  </si>
  <si>
    <t xml:space="preserve"> Individual Leavers - No Match Found DOL: 02/ ... (see attached file for full description)</t>
  </si>
  <si>
    <t>SecureShare Aon</t>
  </si>
  <si>
    <t>111623M</t>
  </si>
  <si>
    <t>Collinson Insurance Services Ltd</t>
  </si>
  <si>
    <t>DOL 13/03/26</t>
  </si>
  <si>
    <t>katarzyna.brozek@aon.com</t>
  </si>
  <si>
    <t>111524M</t>
  </si>
  <si>
    <t>Cushman &amp; Wakefield Ireland</t>
  </si>
  <si>
    <t>111460M</t>
  </si>
  <si>
    <t>Please issue Leaving Service Options Individu ... (see attached file for full description)</t>
  </si>
  <si>
    <t>SecureShare Hard Met</t>
  </si>
  <si>
    <t>111403M</t>
  </si>
  <si>
    <t>Hard Metal Machine Tools Ltd</t>
  </si>
  <si>
    <t>Check with CIT re outstanding contributions - see note</t>
  </si>
  <si>
    <t>nhayes@hardmetal.ie</t>
  </si>
  <si>
    <t>111301M</t>
  </si>
  <si>
    <t>111070M</t>
  </si>
  <si>
    <t>Please archive, not a leaver</t>
  </si>
  <si>
    <t>J998</t>
  </si>
  <si>
    <t>111069M</t>
  </si>
  <si>
    <t xml:space="preserve"> Individual Leavers DOL: 31/01/2026 Member Na ... (see attached file for full description)</t>
  </si>
  <si>
    <t>111068M</t>
  </si>
  <si>
    <t>111067M</t>
  </si>
  <si>
    <t>SecureShare Toasttab</t>
  </si>
  <si>
    <t>110821M</t>
  </si>
  <si>
    <t>Toasttab Ireland Limited</t>
  </si>
  <si>
    <t>Bot Attempt Duplicate Midas Number | Left 19/02/2026</t>
  </si>
  <si>
    <t>darragh.hoban@toasttab.com</t>
  </si>
  <si>
    <t>SecureShare Oasis Lt</t>
  </si>
  <si>
    <t>110533M</t>
  </si>
  <si>
    <t>OASIS Ltd</t>
  </si>
  <si>
    <t xml:space="preserve"> Individual Leavers DOL: 26/01/2026 Member Na ... (see attached file for full description)</t>
  </si>
  <si>
    <t>nquinn@oasisgroup.com</t>
  </si>
  <si>
    <t>SecureShare Jimmy Ch</t>
  </si>
  <si>
    <t>110109M</t>
  </si>
  <si>
    <t>J Choo Limited</t>
  </si>
  <si>
    <t>Chloe.Miller@JimmyChoo.com</t>
  </si>
  <si>
    <t>SecureShare Howth Ya</t>
  </si>
  <si>
    <t>109874M</t>
  </si>
  <si>
    <t>Howth Yacht Club Limited Pension Plan</t>
  </si>
  <si>
    <t xml:space="preserve">LSO generated, MIL link sent </t>
  </si>
  <si>
    <t>melanie@hyc.ie</t>
  </si>
  <si>
    <t>109815M</t>
  </si>
  <si>
    <t>Bot Attempt AVC Only - Emailed Mbr to Contact Main Scheme |  Individual Leavers Left: 12/0</t>
  </si>
  <si>
    <t xml:space="preserve">SecureShare Malting </t>
  </si>
  <si>
    <t>109675M</t>
  </si>
  <si>
    <t>Malting Company of Ireland Ltd</t>
  </si>
  <si>
    <t>Member already PP-no action required</t>
  </si>
  <si>
    <t>joe@maltingcompany.ie</t>
  </si>
  <si>
    <t>SecureShare ClaimVan</t>
  </si>
  <si>
    <t>109570M</t>
  </si>
  <si>
    <t>Claimvantage Corporation Limited</t>
  </si>
  <si>
    <t>Campion Insurances Ltd.</t>
  </si>
  <si>
    <t>TC31</t>
  </si>
  <si>
    <t xml:space="preserve"> Individual Leavers DOL: 25/02/2026 Member Na ... (see attached file for full description)</t>
  </si>
  <si>
    <t>catherine.ledwidge@majesco.com</t>
  </si>
  <si>
    <t>109539M</t>
  </si>
  <si>
    <t>Copied as General Query for DOL Confirmation - Archive</t>
  </si>
  <si>
    <t>H506</t>
  </si>
  <si>
    <t>109528M</t>
  </si>
  <si>
    <t xml:space="preserve"> Individual Leavers DOL: 23/01/2026 Member Na ... (see attached file for full description)</t>
  </si>
  <si>
    <t>SecureShare Abtran</t>
  </si>
  <si>
    <t>109518M</t>
  </si>
  <si>
    <t>Abtran</t>
  </si>
  <si>
    <t xml:space="preserve"> Individual Leavers DOL: 02/01/2026 Member Na ... (see attached file for full description)</t>
  </si>
  <si>
    <t>stephanieoleary@abtran.com</t>
  </si>
  <si>
    <t>109481M</t>
  </si>
  <si>
    <t xml:space="preserve"> Individual Leavers DOL: 22/02/2026 Member Na ... (see attached file for full description)</t>
  </si>
  <si>
    <t>SecureShare McKechni</t>
  </si>
  <si>
    <t>109290M</t>
  </si>
  <si>
    <t>McKechnie Cleaning Services</t>
  </si>
  <si>
    <t>Chartered Life Wealth Management</t>
  </si>
  <si>
    <t>VO82</t>
  </si>
  <si>
    <t>Bot Attempt Duplicate Midas Number |  Individual Leavers Left: 04/02/2026 Member Na ... (s</t>
  </si>
  <si>
    <t>conor@mckechnie-cleaning.ie</t>
  </si>
  <si>
    <t>109274M</t>
  </si>
  <si>
    <t xml:space="preserve"> Individual Leavers DOL: 31/10/2025 Member Na ... (see attached file for full description)</t>
  </si>
  <si>
    <t>109262M</t>
  </si>
  <si>
    <t>Leaver already updated</t>
  </si>
  <si>
    <t>SecureShare Mathwork</t>
  </si>
  <si>
    <t>108263M</t>
  </si>
  <si>
    <t>Mathworks Limited</t>
  </si>
  <si>
    <t>francesc@mathworks.com</t>
  </si>
  <si>
    <t>108254M</t>
  </si>
  <si>
    <t xml:space="preserve"> Individual Leavers DOL: 04/02/2026 Member Na ... (see attached file for full description)</t>
  </si>
  <si>
    <t>108252M</t>
  </si>
  <si>
    <t>108194M</t>
  </si>
  <si>
    <t>The Institute of Bankers in Ireland</t>
  </si>
  <si>
    <t>Caitriona.Moran@IOB.IE</t>
  </si>
  <si>
    <t>108193M</t>
  </si>
  <si>
    <t xml:space="preserve"> Individual Leavers - No Match Found DOL: 17/ ... (see attached file for full description)</t>
  </si>
  <si>
    <t>SecureShare Castolin</t>
  </si>
  <si>
    <t>107659M</t>
  </si>
  <si>
    <t>Castolin Eutectic Ireland Limited</t>
  </si>
  <si>
    <t>Z191</t>
  </si>
  <si>
    <t>Majella.dunphy@castolin.com</t>
  </si>
  <si>
    <t>107655M</t>
  </si>
  <si>
    <t>107652M</t>
  </si>
  <si>
    <t>107643M</t>
  </si>
  <si>
    <t xml:space="preserve"> Individual Leavers - No Match Found DOL: 21/ ... (see attached file for full description)</t>
  </si>
  <si>
    <t>107641M</t>
  </si>
  <si>
    <t>107434M</t>
  </si>
  <si>
    <t xml:space="preserve"> Individual Leavers DOL: 09/01/2026 Member Na ... (see attached file for full description)</t>
  </si>
  <si>
    <t>SecureShare Novo Nor</t>
  </si>
  <si>
    <t>106860M</t>
  </si>
  <si>
    <t>Novo Nordisk Limited</t>
  </si>
  <si>
    <t xml:space="preserve"> Individual Leavers - No Match Found DOL: 15/ ... (see attached file for full description)</t>
  </si>
  <si>
    <t>K716</t>
  </si>
  <si>
    <t>seoq@novonordisk.com</t>
  </si>
  <si>
    <t>106859M</t>
  </si>
  <si>
    <t xml:space="preserve"> Individual Leavers DOL: 06/01/2025 gen query set up to confirm DOL</t>
  </si>
  <si>
    <t xml:space="preserve">SELECT </t>
  </si>
  <si>
    <t>cd.TP2V3_DATE_CREATED AS 'Date Created',</t>
  </si>
  <si>
    <t>TP2V3_WI_SOURCE as 'Source',</t>
  </si>
  <si>
    <t>cd.TP2V3_WI_MIDAS_NO AS 'Reference',</t>
  </si>
  <si>
    <t>cd.TP2V3_SCHEME_NO AS 'Scheme Number',</t>
  </si>
  <si>
    <t>cd.[TP2V3_WI_SCHEME_NAME] AS 'Scheme Name',</t>
  </si>
  <si>
    <t>cd.TP2V3_WI_BROKER_NAME AS 'Broker',</t>
  </si>
  <si>
    <t>cd.TP2V3_BROKER_CD as 'Broker Code',</t>
  </si>
  <si>
    <t>wd.wt_description AS 'Work Type',</t>
  </si>
  <si>
    <t>cd.TP2V3_WI_WORKTYPE_DESC AS 'Work Description',</t>
  </si>
  <si>
    <t>cd.TP2V3_WI_STATUS AS 'Status',</t>
  </si>
  <si>
    <t>cd.TP2V3_description AS 'Info',</t>
  </si>
  <si>
    <t>ISNULL(convert(varchar(10),cd.TP2V3_WI_DATE_COMPLETED,23),'WIP') AS 'Date Completed',</t>
  </si>
  <si>
    <t>TP2V3_BUSINESS_TEAM AS 'Team',</t>
  </si>
  <si>
    <t>TP2V3_WI_COMPLETED_BY AS 'Completed_By',</t>
  </si>
  <si>
    <t>ER_FROM as 'Emp From'</t>
  </si>
  <si>
    <t xml:space="preserve">FROM [AutomateMetrics].[dbo].[vw_ILCB_CUSTOM_DATA_G360] CD, </t>
  </si>
  <si>
    <t>[AutomateMetrics].[dbo].[active_worktype] WD</t>
  </si>
  <si>
    <t>WHERE cd.TP2V3_WI_WORKTYPE = wd.wt_code</t>
  </si>
  <si>
    <t>AND (LEFT(cd.TP2V3_WI_SOURCE, 6) = 'Secure' or LEFT(cd.TP2V3_WI_SOURCE, 9) = 'Datalinks')</t>
  </si>
  <si>
    <t>AND (TP2V3_WI_SOURCE &lt;&gt; 'Datalinks MissingFil' AND TP2V3_WI_SOURCE &lt;&gt; 'SecureShare MissingF')</t>
  </si>
  <si>
    <t>AND cd.TP2V3_date_created &gt;='03-11-2026 00:00:00' --and cd.TP2V3_date_created &lt;='02-28-2026 00:00:00')</t>
  </si>
  <si>
    <t>AND ( wd.wt_description = 'Auto Quote' or cd.TP2V3_WI_WORKTYPE_DESC = 'Individual Leavers - No Match Found')</t>
  </si>
  <si>
    <t>ORDER BY cd.TP2V3_DATE_CREATED DESC--, cd.TP2V3_SOURCE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</si>
</sst>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sz val="11"/>
      <color theme="9" tint="0.3999755851924192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22" fontId="1" fillId="0" borderId="0" xfId="0" applyNumberFormat="1" applyFont="1"/>
    <xf numFmtId="0" fontId="1" fillId="0" borderId="0" xfId="0" applyFont="1"/>
    <xf numFmtId="22" fontId="1" fillId="0" borderId="0" xfId="0" applyNumberFormat="1" applyFont="1" applyAlignment="1">
      <alignment wrapText="1"/>
    </xf>
    <xf numFmtId="0" fontId="1" fillId="0" borderId="0" xfId="0" applyFont="1" applyAlignment="1">
      <alignment horizontal="right"/>
    </xf>
    <xf numFmtId="22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9" fontId="0" fillId="0" borderId="0" xfId="1" applyFont="1"/>
    <xf numFmtId="0" fontId="0" fillId="0" borderId="0" xfId="0" applyAlignment="1">
      <alignment wrapText="1"/>
    </xf>
    <xf numFmtId="0" fontId="3" fillId="0" borderId="0" xfId="0" applyFont="1"/>
    <xf numFmtId="22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0" borderId="1" xfId="0" applyBorder="1"/>
    <xf numFmtId="22" fontId="5" fillId="0" borderId="0" xfId="0" applyNumberFormat="1" applyFont="1" applyAlignment="1">
      <alignment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3CFB-00F0-4622-8126-CB8ED6E7DB9E}">
  <dimension ref="A1:E21"/>
  <sheetViews>
    <sheetView tabSelected="1" workbookViewId="0">
      <selection activeCell="C15" sqref="C15"/>
    </sheetView>
  </sheetViews>
  <sheetFormatPr defaultRowHeight="15" x14ac:dyDescent="0.25"/>
  <cols>
    <col min="1" max="1" width="34.5703125" customWidth="1"/>
    <col min="2" max="2" width="12" bestFit="1" customWidth="1"/>
    <col min="3" max="3" width="10.42578125" bestFit="1" customWidth="1"/>
    <col min="4" max="4" width="11" bestFit="1" customWidth="1"/>
    <col min="5" max="5" width="10.42578125" bestFit="1" customWidth="1"/>
  </cols>
  <sheetData>
    <row r="1" spans="1:5" ht="18.75" x14ac:dyDescent="0.3">
      <c r="A1" s="17" t="s">
        <v>0</v>
      </c>
      <c r="B1" s="6" t="s">
        <v>1</v>
      </c>
      <c r="C1" s="1">
        <v>46070</v>
      </c>
      <c r="D1" s="4" t="s">
        <v>2</v>
      </c>
      <c r="E1" s="1">
        <v>46149</v>
      </c>
    </row>
    <row r="2" spans="1:5" x14ac:dyDescent="0.25">
      <c r="A2" s="5"/>
      <c r="B2" s="6"/>
      <c r="C2" s="1"/>
      <c r="D2" s="4"/>
      <c r="E2" s="1"/>
    </row>
    <row r="3" spans="1:5" x14ac:dyDescent="0.25">
      <c r="A3" s="5"/>
      <c r="B3" s="6"/>
      <c r="C3" s="1"/>
      <c r="D3" s="4"/>
      <c r="E3" s="1"/>
    </row>
    <row r="4" spans="1:5" x14ac:dyDescent="0.25">
      <c r="A4" s="4" t="s">
        <v>3</v>
      </c>
      <c r="B4" s="4" t="s">
        <v>4</v>
      </c>
      <c r="D4" s="4" t="s">
        <v>5</v>
      </c>
    </row>
    <row r="5" spans="1:5" x14ac:dyDescent="0.25">
      <c r="A5" t="s">
        <v>6</v>
      </c>
      <c r="B5">
        <v>8</v>
      </c>
      <c r="D5">
        <f>COUNTIF('Single Leavers'!J:J,Stats!A5)</f>
        <v>18</v>
      </c>
    </row>
    <row r="6" spans="1:5" x14ac:dyDescent="0.25">
      <c r="A6" t="s">
        <v>7</v>
      </c>
      <c r="B6">
        <v>65</v>
      </c>
      <c r="D6">
        <f>COUNTIF('Single Leavers'!J:J,Stats!A6)</f>
        <v>263</v>
      </c>
    </row>
    <row r="7" spans="1:5" x14ac:dyDescent="0.25">
      <c r="A7" t="s">
        <v>8</v>
      </c>
      <c r="B7">
        <v>7</v>
      </c>
      <c r="D7">
        <f>COUNTIF('Single Leavers'!J:J,Stats!A7)</f>
        <v>16</v>
      </c>
    </row>
    <row r="8" spans="1:5" x14ac:dyDescent="0.25">
      <c r="A8" t="s">
        <v>9</v>
      </c>
      <c r="B8" s="16">
        <v>4</v>
      </c>
      <c r="D8" s="16">
        <f>COUNTIF('Single Leavers'!J:J,Stats!A8)</f>
        <v>7</v>
      </c>
    </row>
    <row r="9" spans="1:5" x14ac:dyDescent="0.25">
      <c r="B9">
        <v>84</v>
      </c>
      <c r="D9">
        <f>SUM(D5:D8)</f>
        <v>304</v>
      </c>
    </row>
    <row r="11" spans="1:5" x14ac:dyDescent="0.25">
      <c r="A11" s="4" t="s">
        <v>10</v>
      </c>
    </row>
    <row r="12" spans="1:5" x14ac:dyDescent="0.25">
      <c r="A12" t="s">
        <v>11</v>
      </c>
      <c r="B12">
        <v>25</v>
      </c>
      <c r="D12">
        <f>COUNTIF('Single Leavers'!N:N,A12)</f>
        <v>116</v>
      </c>
    </row>
    <row r="13" spans="1:5" x14ac:dyDescent="0.25">
      <c r="A13" t="s">
        <v>12</v>
      </c>
      <c r="B13" s="16">
        <v>11</v>
      </c>
      <c r="D13" s="16">
        <f>COUNTIF('Single Leavers'!N:N,A13)</f>
        <v>34</v>
      </c>
    </row>
    <row r="14" spans="1:5" x14ac:dyDescent="0.25">
      <c r="B14">
        <v>36</v>
      </c>
      <c r="D14">
        <f>SUM(D12:D13)</f>
        <v>150</v>
      </c>
    </row>
    <row r="15" spans="1:5" x14ac:dyDescent="0.25">
      <c r="A15" t="s">
        <v>13</v>
      </c>
      <c r="B15" s="10">
        <v>0.55384615384615399</v>
      </c>
      <c r="D15" s="10">
        <f>D14/D6</f>
        <v>0.57034220532319391</v>
      </c>
    </row>
    <row r="17" spans="1:4" x14ac:dyDescent="0.25">
      <c r="A17" s="4" t="s">
        <v>14</v>
      </c>
    </row>
    <row r="18" spans="1:4" x14ac:dyDescent="0.25">
      <c r="A18" t="s">
        <v>15</v>
      </c>
      <c r="B18">
        <v>63</v>
      </c>
      <c r="D18">
        <f>COUNTIF('Single Leavers'!H:H,A18)</f>
        <v>257</v>
      </c>
    </row>
    <row r="19" spans="1:4" x14ac:dyDescent="0.25">
      <c r="A19" t="s">
        <v>16</v>
      </c>
      <c r="B19">
        <v>21</v>
      </c>
      <c r="D19">
        <f>COUNTIF('Single Leavers'!H:H,A19)</f>
        <v>47</v>
      </c>
    </row>
    <row r="21" spans="1:4" ht="30" x14ac:dyDescent="0.25">
      <c r="A21" s="11" t="s">
        <v>17</v>
      </c>
      <c r="B21" s="10">
        <v>0.75</v>
      </c>
      <c r="D21" s="10">
        <f>D18/D9</f>
        <v>0.84539473684210531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384A-E001-44E5-8503-8034A6E131CF}">
  <dimension ref="A1:P307"/>
  <sheetViews>
    <sheetView workbookViewId="0">
      <selection sqref="A1:E1"/>
    </sheetView>
  </sheetViews>
  <sheetFormatPr defaultRowHeight="15" x14ac:dyDescent="0.25"/>
  <cols>
    <col min="1" max="1" width="15.5703125" bestFit="1" customWidth="1"/>
    <col min="2" max="2" width="22.28515625" bestFit="1" customWidth="1"/>
    <col min="3" max="3" width="10.42578125" bestFit="1" customWidth="1"/>
    <col min="4" max="4" width="16.140625" bestFit="1" customWidth="1"/>
    <col min="5" max="5" width="37.5703125" bestFit="1" customWidth="1"/>
    <col min="6" max="6" width="32.140625" bestFit="1" customWidth="1"/>
    <col min="7" max="7" width="12.140625" bestFit="1" customWidth="1"/>
    <col min="8" max="8" width="12.7109375" bestFit="1" customWidth="1"/>
    <col min="9" max="9" width="16.85546875" bestFit="1" customWidth="1"/>
    <col min="10" max="10" width="10" bestFit="1" customWidth="1"/>
    <col min="11" max="11" width="83.7109375" bestFit="1" customWidth="1"/>
    <col min="12" max="12" width="16" bestFit="1" customWidth="1"/>
    <col min="13" max="13" width="27.42578125" bestFit="1" customWidth="1"/>
    <col min="14" max="14" width="14.28515625" bestFit="1" customWidth="1"/>
    <col min="15" max="15" width="40" bestFit="1" customWidth="1"/>
    <col min="16" max="16" width="27.42578125" bestFit="1" customWidth="1"/>
    <col min="17" max="17" width="7.7109375" bestFit="1" customWidth="1"/>
    <col min="18" max="18" width="40" bestFit="1" customWidth="1"/>
  </cols>
  <sheetData>
    <row r="1" spans="1:16" ht="30" x14ac:dyDescent="0.25">
      <c r="A1" s="5" t="s">
        <v>0</v>
      </c>
      <c r="B1" s="6" t="s">
        <v>1</v>
      </c>
      <c r="C1" s="1">
        <v>46070</v>
      </c>
      <c r="D1" s="4" t="s">
        <v>2</v>
      </c>
      <c r="E1" s="1">
        <v>46149</v>
      </c>
      <c r="F1" s="12" t="s">
        <v>18</v>
      </c>
    </row>
    <row r="2" spans="1:16" x14ac:dyDescent="0.25">
      <c r="A2" s="2"/>
    </row>
    <row r="3" spans="1:16" x14ac:dyDescent="0.25">
      <c r="A3" s="3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3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32</v>
      </c>
      <c r="P3" s="4"/>
    </row>
    <row r="4" spans="1:16" x14ac:dyDescent="0.25">
      <c r="A4" s="2">
        <v>46149.651574074072</v>
      </c>
      <c r="B4" t="s">
        <v>33</v>
      </c>
      <c r="C4" t="s">
        <v>34</v>
      </c>
      <c r="D4">
        <v>601201</v>
      </c>
      <c r="E4" t="s">
        <v>35</v>
      </c>
      <c r="F4" t="s">
        <v>36</v>
      </c>
      <c r="G4" t="s">
        <v>37</v>
      </c>
      <c r="H4" t="s">
        <v>16</v>
      </c>
      <c r="I4" t="s">
        <v>38</v>
      </c>
      <c r="J4" t="s">
        <v>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</row>
    <row r="5" spans="1:16" x14ac:dyDescent="0.25">
      <c r="A5" s="2">
        <v>46149.649016203701</v>
      </c>
      <c r="B5" t="s">
        <v>33</v>
      </c>
      <c r="C5" t="s">
        <v>44</v>
      </c>
      <c r="D5">
        <v>601201</v>
      </c>
      <c r="E5" t="s">
        <v>35</v>
      </c>
      <c r="F5" t="s">
        <v>36</v>
      </c>
      <c r="G5" t="s">
        <v>37</v>
      </c>
      <c r="H5" t="s">
        <v>15</v>
      </c>
      <c r="I5" t="s">
        <v>45</v>
      </c>
      <c r="J5" t="s">
        <v>8</v>
      </c>
      <c r="K5" t="s">
        <v>46</v>
      </c>
      <c r="L5" t="s">
        <v>40</v>
      </c>
      <c r="M5" t="s">
        <v>41</v>
      </c>
      <c r="N5" t="s">
        <v>42</v>
      </c>
      <c r="O5" t="s">
        <v>43</v>
      </c>
    </row>
    <row r="6" spans="1:16" x14ac:dyDescent="0.25">
      <c r="A6" s="2">
        <v>46149.640138888892</v>
      </c>
      <c r="B6" t="s">
        <v>47</v>
      </c>
      <c r="C6" t="s">
        <v>48</v>
      </c>
      <c r="D6">
        <v>604362</v>
      </c>
      <c r="E6" t="s">
        <v>49</v>
      </c>
      <c r="F6" t="s">
        <v>50</v>
      </c>
      <c r="G6" t="s">
        <v>51</v>
      </c>
      <c r="H6" t="s">
        <v>15</v>
      </c>
      <c r="I6" t="s">
        <v>45</v>
      </c>
      <c r="J6" t="s">
        <v>8</v>
      </c>
      <c r="K6" t="s">
        <v>52</v>
      </c>
      <c r="L6" s="1">
        <v>46149</v>
      </c>
      <c r="M6" t="s">
        <v>53</v>
      </c>
      <c r="N6" t="s">
        <v>11</v>
      </c>
      <c r="O6" t="s">
        <v>54</v>
      </c>
    </row>
    <row r="7" spans="1:16" x14ac:dyDescent="0.25">
      <c r="A7" s="2">
        <v>46149.639513888891</v>
      </c>
      <c r="B7" t="s">
        <v>47</v>
      </c>
      <c r="C7" t="s">
        <v>55</v>
      </c>
      <c r="D7">
        <v>604362</v>
      </c>
      <c r="E7" t="s">
        <v>49</v>
      </c>
      <c r="F7" t="s">
        <v>50</v>
      </c>
      <c r="G7" t="s">
        <v>51</v>
      </c>
      <c r="H7" t="s">
        <v>15</v>
      </c>
      <c r="I7" t="s">
        <v>45</v>
      </c>
      <c r="J7" t="s">
        <v>8</v>
      </c>
      <c r="K7" t="s">
        <v>56</v>
      </c>
      <c r="L7" s="1">
        <v>46149</v>
      </c>
      <c r="M7" t="s">
        <v>53</v>
      </c>
      <c r="N7" t="s">
        <v>11</v>
      </c>
      <c r="O7" t="s">
        <v>54</v>
      </c>
    </row>
    <row r="8" spans="1:16" x14ac:dyDescent="0.25">
      <c r="A8" s="2">
        <v>46149.637986111113</v>
      </c>
      <c r="B8" t="s">
        <v>47</v>
      </c>
      <c r="C8" t="s">
        <v>57</v>
      </c>
      <c r="D8">
        <v>604362</v>
      </c>
      <c r="E8" t="s">
        <v>49</v>
      </c>
      <c r="F8" t="s">
        <v>50</v>
      </c>
      <c r="G8" t="s">
        <v>51</v>
      </c>
      <c r="H8" t="s">
        <v>15</v>
      </c>
      <c r="I8" t="s">
        <v>45</v>
      </c>
      <c r="J8" t="s">
        <v>8</v>
      </c>
      <c r="K8" t="s">
        <v>58</v>
      </c>
      <c r="L8" t="s">
        <v>40</v>
      </c>
      <c r="M8" t="s">
        <v>53</v>
      </c>
      <c r="N8" t="s">
        <v>42</v>
      </c>
      <c r="O8" t="s">
        <v>54</v>
      </c>
    </row>
    <row r="9" spans="1:16" x14ac:dyDescent="0.25">
      <c r="A9" s="2">
        <v>46149.637106481481</v>
      </c>
      <c r="B9" t="s">
        <v>47</v>
      </c>
      <c r="C9" t="s">
        <v>59</v>
      </c>
      <c r="D9">
        <v>604362</v>
      </c>
      <c r="E9" t="s">
        <v>49</v>
      </c>
      <c r="F9" t="s">
        <v>50</v>
      </c>
      <c r="G9" t="s">
        <v>51</v>
      </c>
      <c r="H9" t="s">
        <v>15</v>
      </c>
      <c r="I9" t="s">
        <v>45</v>
      </c>
      <c r="J9" t="s">
        <v>7</v>
      </c>
      <c r="K9" t="s">
        <v>60</v>
      </c>
      <c r="L9" s="1">
        <v>46149</v>
      </c>
      <c r="M9" t="s">
        <v>53</v>
      </c>
      <c r="N9" t="s">
        <v>11</v>
      </c>
      <c r="O9" t="s">
        <v>54</v>
      </c>
    </row>
    <row r="10" spans="1:16" x14ac:dyDescent="0.25">
      <c r="A10" s="2">
        <v>46149.618900462963</v>
      </c>
      <c r="B10" t="s">
        <v>61</v>
      </c>
      <c r="C10" t="s">
        <v>62</v>
      </c>
      <c r="D10">
        <v>605657</v>
      </c>
      <c r="E10" t="s">
        <v>63</v>
      </c>
      <c r="F10" t="s">
        <v>64</v>
      </c>
      <c r="G10">
        <v>6397</v>
      </c>
      <c r="H10" t="s">
        <v>15</v>
      </c>
      <c r="I10" t="s">
        <v>45</v>
      </c>
      <c r="J10" t="s">
        <v>7</v>
      </c>
      <c r="K10" t="s">
        <v>65</v>
      </c>
      <c r="L10" s="1">
        <v>46149</v>
      </c>
      <c r="M10" t="s">
        <v>66</v>
      </c>
      <c r="N10" t="s">
        <v>11</v>
      </c>
      <c r="O10" t="s">
        <v>67</v>
      </c>
    </row>
    <row r="11" spans="1:16" x14ac:dyDescent="0.25">
      <c r="A11" s="2">
        <v>46149.453020833331</v>
      </c>
      <c r="B11" t="s">
        <v>68</v>
      </c>
      <c r="C11" t="s">
        <v>69</v>
      </c>
      <c r="D11">
        <v>609698</v>
      </c>
      <c r="E11" t="s">
        <v>70</v>
      </c>
      <c r="F11" t="s">
        <v>71</v>
      </c>
      <c r="G11" t="s">
        <v>72</v>
      </c>
      <c r="H11" t="s">
        <v>15</v>
      </c>
      <c r="I11" t="s">
        <v>45</v>
      </c>
      <c r="J11" t="s">
        <v>7</v>
      </c>
      <c r="K11" t="s">
        <v>73</v>
      </c>
      <c r="L11" s="1">
        <v>46149</v>
      </c>
      <c r="M11" t="s">
        <v>74</v>
      </c>
      <c r="N11" t="s">
        <v>11</v>
      </c>
      <c r="O11" t="s">
        <v>75</v>
      </c>
    </row>
    <row r="12" spans="1:16" x14ac:dyDescent="0.25">
      <c r="A12" s="2">
        <v>46149.44703703704</v>
      </c>
      <c r="B12" t="s">
        <v>76</v>
      </c>
      <c r="C12" t="s">
        <v>77</v>
      </c>
      <c r="D12">
        <v>602337</v>
      </c>
      <c r="E12" t="s">
        <v>78</v>
      </c>
      <c r="F12" t="s">
        <v>79</v>
      </c>
      <c r="G12">
        <v>6280</v>
      </c>
      <c r="H12" t="s">
        <v>15</v>
      </c>
      <c r="I12" t="s">
        <v>45</v>
      </c>
      <c r="J12" t="s">
        <v>7</v>
      </c>
      <c r="K12" t="s">
        <v>80</v>
      </c>
      <c r="L12" s="1">
        <v>46149</v>
      </c>
      <c r="M12" t="s">
        <v>66</v>
      </c>
      <c r="N12" t="s">
        <v>12</v>
      </c>
      <c r="O12" t="s">
        <v>81</v>
      </c>
    </row>
    <row r="13" spans="1:16" x14ac:dyDescent="0.25">
      <c r="A13" s="2">
        <v>46149.414849537039</v>
      </c>
      <c r="B13" t="s">
        <v>82</v>
      </c>
      <c r="C13" t="s">
        <v>83</v>
      </c>
      <c r="D13">
        <v>601357</v>
      </c>
      <c r="E13" t="s">
        <v>84</v>
      </c>
      <c r="F13" t="s">
        <v>85</v>
      </c>
      <c r="G13" t="s">
        <v>86</v>
      </c>
      <c r="H13" t="s">
        <v>15</v>
      </c>
      <c r="I13" t="s">
        <v>45</v>
      </c>
      <c r="J13" t="s">
        <v>8</v>
      </c>
      <c r="K13" t="s">
        <v>52</v>
      </c>
      <c r="L13" s="1">
        <v>46149</v>
      </c>
      <c r="M13" t="s">
        <v>87</v>
      </c>
      <c r="N13" t="s">
        <v>88</v>
      </c>
      <c r="O13" t="s">
        <v>89</v>
      </c>
    </row>
    <row r="14" spans="1:16" x14ac:dyDescent="0.25">
      <c r="A14" s="2">
        <v>46148.594895833332</v>
      </c>
      <c r="B14" t="s">
        <v>90</v>
      </c>
      <c r="C14" t="s">
        <v>91</v>
      </c>
      <c r="D14">
        <v>609839</v>
      </c>
      <c r="E14" t="s">
        <v>92</v>
      </c>
      <c r="F14" t="s">
        <v>93</v>
      </c>
      <c r="G14" t="s">
        <v>94</v>
      </c>
      <c r="H14" t="s">
        <v>15</v>
      </c>
      <c r="I14" t="s">
        <v>45</v>
      </c>
      <c r="J14" t="s">
        <v>8</v>
      </c>
      <c r="K14" t="s">
        <v>95</v>
      </c>
      <c r="L14" t="s">
        <v>40</v>
      </c>
      <c r="M14" t="s">
        <v>41</v>
      </c>
      <c r="N14" t="s">
        <v>42</v>
      </c>
      <c r="O14" t="s">
        <v>96</v>
      </c>
    </row>
    <row r="15" spans="1:16" x14ac:dyDescent="0.25">
      <c r="A15" s="2">
        <v>46148.576597222222</v>
      </c>
      <c r="B15" t="s">
        <v>97</v>
      </c>
      <c r="C15" t="s">
        <v>98</v>
      </c>
      <c r="D15">
        <v>601196</v>
      </c>
      <c r="E15" t="s">
        <v>99</v>
      </c>
      <c r="F15" t="s">
        <v>71</v>
      </c>
      <c r="G15" t="s">
        <v>100</v>
      </c>
      <c r="H15" t="s">
        <v>15</v>
      </c>
      <c r="I15" t="s">
        <v>45</v>
      </c>
      <c r="J15" t="s">
        <v>7</v>
      </c>
      <c r="K15" t="s">
        <v>101</v>
      </c>
      <c r="L15" s="1">
        <v>46148</v>
      </c>
      <c r="M15" t="s">
        <v>66</v>
      </c>
      <c r="N15" t="s">
        <v>11</v>
      </c>
      <c r="O15" t="s">
        <v>102</v>
      </c>
    </row>
    <row r="16" spans="1:16" x14ac:dyDescent="0.25">
      <c r="A16" s="2">
        <v>46148.4452662037</v>
      </c>
      <c r="B16" t="s">
        <v>103</v>
      </c>
      <c r="C16" t="s">
        <v>104</v>
      </c>
      <c r="D16">
        <v>601848</v>
      </c>
      <c r="E16" t="s">
        <v>105</v>
      </c>
      <c r="F16" t="s">
        <v>93</v>
      </c>
      <c r="G16" t="s">
        <v>106</v>
      </c>
      <c r="H16" t="s">
        <v>16</v>
      </c>
      <c r="I16" t="s">
        <v>38</v>
      </c>
      <c r="J16" t="s">
        <v>8</v>
      </c>
      <c r="K16" t="s">
        <v>107</v>
      </c>
      <c r="L16" t="s">
        <v>40</v>
      </c>
      <c r="M16" t="s">
        <v>41</v>
      </c>
      <c r="N16" t="s">
        <v>42</v>
      </c>
      <c r="O16" t="s">
        <v>108</v>
      </c>
    </row>
    <row r="17" spans="1:15" x14ac:dyDescent="0.25">
      <c r="A17" s="2">
        <v>46147.512407407405</v>
      </c>
      <c r="B17" t="s">
        <v>109</v>
      </c>
      <c r="C17" t="s">
        <v>110</v>
      </c>
      <c r="D17">
        <v>609819</v>
      </c>
      <c r="E17" t="s">
        <v>111</v>
      </c>
      <c r="F17" t="s">
        <v>112</v>
      </c>
      <c r="G17" t="s">
        <v>113</v>
      </c>
      <c r="H17" t="s">
        <v>15</v>
      </c>
      <c r="I17" t="s">
        <v>45</v>
      </c>
      <c r="J17" t="s">
        <v>7</v>
      </c>
      <c r="K17" t="s">
        <v>114</v>
      </c>
      <c r="L17" s="1">
        <v>46149</v>
      </c>
      <c r="M17" t="s">
        <v>41</v>
      </c>
      <c r="N17" t="s">
        <v>115</v>
      </c>
      <c r="O17" t="s">
        <v>116</v>
      </c>
    </row>
    <row r="18" spans="1:15" x14ac:dyDescent="0.25">
      <c r="A18" s="2">
        <v>46147.506342592591</v>
      </c>
      <c r="B18" t="s">
        <v>117</v>
      </c>
      <c r="C18" t="s">
        <v>118</v>
      </c>
      <c r="D18">
        <v>609830</v>
      </c>
      <c r="E18" t="s">
        <v>119</v>
      </c>
      <c r="F18" t="s">
        <v>120</v>
      </c>
      <c r="G18">
        <v>6048</v>
      </c>
      <c r="H18" t="s">
        <v>15</v>
      </c>
      <c r="I18" t="s">
        <v>45</v>
      </c>
      <c r="J18" t="s">
        <v>7</v>
      </c>
      <c r="K18" t="s">
        <v>121</v>
      </c>
      <c r="L18" s="1">
        <v>46147</v>
      </c>
      <c r="M18" t="s">
        <v>66</v>
      </c>
      <c r="N18" t="s">
        <v>11</v>
      </c>
      <c r="O18" t="s">
        <v>122</v>
      </c>
    </row>
    <row r="19" spans="1:15" x14ac:dyDescent="0.25">
      <c r="A19" s="2">
        <v>46147.486516203702</v>
      </c>
      <c r="B19" t="s">
        <v>123</v>
      </c>
      <c r="C19" t="s">
        <v>124</v>
      </c>
      <c r="D19">
        <v>604518</v>
      </c>
      <c r="E19" t="s">
        <v>125</v>
      </c>
      <c r="F19" t="s">
        <v>126</v>
      </c>
      <c r="G19" t="s">
        <v>127</v>
      </c>
      <c r="H19" t="s">
        <v>16</v>
      </c>
      <c r="I19" t="s">
        <v>38</v>
      </c>
      <c r="J19" t="s">
        <v>8</v>
      </c>
      <c r="K19" t="s">
        <v>128</v>
      </c>
      <c r="L19" t="s">
        <v>40</v>
      </c>
      <c r="M19" t="s">
        <v>53</v>
      </c>
      <c r="N19" t="s">
        <v>42</v>
      </c>
      <c r="O19" t="s">
        <v>129</v>
      </c>
    </row>
    <row r="20" spans="1:15" x14ac:dyDescent="0.25">
      <c r="A20" s="2">
        <v>46146.638333333336</v>
      </c>
      <c r="B20" t="s">
        <v>130</v>
      </c>
      <c r="C20" t="s">
        <v>131</v>
      </c>
      <c r="D20">
        <v>603076</v>
      </c>
      <c r="E20" t="s">
        <v>132</v>
      </c>
      <c r="F20" t="s">
        <v>126</v>
      </c>
      <c r="G20" t="s">
        <v>133</v>
      </c>
      <c r="H20" t="s">
        <v>16</v>
      </c>
      <c r="I20" t="s">
        <v>38</v>
      </c>
      <c r="J20" t="s">
        <v>7</v>
      </c>
      <c r="K20" t="s">
        <v>134</v>
      </c>
      <c r="L20" s="1">
        <v>46149</v>
      </c>
      <c r="M20" t="s">
        <v>66</v>
      </c>
      <c r="N20" t="s">
        <v>135</v>
      </c>
      <c r="O20" t="s">
        <v>136</v>
      </c>
    </row>
    <row r="21" spans="1:15" x14ac:dyDescent="0.25">
      <c r="A21" s="2">
        <v>46143.715590277781</v>
      </c>
      <c r="B21" t="s">
        <v>137</v>
      </c>
      <c r="C21" t="s">
        <v>138</v>
      </c>
      <c r="D21">
        <v>602631</v>
      </c>
      <c r="E21" t="s">
        <v>139</v>
      </c>
      <c r="F21" t="s">
        <v>112</v>
      </c>
      <c r="G21" t="s">
        <v>113</v>
      </c>
      <c r="H21" t="s">
        <v>15</v>
      </c>
      <c r="I21" t="s">
        <v>45</v>
      </c>
      <c r="J21" t="s">
        <v>7</v>
      </c>
      <c r="K21" t="s">
        <v>140</v>
      </c>
      <c r="L21" s="1">
        <v>46149</v>
      </c>
      <c r="M21" t="s">
        <v>141</v>
      </c>
      <c r="N21" t="s">
        <v>142</v>
      </c>
      <c r="O21" t="s">
        <v>143</v>
      </c>
    </row>
    <row r="22" spans="1:15" x14ac:dyDescent="0.25">
      <c r="A22" s="2">
        <v>46143.702499999999</v>
      </c>
      <c r="B22" t="s">
        <v>144</v>
      </c>
      <c r="C22" t="s">
        <v>145</v>
      </c>
      <c r="D22">
        <v>601933</v>
      </c>
      <c r="E22" t="s">
        <v>146</v>
      </c>
      <c r="F22" t="s">
        <v>147</v>
      </c>
      <c r="G22" t="s">
        <v>148</v>
      </c>
      <c r="H22" t="s">
        <v>15</v>
      </c>
      <c r="I22" t="s">
        <v>45</v>
      </c>
      <c r="J22" t="s">
        <v>7</v>
      </c>
      <c r="K22" t="s">
        <v>149</v>
      </c>
      <c r="L22" s="1">
        <v>46144</v>
      </c>
      <c r="M22" t="s">
        <v>141</v>
      </c>
      <c r="N22" t="s">
        <v>88</v>
      </c>
      <c r="O22" t="s">
        <v>150</v>
      </c>
    </row>
    <row r="23" spans="1:15" x14ac:dyDescent="0.25">
      <c r="A23" s="2">
        <v>46143.700266203705</v>
      </c>
      <c r="B23" t="s">
        <v>151</v>
      </c>
      <c r="C23" t="s">
        <v>152</v>
      </c>
      <c r="D23">
        <v>609275</v>
      </c>
      <c r="E23" t="s">
        <v>153</v>
      </c>
      <c r="F23" t="s">
        <v>50</v>
      </c>
      <c r="G23" t="s">
        <v>51</v>
      </c>
      <c r="H23" t="s">
        <v>15</v>
      </c>
      <c r="I23" t="s">
        <v>45</v>
      </c>
      <c r="J23" t="s">
        <v>7</v>
      </c>
      <c r="K23" t="s">
        <v>46</v>
      </c>
      <c r="L23" s="1">
        <v>46143</v>
      </c>
      <c r="M23" t="s">
        <v>141</v>
      </c>
      <c r="N23" t="s">
        <v>11</v>
      </c>
      <c r="O23" t="s">
        <v>154</v>
      </c>
    </row>
    <row r="24" spans="1:15" x14ac:dyDescent="0.25">
      <c r="A24" s="2">
        <v>46143.533506944441</v>
      </c>
      <c r="B24" t="s">
        <v>155</v>
      </c>
      <c r="C24" t="s">
        <v>156</v>
      </c>
      <c r="D24">
        <v>602944</v>
      </c>
      <c r="E24" t="s">
        <v>157</v>
      </c>
      <c r="F24" t="s">
        <v>158</v>
      </c>
      <c r="G24" t="s">
        <v>159</v>
      </c>
      <c r="H24" t="s">
        <v>15</v>
      </c>
      <c r="I24" t="s">
        <v>45</v>
      </c>
      <c r="J24" t="s">
        <v>7</v>
      </c>
      <c r="K24" t="s">
        <v>52</v>
      </c>
      <c r="L24" s="1">
        <v>46143</v>
      </c>
      <c r="M24" t="s">
        <v>41</v>
      </c>
      <c r="N24" t="s">
        <v>12</v>
      </c>
      <c r="O24" t="s">
        <v>160</v>
      </c>
    </row>
    <row r="25" spans="1:15" x14ac:dyDescent="0.25">
      <c r="A25" s="2">
        <v>46143.492754629631</v>
      </c>
      <c r="B25" t="s">
        <v>161</v>
      </c>
      <c r="C25" t="s">
        <v>162</v>
      </c>
      <c r="D25">
        <v>603097</v>
      </c>
      <c r="E25" t="s">
        <v>163</v>
      </c>
      <c r="F25" t="s">
        <v>164</v>
      </c>
      <c r="G25" t="s">
        <v>165</v>
      </c>
      <c r="H25" t="s">
        <v>15</v>
      </c>
      <c r="I25" t="s">
        <v>45</v>
      </c>
      <c r="J25" t="s">
        <v>7</v>
      </c>
      <c r="K25" t="s">
        <v>166</v>
      </c>
      <c r="L25" s="1">
        <v>46143</v>
      </c>
      <c r="M25" t="s">
        <v>87</v>
      </c>
      <c r="N25" t="s">
        <v>11</v>
      </c>
      <c r="O25" t="s">
        <v>167</v>
      </c>
    </row>
    <row r="26" spans="1:15" x14ac:dyDescent="0.25">
      <c r="A26" s="2">
        <v>46143.45045138889</v>
      </c>
      <c r="B26" t="s">
        <v>168</v>
      </c>
      <c r="C26" t="s">
        <v>169</v>
      </c>
      <c r="D26">
        <v>605480</v>
      </c>
      <c r="E26" t="s">
        <v>170</v>
      </c>
      <c r="F26" t="s">
        <v>71</v>
      </c>
      <c r="G26" t="s">
        <v>100</v>
      </c>
      <c r="H26" t="s">
        <v>16</v>
      </c>
      <c r="I26" t="s">
        <v>38</v>
      </c>
      <c r="J26" t="s">
        <v>7</v>
      </c>
      <c r="K26" t="s">
        <v>171</v>
      </c>
      <c r="L26" s="1">
        <v>46149</v>
      </c>
      <c r="M26" t="s">
        <v>66</v>
      </c>
      <c r="N26" t="s">
        <v>135</v>
      </c>
      <c r="O26" t="s">
        <v>172</v>
      </c>
    </row>
    <row r="27" spans="1:15" x14ac:dyDescent="0.25">
      <c r="A27" s="2">
        <v>46143.400011574071</v>
      </c>
      <c r="B27" t="s">
        <v>173</v>
      </c>
      <c r="C27" t="s">
        <v>174</v>
      </c>
      <c r="D27">
        <v>602658</v>
      </c>
      <c r="E27" t="s">
        <v>175</v>
      </c>
      <c r="F27" t="s">
        <v>158</v>
      </c>
      <c r="G27" t="s">
        <v>159</v>
      </c>
      <c r="H27" t="s">
        <v>15</v>
      </c>
      <c r="I27" t="s">
        <v>45</v>
      </c>
      <c r="J27" t="s">
        <v>7</v>
      </c>
      <c r="K27" t="s">
        <v>176</v>
      </c>
      <c r="L27" s="1">
        <v>46143</v>
      </c>
      <c r="M27" t="s">
        <v>41</v>
      </c>
      <c r="N27" t="s">
        <v>11</v>
      </c>
      <c r="O27" t="s">
        <v>177</v>
      </c>
    </row>
    <row r="28" spans="1:15" x14ac:dyDescent="0.25">
      <c r="A28" s="2">
        <v>46143.359039351853</v>
      </c>
      <c r="B28" t="s">
        <v>82</v>
      </c>
      <c r="C28" t="s">
        <v>178</v>
      </c>
      <c r="D28">
        <v>606901</v>
      </c>
      <c r="E28" t="s">
        <v>179</v>
      </c>
      <c r="F28" t="s">
        <v>85</v>
      </c>
      <c r="G28" t="s">
        <v>86</v>
      </c>
      <c r="H28" t="s">
        <v>15</v>
      </c>
      <c r="I28" t="s">
        <v>45</v>
      </c>
      <c r="J28" t="s">
        <v>7</v>
      </c>
      <c r="K28" t="s">
        <v>180</v>
      </c>
      <c r="L28" s="1">
        <v>46143</v>
      </c>
      <c r="M28" t="s">
        <v>87</v>
      </c>
      <c r="N28" t="s">
        <v>11</v>
      </c>
      <c r="O28" t="s">
        <v>89</v>
      </c>
    </row>
    <row r="29" spans="1:15" x14ac:dyDescent="0.25">
      <c r="A29" s="2">
        <v>46142.658506944441</v>
      </c>
      <c r="B29" t="s">
        <v>181</v>
      </c>
      <c r="C29" t="s">
        <v>182</v>
      </c>
      <c r="D29">
        <v>609147</v>
      </c>
      <c r="E29" t="s">
        <v>183</v>
      </c>
      <c r="F29" t="s">
        <v>71</v>
      </c>
      <c r="G29" t="s">
        <v>100</v>
      </c>
      <c r="H29" t="s">
        <v>15</v>
      </c>
      <c r="I29" t="s">
        <v>45</v>
      </c>
      <c r="J29" t="s">
        <v>9</v>
      </c>
      <c r="K29" t="s">
        <v>184</v>
      </c>
      <c r="L29" t="s">
        <v>40</v>
      </c>
      <c r="M29" t="s">
        <v>141</v>
      </c>
      <c r="N29" t="s">
        <v>185</v>
      </c>
      <c r="O29" t="s">
        <v>186</v>
      </c>
    </row>
    <row r="30" spans="1:15" x14ac:dyDescent="0.25">
      <c r="A30" s="2">
        <v>46142.653784722221</v>
      </c>
      <c r="B30" t="s">
        <v>109</v>
      </c>
      <c r="C30" t="s">
        <v>187</v>
      </c>
      <c r="D30">
        <v>609819</v>
      </c>
      <c r="E30" t="s">
        <v>111</v>
      </c>
      <c r="F30" t="s">
        <v>112</v>
      </c>
      <c r="G30" t="s">
        <v>113</v>
      </c>
      <c r="H30" t="s">
        <v>15</v>
      </c>
      <c r="I30" t="s">
        <v>45</v>
      </c>
      <c r="J30" t="s">
        <v>7</v>
      </c>
      <c r="K30" t="s">
        <v>188</v>
      </c>
      <c r="L30" s="1">
        <v>46143</v>
      </c>
      <c r="M30" t="s">
        <v>41</v>
      </c>
      <c r="N30" t="s">
        <v>12</v>
      </c>
      <c r="O30" t="s">
        <v>116</v>
      </c>
    </row>
    <row r="31" spans="1:15" x14ac:dyDescent="0.25">
      <c r="A31" s="2">
        <v>46142.585532407407</v>
      </c>
      <c r="B31" t="s">
        <v>82</v>
      </c>
      <c r="C31" t="s">
        <v>189</v>
      </c>
      <c r="D31">
        <v>606906</v>
      </c>
      <c r="E31" t="s">
        <v>190</v>
      </c>
      <c r="F31" t="s">
        <v>85</v>
      </c>
      <c r="G31" t="s">
        <v>86</v>
      </c>
      <c r="H31" t="s">
        <v>15</v>
      </c>
      <c r="I31" t="s">
        <v>45</v>
      </c>
      <c r="J31" t="s">
        <v>7</v>
      </c>
      <c r="K31" t="s">
        <v>191</v>
      </c>
      <c r="L31" s="1">
        <v>46142</v>
      </c>
      <c r="M31" t="s">
        <v>87</v>
      </c>
      <c r="N31" t="s">
        <v>11</v>
      </c>
      <c r="O31" t="s">
        <v>89</v>
      </c>
    </row>
    <row r="32" spans="1:15" x14ac:dyDescent="0.25">
      <c r="A32" s="2">
        <v>46142.433495370373</v>
      </c>
      <c r="B32" t="s">
        <v>82</v>
      </c>
      <c r="C32" t="s">
        <v>192</v>
      </c>
      <c r="D32">
        <v>606793</v>
      </c>
      <c r="E32" t="s">
        <v>193</v>
      </c>
      <c r="F32" t="s">
        <v>85</v>
      </c>
      <c r="G32" t="s">
        <v>86</v>
      </c>
      <c r="H32" t="s">
        <v>15</v>
      </c>
      <c r="I32" t="s">
        <v>45</v>
      </c>
      <c r="J32" t="s">
        <v>7</v>
      </c>
      <c r="K32" t="s">
        <v>194</v>
      </c>
      <c r="L32" s="1">
        <v>46142</v>
      </c>
      <c r="M32" t="s">
        <v>87</v>
      </c>
      <c r="N32" t="s">
        <v>11</v>
      </c>
      <c r="O32" t="s">
        <v>89</v>
      </c>
    </row>
    <row r="33" spans="1:15" x14ac:dyDescent="0.25">
      <c r="A33" s="2">
        <v>46142.431666666664</v>
      </c>
      <c r="B33" t="s">
        <v>137</v>
      </c>
      <c r="C33" t="s">
        <v>195</v>
      </c>
      <c r="D33">
        <v>602631</v>
      </c>
      <c r="E33" t="s">
        <v>139</v>
      </c>
      <c r="F33" t="s">
        <v>112</v>
      </c>
      <c r="G33" t="s">
        <v>113</v>
      </c>
      <c r="H33" t="s">
        <v>15</v>
      </c>
      <c r="I33" t="s">
        <v>45</v>
      </c>
      <c r="J33" t="s">
        <v>7</v>
      </c>
      <c r="K33" t="s">
        <v>196</v>
      </c>
      <c r="L33" s="1">
        <v>46143</v>
      </c>
      <c r="M33" t="s">
        <v>141</v>
      </c>
      <c r="N33" t="s">
        <v>11</v>
      </c>
      <c r="O33" t="s">
        <v>143</v>
      </c>
    </row>
    <row r="34" spans="1:15" x14ac:dyDescent="0.25">
      <c r="A34" s="2">
        <v>46142.420960648145</v>
      </c>
      <c r="B34" t="s">
        <v>197</v>
      </c>
      <c r="C34" t="s">
        <v>198</v>
      </c>
      <c r="D34">
        <v>605225</v>
      </c>
      <c r="E34" t="s">
        <v>199</v>
      </c>
      <c r="F34" t="s">
        <v>200</v>
      </c>
      <c r="G34" t="s">
        <v>201</v>
      </c>
      <c r="H34" t="s">
        <v>15</v>
      </c>
      <c r="I34" t="s">
        <v>45</v>
      </c>
      <c r="J34" t="s">
        <v>7</v>
      </c>
      <c r="K34" t="s">
        <v>202</v>
      </c>
      <c r="L34" s="1">
        <v>46142</v>
      </c>
      <c r="M34" t="s">
        <v>141</v>
      </c>
      <c r="N34" t="s">
        <v>11</v>
      </c>
      <c r="O34" t="s">
        <v>203</v>
      </c>
    </row>
    <row r="35" spans="1:15" x14ac:dyDescent="0.25">
      <c r="A35" s="2">
        <v>46142.415578703702</v>
      </c>
      <c r="B35" t="s">
        <v>204</v>
      </c>
      <c r="C35" t="s">
        <v>205</v>
      </c>
      <c r="D35">
        <v>602016</v>
      </c>
      <c r="E35" t="s">
        <v>206</v>
      </c>
      <c r="F35" t="s">
        <v>207</v>
      </c>
      <c r="G35" t="s">
        <v>208</v>
      </c>
      <c r="H35" t="s">
        <v>15</v>
      </c>
      <c r="I35" t="s">
        <v>45</v>
      </c>
      <c r="J35" t="s">
        <v>7</v>
      </c>
      <c r="K35" t="s">
        <v>209</v>
      </c>
      <c r="L35" s="1">
        <v>46143</v>
      </c>
      <c r="M35" t="s">
        <v>141</v>
      </c>
      <c r="N35" t="s">
        <v>88</v>
      </c>
      <c r="O35" t="s">
        <v>210</v>
      </c>
    </row>
    <row r="36" spans="1:15" x14ac:dyDescent="0.25">
      <c r="A36" s="2">
        <v>46141.674131944441</v>
      </c>
      <c r="B36" t="s">
        <v>211</v>
      </c>
      <c r="C36" t="s">
        <v>212</v>
      </c>
      <c r="D36">
        <v>602454</v>
      </c>
      <c r="E36" t="s">
        <v>213</v>
      </c>
      <c r="F36" t="s">
        <v>71</v>
      </c>
      <c r="G36" t="s">
        <v>100</v>
      </c>
      <c r="H36" t="s">
        <v>15</v>
      </c>
      <c r="I36" t="s">
        <v>45</v>
      </c>
      <c r="J36" t="s">
        <v>7</v>
      </c>
      <c r="K36" t="s">
        <v>214</v>
      </c>
      <c r="L36" s="1">
        <v>46143</v>
      </c>
      <c r="M36" t="s">
        <v>66</v>
      </c>
      <c r="N36" t="s">
        <v>215</v>
      </c>
      <c r="O36" t="s">
        <v>216</v>
      </c>
    </row>
    <row r="37" spans="1:15" x14ac:dyDescent="0.25">
      <c r="A37" s="2">
        <v>46141.667939814812</v>
      </c>
      <c r="B37" t="s">
        <v>217</v>
      </c>
      <c r="C37" t="s">
        <v>218</v>
      </c>
      <c r="D37">
        <v>609795</v>
      </c>
      <c r="E37" t="s">
        <v>219</v>
      </c>
      <c r="F37" t="s">
        <v>220</v>
      </c>
      <c r="G37" t="s">
        <v>221</v>
      </c>
      <c r="H37" t="s">
        <v>16</v>
      </c>
      <c r="I37" t="s">
        <v>38</v>
      </c>
      <c r="J37" t="s">
        <v>6</v>
      </c>
      <c r="K37" t="s">
        <v>107</v>
      </c>
      <c r="L37" s="1">
        <v>46147</v>
      </c>
      <c r="M37" t="s">
        <v>141</v>
      </c>
      <c r="N37" t="s">
        <v>222</v>
      </c>
      <c r="O37" t="s">
        <v>223</v>
      </c>
    </row>
    <row r="38" spans="1:15" x14ac:dyDescent="0.25">
      <c r="A38" s="2">
        <v>46141.646087962959</v>
      </c>
      <c r="B38" t="s">
        <v>224</v>
      </c>
      <c r="C38" t="s">
        <v>225</v>
      </c>
      <c r="D38">
        <v>606934</v>
      </c>
      <c r="E38" t="s">
        <v>226</v>
      </c>
      <c r="F38" t="s">
        <v>93</v>
      </c>
      <c r="G38" t="s">
        <v>94</v>
      </c>
      <c r="H38" t="s">
        <v>15</v>
      </c>
      <c r="I38" t="s">
        <v>45</v>
      </c>
      <c r="J38" t="s">
        <v>6</v>
      </c>
      <c r="K38" t="s">
        <v>227</v>
      </c>
      <c r="L38" s="1">
        <v>46142</v>
      </c>
      <c r="M38" t="s">
        <v>41</v>
      </c>
      <c r="N38" t="s">
        <v>215</v>
      </c>
      <c r="O38" t="s">
        <v>228</v>
      </c>
    </row>
    <row r="39" spans="1:15" x14ac:dyDescent="0.25">
      <c r="A39" s="2">
        <v>46141.627465277779</v>
      </c>
      <c r="B39" t="s">
        <v>224</v>
      </c>
      <c r="C39" t="s">
        <v>229</v>
      </c>
      <c r="D39">
        <v>606934</v>
      </c>
      <c r="E39" t="s">
        <v>226</v>
      </c>
      <c r="F39" t="s">
        <v>93</v>
      </c>
      <c r="G39" t="s">
        <v>94</v>
      </c>
      <c r="H39" t="s">
        <v>15</v>
      </c>
      <c r="I39" t="s">
        <v>45</v>
      </c>
      <c r="J39" t="s">
        <v>7</v>
      </c>
      <c r="K39" t="s">
        <v>230</v>
      </c>
      <c r="L39" s="1">
        <v>46141</v>
      </c>
      <c r="M39" t="s">
        <v>41</v>
      </c>
      <c r="N39" t="s">
        <v>11</v>
      </c>
      <c r="O39" t="s">
        <v>228</v>
      </c>
    </row>
    <row r="40" spans="1:15" x14ac:dyDescent="0.25">
      <c r="A40" s="2">
        <v>46141.62431712963</v>
      </c>
      <c r="B40" t="s">
        <v>224</v>
      </c>
      <c r="C40" t="s">
        <v>231</v>
      </c>
      <c r="D40">
        <v>606934</v>
      </c>
      <c r="E40" t="s">
        <v>226</v>
      </c>
      <c r="F40" t="s">
        <v>93</v>
      </c>
      <c r="G40" t="s">
        <v>94</v>
      </c>
      <c r="H40" t="s">
        <v>15</v>
      </c>
      <c r="I40" t="s">
        <v>45</v>
      </c>
      <c r="J40" t="s">
        <v>7</v>
      </c>
      <c r="K40" t="s">
        <v>230</v>
      </c>
      <c r="L40" s="1">
        <v>46143</v>
      </c>
      <c r="M40" t="s">
        <v>41</v>
      </c>
      <c r="N40" t="s">
        <v>88</v>
      </c>
      <c r="O40" t="s">
        <v>228</v>
      </c>
    </row>
    <row r="41" spans="1:15" x14ac:dyDescent="0.25">
      <c r="A41" s="2">
        <v>46141.444560185184</v>
      </c>
      <c r="B41" t="s">
        <v>232</v>
      </c>
      <c r="C41" t="s">
        <v>233</v>
      </c>
      <c r="D41">
        <v>605064</v>
      </c>
      <c r="E41" t="s">
        <v>234</v>
      </c>
      <c r="F41" t="s">
        <v>235</v>
      </c>
      <c r="G41" t="s">
        <v>236</v>
      </c>
      <c r="H41" t="s">
        <v>15</v>
      </c>
      <c r="I41" t="s">
        <v>45</v>
      </c>
      <c r="J41" t="s">
        <v>7</v>
      </c>
      <c r="K41" t="s">
        <v>237</v>
      </c>
      <c r="L41" s="1">
        <v>46141</v>
      </c>
      <c r="M41" t="s">
        <v>141</v>
      </c>
      <c r="N41" t="s">
        <v>11</v>
      </c>
      <c r="O41" t="s">
        <v>238</v>
      </c>
    </row>
    <row r="42" spans="1:15" x14ac:dyDescent="0.25">
      <c r="A42" s="2">
        <v>46141.421400462961</v>
      </c>
      <c r="B42" t="s">
        <v>90</v>
      </c>
      <c r="C42" t="s">
        <v>239</v>
      </c>
      <c r="D42">
        <v>609839</v>
      </c>
      <c r="E42" t="s">
        <v>92</v>
      </c>
      <c r="F42" t="s">
        <v>93</v>
      </c>
      <c r="G42" t="s">
        <v>94</v>
      </c>
      <c r="H42" t="s">
        <v>15</v>
      </c>
      <c r="I42" t="s">
        <v>45</v>
      </c>
      <c r="J42" t="s">
        <v>7</v>
      </c>
      <c r="K42" t="s">
        <v>240</v>
      </c>
      <c r="L42" s="1">
        <v>46147</v>
      </c>
      <c r="M42" t="s">
        <v>41</v>
      </c>
      <c r="N42" t="s">
        <v>241</v>
      </c>
      <c r="O42" t="s">
        <v>96</v>
      </c>
    </row>
    <row r="43" spans="1:15" x14ac:dyDescent="0.25">
      <c r="A43" s="2">
        <v>46141.417928240742</v>
      </c>
      <c r="B43" t="s">
        <v>90</v>
      </c>
      <c r="C43" t="s">
        <v>242</v>
      </c>
      <c r="D43">
        <v>609839</v>
      </c>
      <c r="E43" t="s">
        <v>92</v>
      </c>
      <c r="F43" t="s">
        <v>93</v>
      </c>
      <c r="G43" t="s">
        <v>94</v>
      </c>
      <c r="H43" t="s">
        <v>15</v>
      </c>
      <c r="I43" t="s">
        <v>45</v>
      </c>
      <c r="J43" t="s">
        <v>7</v>
      </c>
      <c r="K43" t="s">
        <v>243</v>
      </c>
      <c r="L43" s="1">
        <v>46143</v>
      </c>
      <c r="M43" t="s">
        <v>41</v>
      </c>
      <c r="N43" t="s">
        <v>11</v>
      </c>
      <c r="O43" t="s">
        <v>96</v>
      </c>
    </row>
    <row r="44" spans="1:15" x14ac:dyDescent="0.25">
      <c r="A44" s="2">
        <v>46141.391261574077</v>
      </c>
      <c r="B44" t="s">
        <v>244</v>
      </c>
      <c r="C44" t="s">
        <v>245</v>
      </c>
      <c r="D44">
        <v>603606</v>
      </c>
      <c r="E44" t="s">
        <v>246</v>
      </c>
      <c r="F44" t="s">
        <v>126</v>
      </c>
      <c r="G44" t="s">
        <v>133</v>
      </c>
      <c r="H44" t="s">
        <v>15</v>
      </c>
      <c r="I44" t="s">
        <v>45</v>
      </c>
      <c r="J44" t="s">
        <v>7</v>
      </c>
      <c r="K44" t="s">
        <v>247</v>
      </c>
      <c r="L44" s="1">
        <v>46141</v>
      </c>
      <c r="M44" t="s">
        <v>141</v>
      </c>
      <c r="N44" t="s">
        <v>11</v>
      </c>
      <c r="O44" t="s">
        <v>248</v>
      </c>
    </row>
    <row r="45" spans="1:15" x14ac:dyDescent="0.25">
      <c r="A45" s="2">
        <v>46141.379548611112</v>
      </c>
      <c r="B45" t="s">
        <v>249</v>
      </c>
      <c r="C45" t="s">
        <v>250</v>
      </c>
      <c r="D45">
        <v>609773</v>
      </c>
      <c r="E45" t="s">
        <v>251</v>
      </c>
      <c r="F45" t="s">
        <v>71</v>
      </c>
      <c r="G45" t="s">
        <v>100</v>
      </c>
      <c r="H45" t="s">
        <v>15</v>
      </c>
      <c r="I45" t="s">
        <v>45</v>
      </c>
      <c r="J45" t="s">
        <v>7</v>
      </c>
      <c r="K45" t="s">
        <v>252</v>
      </c>
      <c r="L45" s="1">
        <v>46141</v>
      </c>
      <c r="M45" t="s">
        <v>66</v>
      </c>
      <c r="N45" t="s">
        <v>11</v>
      </c>
      <c r="O45" t="s">
        <v>253</v>
      </c>
    </row>
    <row r="46" spans="1:15" x14ac:dyDescent="0.25">
      <c r="A46" s="2">
        <v>46140.61146990741</v>
      </c>
      <c r="B46" t="s">
        <v>254</v>
      </c>
      <c r="C46" t="s">
        <v>255</v>
      </c>
      <c r="D46">
        <v>609218</v>
      </c>
      <c r="E46" t="s">
        <v>256</v>
      </c>
      <c r="F46" t="s">
        <v>257</v>
      </c>
      <c r="G46" t="s">
        <v>258</v>
      </c>
      <c r="H46" t="s">
        <v>15</v>
      </c>
      <c r="I46" t="s">
        <v>45</v>
      </c>
      <c r="J46" t="s">
        <v>7</v>
      </c>
      <c r="K46" t="s">
        <v>259</v>
      </c>
      <c r="L46" s="1">
        <v>46140</v>
      </c>
      <c r="M46" t="s">
        <v>141</v>
      </c>
      <c r="N46" t="s">
        <v>11</v>
      </c>
      <c r="O46" t="s">
        <v>260</v>
      </c>
    </row>
    <row r="47" spans="1:15" x14ac:dyDescent="0.25">
      <c r="A47" s="2">
        <v>46140.520127314812</v>
      </c>
      <c r="B47" t="s">
        <v>82</v>
      </c>
      <c r="C47" t="s">
        <v>261</v>
      </c>
      <c r="D47">
        <v>601522</v>
      </c>
      <c r="E47" t="s">
        <v>262</v>
      </c>
      <c r="F47" t="s">
        <v>85</v>
      </c>
      <c r="G47" t="s">
        <v>86</v>
      </c>
      <c r="H47" t="s">
        <v>15</v>
      </c>
      <c r="I47" t="s">
        <v>45</v>
      </c>
      <c r="J47" t="s">
        <v>7</v>
      </c>
      <c r="K47" t="s">
        <v>263</v>
      </c>
      <c r="L47" s="1">
        <v>46141</v>
      </c>
      <c r="M47" t="s">
        <v>87</v>
      </c>
      <c r="N47" t="s">
        <v>264</v>
      </c>
      <c r="O47" t="s">
        <v>89</v>
      </c>
    </row>
    <row r="48" spans="1:15" x14ac:dyDescent="0.25">
      <c r="A48" s="2">
        <v>46140.507905092592</v>
      </c>
      <c r="B48" t="s">
        <v>265</v>
      </c>
      <c r="C48" t="s">
        <v>266</v>
      </c>
      <c r="D48">
        <v>606892</v>
      </c>
      <c r="E48" t="s">
        <v>267</v>
      </c>
      <c r="F48" t="s">
        <v>268</v>
      </c>
      <c r="G48" t="s">
        <v>269</v>
      </c>
      <c r="H48" t="s">
        <v>15</v>
      </c>
      <c r="I48" t="s">
        <v>45</v>
      </c>
      <c r="J48" t="s">
        <v>7</v>
      </c>
      <c r="K48" t="s">
        <v>176</v>
      </c>
      <c r="L48" s="1">
        <v>46140</v>
      </c>
      <c r="M48" t="s">
        <v>141</v>
      </c>
      <c r="N48" t="s">
        <v>12</v>
      </c>
      <c r="O48" t="s">
        <v>270</v>
      </c>
    </row>
    <row r="49" spans="1:15" x14ac:dyDescent="0.25">
      <c r="A49" s="2">
        <v>46140.5075462963</v>
      </c>
      <c r="B49" t="s">
        <v>265</v>
      </c>
      <c r="C49" t="s">
        <v>271</v>
      </c>
      <c r="D49">
        <v>606892</v>
      </c>
      <c r="E49" t="s">
        <v>267</v>
      </c>
      <c r="F49" t="s">
        <v>268</v>
      </c>
      <c r="G49" t="s">
        <v>269</v>
      </c>
      <c r="H49" t="s">
        <v>15</v>
      </c>
      <c r="I49" t="s">
        <v>45</v>
      </c>
      <c r="J49" t="s">
        <v>7</v>
      </c>
      <c r="K49" t="s">
        <v>272</v>
      </c>
      <c r="L49" s="1">
        <v>46140</v>
      </c>
      <c r="M49" t="s">
        <v>141</v>
      </c>
      <c r="N49" t="s">
        <v>12</v>
      </c>
      <c r="O49" t="s">
        <v>270</v>
      </c>
    </row>
    <row r="50" spans="1:15" x14ac:dyDescent="0.25">
      <c r="A50" s="2">
        <v>46140.507094907407</v>
      </c>
      <c r="B50" t="s">
        <v>265</v>
      </c>
      <c r="C50" t="s">
        <v>273</v>
      </c>
      <c r="D50">
        <v>606892</v>
      </c>
      <c r="E50" t="s">
        <v>267</v>
      </c>
      <c r="F50" t="s">
        <v>268</v>
      </c>
      <c r="G50" t="s">
        <v>269</v>
      </c>
      <c r="H50" t="s">
        <v>15</v>
      </c>
      <c r="I50" t="s">
        <v>45</v>
      </c>
      <c r="J50" t="s">
        <v>7</v>
      </c>
      <c r="K50" t="s">
        <v>274</v>
      </c>
      <c r="L50" s="1">
        <v>46140</v>
      </c>
      <c r="M50" t="s">
        <v>141</v>
      </c>
      <c r="N50" t="s">
        <v>12</v>
      </c>
      <c r="O50" t="s">
        <v>270</v>
      </c>
    </row>
    <row r="51" spans="1:15" x14ac:dyDescent="0.25">
      <c r="A51" s="2">
        <v>46140.506493055553</v>
      </c>
      <c r="B51" t="s">
        <v>265</v>
      </c>
      <c r="C51" t="s">
        <v>275</v>
      </c>
      <c r="D51">
        <v>606892</v>
      </c>
      <c r="E51" t="s">
        <v>267</v>
      </c>
      <c r="F51" t="s">
        <v>268</v>
      </c>
      <c r="G51" t="s">
        <v>269</v>
      </c>
      <c r="H51" t="s">
        <v>15</v>
      </c>
      <c r="I51" t="s">
        <v>45</v>
      </c>
      <c r="J51" t="s">
        <v>7</v>
      </c>
      <c r="K51" t="s">
        <v>276</v>
      </c>
      <c r="L51" s="1">
        <v>46140</v>
      </c>
      <c r="M51" t="s">
        <v>141</v>
      </c>
      <c r="N51" t="s">
        <v>12</v>
      </c>
      <c r="O51" t="s">
        <v>270</v>
      </c>
    </row>
    <row r="52" spans="1:15" x14ac:dyDescent="0.25">
      <c r="A52" s="2">
        <v>46140.506053240744</v>
      </c>
      <c r="B52" t="s">
        <v>265</v>
      </c>
      <c r="C52" t="s">
        <v>277</v>
      </c>
      <c r="D52">
        <v>606892</v>
      </c>
      <c r="E52" t="s">
        <v>267</v>
      </c>
      <c r="F52" t="s">
        <v>268</v>
      </c>
      <c r="G52" t="s">
        <v>269</v>
      </c>
      <c r="H52" t="s">
        <v>15</v>
      </c>
      <c r="I52" t="s">
        <v>45</v>
      </c>
      <c r="J52" t="s">
        <v>7</v>
      </c>
      <c r="K52" t="s">
        <v>278</v>
      </c>
      <c r="L52" s="1">
        <v>46140</v>
      </c>
      <c r="M52" t="s">
        <v>141</v>
      </c>
      <c r="N52" t="s">
        <v>11</v>
      </c>
      <c r="O52" t="s">
        <v>270</v>
      </c>
    </row>
    <row r="53" spans="1:15" x14ac:dyDescent="0.25">
      <c r="A53" s="2">
        <v>46140.505601851852</v>
      </c>
      <c r="B53" t="s">
        <v>265</v>
      </c>
      <c r="C53" t="s">
        <v>279</v>
      </c>
      <c r="D53">
        <v>606892</v>
      </c>
      <c r="E53" t="s">
        <v>267</v>
      </c>
      <c r="F53" t="s">
        <v>268</v>
      </c>
      <c r="G53" t="s">
        <v>269</v>
      </c>
      <c r="H53" t="s">
        <v>15</v>
      </c>
      <c r="I53" t="s">
        <v>45</v>
      </c>
      <c r="J53" t="s">
        <v>7</v>
      </c>
      <c r="K53" t="s">
        <v>209</v>
      </c>
      <c r="L53" s="1">
        <v>46140</v>
      </c>
      <c r="M53" t="s">
        <v>141</v>
      </c>
      <c r="N53" t="s">
        <v>12</v>
      </c>
      <c r="O53" t="s">
        <v>270</v>
      </c>
    </row>
    <row r="54" spans="1:15" x14ac:dyDescent="0.25">
      <c r="A54" s="2">
        <v>46140.504861111112</v>
      </c>
      <c r="B54" t="s">
        <v>265</v>
      </c>
      <c r="C54" t="s">
        <v>280</v>
      </c>
      <c r="D54">
        <v>606892</v>
      </c>
      <c r="E54" t="s">
        <v>267</v>
      </c>
      <c r="F54" t="s">
        <v>268</v>
      </c>
      <c r="G54" t="s">
        <v>269</v>
      </c>
      <c r="H54" t="s">
        <v>15</v>
      </c>
      <c r="I54" t="s">
        <v>45</v>
      </c>
      <c r="J54" t="s">
        <v>7</v>
      </c>
      <c r="K54" t="s">
        <v>209</v>
      </c>
      <c r="L54" s="1">
        <v>46140</v>
      </c>
      <c r="M54" t="s">
        <v>141</v>
      </c>
      <c r="N54" t="s">
        <v>12</v>
      </c>
      <c r="O54" t="s">
        <v>270</v>
      </c>
    </row>
    <row r="55" spans="1:15" x14ac:dyDescent="0.25">
      <c r="A55" s="2">
        <v>46140.504374999997</v>
      </c>
      <c r="B55" t="s">
        <v>265</v>
      </c>
      <c r="C55" t="s">
        <v>281</v>
      </c>
      <c r="D55">
        <v>606892</v>
      </c>
      <c r="E55" t="s">
        <v>267</v>
      </c>
      <c r="F55" t="s">
        <v>268</v>
      </c>
      <c r="G55" t="s">
        <v>269</v>
      </c>
      <c r="H55" t="s">
        <v>15</v>
      </c>
      <c r="I55" t="s">
        <v>45</v>
      </c>
      <c r="J55" t="s">
        <v>7</v>
      </c>
      <c r="K55" t="s">
        <v>282</v>
      </c>
      <c r="L55" s="1">
        <v>46141</v>
      </c>
      <c r="M55" t="s">
        <v>141</v>
      </c>
      <c r="N55" t="s">
        <v>283</v>
      </c>
      <c r="O55" t="s">
        <v>270</v>
      </c>
    </row>
    <row r="56" spans="1:15" x14ac:dyDescent="0.25">
      <c r="A56" s="2">
        <v>46140.503854166665</v>
      </c>
      <c r="B56" t="s">
        <v>265</v>
      </c>
      <c r="C56" t="s">
        <v>284</v>
      </c>
      <c r="D56">
        <v>606892</v>
      </c>
      <c r="E56" t="s">
        <v>267</v>
      </c>
      <c r="F56" t="s">
        <v>268</v>
      </c>
      <c r="G56" t="s">
        <v>269</v>
      </c>
      <c r="H56" t="s">
        <v>15</v>
      </c>
      <c r="I56" t="s">
        <v>45</v>
      </c>
      <c r="J56" t="s">
        <v>7</v>
      </c>
      <c r="K56" t="s">
        <v>285</v>
      </c>
      <c r="L56" s="1">
        <v>46140</v>
      </c>
      <c r="M56" t="s">
        <v>141</v>
      </c>
      <c r="N56" t="s">
        <v>11</v>
      </c>
      <c r="O56" t="s">
        <v>270</v>
      </c>
    </row>
    <row r="57" spans="1:15" x14ac:dyDescent="0.25">
      <c r="A57" s="2">
        <v>46140.50340277778</v>
      </c>
      <c r="B57" t="s">
        <v>265</v>
      </c>
      <c r="C57" t="s">
        <v>286</v>
      </c>
      <c r="D57">
        <v>606892</v>
      </c>
      <c r="E57" t="s">
        <v>267</v>
      </c>
      <c r="F57" t="s">
        <v>268</v>
      </c>
      <c r="G57" t="s">
        <v>269</v>
      </c>
      <c r="H57" t="s">
        <v>15</v>
      </c>
      <c r="I57" t="s">
        <v>45</v>
      </c>
      <c r="J57" t="s">
        <v>6</v>
      </c>
      <c r="K57" t="s">
        <v>287</v>
      </c>
      <c r="L57" s="1">
        <v>46142</v>
      </c>
      <c r="M57" t="s">
        <v>141</v>
      </c>
      <c r="N57" t="s">
        <v>264</v>
      </c>
      <c r="O57" t="s">
        <v>270</v>
      </c>
    </row>
    <row r="58" spans="1:15" x14ac:dyDescent="0.25">
      <c r="A58" s="2">
        <v>46140.455057870371</v>
      </c>
      <c r="B58" t="s">
        <v>288</v>
      </c>
      <c r="C58" t="s">
        <v>289</v>
      </c>
      <c r="D58">
        <v>603109</v>
      </c>
      <c r="E58" t="s">
        <v>290</v>
      </c>
      <c r="F58" t="s">
        <v>291</v>
      </c>
      <c r="G58" t="s">
        <v>292</v>
      </c>
      <c r="H58" t="s">
        <v>15</v>
      </c>
      <c r="I58" t="s">
        <v>45</v>
      </c>
      <c r="J58" t="s">
        <v>7</v>
      </c>
      <c r="K58" t="s">
        <v>293</v>
      </c>
      <c r="L58" s="1">
        <v>46141</v>
      </c>
      <c r="M58" t="s">
        <v>41</v>
      </c>
      <c r="N58" t="s">
        <v>283</v>
      </c>
      <c r="O58" t="s">
        <v>294</v>
      </c>
    </row>
    <row r="59" spans="1:15" x14ac:dyDescent="0.25">
      <c r="A59" s="2">
        <v>46140.37054398148</v>
      </c>
      <c r="B59" t="s">
        <v>109</v>
      </c>
      <c r="C59" t="s">
        <v>295</v>
      </c>
      <c r="D59">
        <v>609819</v>
      </c>
      <c r="E59" t="s">
        <v>111</v>
      </c>
      <c r="F59" t="s">
        <v>112</v>
      </c>
      <c r="G59" t="s">
        <v>113</v>
      </c>
      <c r="H59" t="s">
        <v>15</v>
      </c>
      <c r="I59" t="s">
        <v>45</v>
      </c>
      <c r="J59" t="s">
        <v>7</v>
      </c>
      <c r="K59" t="s">
        <v>296</v>
      </c>
      <c r="L59" s="1">
        <v>46141</v>
      </c>
      <c r="M59" t="s">
        <v>41</v>
      </c>
      <c r="N59" t="s">
        <v>283</v>
      </c>
      <c r="O59" t="s">
        <v>116</v>
      </c>
    </row>
    <row r="60" spans="1:15" x14ac:dyDescent="0.25">
      <c r="A60" s="2">
        <v>46139.671296296299</v>
      </c>
      <c r="B60" t="s">
        <v>297</v>
      </c>
      <c r="C60" t="s">
        <v>298</v>
      </c>
      <c r="D60">
        <v>603259</v>
      </c>
      <c r="E60" t="s">
        <v>299</v>
      </c>
      <c r="F60" t="s">
        <v>71</v>
      </c>
      <c r="G60" t="s">
        <v>100</v>
      </c>
      <c r="H60" t="s">
        <v>15</v>
      </c>
      <c r="I60" t="s">
        <v>45</v>
      </c>
      <c r="J60" t="s">
        <v>9</v>
      </c>
      <c r="K60" t="s">
        <v>300</v>
      </c>
      <c r="L60" t="s">
        <v>40</v>
      </c>
      <c r="M60" t="s">
        <v>66</v>
      </c>
      <c r="N60" t="s">
        <v>241</v>
      </c>
      <c r="O60" t="s">
        <v>301</v>
      </c>
    </row>
    <row r="61" spans="1:15" x14ac:dyDescent="0.25">
      <c r="A61" s="2">
        <v>46139.644976851851</v>
      </c>
      <c r="B61" t="s">
        <v>302</v>
      </c>
      <c r="C61" t="s">
        <v>303</v>
      </c>
      <c r="D61">
        <v>605011</v>
      </c>
      <c r="E61" t="s">
        <v>304</v>
      </c>
      <c r="F61" t="s">
        <v>71</v>
      </c>
      <c r="G61" t="s">
        <v>100</v>
      </c>
      <c r="H61" t="s">
        <v>15</v>
      </c>
      <c r="I61" t="s">
        <v>45</v>
      </c>
      <c r="J61" t="s">
        <v>7</v>
      </c>
      <c r="K61" t="s">
        <v>305</v>
      </c>
      <c r="L61" s="1">
        <v>46139</v>
      </c>
      <c r="M61" t="s">
        <v>66</v>
      </c>
      <c r="N61" t="s">
        <v>11</v>
      </c>
      <c r="O61" t="s">
        <v>306</v>
      </c>
    </row>
    <row r="62" spans="1:15" x14ac:dyDescent="0.25">
      <c r="A62" s="2">
        <v>46139.639085648145</v>
      </c>
      <c r="B62" t="s">
        <v>307</v>
      </c>
      <c r="C62" t="s">
        <v>308</v>
      </c>
      <c r="D62">
        <v>602279</v>
      </c>
      <c r="E62" t="s">
        <v>309</v>
      </c>
      <c r="F62" t="s">
        <v>71</v>
      </c>
      <c r="G62" t="s">
        <v>72</v>
      </c>
      <c r="H62" t="s">
        <v>15</v>
      </c>
      <c r="I62" t="s">
        <v>45</v>
      </c>
      <c r="J62" t="s">
        <v>7</v>
      </c>
      <c r="K62" t="s">
        <v>240</v>
      </c>
      <c r="L62" s="1">
        <v>46141</v>
      </c>
      <c r="M62" t="s">
        <v>66</v>
      </c>
      <c r="N62" t="s">
        <v>241</v>
      </c>
      <c r="O62" t="s">
        <v>310</v>
      </c>
    </row>
    <row r="63" spans="1:15" x14ac:dyDescent="0.25">
      <c r="A63" s="2">
        <v>46139.522962962961</v>
      </c>
      <c r="B63" t="s">
        <v>311</v>
      </c>
      <c r="C63" t="s">
        <v>312</v>
      </c>
      <c r="D63">
        <v>603137</v>
      </c>
      <c r="E63" t="s">
        <v>313</v>
      </c>
      <c r="F63" t="s">
        <v>164</v>
      </c>
      <c r="G63" t="s">
        <v>165</v>
      </c>
      <c r="H63" t="s">
        <v>15</v>
      </c>
      <c r="I63" t="s">
        <v>45</v>
      </c>
      <c r="J63" t="s">
        <v>7</v>
      </c>
      <c r="K63" t="s">
        <v>314</v>
      </c>
      <c r="L63" s="1">
        <v>46139</v>
      </c>
      <c r="M63" t="s">
        <v>87</v>
      </c>
      <c r="N63" t="s">
        <v>11</v>
      </c>
      <c r="O63" t="s">
        <v>315</v>
      </c>
    </row>
    <row r="64" spans="1:15" x14ac:dyDescent="0.25">
      <c r="A64" s="2">
        <v>46139.422708333332</v>
      </c>
      <c r="B64" t="s">
        <v>316</v>
      </c>
      <c r="C64" t="s">
        <v>317</v>
      </c>
      <c r="D64">
        <v>606930</v>
      </c>
      <c r="E64" t="s">
        <v>318</v>
      </c>
      <c r="F64" t="s">
        <v>319</v>
      </c>
      <c r="G64">
        <v>4390</v>
      </c>
      <c r="H64" t="s">
        <v>15</v>
      </c>
      <c r="I64" t="s">
        <v>45</v>
      </c>
      <c r="J64" t="s">
        <v>7</v>
      </c>
      <c r="K64" t="s">
        <v>240</v>
      </c>
      <c r="L64" s="1">
        <v>46141</v>
      </c>
      <c r="M64" t="s">
        <v>66</v>
      </c>
      <c r="N64" t="s">
        <v>241</v>
      </c>
      <c r="O64" t="s">
        <v>320</v>
      </c>
    </row>
    <row r="65" spans="1:15" x14ac:dyDescent="0.25">
      <c r="A65" s="2">
        <v>46136.639594907407</v>
      </c>
      <c r="B65" t="s">
        <v>321</v>
      </c>
      <c r="C65" t="s">
        <v>322</v>
      </c>
      <c r="D65">
        <v>602907</v>
      </c>
      <c r="E65" t="s">
        <v>323</v>
      </c>
      <c r="F65" t="s">
        <v>36</v>
      </c>
      <c r="G65" t="s">
        <v>37</v>
      </c>
      <c r="H65" t="s">
        <v>15</v>
      </c>
      <c r="I65" t="s">
        <v>45</v>
      </c>
      <c r="J65" t="s">
        <v>7</v>
      </c>
      <c r="K65" t="s">
        <v>65</v>
      </c>
      <c r="L65" s="1">
        <v>46136</v>
      </c>
      <c r="M65" t="s">
        <v>41</v>
      </c>
      <c r="N65" t="s">
        <v>11</v>
      </c>
      <c r="O65" t="s">
        <v>324</v>
      </c>
    </row>
    <row r="66" spans="1:15" x14ac:dyDescent="0.25">
      <c r="A66" s="2">
        <v>46136.603935185187</v>
      </c>
      <c r="B66" t="s">
        <v>325</v>
      </c>
      <c r="C66" t="s">
        <v>326</v>
      </c>
      <c r="D66">
        <v>605637</v>
      </c>
      <c r="E66" t="s">
        <v>327</v>
      </c>
      <c r="F66" t="s">
        <v>50</v>
      </c>
      <c r="G66" t="s">
        <v>51</v>
      </c>
      <c r="H66" t="s">
        <v>15</v>
      </c>
      <c r="I66" t="s">
        <v>45</v>
      </c>
      <c r="J66" t="s">
        <v>7</v>
      </c>
      <c r="K66" t="s">
        <v>274</v>
      </c>
      <c r="L66" s="1">
        <v>46136</v>
      </c>
      <c r="M66" t="s">
        <v>141</v>
      </c>
      <c r="N66" t="s">
        <v>11</v>
      </c>
      <c r="O66" t="s">
        <v>328</v>
      </c>
    </row>
    <row r="67" spans="1:15" x14ac:dyDescent="0.25">
      <c r="A67" s="2">
        <v>46136.600069444445</v>
      </c>
      <c r="B67" t="s">
        <v>329</v>
      </c>
      <c r="C67" t="s">
        <v>330</v>
      </c>
      <c r="D67">
        <v>602744</v>
      </c>
      <c r="E67" t="s">
        <v>331</v>
      </c>
      <c r="F67" t="s">
        <v>158</v>
      </c>
      <c r="G67" t="s">
        <v>159</v>
      </c>
      <c r="H67" t="s">
        <v>15</v>
      </c>
      <c r="I67" t="s">
        <v>45</v>
      </c>
      <c r="J67" t="s">
        <v>7</v>
      </c>
      <c r="K67" t="s">
        <v>332</v>
      </c>
      <c r="L67" s="1">
        <v>46136</v>
      </c>
      <c r="M67" t="s">
        <v>41</v>
      </c>
      <c r="N67" t="s">
        <v>11</v>
      </c>
      <c r="O67" t="s">
        <v>333</v>
      </c>
    </row>
    <row r="68" spans="1:15" x14ac:dyDescent="0.25">
      <c r="A68" s="2">
        <v>46136.599027777775</v>
      </c>
      <c r="B68" t="s">
        <v>329</v>
      </c>
      <c r="C68" t="s">
        <v>334</v>
      </c>
      <c r="D68">
        <v>602744</v>
      </c>
      <c r="E68" t="s">
        <v>331</v>
      </c>
      <c r="F68" t="s">
        <v>158</v>
      </c>
      <c r="G68" t="s">
        <v>159</v>
      </c>
      <c r="H68" t="s">
        <v>15</v>
      </c>
      <c r="I68" t="s">
        <v>45</v>
      </c>
      <c r="J68" t="s">
        <v>7</v>
      </c>
      <c r="K68" t="s">
        <v>335</v>
      </c>
      <c r="L68" s="1">
        <v>46136</v>
      </c>
      <c r="M68" t="s">
        <v>41</v>
      </c>
      <c r="N68" t="s">
        <v>11</v>
      </c>
      <c r="O68" t="s">
        <v>333</v>
      </c>
    </row>
    <row r="69" spans="1:15" x14ac:dyDescent="0.25">
      <c r="A69" s="2">
        <v>46136.56690972222</v>
      </c>
      <c r="B69" t="s">
        <v>336</v>
      </c>
      <c r="C69" t="s">
        <v>337</v>
      </c>
      <c r="D69">
        <v>602854</v>
      </c>
      <c r="E69" t="s">
        <v>338</v>
      </c>
      <c r="F69" t="s">
        <v>50</v>
      </c>
      <c r="G69" t="s">
        <v>51</v>
      </c>
      <c r="H69" t="s">
        <v>15</v>
      </c>
      <c r="I69" t="s">
        <v>45</v>
      </c>
      <c r="J69" t="s">
        <v>7</v>
      </c>
      <c r="K69" t="s">
        <v>65</v>
      </c>
      <c r="L69" s="1">
        <v>46136</v>
      </c>
      <c r="M69" t="s">
        <v>141</v>
      </c>
      <c r="N69" t="s">
        <v>12</v>
      </c>
      <c r="O69" t="s">
        <v>339</v>
      </c>
    </row>
    <row r="70" spans="1:15" x14ac:dyDescent="0.25">
      <c r="A70" s="2">
        <v>46136.52207175926</v>
      </c>
      <c r="B70" t="s">
        <v>325</v>
      </c>
      <c r="C70" t="s">
        <v>340</v>
      </c>
      <c r="D70">
        <v>605637</v>
      </c>
      <c r="E70" t="s">
        <v>327</v>
      </c>
      <c r="F70" t="s">
        <v>50</v>
      </c>
      <c r="G70" t="s">
        <v>51</v>
      </c>
      <c r="H70" t="s">
        <v>16</v>
      </c>
      <c r="I70" t="s">
        <v>38</v>
      </c>
      <c r="J70" t="s">
        <v>7</v>
      </c>
      <c r="K70" t="s">
        <v>341</v>
      </c>
      <c r="L70" s="1">
        <v>46148</v>
      </c>
      <c r="M70" t="s">
        <v>141</v>
      </c>
      <c r="N70" t="s">
        <v>342</v>
      </c>
      <c r="O70" t="s">
        <v>328</v>
      </c>
    </row>
    <row r="71" spans="1:15" x14ac:dyDescent="0.25">
      <c r="A71" s="2">
        <v>46136.386828703704</v>
      </c>
      <c r="B71" t="s">
        <v>82</v>
      </c>
      <c r="C71" t="s">
        <v>343</v>
      </c>
      <c r="D71">
        <v>606817</v>
      </c>
      <c r="E71" t="s">
        <v>344</v>
      </c>
      <c r="F71" t="s">
        <v>85</v>
      </c>
      <c r="G71" t="s">
        <v>86</v>
      </c>
      <c r="H71" t="s">
        <v>15</v>
      </c>
      <c r="I71" t="s">
        <v>45</v>
      </c>
      <c r="J71" t="s">
        <v>7</v>
      </c>
      <c r="K71" t="s">
        <v>345</v>
      </c>
      <c r="L71" s="1">
        <v>46140</v>
      </c>
      <c r="M71" t="s">
        <v>87</v>
      </c>
      <c r="N71" t="s">
        <v>264</v>
      </c>
      <c r="O71" t="s">
        <v>89</v>
      </c>
    </row>
    <row r="72" spans="1:15" x14ac:dyDescent="0.25">
      <c r="A72" s="2">
        <v>46135.497789351852</v>
      </c>
      <c r="B72" t="s">
        <v>109</v>
      </c>
      <c r="C72" t="s">
        <v>346</v>
      </c>
      <c r="D72">
        <v>609819</v>
      </c>
      <c r="E72" t="s">
        <v>111</v>
      </c>
      <c r="F72" t="s">
        <v>112</v>
      </c>
      <c r="G72" t="s">
        <v>113</v>
      </c>
      <c r="H72" t="s">
        <v>15</v>
      </c>
      <c r="I72" t="s">
        <v>45</v>
      </c>
      <c r="J72" t="s">
        <v>7</v>
      </c>
      <c r="K72" t="s">
        <v>347</v>
      </c>
      <c r="L72" s="1">
        <v>46135</v>
      </c>
      <c r="M72" t="s">
        <v>41</v>
      </c>
      <c r="N72" t="s">
        <v>11</v>
      </c>
      <c r="O72" t="s">
        <v>116</v>
      </c>
    </row>
    <row r="73" spans="1:15" x14ac:dyDescent="0.25">
      <c r="A73" s="2">
        <v>46135.426157407404</v>
      </c>
      <c r="B73" t="s">
        <v>348</v>
      </c>
      <c r="C73" t="s">
        <v>349</v>
      </c>
      <c r="D73">
        <v>603839</v>
      </c>
      <c r="E73" t="s">
        <v>350</v>
      </c>
      <c r="F73" t="s">
        <v>71</v>
      </c>
      <c r="G73" t="s">
        <v>72</v>
      </c>
      <c r="H73" t="s">
        <v>15</v>
      </c>
      <c r="I73" t="s">
        <v>45</v>
      </c>
      <c r="J73" t="s">
        <v>7</v>
      </c>
      <c r="K73" t="s">
        <v>351</v>
      </c>
      <c r="L73" s="1">
        <v>46135</v>
      </c>
      <c r="M73" t="s">
        <v>66</v>
      </c>
      <c r="N73" t="s">
        <v>11</v>
      </c>
      <c r="O73" t="s">
        <v>352</v>
      </c>
    </row>
    <row r="74" spans="1:15" x14ac:dyDescent="0.25">
      <c r="A74" s="2">
        <v>46134.715115740742</v>
      </c>
      <c r="B74" t="s">
        <v>353</v>
      </c>
      <c r="C74" t="s">
        <v>354</v>
      </c>
      <c r="D74">
        <v>602855</v>
      </c>
      <c r="E74" t="s">
        <v>355</v>
      </c>
      <c r="F74" t="s">
        <v>356</v>
      </c>
      <c r="G74">
        <v>6162</v>
      </c>
      <c r="H74" t="s">
        <v>16</v>
      </c>
      <c r="I74" t="s">
        <v>38</v>
      </c>
      <c r="J74" t="s">
        <v>7</v>
      </c>
      <c r="K74" t="s">
        <v>357</v>
      </c>
      <c r="L74" s="1">
        <v>46138</v>
      </c>
      <c r="M74" t="s">
        <v>66</v>
      </c>
      <c r="N74" t="s">
        <v>135</v>
      </c>
      <c r="O74" t="s">
        <v>358</v>
      </c>
    </row>
    <row r="75" spans="1:15" x14ac:dyDescent="0.25">
      <c r="A75" s="2">
        <v>46134.705324074072</v>
      </c>
      <c r="B75" t="s">
        <v>359</v>
      </c>
      <c r="C75" t="s">
        <v>360</v>
      </c>
      <c r="D75">
        <v>605391</v>
      </c>
      <c r="E75" t="s">
        <v>361</v>
      </c>
      <c r="F75" t="s">
        <v>36</v>
      </c>
      <c r="G75" t="s">
        <v>362</v>
      </c>
      <c r="H75" t="s">
        <v>15</v>
      </c>
      <c r="I75" t="s">
        <v>45</v>
      </c>
      <c r="J75" t="s">
        <v>7</v>
      </c>
      <c r="K75" t="s">
        <v>363</v>
      </c>
      <c r="L75" s="1">
        <v>46135</v>
      </c>
      <c r="M75" t="s">
        <v>41</v>
      </c>
      <c r="N75" t="s">
        <v>364</v>
      </c>
      <c r="O75" t="s">
        <v>365</v>
      </c>
    </row>
    <row r="76" spans="1:15" x14ac:dyDescent="0.25">
      <c r="A76" s="2">
        <v>46134.677222222221</v>
      </c>
      <c r="B76" t="s">
        <v>366</v>
      </c>
      <c r="C76" t="s">
        <v>367</v>
      </c>
      <c r="D76">
        <v>601906</v>
      </c>
      <c r="E76" t="s">
        <v>368</v>
      </c>
      <c r="F76" t="s">
        <v>126</v>
      </c>
      <c r="G76" t="s">
        <v>133</v>
      </c>
      <c r="H76" t="s">
        <v>16</v>
      </c>
      <c r="I76" t="s">
        <v>38</v>
      </c>
      <c r="J76" t="s">
        <v>7</v>
      </c>
      <c r="K76" t="s">
        <v>369</v>
      </c>
      <c r="L76" s="1">
        <v>46139</v>
      </c>
      <c r="M76" t="s">
        <v>141</v>
      </c>
      <c r="N76" t="s">
        <v>370</v>
      </c>
      <c r="O76" t="s">
        <v>371</v>
      </c>
    </row>
    <row r="77" spans="1:15" x14ac:dyDescent="0.25">
      <c r="A77" s="2">
        <v>46134.618969907409</v>
      </c>
      <c r="B77" t="s">
        <v>372</v>
      </c>
      <c r="C77" t="s">
        <v>373</v>
      </c>
      <c r="D77">
        <v>603318</v>
      </c>
      <c r="E77" t="s">
        <v>374</v>
      </c>
      <c r="F77" t="s">
        <v>71</v>
      </c>
      <c r="G77" t="s">
        <v>100</v>
      </c>
      <c r="H77" t="s">
        <v>15</v>
      </c>
      <c r="I77" t="s">
        <v>45</v>
      </c>
      <c r="J77" t="s">
        <v>7</v>
      </c>
      <c r="K77" t="s">
        <v>375</v>
      </c>
      <c r="L77" s="1">
        <v>46135</v>
      </c>
      <c r="M77" t="s">
        <v>66</v>
      </c>
      <c r="N77" t="s">
        <v>364</v>
      </c>
      <c r="O77" t="s">
        <v>376</v>
      </c>
    </row>
    <row r="78" spans="1:15" x14ac:dyDescent="0.25">
      <c r="A78" s="2">
        <v>46134.615868055553</v>
      </c>
      <c r="B78" t="s">
        <v>377</v>
      </c>
      <c r="C78" t="s">
        <v>378</v>
      </c>
      <c r="D78">
        <v>603999</v>
      </c>
      <c r="E78" t="s">
        <v>379</v>
      </c>
      <c r="F78" t="s">
        <v>93</v>
      </c>
      <c r="G78" t="s">
        <v>94</v>
      </c>
      <c r="H78" t="s">
        <v>15</v>
      </c>
      <c r="I78" t="s">
        <v>45</v>
      </c>
      <c r="J78" t="s">
        <v>7</v>
      </c>
      <c r="K78" t="s">
        <v>380</v>
      </c>
      <c r="L78" s="1">
        <v>46134</v>
      </c>
      <c r="M78" t="s">
        <v>41</v>
      </c>
      <c r="N78" t="s">
        <v>11</v>
      </c>
      <c r="O78" t="s">
        <v>381</v>
      </c>
    </row>
    <row r="79" spans="1:15" x14ac:dyDescent="0.25">
      <c r="A79" s="2">
        <v>46134.564756944441</v>
      </c>
      <c r="B79" t="s">
        <v>382</v>
      </c>
      <c r="C79" t="s">
        <v>383</v>
      </c>
      <c r="D79">
        <v>604459</v>
      </c>
      <c r="E79" t="s">
        <v>384</v>
      </c>
      <c r="F79" t="s">
        <v>385</v>
      </c>
      <c r="G79" t="s">
        <v>386</v>
      </c>
      <c r="H79" t="s">
        <v>15</v>
      </c>
      <c r="I79" t="s">
        <v>45</v>
      </c>
      <c r="J79" t="s">
        <v>7</v>
      </c>
      <c r="K79" t="s">
        <v>387</v>
      </c>
      <c r="L79" s="1">
        <v>46134</v>
      </c>
      <c r="M79" t="s">
        <v>53</v>
      </c>
      <c r="N79" t="s">
        <v>11</v>
      </c>
      <c r="O79" t="s">
        <v>388</v>
      </c>
    </row>
    <row r="80" spans="1:15" x14ac:dyDescent="0.25">
      <c r="A80" s="2">
        <v>46134.521990740737</v>
      </c>
      <c r="B80" t="s">
        <v>389</v>
      </c>
      <c r="C80" t="s">
        <v>390</v>
      </c>
      <c r="D80">
        <v>602920</v>
      </c>
      <c r="E80" t="s">
        <v>391</v>
      </c>
      <c r="F80" t="s">
        <v>71</v>
      </c>
      <c r="G80" t="s">
        <v>100</v>
      </c>
      <c r="H80" t="s">
        <v>15</v>
      </c>
      <c r="I80" t="s">
        <v>45</v>
      </c>
      <c r="J80" t="s">
        <v>7</v>
      </c>
      <c r="K80" t="s">
        <v>392</v>
      </c>
      <c r="L80" s="1">
        <v>46134</v>
      </c>
      <c r="M80" t="s">
        <v>66</v>
      </c>
      <c r="N80" t="s">
        <v>12</v>
      </c>
      <c r="O80" t="s">
        <v>393</v>
      </c>
    </row>
    <row r="81" spans="1:15" x14ac:dyDescent="0.25">
      <c r="A81" s="2">
        <v>46133.636562500003</v>
      </c>
      <c r="B81" t="s">
        <v>394</v>
      </c>
      <c r="C81" t="s">
        <v>395</v>
      </c>
      <c r="D81">
        <v>603125</v>
      </c>
      <c r="E81" t="s">
        <v>396</v>
      </c>
      <c r="F81" t="s">
        <v>397</v>
      </c>
      <c r="G81" t="s">
        <v>398</v>
      </c>
      <c r="H81" t="s">
        <v>15</v>
      </c>
      <c r="I81" t="s">
        <v>45</v>
      </c>
      <c r="J81" t="s">
        <v>7</v>
      </c>
      <c r="K81" t="s">
        <v>399</v>
      </c>
      <c r="L81" s="1">
        <v>46133</v>
      </c>
      <c r="M81" t="s">
        <v>66</v>
      </c>
      <c r="N81" t="s">
        <v>11</v>
      </c>
      <c r="O81" t="s">
        <v>400</v>
      </c>
    </row>
    <row r="82" spans="1:15" x14ac:dyDescent="0.25">
      <c r="A82" s="2">
        <v>46133.626481481479</v>
      </c>
      <c r="B82" t="s">
        <v>401</v>
      </c>
      <c r="C82" t="s">
        <v>402</v>
      </c>
      <c r="D82">
        <v>603485</v>
      </c>
      <c r="E82" t="s">
        <v>403</v>
      </c>
      <c r="F82" t="s">
        <v>93</v>
      </c>
      <c r="G82" t="s">
        <v>94</v>
      </c>
      <c r="H82" t="s">
        <v>15</v>
      </c>
      <c r="I82" t="s">
        <v>45</v>
      </c>
      <c r="J82" t="s">
        <v>7</v>
      </c>
      <c r="K82" t="s">
        <v>404</v>
      </c>
      <c r="L82" s="1">
        <v>46133</v>
      </c>
      <c r="M82" t="s">
        <v>41</v>
      </c>
      <c r="N82" t="s">
        <v>11</v>
      </c>
      <c r="O82" t="s">
        <v>405</v>
      </c>
    </row>
    <row r="83" spans="1:15" x14ac:dyDescent="0.25">
      <c r="A83" s="2">
        <v>46133.624872685185</v>
      </c>
      <c r="B83" t="s">
        <v>401</v>
      </c>
      <c r="C83" t="s">
        <v>406</v>
      </c>
      <c r="D83">
        <v>603485</v>
      </c>
      <c r="E83" t="s">
        <v>403</v>
      </c>
      <c r="F83" t="s">
        <v>93</v>
      </c>
      <c r="G83" t="s">
        <v>94</v>
      </c>
      <c r="H83" t="s">
        <v>15</v>
      </c>
      <c r="I83" t="s">
        <v>45</v>
      </c>
      <c r="J83" t="s">
        <v>7</v>
      </c>
      <c r="K83" t="s">
        <v>407</v>
      </c>
      <c r="L83" s="1">
        <v>46133</v>
      </c>
      <c r="M83" t="s">
        <v>41</v>
      </c>
      <c r="N83" t="s">
        <v>408</v>
      </c>
      <c r="O83" t="s">
        <v>405</v>
      </c>
    </row>
    <row r="84" spans="1:15" x14ac:dyDescent="0.25">
      <c r="A84" s="2">
        <v>46133.583356481482</v>
      </c>
      <c r="B84" t="s">
        <v>409</v>
      </c>
      <c r="C84" t="s">
        <v>410</v>
      </c>
      <c r="D84">
        <v>609734</v>
      </c>
      <c r="E84" t="s">
        <v>411</v>
      </c>
      <c r="F84" t="s">
        <v>126</v>
      </c>
      <c r="G84" t="s">
        <v>133</v>
      </c>
      <c r="H84" t="s">
        <v>15</v>
      </c>
      <c r="I84" t="s">
        <v>45</v>
      </c>
      <c r="J84" t="s">
        <v>7</v>
      </c>
      <c r="K84" t="s">
        <v>412</v>
      </c>
      <c r="L84" s="1">
        <v>46135</v>
      </c>
      <c r="M84" t="s">
        <v>141</v>
      </c>
      <c r="N84" t="s">
        <v>115</v>
      </c>
      <c r="O84" t="s">
        <v>413</v>
      </c>
    </row>
    <row r="85" spans="1:15" x14ac:dyDescent="0.25">
      <c r="A85" s="2">
        <v>46133.527650462966</v>
      </c>
      <c r="B85" t="s">
        <v>302</v>
      </c>
      <c r="C85" t="s">
        <v>414</v>
      </c>
      <c r="D85">
        <v>605011</v>
      </c>
      <c r="E85" t="s">
        <v>304</v>
      </c>
      <c r="F85" t="s">
        <v>71</v>
      </c>
      <c r="G85" t="s">
        <v>100</v>
      </c>
      <c r="H85" t="s">
        <v>15</v>
      </c>
      <c r="I85" t="s">
        <v>45</v>
      </c>
      <c r="J85" t="s">
        <v>7</v>
      </c>
      <c r="K85" t="s">
        <v>415</v>
      </c>
      <c r="L85" s="1">
        <v>46135</v>
      </c>
      <c r="M85" t="s">
        <v>66</v>
      </c>
      <c r="N85" t="s">
        <v>416</v>
      </c>
      <c r="O85" t="s">
        <v>306</v>
      </c>
    </row>
    <row r="86" spans="1:15" x14ac:dyDescent="0.25">
      <c r="A86" s="2">
        <v>46133.516064814816</v>
      </c>
      <c r="B86" t="s">
        <v>417</v>
      </c>
      <c r="C86" t="s">
        <v>418</v>
      </c>
      <c r="D86">
        <v>609636</v>
      </c>
      <c r="E86" t="s">
        <v>419</v>
      </c>
      <c r="F86" t="s">
        <v>420</v>
      </c>
      <c r="G86">
        <v>4227</v>
      </c>
      <c r="H86" t="s">
        <v>15</v>
      </c>
      <c r="I86" t="s">
        <v>45</v>
      </c>
      <c r="J86" t="s">
        <v>7</v>
      </c>
      <c r="K86" t="s">
        <v>421</v>
      </c>
      <c r="L86" s="1">
        <v>46134</v>
      </c>
      <c r="M86" t="s">
        <v>66</v>
      </c>
      <c r="N86" t="s">
        <v>185</v>
      </c>
      <c r="O86" t="s">
        <v>422</v>
      </c>
    </row>
    <row r="87" spans="1:15" x14ac:dyDescent="0.25">
      <c r="A87" s="2">
        <v>46133.51085648148</v>
      </c>
      <c r="B87" t="s">
        <v>137</v>
      </c>
      <c r="C87" t="s">
        <v>423</v>
      </c>
      <c r="D87">
        <v>602631</v>
      </c>
      <c r="E87" t="s">
        <v>139</v>
      </c>
      <c r="F87" t="s">
        <v>112</v>
      </c>
      <c r="G87" t="s">
        <v>113</v>
      </c>
      <c r="H87" t="s">
        <v>15</v>
      </c>
      <c r="I87" t="s">
        <v>45</v>
      </c>
      <c r="J87" t="s">
        <v>7</v>
      </c>
      <c r="K87" t="s">
        <v>140</v>
      </c>
      <c r="L87" s="1">
        <v>46135</v>
      </c>
      <c r="M87" t="s">
        <v>141</v>
      </c>
      <c r="N87" t="s">
        <v>142</v>
      </c>
      <c r="O87" t="s">
        <v>143</v>
      </c>
    </row>
    <row r="88" spans="1:15" x14ac:dyDescent="0.25">
      <c r="A88" s="2">
        <v>46133.510381944441</v>
      </c>
      <c r="B88" t="s">
        <v>417</v>
      </c>
      <c r="C88" t="s">
        <v>424</v>
      </c>
      <c r="D88">
        <v>609636</v>
      </c>
      <c r="E88" t="s">
        <v>419</v>
      </c>
      <c r="F88" t="s">
        <v>420</v>
      </c>
      <c r="G88">
        <v>4227</v>
      </c>
      <c r="H88" t="s">
        <v>15</v>
      </c>
      <c r="I88" t="s">
        <v>45</v>
      </c>
      <c r="J88" t="s">
        <v>7</v>
      </c>
      <c r="K88" t="s">
        <v>425</v>
      </c>
      <c r="L88" s="1">
        <v>46135</v>
      </c>
      <c r="M88" t="s">
        <v>66</v>
      </c>
      <c r="N88" t="s">
        <v>416</v>
      </c>
      <c r="O88" t="s">
        <v>422</v>
      </c>
    </row>
    <row r="89" spans="1:15" x14ac:dyDescent="0.25">
      <c r="A89" s="2">
        <v>46133.508171296293</v>
      </c>
      <c r="B89" t="s">
        <v>417</v>
      </c>
      <c r="C89" t="s">
        <v>426</v>
      </c>
      <c r="D89">
        <v>609636</v>
      </c>
      <c r="E89" t="s">
        <v>419</v>
      </c>
      <c r="F89" t="s">
        <v>420</v>
      </c>
      <c r="G89">
        <v>4227</v>
      </c>
      <c r="H89" t="s">
        <v>15</v>
      </c>
      <c r="I89" t="s">
        <v>45</v>
      </c>
      <c r="J89" t="s">
        <v>7</v>
      </c>
      <c r="K89" t="s">
        <v>427</v>
      </c>
      <c r="L89" s="1">
        <v>46133</v>
      </c>
      <c r="M89" t="s">
        <v>66</v>
      </c>
      <c r="N89" t="s">
        <v>12</v>
      </c>
      <c r="O89" t="s">
        <v>422</v>
      </c>
    </row>
    <row r="90" spans="1:15" x14ac:dyDescent="0.25">
      <c r="A90" s="2">
        <v>46133.428090277775</v>
      </c>
      <c r="B90" t="s">
        <v>428</v>
      </c>
      <c r="C90" t="s">
        <v>429</v>
      </c>
      <c r="D90">
        <v>605334</v>
      </c>
      <c r="E90" t="s">
        <v>430</v>
      </c>
      <c r="F90" t="s">
        <v>50</v>
      </c>
      <c r="G90" t="s">
        <v>51</v>
      </c>
      <c r="H90" t="s">
        <v>15</v>
      </c>
      <c r="I90" t="s">
        <v>45</v>
      </c>
      <c r="J90" t="s">
        <v>7</v>
      </c>
      <c r="K90" t="s">
        <v>240</v>
      </c>
      <c r="L90" s="1">
        <v>46134</v>
      </c>
      <c r="M90" t="s">
        <v>141</v>
      </c>
      <c r="N90" t="s">
        <v>241</v>
      </c>
      <c r="O90" t="s">
        <v>431</v>
      </c>
    </row>
    <row r="91" spans="1:15" x14ac:dyDescent="0.25">
      <c r="A91" s="2">
        <v>46133.422696759262</v>
      </c>
      <c r="B91" t="s">
        <v>432</v>
      </c>
      <c r="C91" t="s">
        <v>433</v>
      </c>
      <c r="D91">
        <v>603908</v>
      </c>
      <c r="E91" t="s">
        <v>434</v>
      </c>
      <c r="F91" t="s">
        <v>435</v>
      </c>
      <c r="G91" t="s">
        <v>436</v>
      </c>
      <c r="H91" t="s">
        <v>15</v>
      </c>
      <c r="I91" t="s">
        <v>45</v>
      </c>
      <c r="J91" t="s">
        <v>7</v>
      </c>
      <c r="K91" t="s">
        <v>52</v>
      </c>
      <c r="L91" s="1">
        <v>46133</v>
      </c>
      <c r="M91" t="s">
        <v>87</v>
      </c>
      <c r="N91" t="s">
        <v>11</v>
      </c>
      <c r="O91" t="s">
        <v>437</v>
      </c>
    </row>
    <row r="92" spans="1:15" x14ac:dyDescent="0.25">
      <c r="A92" s="2">
        <v>46133.421574074076</v>
      </c>
      <c r="B92" t="s">
        <v>432</v>
      </c>
      <c r="C92" t="s">
        <v>438</v>
      </c>
      <c r="D92">
        <v>603908</v>
      </c>
      <c r="E92" t="s">
        <v>434</v>
      </c>
      <c r="F92" t="s">
        <v>435</v>
      </c>
      <c r="G92" t="s">
        <v>436</v>
      </c>
      <c r="H92" t="s">
        <v>15</v>
      </c>
      <c r="I92" t="s">
        <v>45</v>
      </c>
      <c r="J92" t="s">
        <v>7</v>
      </c>
      <c r="K92" t="s">
        <v>52</v>
      </c>
      <c r="L92" s="1">
        <v>46133</v>
      </c>
      <c r="M92" t="s">
        <v>87</v>
      </c>
      <c r="N92" t="s">
        <v>11</v>
      </c>
      <c r="O92" t="s">
        <v>437</v>
      </c>
    </row>
    <row r="93" spans="1:15" x14ac:dyDescent="0.25">
      <c r="A93" s="2">
        <v>46133.4141087963</v>
      </c>
      <c r="B93" t="s">
        <v>359</v>
      </c>
      <c r="C93" t="s">
        <v>439</v>
      </c>
      <c r="D93">
        <v>605391</v>
      </c>
      <c r="E93" t="s">
        <v>361</v>
      </c>
      <c r="F93" t="s">
        <v>36</v>
      </c>
      <c r="G93" t="s">
        <v>362</v>
      </c>
      <c r="H93" t="s">
        <v>15</v>
      </c>
      <c r="I93" t="s">
        <v>45</v>
      </c>
      <c r="J93" t="s">
        <v>7</v>
      </c>
      <c r="K93" t="s">
        <v>440</v>
      </c>
      <c r="L93" s="1">
        <v>46133</v>
      </c>
      <c r="M93" t="s">
        <v>41</v>
      </c>
      <c r="N93" t="s">
        <v>11</v>
      </c>
      <c r="O93" t="s">
        <v>365</v>
      </c>
    </row>
    <row r="94" spans="1:15" x14ac:dyDescent="0.25">
      <c r="A94" s="2">
        <v>46133.413495370369</v>
      </c>
      <c r="B94" t="s">
        <v>82</v>
      </c>
      <c r="C94" t="s">
        <v>441</v>
      </c>
      <c r="D94">
        <v>602438</v>
      </c>
      <c r="E94" t="s">
        <v>442</v>
      </c>
      <c r="F94" t="s">
        <v>85</v>
      </c>
      <c r="G94" t="s">
        <v>86</v>
      </c>
      <c r="H94" t="s">
        <v>15</v>
      </c>
      <c r="I94" t="s">
        <v>45</v>
      </c>
      <c r="J94" t="s">
        <v>7</v>
      </c>
      <c r="K94" t="s">
        <v>274</v>
      </c>
      <c r="L94" s="1">
        <v>46133</v>
      </c>
      <c r="M94" t="s">
        <v>87</v>
      </c>
      <c r="N94" t="s">
        <v>11</v>
      </c>
      <c r="O94" t="s">
        <v>89</v>
      </c>
    </row>
    <row r="95" spans="1:15" x14ac:dyDescent="0.25">
      <c r="A95" s="2">
        <v>46133.412037037036</v>
      </c>
      <c r="B95" t="s">
        <v>443</v>
      </c>
      <c r="C95" t="s">
        <v>444</v>
      </c>
      <c r="D95">
        <v>601564</v>
      </c>
      <c r="E95" t="s">
        <v>445</v>
      </c>
      <c r="F95" t="s">
        <v>71</v>
      </c>
      <c r="G95" t="s">
        <v>100</v>
      </c>
      <c r="H95" t="s">
        <v>15</v>
      </c>
      <c r="I95" t="s">
        <v>45</v>
      </c>
      <c r="J95" t="s">
        <v>7</v>
      </c>
      <c r="K95" t="s">
        <v>446</v>
      </c>
      <c r="L95" s="1">
        <v>46133</v>
      </c>
      <c r="M95" t="s">
        <v>141</v>
      </c>
      <c r="N95" t="s">
        <v>11</v>
      </c>
      <c r="O95" t="s">
        <v>447</v>
      </c>
    </row>
    <row r="96" spans="1:15" x14ac:dyDescent="0.25">
      <c r="A96" s="2">
        <v>46133.398622685185</v>
      </c>
      <c r="B96" t="s">
        <v>359</v>
      </c>
      <c r="C96" t="s">
        <v>448</v>
      </c>
      <c r="D96">
        <v>605391</v>
      </c>
      <c r="E96" t="s">
        <v>361</v>
      </c>
      <c r="F96" t="s">
        <v>36</v>
      </c>
      <c r="G96" t="s">
        <v>362</v>
      </c>
      <c r="H96" t="s">
        <v>15</v>
      </c>
      <c r="I96" t="s">
        <v>45</v>
      </c>
      <c r="J96" t="s">
        <v>7</v>
      </c>
      <c r="K96" t="s">
        <v>449</v>
      </c>
      <c r="L96" s="1">
        <v>46133</v>
      </c>
      <c r="M96" t="s">
        <v>41</v>
      </c>
      <c r="N96" t="s">
        <v>11</v>
      </c>
      <c r="O96" t="s">
        <v>365</v>
      </c>
    </row>
    <row r="97" spans="1:15" x14ac:dyDescent="0.25">
      <c r="A97" s="2">
        <v>46133.39267361111</v>
      </c>
      <c r="B97" t="s">
        <v>359</v>
      </c>
      <c r="C97" t="s">
        <v>450</v>
      </c>
      <c r="D97">
        <v>605391</v>
      </c>
      <c r="E97" t="s">
        <v>361</v>
      </c>
      <c r="F97" t="s">
        <v>36</v>
      </c>
      <c r="G97" t="s">
        <v>362</v>
      </c>
      <c r="H97" t="s">
        <v>15</v>
      </c>
      <c r="I97" t="s">
        <v>45</v>
      </c>
      <c r="J97" t="s">
        <v>7</v>
      </c>
      <c r="K97" t="s">
        <v>451</v>
      </c>
      <c r="L97" s="1">
        <v>46133</v>
      </c>
      <c r="M97" t="s">
        <v>41</v>
      </c>
      <c r="N97" t="s">
        <v>11</v>
      </c>
      <c r="O97" t="s">
        <v>365</v>
      </c>
    </row>
    <row r="98" spans="1:15" x14ac:dyDescent="0.25">
      <c r="A98" s="2">
        <v>46133.391377314816</v>
      </c>
      <c r="B98" t="s">
        <v>359</v>
      </c>
      <c r="C98" t="s">
        <v>452</v>
      </c>
      <c r="D98">
        <v>605391</v>
      </c>
      <c r="E98" t="s">
        <v>361</v>
      </c>
      <c r="F98" t="s">
        <v>36</v>
      </c>
      <c r="G98" t="s">
        <v>362</v>
      </c>
      <c r="H98" t="s">
        <v>15</v>
      </c>
      <c r="I98" t="s">
        <v>45</v>
      </c>
      <c r="J98" t="s">
        <v>7</v>
      </c>
      <c r="K98" t="s">
        <v>453</v>
      </c>
      <c r="L98" s="1">
        <v>46133</v>
      </c>
      <c r="M98" t="s">
        <v>41</v>
      </c>
      <c r="N98" t="s">
        <v>11</v>
      </c>
      <c r="O98" t="s">
        <v>365</v>
      </c>
    </row>
    <row r="99" spans="1:15" x14ac:dyDescent="0.25">
      <c r="A99" s="2">
        <v>46132.491111111114</v>
      </c>
      <c r="B99" t="s">
        <v>68</v>
      </c>
      <c r="C99" t="s">
        <v>454</v>
      </c>
      <c r="D99">
        <v>609698</v>
      </c>
      <c r="E99" t="s">
        <v>70</v>
      </c>
      <c r="F99" t="s">
        <v>71</v>
      </c>
      <c r="G99" t="s">
        <v>72</v>
      </c>
      <c r="H99" t="s">
        <v>15</v>
      </c>
      <c r="I99" t="s">
        <v>45</v>
      </c>
      <c r="J99" t="s">
        <v>7</v>
      </c>
      <c r="K99" t="s">
        <v>455</v>
      </c>
      <c r="L99" s="1">
        <v>46132</v>
      </c>
      <c r="M99" t="s">
        <v>74</v>
      </c>
      <c r="N99" t="s">
        <v>12</v>
      </c>
      <c r="O99" t="s">
        <v>75</v>
      </c>
    </row>
    <row r="100" spans="1:15" x14ac:dyDescent="0.25">
      <c r="A100" s="2">
        <v>46129.653043981481</v>
      </c>
      <c r="B100" t="s">
        <v>456</v>
      </c>
      <c r="C100" t="s">
        <v>457</v>
      </c>
      <c r="D100">
        <v>601709</v>
      </c>
      <c r="E100" t="s">
        <v>458</v>
      </c>
      <c r="F100" t="s">
        <v>459</v>
      </c>
      <c r="G100" t="s">
        <v>460</v>
      </c>
      <c r="H100" t="s">
        <v>16</v>
      </c>
      <c r="I100" t="s">
        <v>38</v>
      </c>
      <c r="J100" t="s">
        <v>7</v>
      </c>
      <c r="K100" t="s">
        <v>128</v>
      </c>
      <c r="L100" s="1">
        <v>46134</v>
      </c>
      <c r="M100" t="s">
        <v>74</v>
      </c>
      <c r="N100" t="s">
        <v>461</v>
      </c>
      <c r="O100" t="s">
        <v>462</v>
      </c>
    </row>
    <row r="101" spans="1:15" x14ac:dyDescent="0.25">
      <c r="A101" s="2">
        <v>46129.561759259261</v>
      </c>
      <c r="B101" t="s">
        <v>217</v>
      </c>
      <c r="C101" t="s">
        <v>463</v>
      </c>
      <c r="D101">
        <v>609795</v>
      </c>
      <c r="E101" t="s">
        <v>219</v>
      </c>
      <c r="F101" t="s">
        <v>220</v>
      </c>
      <c r="G101" t="s">
        <v>221</v>
      </c>
      <c r="H101" t="s">
        <v>15</v>
      </c>
      <c r="I101" t="s">
        <v>45</v>
      </c>
      <c r="J101" t="s">
        <v>7</v>
      </c>
      <c r="K101" t="s">
        <v>46</v>
      </c>
      <c r="L101" s="1">
        <v>46129</v>
      </c>
      <c r="M101" t="s">
        <v>141</v>
      </c>
      <c r="N101" t="s">
        <v>12</v>
      </c>
      <c r="O101" t="s">
        <v>223</v>
      </c>
    </row>
    <row r="102" spans="1:15" x14ac:dyDescent="0.25">
      <c r="A102" s="2">
        <v>46129.517708333333</v>
      </c>
      <c r="B102" t="s">
        <v>401</v>
      </c>
      <c r="C102" t="s">
        <v>464</v>
      </c>
      <c r="D102">
        <v>603485</v>
      </c>
      <c r="E102" t="s">
        <v>403</v>
      </c>
      <c r="F102" t="s">
        <v>93</v>
      </c>
      <c r="G102" t="s">
        <v>94</v>
      </c>
      <c r="H102" t="s">
        <v>15</v>
      </c>
      <c r="I102" t="s">
        <v>45</v>
      </c>
      <c r="J102" t="s">
        <v>6</v>
      </c>
      <c r="K102" t="s">
        <v>465</v>
      </c>
      <c r="L102" s="1">
        <v>46133</v>
      </c>
      <c r="M102" t="s">
        <v>41</v>
      </c>
      <c r="N102" t="s">
        <v>115</v>
      </c>
      <c r="O102" t="s">
        <v>405</v>
      </c>
    </row>
    <row r="103" spans="1:15" x14ac:dyDescent="0.25">
      <c r="A103" s="2">
        <v>46129.492592592593</v>
      </c>
      <c r="B103" t="s">
        <v>109</v>
      </c>
      <c r="C103" t="s">
        <v>466</v>
      </c>
      <c r="D103">
        <v>609819</v>
      </c>
      <c r="E103" t="s">
        <v>111</v>
      </c>
      <c r="F103" t="s">
        <v>112</v>
      </c>
      <c r="G103" t="s">
        <v>113</v>
      </c>
      <c r="H103" t="s">
        <v>15</v>
      </c>
      <c r="I103" t="s">
        <v>45</v>
      </c>
      <c r="J103" t="s">
        <v>7</v>
      </c>
      <c r="K103" t="s">
        <v>467</v>
      </c>
      <c r="L103" s="1">
        <v>46129</v>
      </c>
      <c r="M103" t="s">
        <v>41</v>
      </c>
      <c r="N103" t="s">
        <v>12</v>
      </c>
      <c r="O103" t="s">
        <v>116</v>
      </c>
    </row>
    <row r="104" spans="1:15" x14ac:dyDescent="0.25">
      <c r="A104" s="2">
        <v>46129.450358796297</v>
      </c>
      <c r="B104" t="s">
        <v>468</v>
      </c>
      <c r="C104" t="s">
        <v>469</v>
      </c>
      <c r="D104">
        <v>601955</v>
      </c>
      <c r="E104" t="s">
        <v>470</v>
      </c>
      <c r="F104" t="s">
        <v>158</v>
      </c>
      <c r="G104" t="s">
        <v>159</v>
      </c>
      <c r="H104" t="s">
        <v>16</v>
      </c>
      <c r="I104" t="s">
        <v>38</v>
      </c>
      <c r="J104" t="s">
        <v>7</v>
      </c>
      <c r="K104" t="s">
        <v>471</v>
      </c>
      <c r="L104" s="1">
        <v>46134</v>
      </c>
      <c r="M104" t="s">
        <v>41</v>
      </c>
      <c r="N104" t="s">
        <v>472</v>
      </c>
      <c r="O104" t="s">
        <v>473</v>
      </c>
    </row>
    <row r="105" spans="1:15" x14ac:dyDescent="0.25">
      <c r="A105" s="2">
        <v>46129.310335648152</v>
      </c>
      <c r="B105" t="s">
        <v>474</v>
      </c>
      <c r="C105" t="s">
        <v>475</v>
      </c>
      <c r="D105">
        <v>602998</v>
      </c>
      <c r="E105" t="s">
        <v>476</v>
      </c>
      <c r="F105" t="s">
        <v>126</v>
      </c>
      <c r="G105" t="s">
        <v>133</v>
      </c>
      <c r="H105" t="s">
        <v>15</v>
      </c>
      <c r="I105" t="s">
        <v>45</v>
      </c>
      <c r="J105" t="s">
        <v>7</v>
      </c>
      <c r="K105" t="s">
        <v>477</v>
      </c>
      <c r="L105" s="1">
        <v>46132</v>
      </c>
      <c r="M105" t="s">
        <v>66</v>
      </c>
      <c r="N105" t="s">
        <v>241</v>
      </c>
      <c r="O105" t="s">
        <v>478</v>
      </c>
    </row>
    <row r="106" spans="1:15" x14ac:dyDescent="0.25">
      <c r="A106" s="2">
        <v>46128.630590277775</v>
      </c>
      <c r="B106" t="s">
        <v>479</v>
      </c>
      <c r="C106" t="s">
        <v>480</v>
      </c>
      <c r="D106">
        <v>606870</v>
      </c>
      <c r="E106" t="s">
        <v>481</v>
      </c>
      <c r="F106" t="s">
        <v>71</v>
      </c>
      <c r="G106" t="s">
        <v>72</v>
      </c>
      <c r="H106" t="s">
        <v>16</v>
      </c>
      <c r="I106" t="s">
        <v>38</v>
      </c>
      <c r="J106" t="s">
        <v>6</v>
      </c>
      <c r="K106" t="s">
        <v>171</v>
      </c>
      <c r="L106" s="1">
        <v>46134</v>
      </c>
      <c r="M106" t="s">
        <v>66</v>
      </c>
      <c r="N106" t="s">
        <v>482</v>
      </c>
      <c r="O106" t="s">
        <v>483</v>
      </c>
    </row>
    <row r="107" spans="1:15" x14ac:dyDescent="0.25">
      <c r="A107" s="2">
        <v>46127.715960648151</v>
      </c>
      <c r="B107" t="s">
        <v>484</v>
      </c>
      <c r="C107" t="s">
        <v>485</v>
      </c>
      <c r="D107">
        <v>602645</v>
      </c>
      <c r="E107" t="s">
        <v>486</v>
      </c>
      <c r="F107" t="s">
        <v>93</v>
      </c>
      <c r="G107" t="s">
        <v>94</v>
      </c>
      <c r="H107" t="s">
        <v>15</v>
      </c>
      <c r="I107" t="s">
        <v>45</v>
      </c>
      <c r="J107" t="s">
        <v>7</v>
      </c>
      <c r="K107" t="s">
        <v>487</v>
      </c>
      <c r="L107" s="1">
        <v>46127</v>
      </c>
      <c r="M107" t="s">
        <v>41</v>
      </c>
      <c r="N107" t="s">
        <v>11</v>
      </c>
      <c r="O107" t="s">
        <v>488</v>
      </c>
    </row>
    <row r="108" spans="1:15" x14ac:dyDescent="0.25">
      <c r="A108" s="2">
        <v>46127.714780092596</v>
      </c>
      <c r="B108" t="s">
        <v>484</v>
      </c>
      <c r="C108" t="s">
        <v>489</v>
      </c>
      <c r="D108">
        <v>602645</v>
      </c>
      <c r="E108" t="s">
        <v>486</v>
      </c>
      <c r="F108" t="s">
        <v>93</v>
      </c>
      <c r="G108" t="s">
        <v>94</v>
      </c>
      <c r="H108" t="s">
        <v>15</v>
      </c>
      <c r="I108" t="s">
        <v>45</v>
      </c>
      <c r="J108" t="s">
        <v>7</v>
      </c>
      <c r="K108" t="s">
        <v>490</v>
      </c>
      <c r="L108" s="1">
        <v>46127</v>
      </c>
      <c r="M108" t="s">
        <v>41</v>
      </c>
      <c r="N108" t="s">
        <v>11</v>
      </c>
      <c r="O108" t="s">
        <v>488</v>
      </c>
    </row>
    <row r="109" spans="1:15" x14ac:dyDescent="0.25">
      <c r="A109" s="2">
        <v>46127.626319444447</v>
      </c>
      <c r="B109" t="s">
        <v>137</v>
      </c>
      <c r="C109" t="s">
        <v>491</v>
      </c>
      <c r="D109">
        <v>602631</v>
      </c>
      <c r="E109" t="s">
        <v>139</v>
      </c>
      <c r="F109" t="s">
        <v>112</v>
      </c>
      <c r="G109" t="s">
        <v>113</v>
      </c>
      <c r="H109" t="s">
        <v>15</v>
      </c>
      <c r="I109" t="s">
        <v>45</v>
      </c>
      <c r="J109" t="s">
        <v>7</v>
      </c>
      <c r="K109" t="s">
        <v>140</v>
      </c>
      <c r="L109" s="1">
        <v>46132</v>
      </c>
      <c r="M109" t="s">
        <v>141</v>
      </c>
      <c r="N109" t="s">
        <v>142</v>
      </c>
      <c r="O109" t="s">
        <v>143</v>
      </c>
    </row>
    <row r="110" spans="1:15" x14ac:dyDescent="0.25">
      <c r="A110" s="2">
        <v>46127.620219907411</v>
      </c>
      <c r="B110" t="s">
        <v>492</v>
      </c>
      <c r="C110" t="s">
        <v>493</v>
      </c>
      <c r="D110">
        <v>602932</v>
      </c>
      <c r="E110" t="s">
        <v>494</v>
      </c>
      <c r="F110" t="s">
        <v>93</v>
      </c>
      <c r="G110" t="s">
        <v>495</v>
      </c>
      <c r="H110" t="s">
        <v>15</v>
      </c>
      <c r="I110" t="s">
        <v>45</v>
      </c>
      <c r="J110" t="s">
        <v>7</v>
      </c>
      <c r="K110" t="s">
        <v>65</v>
      </c>
      <c r="L110" s="1">
        <v>46129</v>
      </c>
      <c r="M110" t="s">
        <v>41</v>
      </c>
      <c r="N110" t="s">
        <v>88</v>
      </c>
      <c r="O110" t="s">
        <v>496</v>
      </c>
    </row>
    <row r="111" spans="1:15" x14ac:dyDescent="0.25">
      <c r="A111" s="2">
        <v>46127.579328703701</v>
      </c>
      <c r="B111" t="s">
        <v>497</v>
      </c>
      <c r="C111" t="s">
        <v>498</v>
      </c>
      <c r="D111">
        <v>603106</v>
      </c>
      <c r="E111" t="s">
        <v>499</v>
      </c>
      <c r="F111" t="s">
        <v>71</v>
      </c>
      <c r="G111" t="s">
        <v>100</v>
      </c>
      <c r="H111" t="s">
        <v>15</v>
      </c>
      <c r="I111" t="s">
        <v>45</v>
      </c>
      <c r="J111" t="s">
        <v>7</v>
      </c>
      <c r="K111" t="s">
        <v>500</v>
      </c>
      <c r="L111" s="1">
        <v>46132</v>
      </c>
      <c r="M111" t="s">
        <v>66</v>
      </c>
      <c r="N111" t="s">
        <v>142</v>
      </c>
      <c r="O111" t="s">
        <v>501</v>
      </c>
    </row>
    <row r="112" spans="1:15" x14ac:dyDescent="0.25">
      <c r="A112" s="2">
        <v>46127.515231481484</v>
      </c>
      <c r="B112" t="s">
        <v>502</v>
      </c>
      <c r="C112" t="s">
        <v>503</v>
      </c>
      <c r="D112">
        <v>602039</v>
      </c>
      <c r="E112" t="s">
        <v>504</v>
      </c>
      <c r="F112" t="s">
        <v>71</v>
      </c>
      <c r="G112" t="s">
        <v>72</v>
      </c>
      <c r="H112" t="s">
        <v>15</v>
      </c>
      <c r="I112" t="s">
        <v>45</v>
      </c>
      <c r="J112" t="s">
        <v>7</v>
      </c>
      <c r="K112" t="s">
        <v>274</v>
      </c>
      <c r="L112" s="1">
        <v>46127</v>
      </c>
      <c r="M112" t="s">
        <v>66</v>
      </c>
      <c r="N112" t="s">
        <v>11</v>
      </c>
      <c r="O112" t="s">
        <v>505</v>
      </c>
    </row>
    <row r="113" spans="1:15" x14ac:dyDescent="0.25">
      <c r="A113" s="2">
        <v>46127.50240740741</v>
      </c>
      <c r="B113" t="s">
        <v>82</v>
      </c>
      <c r="C113" t="s">
        <v>506</v>
      </c>
      <c r="D113">
        <v>609922</v>
      </c>
      <c r="E113" t="s">
        <v>507</v>
      </c>
      <c r="F113" t="s">
        <v>85</v>
      </c>
      <c r="G113" t="s">
        <v>86</v>
      </c>
      <c r="H113" t="s">
        <v>15</v>
      </c>
      <c r="I113" t="s">
        <v>45</v>
      </c>
      <c r="J113" t="s">
        <v>7</v>
      </c>
      <c r="K113" t="s">
        <v>508</v>
      </c>
      <c r="L113" s="1">
        <v>46127</v>
      </c>
      <c r="M113" t="s">
        <v>87</v>
      </c>
      <c r="N113" t="s">
        <v>12</v>
      </c>
      <c r="O113" t="s">
        <v>89</v>
      </c>
    </row>
    <row r="114" spans="1:15" x14ac:dyDescent="0.25">
      <c r="A114" s="2">
        <v>46127.469756944447</v>
      </c>
      <c r="B114" t="s">
        <v>76</v>
      </c>
      <c r="C114" t="s">
        <v>509</v>
      </c>
      <c r="D114">
        <v>602337</v>
      </c>
      <c r="E114" t="s">
        <v>78</v>
      </c>
      <c r="F114" t="s">
        <v>79</v>
      </c>
      <c r="G114">
        <v>6280</v>
      </c>
      <c r="H114" t="s">
        <v>15</v>
      </c>
      <c r="I114" t="s">
        <v>45</v>
      </c>
      <c r="J114" t="s">
        <v>7</v>
      </c>
      <c r="K114" t="s">
        <v>510</v>
      </c>
      <c r="L114" s="1">
        <v>46127</v>
      </c>
      <c r="M114" t="s">
        <v>66</v>
      </c>
      <c r="N114" t="s">
        <v>11</v>
      </c>
      <c r="O114" t="s">
        <v>81</v>
      </c>
    </row>
    <row r="115" spans="1:15" x14ac:dyDescent="0.25">
      <c r="A115" s="2">
        <v>46127.418333333335</v>
      </c>
      <c r="B115" t="s">
        <v>82</v>
      </c>
      <c r="C115" t="s">
        <v>511</v>
      </c>
      <c r="D115">
        <v>602438</v>
      </c>
      <c r="E115" t="s">
        <v>442</v>
      </c>
      <c r="F115" t="s">
        <v>85</v>
      </c>
      <c r="G115" t="s">
        <v>86</v>
      </c>
      <c r="H115" t="s">
        <v>15</v>
      </c>
      <c r="I115" t="s">
        <v>45</v>
      </c>
      <c r="J115" t="s">
        <v>7</v>
      </c>
      <c r="K115" t="s">
        <v>512</v>
      </c>
      <c r="L115" s="1">
        <v>46127</v>
      </c>
      <c r="M115" t="s">
        <v>87</v>
      </c>
      <c r="N115" t="s">
        <v>11</v>
      </c>
      <c r="O115" t="s">
        <v>89</v>
      </c>
    </row>
    <row r="116" spans="1:15" x14ac:dyDescent="0.25">
      <c r="A116" s="2">
        <v>46126.683900462966</v>
      </c>
      <c r="B116" t="s">
        <v>513</v>
      </c>
      <c r="C116" t="s">
        <v>514</v>
      </c>
      <c r="D116">
        <v>605271</v>
      </c>
      <c r="E116" t="s">
        <v>515</v>
      </c>
      <c r="F116" t="s">
        <v>126</v>
      </c>
      <c r="G116" t="s">
        <v>133</v>
      </c>
      <c r="H116" t="s">
        <v>15</v>
      </c>
      <c r="I116" t="s">
        <v>45</v>
      </c>
      <c r="J116" t="s">
        <v>7</v>
      </c>
      <c r="K116" t="s">
        <v>446</v>
      </c>
      <c r="L116" s="1">
        <v>46129</v>
      </c>
      <c r="M116" t="s">
        <v>141</v>
      </c>
      <c r="N116" t="s">
        <v>88</v>
      </c>
      <c r="O116" t="s">
        <v>516</v>
      </c>
    </row>
    <row r="117" spans="1:15" x14ac:dyDescent="0.25">
      <c r="A117" s="2">
        <v>46126.676712962966</v>
      </c>
      <c r="B117" t="s">
        <v>517</v>
      </c>
      <c r="C117" t="s">
        <v>518</v>
      </c>
      <c r="D117">
        <v>603530</v>
      </c>
      <c r="E117" t="s">
        <v>519</v>
      </c>
      <c r="F117" t="s">
        <v>520</v>
      </c>
      <c r="G117" t="s">
        <v>521</v>
      </c>
      <c r="H117" t="s">
        <v>15</v>
      </c>
      <c r="I117" t="s">
        <v>45</v>
      </c>
      <c r="J117" t="s">
        <v>7</v>
      </c>
      <c r="K117" t="s">
        <v>305</v>
      </c>
      <c r="L117" s="1">
        <v>46126</v>
      </c>
      <c r="M117" t="s">
        <v>141</v>
      </c>
      <c r="N117" t="s">
        <v>11</v>
      </c>
      <c r="O117" t="s">
        <v>522</v>
      </c>
    </row>
    <row r="118" spans="1:15" x14ac:dyDescent="0.25">
      <c r="A118" s="2">
        <v>46126.671712962961</v>
      </c>
      <c r="B118" t="s">
        <v>523</v>
      </c>
      <c r="C118" t="s">
        <v>524</v>
      </c>
      <c r="D118">
        <v>603655</v>
      </c>
      <c r="E118" t="s">
        <v>525</v>
      </c>
      <c r="F118" t="s">
        <v>526</v>
      </c>
      <c r="G118">
        <v>4056</v>
      </c>
      <c r="H118" t="s">
        <v>15</v>
      </c>
      <c r="I118" t="s">
        <v>45</v>
      </c>
      <c r="J118" t="s">
        <v>7</v>
      </c>
      <c r="K118" t="s">
        <v>527</v>
      </c>
      <c r="L118" s="1">
        <v>46126</v>
      </c>
      <c r="M118" t="s">
        <v>66</v>
      </c>
      <c r="N118" t="s">
        <v>11</v>
      </c>
      <c r="O118" t="s">
        <v>528</v>
      </c>
    </row>
    <row r="119" spans="1:15" x14ac:dyDescent="0.25">
      <c r="A119" s="2">
        <v>46126.67119212963</v>
      </c>
      <c r="B119" t="s">
        <v>529</v>
      </c>
      <c r="C119" t="s">
        <v>530</v>
      </c>
      <c r="D119">
        <v>605539</v>
      </c>
      <c r="E119" t="s">
        <v>531</v>
      </c>
      <c r="F119" t="s">
        <v>207</v>
      </c>
      <c r="G119" t="s">
        <v>532</v>
      </c>
      <c r="H119" t="s">
        <v>15</v>
      </c>
      <c r="I119" t="s">
        <v>45</v>
      </c>
      <c r="J119" t="s">
        <v>7</v>
      </c>
      <c r="K119" t="s">
        <v>274</v>
      </c>
      <c r="L119" s="1">
        <v>46126</v>
      </c>
      <c r="M119" t="s">
        <v>141</v>
      </c>
      <c r="N119" t="s">
        <v>11</v>
      </c>
      <c r="O119" t="s">
        <v>533</v>
      </c>
    </row>
    <row r="120" spans="1:15" x14ac:dyDescent="0.25">
      <c r="A120" s="2">
        <v>46126.549780092595</v>
      </c>
      <c r="B120" t="s">
        <v>534</v>
      </c>
      <c r="C120" t="s">
        <v>535</v>
      </c>
      <c r="D120">
        <v>605268</v>
      </c>
      <c r="E120" t="s">
        <v>536</v>
      </c>
      <c r="F120" t="s">
        <v>71</v>
      </c>
      <c r="G120" t="s">
        <v>100</v>
      </c>
      <c r="H120" t="s">
        <v>15</v>
      </c>
      <c r="I120" t="s">
        <v>45</v>
      </c>
      <c r="J120" t="s">
        <v>7</v>
      </c>
      <c r="K120" t="s">
        <v>274</v>
      </c>
      <c r="L120" s="1">
        <v>46126</v>
      </c>
      <c r="M120" t="s">
        <v>537</v>
      </c>
      <c r="N120" t="s">
        <v>11</v>
      </c>
      <c r="O120" t="s">
        <v>538</v>
      </c>
    </row>
    <row r="121" spans="1:15" x14ac:dyDescent="0.25">
      <c r="A121" s="2">
        <v>46126.511712962965</v>
      </c>
      <c r="B121" t="s">
        <v>137</v>
      </c>
      <c r="C121" t="s">
        <v>539</v>
      </c>
      <c r="D121">
        <v>602631</v>
      </c>
      <c r="E121" t="s">
        <v>139</v>
      </c>
      <c r="F121" t="s">
        <v>112</v>
      </c>
      <c r="G121" t="s">
        <v>113</v>
      </c>
      <c r="H121" t="s">
        <v>15</v>
      </c>
      <c r="I121" t="s">
        <v>45</v>
      </c>
      <c r="J121" t="s">
        <v>7</v>
      </c>
      <c r="K121" t="s">
        <v>540</v>
      </c>
      <c r="L121" s="1">
        <v>46127</v>
      </c>
      <c r="M121" t="s">
        <v>141</v>
      </c>
      <c r="N121" t="s">
        <v>241</v>
      </c>
      <c r="O121" t="s">
        <v>143</v>
      </c>
    </row>
    <row r="122" spans="1:15" x14ac:dyDescent="0.25">
      <c r="A122" s="2">
        <v>46126.491724537038</v>
      </c>
      <c r="B122" t="s">
        <v>541</v>
      </c>
      <c r="C122" t="s">
        <v>542</v>
      </c>
      <c r="D122">
        <v>608032</v>
      </c>
      <c r="E122" t="s">
        <v>543</v>
      </c>
      <c r="F122" t="s">
        <v>36</v>
      </c>
      <c r="G122" t="s">
        <v>362</v>
      </c>
      <c r="H122" t="s">
        <v>16</v>
      </c>
      <c r="I122" t="s">
        <v>38</v>
      </c>
      <c r="J122" t="s">
        <v>7</v>
      </c>
      <c r="K122" t="s">
        <v>544</v>
      </c>
      <c r="L122" s="1">
        <v>46128</v>
      </c>
      <c r="M122" t="s">
        <v>41</v>
      </c>
      <c r="N122" t="s">
        <v>135</v>
      </c>
      <c r="O122" t="s">
        <v>545</v>
      </c>
    </row>
    <row r="123" spans="1:15" x14ac:dyDescent="0.25">
      <c r="A123" s="2">
        <v>46126.4765162037</v>
      </c>
      <c r="B123" t="s">
        <v>137</v>
      </c>
      <c r="C123" t="s">
        <v>546</v>
      </c>
      <c r="D123">
        <v>602631</v>
      </c>
      <c r="E123" t="s">
        <v>139</v>
      </c>
      <c r="F123" t="s">
        <v>112</v>
      </c>
      <c r="G123" t="s">
        <v>113</v>
      </c>
      <c r="H123" t="s">
        <v>15</v>
      </c>
      <c r="I123" t="s">
        <v>45</v>
      </c>
      <c r="J123" t="s">
        <v>7</v>
      </c>
      <c r="K123" t="s">
        <v>540</v>
      </c>
      <c r="L123" s="1">
        <v>46127</v>
      </c>
      <c r="M123" t="s">
        <v>141</v>
      </c>
      <c r="N123" t="s">
        <v>241</v>
      </c>
      <c r="O123" t="s">
        <v>143</v>
      </c>
    </row>
    <row r="124" spans="1:15" x14ac:dyDescent="0.25">
      <c r="A124" s="2">
        <v>46126.472384259258</v>
      </c>
      <c r="B124" t="s">
        <v>137</v>
      </c>
      <c r="C124" t="s">
        <v>547</v>
      </c>
      <c r="D124">
        <v>602631</v>
      </c>
      <c r="E124" t="s">
        <v>139</v>
      </c>
      <c r="F124" t="s">
        <v>112</v>
      </c>
      <c r="G124" t="s">
        <v>113</v>
      </c>
      <c r="H124" t="s">
        <v>15</v>
      </c>
      <c r="I124" t="s">
        <v>45</v>
      </c>
      <c r="J124" t="s">
        <v>7</v>
      </c>
      <c r="K124" t="s">
        <v>240</v>
      </c>
      <c r="L124" s="1">
        <v>46127</v>
      </c>
      <c r="M124" t="s">
        <v>141</v>
      </c>
      <c r="N124" t="s">
        <v>241</v>
      </c>
      <c r="O124" t="s">
        <v>143</v>
      </c>
    </row>
    <row r="125" spans="1:15" x14ac:dyDescent="0.25">
      <c r="A125" s="2">
        <v>46126.41128472222</v>
      </c>
      <c r="B125" t="s">
        <v>232</v>
      </c>
      <c r="C125" t="s">
        <v>548</v>
      </c>
      <c r="D125">
        <v>605064</v>
      </c>
      <c r="E125" t="s">
        <v>234</v>
      </c>
      <c r="F125" t="s">
        <v>235</v>
      </c>
      <c r="G125" t="s">
        <v>236</v>
      </c>
      <c r="H125" t="s">
        <v>15</v>
      </c>
      <c r="I125" t="s">
        <v>45</v>
      </c>
      <c r="J125" t="s">
        <v>7</v>
      </c>
      <c r="K125" t="s">
        <v>549</v>
      </c>
      <c r="L125" s="1">
        <v>46126</v>
      </c>
      <c r="M125" t="s">
        <v>141</v>
      </c>
      <c r="N125" t="s">
        <v>11</v>
      </c>
      <c r="O125" t="s">
        <v>550</v>
      </c>
    </row>
    <row r="126" spans="1:15" x14ac:dyDescent="0.25">
      <c r="A126" s="2">
        <v>46126.3594212963</v>
      </c>
      <c r="B126" t="s">
        <v>551</v>
      </c>
      <c r="C126" t="s">
        <v>552</v>
      </c>
      <c r="D126">
        <v>602950</v>
      </c>
      <c r="E126" t="s">
        <v>553</v>
      </c>
      <c r="F126" t="s">
        <v>158</v>
      </c>
      <c r="G126" t="s">
        <v>159</v>
      </c>
      <c r="H126" t="s">
        <v>15</v>
      </c>
      <c r="I126" t="s">
        <v>45</v>
      </c>
      <c r="J126" t="s">
        <v>7</v>
      </c>
      <c r="K126" t="s">
        <v>240</v>
      </c>
      <c r="L126" s="1">
        <v>46127</v>
      </c>
      <c r="M126" t="s">
        <v>41</v>
      </c>
      <c r="N126" t="s">
        <v>241</v>
      </c>
      <c r="O126" t="s">
        <v>554</v>
      </c>
    </row>
    <row r="127" spans="1:15" x14ac:dyDescent="0.25">
      <c r="A127" s="2">
        <v>46125.475243055553</v>
      </c>
      <c r="B127" t="s">
        <v>82</v>
      </c>
      <c r="C127" t="s">
        <v>555</v>
      </c>
      <c r="D127">
        <v>602378</v>
      </c>
      <c r="E127" t="s">
        <v>556</v>
      </c>
      <c r="F127" t="s">
        <v>85</v>
      </c>
      <c r="G127" t="s">
        <v>86</v>
      </c>
      <c r="H127" t="s">
        <v>15</v>
      </c>
      <c r="I127" t="s">
        <v>45</v>
      </c>
      <c r="J127" t="s">
        <v>7</v>
      </c>
      <c r="K127" t="s">
        <v>421</v>
      </c>
      <c r="L127" s="1">
        <v>46126</v>
      </c>
      <c r="M127" t="s">
        <v>87</v>
      </c>
      <c r="N127" t="s">
        <v>185</v>
      </c>
      <c r="O127" t="s">
        <v>89</v>
      </c>
    </row>
    <row r="128" spans="1:15" x14ac:dyDescent="0.25">
      <c r="A128" s="2">
        <v>46122.682430555556</v>
      </c>
      <c r="B128" t="s">
        <v>161</v>
      </c>
      <c r="C128" t="s">
        <v>557</v>
      </c>
      <c r="D128">
        <v>603097</v>
      </c>
      <c r="E128" t="s">
        <v>163</v>
      </c>
      <c r="F128" t="s">
        <v>164</v>
      </c>
      <c r="G128" t="s">
        <v>165</v>
      </c>
      <c r="H128" t="s">
        <v>15</v>
      </c>
      <c r="I128" t="s">
        <v>45</v>
      </c>
      <c r="J128" t="s">
        <v>7</v>
      </c>
      <c r="K128" t="s">
        <v>276</v>
      </c>
      <c r="L128" s="1">
        <v>46122</v>
      </c>
      <c r="M128" t="s">
        <v>87</v>
      </c>
      <c r="N128" t="s">
        <v>11</v>
      </c>
      <c r="O128" t="s">
        <v>167</v>
      </c>
    </row>
    <row r="129" spans="1:15" x14ac:dyDescent="0.25">
      <c r="A129" s="2">
        <v>46122.663715277777</v>
      </c>
      <c r="B129" t="s">
        <v>558</v>
      </c>
      <c r="C129" t="s">
        <v>559</v>
      </c>
      <c r="D129">
        <v>601054</v>
      </c>
      <c r="E129" t="s">
        <v>560</v>
      </c>
      <c r="F129" t="s">
        <v>71</v>
      </c>
      <c r="G129" t="s">
        <v>100</v>
      </c>
      <c r="H129" t="s">
        <v>15</v>
      </c>
      <c r="I129" t="s">
        <v>45</v>
      </c>
      <c r="J129" t="s">
        <v>7</v>
      </c>
      <c r="K129" t="s">
        <v>46</v>
      </c>
      <c r="L129" s="1">
        <v>46122</v>
      </c>
      <c r="M129" t="s">
        <v>66</v>
      </c>
      <c r="N129" t="s">
        <v>11</v>
      </c>
      <c r="O129" t="s">
        <v>561</v>
      </c>
    </row>
    <row r="130" spans="1:15" x14ac:dyDescent="0.25">
      <c r="A130" s="2">
        <v>46122.544942129629</v>
      </c>
      <c r="B130" t="s">
        <v>401</v>
      </c>
      <c r="C130" t="s">
        <v>562</v>
      </c>
      <c r="D130">
        <v>603485</v>
      </c>
      <c r="E130" t="s">
        <v>403</v>
      </c>
      <c r="F130" t="s">
        <v>93</v>
      </c>
      <c r="G130" t="s">
        <v>94</v>
      </c>
      <c r="H130" t="s">
        <v>16</v>
      </c>
      <c r="I130" t="s">
        <v>38</v>
      </c>
      <c r="J130" t="s">
        <v>7</v>
      </c>
      <c r="K130" t="s">
        <v>563</v>
      </c>
      <c r="L130" s="1">
        <v>46122</v>
      </c>
      <c r="M130" t="s">
        <v>41</v>
      </c>
      <c r="N130" t="s">
        <v>135</v>
      </c>
      <c r="O130" t="s">
        <v>405</v>
      </c>
    </row>
    <row r="131" spans="1:15" x14ac:dyDescent="0.25">
      <c r="A131" s="2">
        <v>46122.426192129627</v>
      </c>
      <c r="B131" t="s">
        <v>564</v>
      </c>
      <c r="C131" t="s">
        <v>565</v>
      </c>
      <c r="D131">
        <v>605016</v>
      </c>
      <c r="E131" t="s">
        <v>566</v>
      </c>
      <c r="F131" t="s">
        <v>50</v>
      </c>
      <c r="G131" t="s">
        <v>51</v>
      </c>
      <c r="H131" t="s">
        <v>15</v>
      </c>
      <c r="I131" t="s">
        <v>45</v>
      </c>
      <c r="J131" t="s">
        <v>7</v>
      </c>
      <c r="K131" t="s">
        <v>274</v>
      </c>
      <c r="L131" s="1">
        <v>46126</v>
      </c>
      <c r="M131" t="s">
        <v>141</v>
      </c>
      <c r="N131" t="s">
        <v>88</v>
      </c>
      <c r="O131" t="s">
        <v>567</v>
      </c>
    </row>
    <row r="132" spans="1:15" x14ac:dyDescent="0.25">
      <c r="A132" s="2">
        <v>46121.501585648148</v>
      </c>
      <c r="B132" t="s">
        <v>568</v>
      </c>
      <c r="C132" t="s">
        <v>569</v>
      </c>
      <c r="D132">
        <v>603809</v>
      </c>
      <c r="E132" t="s">
        <v>570</v>
      </c>
      <c r="F132" t="s">
        <v>126</v>
      </c>
      <c r="G132" t="s">
        <v>133</v>
      </c>
      <c r="H132" t="s">
        <v>15</v>
      </c>
      <c r="I132" t="s">
        <v>45</v>
      </c>
      <c r="J132" t="s">
        <v>7</v>
      </c>
      <c r="K132" t="s">
        <v>571</v>
      </c>
      <c r="L132" s="1">
        <v>46122</v>
      </c>
      <c r="M132" t="s">
        <v>141</v>
      </c>
      <c r="N132" t="s">
        <v>11</v>
      </c>
      <c r="O132" t="s">
        <v>572</v>
      </c>
    </row>
    <row r="133" spans="1:15" x14ac:dyDescent="0.25">
      <c r="A133" s="2">
        <v>46121.438796296294</v>
      </c>
      <c r="B133" t="s">
        <v>573</v>
      </c>
      <c r="C133" t="s">
        <v>574</v>
      </c>
      <c r="D133">
        <v>603821</v>
      </c>
      <c r="E133" t="s">
        <v>575</v>
      </c>
      <c r="F133" t="s">
        <v>576</v>
      </c>
      <c r="G133">
        <v>6316</v>
      </c>
      <c r="H133" t="s">
        <v>15</v>
      </c>
      <c r="I133" t="s">
        <v>45</v>
      </c>
      <c r="J133" t="s">
        <v>7</v>
      </c>
      <c r="K133" t="s">
        <v>577</v>
      </c>
      <c r="L133" s="1">
        <v>46125</v>
      </c>
      <c r="M133" t="s">
        <v>66</v>
      </c>
      <c r="N133" t="s">
        <v>142</v>
      </c>
      <c r="O133" t="s">
        <v>578</v>
      </c>
    </row>
    <row r="134" spans="1:15" x14ac:dyDescent="0.25">
      <c r="A134" s="2">
        <v>46120.666064814817</v>
      </c>
      <c r="B134" t="s">
        <v>579</v>
      </c>
      <c r="C134" t="s">
        <v>580</v>
      </c>
      <c r="D134">
        <v>606920</v>
      </c>
      <c r="E134" t="s">
        <v>581</v>
      </c>
      <c r="F134" t="s">
        <v>158</v>
      </c>
      <c r="G134" t="s">
        <v>159</v>
      </c>
      <c r="H134" t="s">
        <v>15</v>
      </c>
      <c r="I134" t="s">
        <v>45</v>
      </c>
      <c r="J134" t="s">
        <v>7</v>
      </c>
      <c r="K134" t="s">
        <v>209</v>
      </c>
      <c r="L134" s="1">
        <v>46120</v>
      </c>
      <c r="M134" t="s">
        <v>41</v>
      </c>
      <c r="N134" t="s">
        <v>11</v>
      </c>
      <c r="O134" t="s">
        <v>582</v>
      </c>
    </row>
    <row r="135" spans="1:15" x14ac:dyDescent="0.25">
      <c r="A135" s="2">
        <v>46120.506851851853</v>
      </c>
      <c r="B135" t="s">
        <v>583</v>
      </c>
      <c r="C135" t="s">
        <v>584</v>
      </c>
      <c r="D135">
        <v>603385</v>
      </c>
      <c r="E135" t="s">
        <v>585</v>
      </c>
      <c r="F135" t="s">
        <v>50</v>
      </c>
      <c r="G135" t="s">
        <v>51</v>
      </c>
      <c r="H135" t="s">
        <v>15</v>
      </c>
      <c r="I135" t="s">
        <v>45</v>
      </c>
      <c r="J135" t="s">
        <v>7</v>
      </c>
      <c r="K135" t="s">
        <v>586</v>
      </c>
      <c r="L135" s="1">
        <v>46120</v>
      </c>
      <c r="M135" t="s">
        <v>141</v>
      </c>
      <c r="N135" t="s">
        <v>11</v>
      </c>
      <c r="O135" t="s">
        <v>587</v>
      </c>
    </row>
    <row r="136" spans="1:15" x14ac:dyDescent="0.25">
      <c r="A136" s="2">
        <v>46120.504537037035</v>
      </c>
      <c r="B136" t="s">
        <v>583</v>
      </c>
      <c r="C136" t="s">
        <v>588</v>
      </c>
      <c r="D136">
        <v>603385</v>
      </c>
      <c r="E136" t="s">
        <v>585</v>
      </c>
      <c r="F136" t="s">
        <v>50</v>
      </c>
      <c r="G136" t="s">
        <v>51</v>
      </c>
      <c r="H136" t="s">
        <v>15</v>
      </c>
      <c r="I136" t="s">
        <v>45</v>
      </c>
      <c r="J136" t="s">
        <v>9</v>
      </c>
      <c r="K136" t="s">
        <v>589</v>
      </c>
      <c r="L136" t="s">
        <v>40</v>
      </c>
      <c r="M136" t="s">
        <v>141</v>
      </c>
      <c r="N136" t="s">
        <v>185</v>
      </c>
      <c r="O136" t="s">
        <v>587</v>
      </c>
    </row>
    <row r="137" spans="1:15" x14ac:dyDescent="0.25">
      <c r="A137" s="2">
        <v>46120.440636574072</v>
      </c>
      <c r="B137" t="s">
        <v>90</v>
      </c>
      <c r="C137" t="s">
        <v>590</v>
      </c>
      <c r="D137">
        <v>609839</v>
      </c>
      <c r="E137" t="s">
        <v>92</v>
      </c>
      <c r="F137" t="s">
        <v>93</v>
      </c>
      <c r="G137" t="s">
        <v>94</v>
      </c>
      <c r="H137" t="s">
        <v>15</v>
      </c>
      <c r="I137" t="s">
        <v>45</v>
      </c>
      <c r="J137" t="s">
        <v>7</v>
      </c>
      <c r="K137" t="s">
        <v>591</v>
      </c>
      <c r="L137" s="1">
        <v>46125</v>
      </c>
      <c r="M137" t="s">
        <v>41</v>
      </c>
      <c r="N137" t="s">
        <v>11</v>
      </c>
      <c r="O137" t="s">
        <v>96</v>
      </c>
    </row>
    <row r="138" spans="1:15" x14ac:dyDescent="0.25">
      <c r="A138" s="2">
        <v>46119.642777777779</v>
      </c>
      <c r="B138" t="s">
        <v>592</v>
      </c>
      <c r="C138" t="s">
        <v>593</v>
      </c>
      <c r="D138">
        <v>603483</v>
      </c>
      <c r="E138" t="s">
        <v>594</v>
      </c>
      <c r="F138" t="s">
        <v>36</v>
      </c>
      <c r="G138" t="s">
        <v>37</v>
      </c>
      <c r="H138" t="s">
        <v>15</v>
      </c>
      <c r="I138" t="s">
        <v>45</v>
      </c>
      <c r="J138" t="s">
        <v>7</v>
      </c>
      <c r="K138" t="s">
        <v>595</v>
      </c>
      <c r="L138" s="1">
        <v>46122</v>
      </c>
      <c r="M138" t="s">
        <v>41</v>
      </c>
      <c r="N138" t="s">
        <v>185</v>
      </c>
      <c r="O138" t="s">
        <v>596</v>
      </c>
    </row>
    <row r="139" spans="1:15" x14ac:dyDescent="0.25">
      <c r="A139" s="2">
        <v>46119.633738425924</v>
      </c>
      <c r="B139" t="s">
        <v>597</v>
      </c>
      <c r="C139" t="s">
        <v>598</v>
      </c>
      <c r="D139">
        <v>606902</v>
      </c>
      <c r="E139" t="s">
        <v>599</v>
      </c>
      <c r="F139" t="s">
        <v>600</v>
      </c>
      <c r="G139" t="s">
        <v>601</v>
      </c>
      <c r="H139" t="s">
        <v>15</v>
      </c>
      <c r="I139" t="s">
        <v>45</v>
      </c>
      <c r="J139" t="s">
        <v>7</v>
      </c>
      <c r="K139" t="s">
        <v>602</v>
      </c>
      <c r="L139" s="1">
        <v>46119</v>
      </c>
      <c r="M139" t="s">
        <v>66</v>
      </c>
      <c r="N139" t="s">
        <v>11</v>
      </c>
      <c r="O139" t="s">
        <v>603</v>
      </c>
    </row>
    <row r="140" spans="1:15" x14ac:dyDescent="0.25">
      <c r="A140" s="2">
        <v>46119.602650462963</v>
      </c>
      <c r="B140" t="s">
        <v>604</v>
      </c>
      <c r="C140" t="s">
        <v>605</v>
      </c>
      <c r="D140">
        <v>603200</v>
      </c>
      <c r="E140" t="s">
        <v>606</v>
      </c>
      <c r="F140" t="s">
        <v>607</v>
      </c>
      <c r="G140">
        <v>4271</v>
      </c>
      <c r="H140" t="s">
        <v>16</v>
      </c>
      <c r="I140" t="s">
        <v>38</v>
      </c>
      <c r="J140" t="s">
        <v>7</v>
      </c>
      <c r="K140" t="s">
        <v>608</v>
      </c>
      <c r="L140" s="1">
        <v>46120</v>
      </c>
      <c r="M140" t="s">
        <v>66</v>
      </c>
      <c r="N140" t="s">
        <v>135</v>
      </c>
      <c r="O140" t="s">
        <v>609</v>
      </c>
    </row>
    <row r="141" spans="1:15" x14ac:dyDescent="0.25">
      <c r="A141" s="2">
        <v>46119.465300925927</v>
      </c>
      <c r="B141" t="s">
        <v>610</v>
      </c>
      <c r="C141" t="s">
        <v>611</v>
      </c>
      <c r="D141">
        <v>605244</v>
      </c>
      <c r="E141" t="s">
        <v>612</v>
      </c>
      <c r="F141" t="s">
        <v>93</v>
      </c>
      <c r="G141" t="s">
        <v>94</v>
      </c>
      <c r="H141" t="s">
        <v>15</v>
      </c>
      <c r="I141" t="s">
        <v>45</v>
      </c>
      <c r="J141" t="s">
        <v>7</v>
      </c>
      <c r="K141" t="s">
        <v>274</v>
      </c>
      <c r="L141" s="1">
        <v>46119</v>
      </c>
      <c r="M141" t="s">
        <v>41</v>
      </c>
      <c r="N141" t="s">
        <v>12</v>
      </c>
      <c r="O141" t="s">
        <v>613</v>
      </c>
    </row>
    <row r="142" spans="1:15" x14ac:dyDescent="0.25">
      <c r="A142" s="2">
        <v>46119.464178240742</v>
      </c>
      <c r="B142" t="s">
        <v>610</v>
      </c>
      <c r="C142" t="s">
        <v>614</v>
      </c>
      <c r="D142">
        <v>605244</v>
      </c>
      <c r="E142" t="s">
        <v>612</v>
      </c>
      <c r="F142" t="s">
        <v>93</v>
      </c>
      <c r="G142" t="s">
        <v>94</v>
      </c>
      <c r="H142" t="s">
        <v>15</v>
      </c>
      <c r="I142" t="s">
        <v>45</v>
      </c>
      <c r="J142" t="s">
        <v>7</v>
      </c>
      <c r="K142" t="s">
        <v>615</v>
      </c>
      <c r="L142" s="1">
        <v>46119</v>
      </c>
      <c r="M142" t="s">
        <v>41</v>
      </c>
      <c r="N142" t="s">
        <v>12</v>
      </c>
      <c r="O142" t="s">
        <v>613</v>
      </c>
    </row>
    <row r="143" spans="1:15" x14ac:dyDescent="0.25">
      <c r="A143" s="2">
        <v>46114.660416666666</v>
      </c>
      <c r="B143" t="s">
        <v>151</v>
      </c>
      <c r="C143" t="s">
        <v>616</v>
      </c>
      <c r="D143">
        <v>609275</v>
      </c>
      <c r="E143" t="s">
        <v>153</v>
      </c>
      <c r="F143" t="s">
        <v>50</v>
      </c>
      <c r="G143" t="s">
        <v>42</v>
      </c>
      <c r="H143" t="s">
        <v>15</v>
      </c>
      <c r="I143" t="s">
        <v>45</v>
      </c>
      <c r="J143" t="s">
        <v>6</v>
      </c>
      <c r="K143" t="s">
        <v>617</v>
      </c>
      <c r="L143" s="1">
        <v>46132</v>
      </c>
      <c r="M143" t="s">
        <v>141</v>
      </c>
      <c r="N143" t="s">
        <v>115</v>
      </c>
      <c r="O143" t="s">
        <v>154</v>
      </c>
    </row>
    <row r="144" spans="1:15" x14ac:dyDescent="0.25">
      <c r="A144" s="2">
        <v>46114.637569444443</v>
      </c>
      <c r="B144" t="s">
        <v>618</v>
      </c>
      <c r="C144" t="s">
        <v>619</v>
      </c>
      <c r="D144">
        <v>601074</v>
      </c>
      <c r="E144" t="s">
        <v>620</v>
      </c>
      <c r="F144" t="s">
        <v>36</v>
      </c>
      <c r="G144" t="s">
        <v>37</v>
      </c>
      <c r="H144" t="s">
        <v>16</v>
      </c>
      <c r="I144" t="s">
        <v>38</v>
      </c>
      <c r="J144" t="s">
        <v>7</v>
      </c>
      <c r="K144" t="s">
        <v>621</v>
      </c>
      <c r="L144" s="1">
        <v>46114</v>
      </c>
      <c r="M144" t="s">
        <v>41</v>
      </c>
      <c r="N144" t="s">
        <v>135</v>
      </c>
      <c r="O144" t="s">
        <v>622</v>
      </c>
    </row>
    <row r="145" spans="1:15" x14ac:dyDescent="0.25">
      <c r="A145" s="2">
        <v>46114.627847222226</v>
      </c>
      <c r="B145" t="s">
        <v>137</v>
      </c>
      <c r="C145" t="s">
        <v>623</v>
      </c>
      <c r="D145">
        <v>602631</v>
      </c>
      <c r="E145" t="s">
        <v>139</v>
      </c>
      <c r="F145" t="s">
        <v>112</v>
      </c>
      <c r="G145" t="s">
        <v>113</v>
      </c>
      <c r="H145" t="s">
        <v>15</v>
      </c>
      <c r="I145" t="s">
        <v>45</v>
      </c>
      <c r="J145" t="s">
        <v>7</v>
      </c>
      <c r="K145" t="s">
        <v>240</v>
      </c>
      <c r="L145" s="1">
        <v>46122</v>
      </c>
      <c r="M145" t="s">
        <v>141</v>
      </c>
      <c r="N145" t="s">
        <v>241</v>
      </c>
      <c r="O145" t="s">
        <v>143</v>
      </c>
    </row>
    <row r="146" spans="1:15" x14ac:dyDescent="0.25">
      <c r="A146" s="2">
        <v>46114.62027777778</v>
      </c>
      <c r="B146" t="s">
        <v>137</v>
      </c>
      <c r="C146" t="s">
        <v>624</v>
      </c>
      <c r="D146">
        <v>602631</v>
      </c>
      <c r="E146" t="s">
        <v>139</v>
      </c>
      <c r="F146" t="s">
        <v>112</v>
      </c>
      <c r="G146" t="s">
        <v>113</v>
      </c>
      <c r="H146" t="s">
        <v>15</v>
      </c>
      <c r="I146" t="s">
        <v>45</v>
      </c>
      <c r="J146" t="s">
        <v>7</v>
      </c>
      <c r="K146" t="s">
        <v>625</v>
      </c>
      <c r="L146" s="1">
        <v>46117</v>
      </c>
      <c r="M146" t="s">
        <v>141</v>
      </c>
      <c r="N146" t="s">
        <v>626</v>
      </c>
      <c r="O146" t="s">
        <v>143</v>
      </c>
    </row>
    <row r="147" spans="1:15" x14ac:dyDescent="0.25">
      <c r="A147" s="2">
        <v>46114.570821759262</v>
      </c>
      <c r="B147" t="s">
        <v>627</v>
      </c>
      <c r="C147" t="s">
        <v>628</v>
      </c>
      <c r="D147">
        <v>603776</v>
      </c>
      <c r="E147" t="s">
        <v>629</v>
      </c>
      <c r="F147" t="s">
        <v>526</v>
      </c>
      <c r="G147">
        <v>4056</v>
      </c>
      <c r="H147" t="s">
        <v>15</v>
      </c>
      <c r="I147" t="s">
        <v>45</v>
      </c>
      <c r="J147" t="s">
        <v>7</v>
      </c>
      <c r="K147" t="s">
        <v>630</v>
      </c>
      <c r="L147" s="1">
        <v>46114</v>
      </c>
      <c r="M147" t="s">
        <v>66</v>
      </c>
      <c r="N147" t="s">
        <v>11</v>
      </c>
      <c r="O147" t="s">
        <v>631</v>
      </c>
    </row>
    <row r="148" spans="1:15" x14ac:dyDescent="0.25">
      <c r="A148" s="2">
        <v>46114.526469907411</v>
      </c>
      <c r="B148" t="s">
        <v>137</v>
      </c>
      <c r="C148" t="s">
        <v>632</v>
      </c>
      <c r="D148">
        <v>602631</v>
      </c>
      <c r="E148" t="s">
        <v>139</v>
      </c>
      <c r="F148" t="s">
        <v>112</v>
      </c>
      <c r="G148" t="s">
        <v>113</v>
      </c>
      <c r="H148" t="s">
        <v>15</v>
      </c>
      <c r="I148" t="s">
        <v>45</v>
      </c>
      <c r="J148" t="s">
        <v>7</v>
      </c>
      <c r="K148" t="s">
        <v>240</v>
      </c>
      <c r="L148" s="1">
        <v>46122</v>
      </c>
      <c r="M148" t="s">
        <v>141</v>
      </c>
      <c r="N148" t="s">
        <v>241</v>
      </c>
      <c r="O148" t="s">
        <v>143</v>
      </c>
    </row>
    <row r="149" spans="1:15" x14ac:dyDescent="0.25">
      <c r="A149" s="2">
        <v>46114.423113425924</v>
      </c>
      <c r="B149" t="s">
        <v>401</v>
      </c>
      <c r="C149" t="s">
        <v>633</v>
      </c>
      <c r="D149">
        <v>603485</v>
      </c>
      <c r="E149" t="s">
        <v>403</v>
      </c>
      <c r="F149" t="s">
        <v>93</v>
      </c>
      <c r="G149" t="s">
        <v>94</v>
      </c>
      <c r="H149" t="s">
        <v>15</v>
      </c>
      <c r="I149" t="s">
        <v>45</v>
      </c>
      <c r="J149" t="s">
        <v>7</v>
      </c>
      <c r="K149" t="s">
        <v>634</v>
      </c>
      <c r="L149" s="1">
        <v>46115</v>
      </c>
      <c r="M149" t="s">
        <v>41</v>
      </c>
      <c r="N149" t="s">
        <v>11</v>
      </c>
      <c r="O149" t="s">
        <v>405</v>
      </c>
    </row>
    <row r="150" spans="1:15" x14ac:dyDescent="0.25">
      <c r="A150" s="2">
        <v>46113.782743055555</v>
      </c>
      <c r="B150" t="s">
        <v>635</v>
      </c>
      <c r="C150" t="s">
        <v>636</v>
      </c>
      <c r="D150">
        <v>602878</v>
      </c>
      <c r="E150" t="s">
        <v>637</v>
      </c>
      <c r="F150" t="s">
        <v>158</v>
      </c>
      <c r="G150" t="s">
        <v>159</v>
      </c>
      <c r="H150" t="s">
        <v>15</v>
      </c>
      <c r="I150" t="s">
        <v>45</v>
      </c>
      <c r="J150" t="s">
        <v>7</v>
      </c>
      <c r="K150" t="s">
        <v>638</v>
      </c>
      <c r="L150" s="1">
        <v>46115</v>
      </c>
      <c r="M150" t="s">
        <v>41</v>
      </c>
      <c r="N150" t="s">
        <v>639</v>
      </c>
      <c r="O150" t="s">
        <v>640</v>
      </c>
    </row>
    <row r="151" spans="1:15" x14ac:dyDescent="0.25">
      <c r="A151" s="2">
        <v>46113.594965277778</v>
      </c>
      <c r="B151" t="s">
        <v>109</v>
      </c>
      <c r="C151" t="s">
        <v>641</v>
      </c>
      <c r="D151">
        <v>603409</v>
      </c>
      <c r="E151" t="s">
        <v>642</v>
      </c>
      <c r="F151" t="s">
        <v>71</v>
      </c>
      <c r="G151" t="s">
        <v>100</v>
      </c>
      <c r="H151" t="s">
        <v>15</v>
      </c>
      <c r="I151" t="s">
        <v>45</v>
      </c>
      <c r="J151" t="s">
        <v>7</v>
      </c>
      <c r="K151" t="s">
        <v>412</v>
      </c>
      <c r="L151" s="1">
        <v>46119</v>
      </c>
      <c r="M151" t="s">
        <v>66</v>
      </c>
      <c r="N151" t="s">
        <v>115</v>
      </c>
      <c r="O151" t="s">
        <v>116</v>
      </c>
    </row>
    <row r="152" spans="1:15" x14ac:dyDescent="0.25">
      <c r="A152" s="2">
        <v>46113.514247685183</v>
      </c>
      <c r="B152" t="s">
        <v>643</v>
      </c>
      <c r="C152" t="s">
        <v>644</v>
      </c>
      <c r="D152">
        <v>603934</v>
      </c>
      <c r="E152" t="s">
        <v>645</v>
      </c>
      <c r="F152" t="s">
        <v>112</v>
      </c>
      <c r="G152" t="s">
        <v>113</v>
      </c>
      <c r="H152" t="s">
        <v>16</v>
      </c>
      <c r="I152" t="s">
        <v>38</v>
      </c>
      <c r="J152" t="s">
        <v>7</v>
      </c>
      <c r="K152" t="s">
        <v>646</v>
      </c>
      <c r="L152" s="1">
        <v>46120</v>
      </c>
      <c r="M152" t="s">
        <v>41</v>
      </c>
      <c r="N152" t="s">
        <v>135</v>
      </c>
      <c r="O152" t="s">
        <v>647</v>
      </c>
    </row>
    <row r="153" spans="1:15" x14ac:dyDescent="0.25">
      <c r="A153" s="2">
        <v>46112.723506944443</v>
      </c>
      <c r="B153" t="s">
        <v>109</v>
      </c>
      <c r="C153" t="s">
        <v>648</v>
      </c>
      <c r="D153">
        <v>609819</v>
      </c>
      <c r="E153" t="s">
        <v>111</v>
      </c>
      <c r="F153" t="s">
        <v>112</v>
      </c>
      <c r="G153" t="s">
        <v>113</v>
      </c>
      <c r="H153" t="s">
        <v>15</v>
      </c>
      <c r="I153" t="s">
        <v>45</v>
      </c>
      <c r="J153" t="s">
        <v>7</v>
      </c>
      <c r="K153" t="s">
        <v>209</v>
      </c>
      <c r="L153" s="1">
        <v>46114</v>
      </c>
      <c r="M153" t="s">
        <v>41</v>
      </c>
      <c r="N153" t="s">
        <v>11</v>
      </c>
      <c r="O153" t="s">
        <v>116</v>
      </c>
    </row>
    <row r="154" spans="1:15" x14ac:dyDescent="0.25">
      <c r="A154" s="2">
        <v>46112.673182870371</v>
      </c>
      <c r="B154" t="s">
        <v>649</v>
      </c>
      <c r="C154" t="s">
        <v>650</v>
      </c>
      <c r="D154">
        <v>603982</v>
      </c>
      <c r="E154" t="s">
        <v>651</v>
      </c>
      <c r="F154" t="s">
        <v>79</v>
      </c>
      <c r="G154">
        <v>6280</v>
      </c>
      <c r="H154" t="s">
        <v>15</v>
      </c>
      <c r="I154" t="s">
        <v>45</v>
      </c>
      <c r="J154" t="s">
        <v>7</v>
      </c>
      <c r="K154" t="s">
        <v>412</v>
      </c>
      <c r="L154" s="1">
        <v>46139</v>
      </c>
      <c r="M154" t="s">
        <v>66</v>
      </c>
      <c r="N154" t="s">
        <v>115</v>
      </c>
      <c r="O154" t="s">
        <v>652</v>
      </c>
    </row>
    <row r="155" spans="1:15" x14ac:dyDescent="0.25">
      <c r="A155" s="2">
        <v>46112.656793981485</v>
      </c>
      <c r="B155" t="s">
        <v>653</v>
      </c>
      <c r="C155" t="s">
        <v>654</v>
      </c>
      <c r="D155">
        <v>603772</v>
      </c>
      <c r="E155" t="s">
        <v>655</v>
      </c>
      <c r="F155" t="s">
        <v>656</v>
      </c>
      <c r="G155" t="s">
        <v>657</v>
      </c>
      <c r="H155" t="s">
        <v>15</v>
      </c>
      <c r="I155" t="s">
        <v>45</v>
      </c>
      <c r="J155" t="s">
        <v>7</v>
      </c>
      <c r="K155" t="s">
        <v>658</v>
      </c>
      <c r="L155" s="1">
        <v>46118</v>
      </c>
      <c r="M155" t="s">
        <v>66</v>
      </c>
      <c r="N155" t="s">
        <v>416</v>
      </c>
      <c r="O155" t="s">
        <v>659</v>
      </c>
    </row>
    <row r="156" spans="1:15" x14ac:dyDescent="0.25">
      <c r="A156" s="2">
        <v>46112.546122685184</v>
      </c>
      <c r="B156" t="s">
        <v>660</v>
      </c>
      <c r="C156" t="s">
        <v>661</v>
      </c>
      <c r="D156">
        <v>603233</v>
      </c>
      <c r="E156" t="s">
        <v>662</v>
      </c>
      <c r="F156" t="s">
        <v>71</v>
      </c>
      <c r="G156" t="s">
        <v>100</v>
      </c>
      <c r="H156" t="s">
        <v>16</v>
      </c>
      <c r="I156" t="s">
        <v>38</v>
      </c>
      <c r="J156" t="s">
        <v>7</v>
      </c>
      <c r="K156" t="s">
        <v>128</v>
      </c>
      <c r="L156" s="1">
        <v>46119</v>
      </c>
      <c r="M156" t="s">
        <v>66</v>
      </c>
      <c r="N156" t="s">
        <v>135</v>
      </c>
      <c r="O156" t="s">
        <v>663</v>
      </c>
    </row>
    <row r="157" spans="1:15" x14ac:dyDescent="0.25">
      <c r="A157" s="2">
        <v>46112.455613425926</v>
      </c>
      <c r="B157" t="s">
        <v>664</v>
      </c>
      <c r="C157" t="s">
        <v>665</v>
      </c>
      <c r="D157">
        <v>609992</v>
      </c>
      <c r="E157" t="s">
        <v>666</v>
      </c>
      <c r="F157" t="s">
        <v>93</v>
      </c>
      <c r="G157" t="s">
        <v>495</v>
      </c>
      <c r="H157" t="s">
        <v>15</v>
      </c>
      <c r="I157" t="s">
        <v>45</v>
      </c>
      <c r="J157" t="s">
        <v>7</v>
      </c>
      <c r="K157" t="s">
        <v>667</v>
      </c>
      <c r="L157" s="1">
        <v>46112</v>
      </c>
      <c r="M157" t="s">
        <v>41</v>
      </c>
      <c r="N157" t="s">
        <v>11</v>
      </c>
      <c r="O157" t="s">
        <v>668</v>
      </c>
    </row>
    <row r="158" spans="1:15" x14ac:dyDescent="0.25">
      <c r="A158" s="2">
        <v>46112.368923611109</v>
      </c>
      <c r="B158" t="s">
        <v>669</v>
      </c>
      <c r="C158" t="s">
        <v>670</v>
      </c>
      <c r="D158">
        <v>603162</v>
      </c>
      <c r="E158" t="s">
        <v>671</v>
      </c>
      <c r="F158" t="s">
        <v>126</v>
      </c>
      <c r="G158" t="s">
        <v>133</v>
      </c>
      <c r="H158" t="s">
        <v>15</v>
      </c>
      <c r="I158" t="s">
        <v>45</v>
      </c>
      <c r="J158" t="s">
        <v>7</v>
      </c>
      <c r="K158" t="s">
        <v>672</v>
      </c>
      <c r="L158" s="1">
        <v>46118</v>
      </c>
      <c r="M158" t="s">
        <v>141</v>
      </c>
      <c r="N158" t="s">
        <v>416</v>
      </c>
      <c r="O158" t="s">
        <v>673</v>
      </c>
    </row>
    <row r="159" spans="1:15" x14ac:dyDescent="0.25">
      <c r="A159" s="2">
        <v>46111.759004629632</v>
      </c>
      <c r="B159" t="s">
        <v>674</v>
      </c>
      <c r="C159" t="s">
        <v>675</v>
      </c>
      <c r="D159">
        <v>601635</v>
      </c>
      <c r="E159" t="s">
        <v>676</v>
      </c>
      <c r="F159" t="s">
        <v>158</v>
      </c>
      <c r="G159" t="s">
        <v>159</v>
      </c>
      <c r="H159" t="s">
        <v>15</v>
      </c>
      <c r="I159" t="s">
        <v>45</v>
      </c>
      <c r="J159" t="s">
        <v>6</v>
      </c>
      <c r="K159" t="s">
        <v>677</v>
      </c>
      <c r="L159" s="1">
        <v>46119</v>
      </c>
      <c r="M159" t="s">
        <v>41</v>
      </c>
      <c r="N159" t="s">
        <v>115</v>
      </c>
      <c r="O159" t="s">
        <v>678</v>
      </c>
    </row>
    <row r="160" spans="1:15" x14ac:dyDescent="0.25">
      <c r="A160" s="2">
        <v>46111.739537037036</v>
      </c>
      <c r="B160" t="s">
        <v>679</v>
      </c>
      <c r="C160" t="s">
        <v>680</v>
      </c>
      <c r="D160">
        <v>603223</v>
      </c>
      <c r="E160" t="s">
        <v>681</v>
      </c>
      <c r="F160" t="s">
        <v>235</v>
      </c>
      <c r="G160" t="s">
        <v>682</v>
      </c>
      <c r="H160" t="s">
        <v>15</v>
      </c>
      <c r="I160" t="s">
        <v>45</v>
      </c>
      <c r="J160" t="s">
        <v>7</v>
      </c>
      <c r="K160" t="s">
        <v>683</v>
      </c>
      <c r="L160" s="1">
        <v>46114</v>
      </c>
      <c r="M160" t="s">
        <v>141</v>
      </c>
      <c r="N160" t="s">
        <v>416</v>
      </c>
      <c r="O160" t="s">
        <v>684</v>
      </c>
    </row>
    <row r="161" spans="1:15" x14ac:dyDescent="0.25">
      <c r="A161" s="2">
        <v>46111.708437499998</v>
      </c>
      <c r="B161" t="s">
        <v>685</v>
      </c>
      <c r="C161" t="s">
        <v>686</v>
      </c>
      <c r="D161">
        <v>603651</v>
      </c>
      <c r="E161" t="s">
        <v>687</v>
      </c>
      <c r="F161" t="s">
        <v>50</v>
      </c>
      <c r="G161" t="s">
        <v>688</v>
      </c>
      <c r="H161" t="s">
        <v>15</v>
      </c>
      <c r="I161" t="s">
        <v>45</v>
      </c>
      <c r="J161" t="s">
        <v>7</v>
      </c>
      <c r="K161" t="s">
        <v>65</v>
      </c>
      <c r="L161" s="1">
        <v>46111</v>
      </c>
      <c r="M161" t="s">
        <v>141</v>
      </c>
      <c r="N161" t="s">
        <v>11</v>
      </c>
      <c r="O161" t="s">
        <v>689</v>
      </c>
    </row>
    <row r="162" spans="1:15" x14ac:dyDescent="0.25">
      <c r="A162" s="2">
        <v>46111.650254629632</v>
      </c>
      <c r="B162" t="s">
        <v>211</v>
      </c>
      <c r="C162" t="s">
        <v>690</v>
      </c>
      <c r="D162">
        <v>602454</v>
      </c>
      <c r="E162" t="s">
        <v>213</v>
      </c>
      <c r="F162" t="s">
        <v>71</v>
      </c>
      <c r="G162" t="s">
        <v>100</v>
      </c>
      <c r="H162" t="s">
        <v>16</v>
      </c>
      <c r="I162" t="s">
        <v>38</v>
      </c>
      <c r="J162" t="s">
        <v>7</v>
      </c>
      <c r="K162" t="s">
        <v>691</v>
      </c>
      <c r="L162" s="1">
        <v>46114</v>
      </c>
      <c r="M162" t="s">
        <v>66</v>
      </c>
      <c r="N162" t="s">
        <v>135</v>
      </c>
      <c r="O162" t="s">
        <v>216</v>
      </c>
    </row>
    <row r="163" spans="1:15" x14ac:dyDescent="0.25">
      <c r="A163" s="2">
        <v>46111.649016203701</v>
      </c>
      <c r="B163" t="s">
        <v>211</v>
      </c>
      <c r="C163" t="s">
        <v>692</v>
      </c>
      <c r="D163">
        <v>602454</v>
      </c>
      <c r="E163" t="s">
        <v>213</v>
      </c>
      <c r="F163" t="s">
        <v>71</v>
      </c>
      <c r="G163" t="s">
        <v>100</v>
      </c>
      <c r="H163" t="s">
        <v>15</v>
      </c>
      <c r="I163" t="s">
        <v>45</v>
      </c>
      <c r="J163" t="s">
        <v>7</v>
      </c>
      <c r="K163" t="s">
        <v>278</v>
      </c>
      <c r="L163" s="1">
        <v>46111</v>
      </c>
      <c r="M163" t="s">
        <v>66</v>
      </c>
      <c r="N163" t="s">
        <v>11</v>
      </c>
      <c r="O163" t="s">
        <v>216</v>
      </c>
    </row>
    <row r="164" spans="1:15" x14ac:dyDescent="0.25">
      <c r="A164" s="2">
        <v>46111.624467592592</v>
      </c>
      <c r="B164" t="s">
        <v>82</v>
      </c>
      <c r="C164" t="s">
        <v>693</v>
      </c>
      <c r="D164">
        <v>609903</v>
      </c>
      <c r="E164" t="s">
        <v>694</v>
      </c>
      <c r="F164" t="s">
        <v>85</v>
      </c>
      <c r="G164" t="s">
        <v>86</v>
      </c>
      <c r="H164" t="s">
        <v>15</v>
      </c>
      <c r="I164" t="s">
        <v>45</v>
      </c>
      <c r="J164" t="s">
        <v>7</v>
      </c>
      <c r="K164" t="s">
        <v>695</v>
      </c>
      <c r="L164" s="1">
        <v>46111</v>
      </c>
      <c r="M164" t="s">
        <v>87</v>
      </c>
      <c r="N164" t="s">
        <v>11</v>
      </c>
      <c r="O164" t="s">
        <v>89</v>
      </c>
    </row>
    <row r="165" spans="1:15" x14ac:dyDescent="0.25">
      <c r="A165" s="2">
        <v>46111.619074074071</v>
      </c>
      <c r="B165" t="s">
        <v>696</v>
      </c>
      <c r="C165" t="s">
        <v>697</v>
      </c>
      <c r="D165">
        <v>606958</v>
      </c>
      <c r="E165" t="s">
        <v>698</v>
      </c>
      <c r="F165" t="s">
        <v>699</v>
      </c>
      <c r="G165" t="s">
        <v>700</v>
      </c>
      <c r="H165" t="s">
        <v>15</v>
      </c>
      <c r="I165" t="s">
        <v>45</v>
      </c>
      <c r="J165" t="s">
        <v>7</v>
      </c>
      <c r="K165" t="s">
        <v>701</v>
      </c>
      <c r="L165" s="1">
        <v>46111</v>
      </c>
      <c r="M165" t="s">
        <v>66</v>
      </c>
      <c r="N165" t="s">
        <v>11</v>
      </c>
      <c r="O165" t="s">
        <v>702</v>
      </c>
    </row>
    <row r="166" spans="1:15" x14ac:dyDescent="0.25">
      <c r="A166" s="2">
        <v>46111.607523148145</v>
      </c>
      <c r="B166" t="s">
        <v>703</v>
      </c>
      <c r="C166" t="s">
        <v>704</v>
      </c>
      <c r="D166">
        <v>602716</v>
      </c>
      <c r="E166" t="s">
        <v>705</v>
      </c>
      <c r="F166" t="s">
        <v>93</v>
      </c>
      <c r="G166" t="s">
        <v>94</v>
      </c>
      <c r="H166" t="s">
        <v>15</v>
      </c>
      <c r="I166" t="s">
        <v>45</v>
      </c>
      <c r="J166" t="s">
        <v>7</v>
      </c>
      <c r="K166" t="s">
        <v>209</v>
      </c>
      <c r="L166" s="1">
        <v>46111</v>
      </c>
      <c r="M166" t="s">
        <v>41</v>
      </c>
      <c r="N166" t="s">
        <v>11</v>
      </c>
      <c r="O166" t="s">
        <v>706</v>
      </c>
    </row>
    <row r="167" spans="1:15" x14ac:dyDescent="0.25">
      <c r="A167" s="2">
        <v>46111.510648148149</v>
      </c>
      <c r="B167" t="s">
        <v>707</v>
      </c>
      <c r="C167" t="s">
        <v>708</v>
      </c>
      <c r="D167">
        <v>606872</v>
      </c>
      <c r="E167" t="s">
        <v>709</v>
      </c>
      <c r="F167" t="s">
        <v>158</v>
      </c>
      <c r="G167" t="s">
        <v>159</v>
      </c>
      <c r="H167" t="s">
        <v>15</v>
      </c>
      <c r="I167" t="s">
        <v>45</v>
      </c>
      <c r="J167" t="s">
        <v>7</v>
      </c>
      <c r="K167" t="s">
        <v>710</v>
      </c>
      <c r="L167" s="1">
        <v>46111</v>
      </c>
      <c r="M167" t="s">
        <v>41</v>
      </c>
      <c r="N167" t="s">
        <v>12</v>
      </c>
      <c r="O167" t="s">
        <v>711</v>
      </c>
    </row>
    <row r="168" spans="1:15" x14ac:dyDescent="0.25">
      <c r="A168" s="2">
        <v>46111.376504629632</v>
      </c>
      <c r="B168" t="s">
        <v>712</v>
      </c>
      <c r="C168" t="s">
        <v>713</v>
      </c>
      <c r="D168">
        <v>608493</v>
      </c>
      <c r="E168" t="s">
        <v>714</v>
      </c>
      <c r="F168" t="s">
        <v>50</v>
      </c>
      <c r="G168" t="s">
        <v>688</v>
      </c>
      <c r="H168" t="s">
        <v>15</v>
      </c>
      <c r="I168" t="s">
        <v>45</v>
      </c>
      <c r="J168" t="s">
        <v>7</v>
      </c>
      <c r="K168" t="s">
        <v>715</v>
      </c>
      <c r="L168" s="1">
        <v>46115</v>
      </c>
      <c r="M168" t="s">
        <v>141</v>
      </c>
      <c r="N168" t="s">
        <v>115</v>
      </c>
      <c r="O168" t="s">
        <v>716</v>
      </c>
    </row>
    <row r="169" spans="1:15" x14ac:dyDescent="0.25">
      <c r="A169" s="2">
        <v>46108.753263888888</v>
      </c>
      <c r="B169" t="s">
        <v>717</v>
      </c>
      <c r="C169" t="s">
        <v>718</v>
      </c>
      <c r="D169">
        <v>606695</v>
      </c>
      <c r="E169" t="s">
        <v>719</v>
      </c>
      <c r="F169" t="s">
        <v>158</v>
      </c>
      <c r="G169" t="s">
        <v>159</v>
      </c>
      <c r="H169" t="s">
        <v>16</v>
      </c>
      <c r="I169" t="s">
        <v>38</v>
      </c>
      <c r="J169" t="s">
        <v>7</v>
      </c>
      <c r="K169" t="s">
        <v>720</v>
      </c>
      <c r="L169" s="1">
        <v>46113</v>
      </c>
      <c r="M169" t="s">
        <v>41</v>
      </c>
      <c r="N169" t="s">
        <v>472</v>
      </c>
      <c r="O169" t="s">
        <v>721</v>
      </c>
    </row>
    <row r="170" spans="1:15" x14ac:dyDescent="0.25">
      <c r="A170" s="2">
        <v>46108.609317129631</v>
      </c>
      <c r="B170" t="s">
        <v>722</v>
      </c>
      <c r="C170" t="s">
        <v>723</v>
      </c>
      <c r="D170">
        <v>603118</v>
      </c>
      <c r="E170" t="s">
        <v>724</v>
      </c>
      <c r="F170" t="s">
        <v>71</v>
      </c>
      <c r="G170" t="s">
        <v>100</v>
      </c>
      <c r="H170" t="s">
        <v>15</v>
      </c>
      <c r="I170" t="s">
        <v>45</v>
      </c>
      <c r="J170" t="s">
        <v>7</v>
      </c>
      <c r="K170" t="s">
        <v>725</v>
      </c>
      <c r="L170" s="1">
        <v>46108</v>
      </c>
      <c r="M170" t="s">
        <v>66</v>
      </c>
      <c r="N170" t="s">
        <v>11</v>
      </c>
      <c r="O170" t="s">
        <v>726</v>
      </c>
    </row>
    <row r="171" spans="1:15" x14ac:dyDescent="0.25">
      <c r="A171" s="2">
        <v>46108.608831018515</v>
      </c>
      <c r="B171" t="s">
        <v>722</v>
      </c>
      <c r="C171" t="s">
        <v>727</v>
      </c>
      <c r="D171">
        <v>603118</v>
      </c>
      <c r="E171" t="s">
        <v>724</v>
      </c>
      <c r="F171" t="s">
        <v>71</v>
      </c>
      <c r="G171" t="s">
        <v>100</v>
      </c>
      <c r="H171" t="s">
        <v>15</v>
      </c>
      <c r="I171" t="s">
        <v>45</v>
      </c>
      <c r="J171" t="s">
        <v>7</v>
      </c>
      <c r="K171" t="s">
        <v>728</v>
      </c>
      <c r="L171" s="1">
        <v>46108</v>
      </c>
      <c r="M171" t="s">
        <v>66</v>
      </c>
      <c r="N171" t="s">
        <v>11</v>
      </c>
      <c r="O171" t="s">
        <v>726</v>
      </c>
    </row>
    <row r="172" spans="1:15" x14ac:dyDescent="0.25">
      <c r="A172" s="2">
        <v>46108.493437500001</v>
      </c>
      <c r="B172" t="s">
        <v>729</v>
      </c>
      <c r="C172" t="s">
        <v>730</v>
      </c>
      <c r="D172">
        <v>608018</v>
      </c>
      <c r="E172" t="s">
        <v>731</v>
      </c>
      <c r="F172" t="s">
        <v>656</v>
      </c>
      <c r="G172" t="s">
        <v>657</v>
      </c>
      <c r="H172" t="s">
        <v>15</v>
      </c>
      <c r="I172" t="s">
        <v>45</v>
      </c>
      <c r="J172" t="s">
        <v>7</v>
      </c>
      <c r="K172" t="s">
        <v>732</v>
      </c>
      <c r="L172" s="1">
        <v>46109</v>
      </c>
      <c r="M172" t="s">
        <v>141</v>
      </c>
      <c r="N172" t="s">
        <v>416</v>
      </c>
      <c r="O172" t="s">
        <v>733</v>
      </c>
    </row>
    <row r="173" spans="1:15" x14ac:dyDescent="0.25">
      <c r="A173" s="2">
        <v>46108.481550925928</v>
      </c>
      <c r="B173" t="s">
        <v>137</v>
      </c>
      <c r="C173" t="s">
        <v>734</v>
      </c>
      <c r="D173">
        <v>602631</v>
      </c>
      <c r="E173" t="s">
        <v>139</v>
      </c>
      <c r="F173" t="s">
        <v>112</v>
      </c>
      <c r="G173" t="s">
        <v>113</v>
      </c>
      <c r="H173" t="s">
        <v>15</v>
      </c>
      <c r="I173" t="s">
        <v>45</v>
      </c>
      <c r="J173" t="s">
        <v>7</v>
      </c>
      <c r="K173" t="s">
        <v>735</v>
      </c>
      <c r="L173" s="1">
        <v>46112</v>
      </c>
      <c r="M173" t="s">
        <v>141</v>
      </c>
      <c r="N173" t="s">
        <v>408</v>
      </c>
      <c r="O173" t="s">
        <v>143</v>
      </c>
    </row>
    <row r="174" spans="1:15" x14ac:dyDescent="0.25">
      <c r="A174" s="2">
        <v>46108.442442129628</v>
      </c>
      <c r="B174" t="s">
        <v>736</v>
      </c>
      <c r="C174" t="s">
        <v>737</v>
      </c>
      <c r="D174">
        <v>609412</v>
      </c>
      <c r="E174" t="s">
        <v>738</v>
      </c>
      <c r="F174" t="s">
        <v>739</v>
      </c>
      <c r="G174" t="s">
        <v>740</v>
      </c>
      <c r="H174" t="s">
        <v>15</v>
      </c>
      <c r="I174" t="s">
        <v>45</v>
      </c>
      <c r="J174" t="s">
        <v>7</v>
      </c>
      <c r="K174" t="s">
        <v>65</v>
      </c>
      <c r="L174" s="1">
        <v>46108</v>
      </c>
      <c r="M174" t="s">
        <v>141</v>
      </c>
      <c r="N174" t="s">
        <v>12</v>
      </c>
      <c r="O174" t="s">
        <v>741</v>
      </c>
    </row>
    <row r="175" spans="1:15" x14ac:dyDescent="0.25">
      <c r="A175" s="2">
        <v>46108.417094907411</v>
      </c>
      <c r="B175" t="s">
        <v>742</v>
      </c>
      <c r="C175" t="s">
        <v>743</v>
      </c>
      <c r="D175">
        <v>604465</v>
      </c>
      <c r="E175" t="s">
        <v>744</v>
      </c>
      <c r="F175" t="s">
        <v>745</v>
      </c>
      <c r="G175">
        <v>3801</v>
      </c>
      <c r="H175" t="s">
        <v>15</v>
      </c>
      <c r="I175" t="s">
        <v>45</v>
      </c>
      <c r="J175" t="s">
        <v>7</v>
      </c>
      <c r="K175" t="s">
        <v>615</v>
      </c>
      <c r="L175" s="1">
        <v>46108</v>
      </c>
      <c r="M175" t="s">
        <v>53</v>
      </c>
      <c r="N175" t="s">
        <v>12</v>
      </c>
      <c r="O175" t="s">
        <v>746</v>
      </c>
    </row>
    <row r="176" spans="1:15" x14ac:dyDescent="0.25">
      <c r="A176" s="2">
        <v>46107.691689814812</v>
      </c>
      <c r="B176" t="s">
        <v>747</v>
      </c>
      <c r="C176" t="s">
        <v>748</v>
      </c>
      <c r="D176">
        <v>608042</v>
      </c>
      <c r="E176" t="s">
        <v>749</v>
      </c>
      <c r="F176" t="s">
        <v>750</v>
      </c>
      <c r="G176" t="s">
        <v>751</v>
      </c>
      <c r="H176" t="s">
        <v>15</v>
      </c>
      <c r="I176" t="s">
        <v>45</v>
      </c>
      <c r="J176" t="s">
        <v>7</v>
      </c>
      <c r="K176" t="s">
        <v>752</v>
      </c>
      <c r="L176" s="1">
        <v>46113</v>
      </c>
      <c r="M176" t="s">
        <v>141</v>
      </c>
      <c r="N176" t="s">
        <v>215</v>
      </c>
      <c r="O176" t="s">
        <v>753</v>
      </c>
    </row>
    <row r="177" spans="1:15" x14ac:dyDescent="0.25">
      <c r="A177" s="2">
        <v>46107.691203703704</v>
      </c>
      <c r="B177" t="s">
        <v>197</v>
      </c>
      <c r="C177" t="s">
        <v>754</v>
      </c>
      <c r="D177">
        <v>605225</v>
      </c>
      <c r="E177" t="s">
        <v>199</v>
      </c>
      <c r="F177" t="s">
        <v>200</v>
      </c>
      <c r="G177" t="s">
        <v>201</v>
      </c>
      <c r="H177" t="s">
        <v>16</v>
      </c>
      <c r="I177" t="s">
        <v>38</v>
      </c>
      <c r="J177" t="s">
        <v>7</v>
      </c>
      <c r="K177" t="s">
        <v>755</v>
      </c>
      <c r="L177" s="1">
        <v>46112</v>
      </c>
      <c r="M177" t="s">
        <v>141</v>
      </c>
      <c r="N177" t="s">
        <v>756</v>
      </c>
      <c r="O177" t="s">
        <v>203</v>
      </c>
    </row>
    <row r="178" spans="1:15" x14ac:dyDescent="0.25">
      <c r="A178" s="2">
        <v>46107.689467592594</v>
      </c>
      <c r="B178" t="s">
        <v>757</v>
      </c>
      <c r="C178" t="s">
        <v>758</v>
      </c>
      <c r="D178">
        <v>602540</v>
      </c>
      <c r="E178" t="s">
        <v>759</v>
      </c>
      <c r="F178" t="s">
        <v>158</v>
      </c>
      <c r="G178" t="s">
        <v>159</v>
      </c>
      <c r="H178" t="s">
        <v>15</v>
      </c>
      <c r="I178" t="s">
        <v>45</v>
      </c>
      <c r="J178" t="s">
        <v>7</v>
      </c>
      <c r="K178" t="s">
        <v>407</v>
      </c>
      <c r="L178" s="1">
        <v>46111</v>
      </c>
      <c r="M178" t="s">
        <v>41</v>
      </c>
      <c r="N178" t="s">
        <v>408</v>
      </c>
      <c r="O178" t="s">
        <v>760</v>
      </c>
    </row>
    <row r="179" spans="1:15" x14ac:dyDescent="0.25">
      <c r="A179" s="2">
        <v>46107.603391203702</v>
      </c>
      <c r="B179" t="s">
        <v>137</v>
      </c>
      <c r="C179" t="s">
        <v>761</v>
      </c>
      <c r="D179">
        <v>602631</v>
      </c>
      <c r="E179" t="s">
        <v>139</v>
      </c>
      <c r="F179" t="s">
        <v>112</v>
      </c>
      <c r="G179" t="s">
        <v>113</v>
      </c>
      <c r="H179" t="s">
        <v>15</v>
      </c>
      <c r="I179" t="s">
        <v>45</v>
      </c>
      <c r="J179" t="s">
        <v>7</v>
      </c>
      <c r="K179" t="s">
        <v>762</v>
      </c>
      <c r="L179" s="1">
        <v>46114</v>
      </c>
      <c r="M179" t="s">
        <v>141</v>
      </c>
      <c r="N179" t="s">
        <v>763</v>
      </c>
      <c r="O179" t="s">
        <v>143</v>
      </c>
    </row>
    <row r="180" spans="1:15" x14ac:dyDescent="0.25">
      <c r="A180" s="2">
        <v>46107.543599537035</v>
      </c>
      <c r="B180" t="s">
        <v>82</v>
      </c>
      <c r="C180" t="s">
        <v>764</v>
      </c>
      <c r="D180">
        <v>606938</v>
      </c>
      <c r="E180" t="s">
        <v>765</v>
      </c>
      <c r="F180" t="s">
        <v>85</v>
      </c>
      <c r="G180" t="s">
        <v>86</v>
      </c>
      <c r="H180" t="s">
        <v>15</v>
      </c>
      <c r="I180" t="s">
        <v>45</v>
      </c>
      <c r="J180" t="s">
        <v>7</v>
      </c>
      <c r="K180" t="s">
        <v>766</v>
      </c>
      <c r="L180" s="1">
        <v>46107</v>
      </c>
      <c r="M180" t="s">
        <v>87</v>
      </c>
      <c r="N180" t="s">
        <v>11</v>
      </c>
      <c r="O180" t="s">
        <v>89</v>
      </c>
    </row>
    <row r="181" spans="1:15" x14ac:dyDescent="0.25">
      <c r="A181" s="2">
        <v>46107.469178240739</v>
      </c>
      <c r="B181" t="s">
        <v>33</v>
      </c>
      <c r="C181" t="s">
        <v>767</v>
      </c>
      <c r="D181">
        <v>601201</v>
      </c>
      <c r="E181" t="s">
        <v>35</v>
      </c>
      <c r="F181" t="s">
        <v>36</v>
      </c>
      <c r="G181" t="s">
        <v>37</v>
      </c>
      <c r="H181" t="s">
        <v>15</v>
      </c>
      <c r="I181" t="s">
        <v>45</v>
      </c>
      <c r="J181" t="s">
        <v>6</v>
      </c>
      <c r="K181" t="s">
        <v>768</v>
      </c>
      <c r="L181" s="1">
        <v>46112</v>
      </c>
      <c r="M181" t="s">
        <v>41</v>
      </c>
      <c r="N181" t="s">
        <v>185</v>
      </c>
      <c r="O181" t="s">
        <v>43</v>
      </c>
    </row>
    <row r="182" spans="1:15" x14ac:dyDescent="0.25">
      <c r="A182" s="2">
        <v>46107.423495370371</v>
      </c>
      <c r="B182" t="s">
        <v>769</v>
      </c>
      <c r="C182" t="s">
        <v>770</v>
      </c>
      <c r="D182">
        <v>605355</v>
      </c>
      <c r="E182" t="s">
        <v>771</v>
      </c>
      <c r="F182" t="s">
        <v>93</v>
      </c>
      <c r="G182" t="s">
        <v>94</v>
      </c>
      <c r="H182" t="s">
        <v>15</v>
      </c>
      <c r="I182" t="s">
        <v>45</v>
      </c>
      <c r="J182" t="s">
        <v>7</v>
      </c>
      <c r="K182" t="s">
        <v>772</v>
      </c>
      <c r="L182" s="1">
        <v>46114</v>
      </c>
      <c r="M182" t="s">
        <v>41</v>
      </c>
      <c r="N182" t="s">
        <v>416</v>
      </c>
      <c r="O182" t="s">
        <v>773</v>
      </c>
    </row>
    <row r="183" spans="1:15" x14ac:dyDescent="0.25">
      <c r="A183" s="2">
        <v>46107.406550925924</v>
      </c>
      <c r="B183" t="s">
        <v>774</v>
      </c>
      <c r="C183" t="s">
        <v>775</v>
      </c>
      <c r="D183">
        <v>603654</v>
      </c>
      <c r="E183" t="s">
        <v>776</v>
      </c>
      <c r="F183" t="s">
        <v>71</v>
      </c>
      <c r="G183" t="s">
        <v>72</v>
      </c>
      <c r="H183" t="s">
        <v>15</v>
      </c>
      <c r="I183" t="s">
        <v>45</v>
      </c>
      <c r="J183" t="s">
        <v>7</v>
      </c>
      <c r="K183" t="s">
        <v>421</v>
      </c>
      <c r="L183" s="1">
        <v>46143</v>
      </c>
      <c r="M183" t="s">
        <v>66</v>
      </c>
      <c r="N183" t="s">
        <v>185</v>
      </c>
      <c r="O183" t="s">
        <v>777</v>
      </c>
    </row>
    <row r="184" spans="1:15" x14ac:dyDescent="0.25">
      <c r="A184" s="2">
        <v>46106.958657407406</v>
      </c>
      <c r="B184" t="s">
        <v>778</v>
      </c>
      <c r="C184" t="s">
        <v>779</v>
      </c>
      <c r="D184">
        <v>603043</v>
      </c>
      <c r="E184" t="s">
        <v>780</v>
      </c>
      <c r="F184" t="s">
        <v>36</v>
      </c>
      <c r="G184" t="s">
        <v>781</v>
      </c>
      <c r="H184" t="s">
        <v>15</v>
      </c>
      <c r="I184" t="s">
        <v>45</v>
      </c>
      <c r="J184" t="s">
        <v>7</v>
      </c>
      <c r="K184" t="s">
        <v>782</v>
      </c>
      <c r="L184" s="1">
        <v>46107</v>
      </c>
      <c r="M184" t="s">
        <v>41</v>
      </c>
      <c r="N184" t="s">
        <v>11</v>
      </c>
      <c r="O184" t="s">
        <v>783</v>
      </c>
    </row>
    <row r="185" spans="1:15" x14ac:dyDescent="0.25">
      <c r="A185" s="2">
        <v>46106.711006944446</v>
      </c>
      <c r="B185" t="s">
        <v>784</v>
      </c>
      <c r="C185" t="s">
        <v>785</v>
      </c>
      <c r="D185">
        <v>602976</v>
      </c>
      <c r="E185" t="s">
        <v>786</v>
      </c>
      <c r="F185" t="s">
        <v>787</v>
      </c>
      <c r="G185" t="s">
        <v>788</v>
      </c>
      <c r="H185" t="s">
        <v>15</v>
      </c>
      <c r="I185" t="s">
        <v>45</v>
      </c>
      <c r="J185" t="s">
        <v>7</v>
      </c>
      <c r="K185" t="s">
        <v>407</v>
      </c>
      <c r="L185" s="1">
        <v>46121</v>
      </c>
      <c r="M185" t="s">
        <v>141</v>
      </c>
      <c r="N185" t="s">
        <v>408</v>
      </c>
      <c r="O185" t="s">
        <v>789</v>
      </c>
    </row>
    <row r="186" spans="1:15" x14ac:dyDescent="0.25">
      <c r="A186" s="2">
        <v>46106.62027777778</v>
      </c>
      <c r="B186" t="s">
        <v>790</v>
      </c>
      <c r="C186" t="s">
        <v>791</v>
      </c>
      <c r="D186">
        <v>601379</v>
      </c>
      <c r="E186" t="s">
        <v>792</v>
      </c>
      <c r="F186" t="s">
        <v>36</v>
      </c>
      <c r="G186" t="s">
        <v>793</v>
      </c>
      <c r="H186" t="s">
        <v>15</v>
      </c>
      <c r="I186" t="s">
        <v>45</v>
      </c>
      <c r="J186" t="s">
        <v>7</v>
      </c>
      <c r="K186" t="s">
        <v>794</v>
      </c>
      <c r="L186" s="1">
        <v>46119</v>
      </c>
      <c r="M186" t="s">
        <v>537</v>
      </c>
      <c r="N186" t="s">
        <v>215</v>
      </c>
      <c r="O186" t="s">
        <v>795</v>
      </c>
    </row>
    <row r="187" spans="1:15" x14ac:dyDescent="0.25">
      <c r="A187" s="2">
        <v>46106.619212962964</v>
      </c>
      <c r="B187" t="s">
        <v>796</v>
      </c>
      <c r="C187" t="s">
        <v>797</v>
      </c>
      <c r="D187">
        <v>603571</v>
      </c>
      <c r="E187" t="s">
        <v>798</v>
      </c>
      <c r="F187" t="s">
        <v>799</v>
      </c>
      <c r="G187" t="s">
        <v>800</v>
      </c>
      <c r="H187" t="s">
        <v>15</v>
      </c>
      <c r="I187" t="s">
        <v>45</v>
      </c>
      <c r="J187" t="s">
        <v>7</v>
      </c>
      <c r="K187" t="s">
        <v>801</v>
      </c>
      <c r="L187" s="1">
        <v>46119</v>
      </c>
      <c r="M187" t="s">
        <v>141</v>
      </c>
      <c r="N187" t="s">
        <v>185</v>
      </c>
      <c r="O187" t="s">
        <v>802</v>
      </c>
    </row>
    <row r="188" spans="1:15" x14ac:dyDescent="0.25">
      <c r="A188" s="2">
        <v>46106.596006944441</v>
      </c>
      <c r="B188" t="s">
        <v>747</v>
      </c>
      <c r="C188" t="s">
        <v>803</v>
      </c>
      <c r="D188">
        <v>608042</v>
      </c>
      <c r="E188" t="s">
        <v>749</v>
      </c>
      <c r="F188" t="s">
        <v>750</v>
      </c>
      <c r="G188" t="s">
        <v>751</v>
      </c>
      <c r="H188" t="s">
        <v>15</v>
      </c>
      <c r="I188" t="s">
        <v>45</v>
      </c>
      <c r="J188" t="s">
        <v>7</v>
      </c>
      <c r="K188" t="s">
        <v>804</v>
      </c>
      <c r="L188" s="1">
        <v>46107</v>
      </c>
      <c r="M188" t="s">
        <v>141</v>
      </c>
      <c r="N188" t="s">
        <v>11</v>
      </c>
      <c r="O188" t="s">
        <v>753</v>
      </c>
    </row>
    <row r="189" spans="1:15" x14ac:dyDescent="0.25">
      <c r="A189" s="2">
        <v>46106.558125000003</v>
      </c>
      <c r="B189" t="s">
        <v>660</v>
      </c>
      <c r="C189" t="s">
        <v>805</v>
      </c>
      <c r="D189">
        <v>603233</v>
      </c>
      <c r="E189" t="s">
        <v>662</v>
      </c>
      <c r="F189" t="s">
        <v>71</v>
      </c>
      <c r="G189" t="s">
        <v>100</v>
      </c>
      <c r="H189" t="s">
        <v>15</v>
      </c>
      <c r="I189" t="s">
        <v>45</v>
      </c>
      <c r="J189" t="s">
        <v>7</v>
      </c>
      <c r="K189" t="s">
        <v>806</v>
      </c>
      <c r="L189" s="1">
        <v>46106</v>
      </c>
      <c r="M189" t="s">
        <v>66</v>
      </c>
      <c r="N189" t="s">
        <v>11</v>
      </c>
      <c r="O189" t="s">
        <v>807</v>
      </c>
    </row>
    <row r="190" spans="1:15" x14ac:dyDescent="0.25">
      <c r="A190" s="2">
        <v>46106.493449074071</v>
      </c>
      <c r="B190" t="s">
        <v>254</v>
      </c>
      <c r="C190" t="s">
        <v>808</v>
      </c>
      <c r="D190">
        <v>609218</v>
      </c>
      <c r="E190" t="s">
        <v>256</v>
      </c>
      <c r="F190" t="s">
        <v>257</v>
      </c>
      <c r="G190" t="s">
        <v>258</v>
      </c>
      <c r="H190" t="s">
        <v>16</v>
      </c>
      <c r="I190" t="s">
        <v>38</v>
      </c>
      <c r="J190" t="s">
        <v>6</v>
      </c>
      <c r="K190" t="s">
        <v>809</v>
      </c>
      <c r="L190" s="1">
        <v>46111</v>
      </c>
      <c r="M190" t="s">
        <v>141</v>
      </c>
      <c r="N190" t="s">
        <v>370</v>
      </c>
      <c r="O190" t="s">
        <v>260</v>
      </c>
    </row>
    <row r="191" spans="1:15" x14ac:dyDescent="0.25">
      <c r="A191" s="2">
        <v>46106.455590277779</v>
      </c>
      <c r="B191" t="s">
        <v>790</v>
      </c>
      <c r="C191" t="s">
        <v>810</v>
      </c>
      <c r="D191">
        <v>601375</v>
      </c>
      <c r="E191" t="s">
        <v>811</v>
      </c>
      <c r="F191" t="s">
        <v>50</v>
      </c>
      <c r="G191" t="s">
        <v>688</v>
      </c>
      <c r="H191" t="s">
        <v>16</v>
      </c>
      <c r="I191" t="s">
        <v>38</v>
      </c>
      <c r="J191" t="s">
        <v>7</v>
      </c>
      <c r="K191" t="s">
        <v>812</v>
      </c>
      <c r="L191" s="1">
        <v>46111</v>
      </c>
      <c r="M191" t="s">
        <v>141</v>
      </c>
      <c r="N191" t="s">
        <v>756</v>
      </c>
      <c r="O191" t="s">
        <v>795</v>
      </c>
    </row>
    <row r="192" spans="1:15" x14ac:dyDescent="0.25">
      <c r="A192" s="2">
        <v>46105.552210648151</v>
      </c>
      <c r="B192" t="s">
        <v>813</v>
      </c>
      <c r="C192" t="s">
        <v>814</v>
      </c>
      <c r="D192">
        <v>603617</v>
      </c>
      <c r="E192" t="s">
        <v>815</v>
      </c>
      <c r="F192" t="s">
        <v>71</v>
      </c>
      <c r="G192" t="s">
        <v>100</v>
      </c>
      <c r="H192" t="s">
        <v>15</v>
      </c>
      <c r="I192" t="s">
        <v>45</v>
      </c>
      <c r="J192" t="s">
        <v>7</v>
      </c>
      <c r="K192" t="s">
        <v>816</v>
      </c>
      <c r="L192" s="1">
        <v>46105</v>
      </c>
      <c r="M192" t="s">
        <v>66</v>
      </c>
      <c r="N192" t="s">
        <v>11</v>
      </c>
      <c r="O192" t="s">
        <v>817</v>
      </c>
    </row>
    <row r="193" spans="1:15" x14ac:dyDescent="0.25">
      <c r="A193" s="2">
        <v>46105.485069444447</v>
      </c>
      <c r="B193" t="s">
        <v>818</v>
      </c>
      <c r="C193" t="s">
        <v>819</v>
      </c>
      <c r="D193">
        <v>603401</v>
      </c>
      <c r="E193" t="s">
        <v>820</v>
      </c>
      <c r="F193" t="s">
        <v>71</v>
      </c>
      <c r="G193" t="s">
        <v>100</v>
      </c>
      <c r="H193" t="s">
        <v>15</v>
      </c>
      <c r="I193" t="s">
        <v>45</v>
      </c>
      <c r="J193" t="s">
        <v>7</v>
      </c>
      <c r="K193" t="s">
        <v>821</v>
      </c>
      <c r="L193" s="1">
        <v>46112</v>
      </c>
      <c r="M193" t="s">
        <v>66</v>
      </c>
      <c r="N193" t="s">
        <v>822</v>
      </c>
      <c r="O193" t="s">
        <v>823</v>
      </c>
    </row>
    <row r="194" spans="1:15" x14ac:dyDescent="0.25">
      <c r="A194" s="2">
        <v>46105.351087962961</v>
      </c>
      <c r="B194" t="s">
        <v>348</v>
      </c>
      <c r="C194" t="s">
        <v>824</v>
      </c>
      <c r="D194">
        <v>603839</v>
      </c>
      <c r="E194" t="s">
        <v>350</v>
      </c>
      <c r="F194" t="s">
        <v>71</v>
      </c>
      <c r="G194" t="s">
        <v>72</v>
      </c>
      <c r="H194" t="s">
        <v>15</v>
      </c>
      <c r="I194" t="s">
        <v>45</v>
      </c>
      <c r="J194" t="s">
        <v>7</v>
      </c>
      <c r="K194" t="s">
        <v>549</v>
      </c>
      <c r="L194" s="1">
        <v>46105</v>
      </c>
      <c r="M194" t="s">
        <v>66</v>
      </c>
      <c r="N194" t="s">
        <v>11</v>
      </c>
      <c r="O194" t="s">
        <v>352</v>
      </c>
    </row>
    <row r="195" spans="1:15" x14ac:dyDescent="0.25">
      <c r="A195" s="2">
        <v>46104.49422453704</v>
      </c>
      <c r="B195" t="s">
        <v>389</v>
      </c>
      <c r="C195" t="s">
        <v>825</v>
      </c>
      <c r="D195">
        <v>602920</v>
      </c>
      <c r="E195" t="s">
        <v>391</v>
      </c>
      <c r="F195" t="s">
        <v>71</v>
      </c>
      <c r="G195" t="s">
        <v>100</v>
      </c>
      <c r="H195" t="s">
        <v>15</v>
      </c>
      <c r="I195" t="s">
        <v>45</v>
      </c>
      <c r="J195" t="s">
        <v>7</v>
      </c>
      <c r="K195" t="s">
        <v>826</v>
      </c>
      <c r="L195" s="1">
        <v>46104</v>
      </c>
      <c r="M195" t="s">
        <v>66</v>
      </c>
      <c r="N195" t="s">
        <v>12</v>
      </c>
      <c r="O195" t="s">
        <v>393</v>
      </c>
    </row>
    <row r="196" spans="1:15" x14ac:dyDescent="0.25">
      <c r="A196" s="2">
        <v>46104.425798611112</v>
      </c>
      <c r="B196" t="s">
        <v>827</v>
      </c>
      <c r="C196" t="s">
        <v>828</v>
      </c>
      <c r="D196">
        <v>602017</v>
      </c>
      <c r="E196" t="s">
        <v>829</v>
      </c>
      <c r="F196" t="s">
        <v>50</v>
      </c>
      <c r="G196" t="s">
        <v>42</v>
      </c>
      <c r="H196" t="s">
        <v>15</v>
      </c>
      <c r="I196" t="s">
        <v>45</v>
      </c>
      <c r="J196" t="s">
        <v>7</v>
      </c>
      <c r="K196" t="s">
        <v>412</v>
      </c>
      <c r="L196" s="1">
        <v>46141</v>
      </c>
      <c r="M196" t="s">
        <v>41</v>
      </c>
      <c r="N196" t="s">
        <v>115</v>
      </c>
      <c r="O196" t="s">
        <v>830</v>
      </c>
    </row>
    <row r="197" spans="1:15" x14ac:dyDescent="0.25">
      <c r="A197" s="2">
        <v>46104.38380787037</v>
      </c>
      <c r="B197" t="s">
        <v>627</v>
      </c>
      <c r="C197" t="s">
        <v>831</v>
      </c>
      <c r="D197">
        <v>603776</v>
      </c>
      <c r="E197" t="s">
        <v>629</v>
      </c>
      <c r="F197" t="s">
        <v>526</v>
      </c>
      <c r="G197">
        <v>4056</v>
      </c>
      <c r="H197" t="s">
        <v>15</v>
      </c>
      <c r="I197" t="s">
        <v>45</v>
      </c>
      <c r="J197" t="s">
        <v>7</v>
      </c>
      <c r="K197" t="s">
        <v>832</v>
      </c>
      <c r="L197" s="1">
        <v>46104</v>
      </c>
      <c r="M197" t="s">
        <v>66</v>
      </c>
      <c r="N197" t="s">
        <v>11</v>
      </c>
      <c r="O197" t="s">
        <v>631</v>
      </c>
    </row>
    <row r="198" spans="1:15" x14ac:dyDescent="0.25">
      <c r="A198" s="2">
        <v>46101.67832175926</v>
      </c>
      <c r="B198" t="s">
        <v>833</v>
      </c>
      <c r="C198" t="s">
        <v>834</v>
      </c>
      <c r="D198">
        <v>602583</v>
      </c>
      <c r="E198" t="s">
        <v>835</v>
      </c>
      <c r="F198" t="s">
        <v>235</v>
      </c>
      <c r="G198" t="s">
        <v>836</v>
      </c>
      <c r="H198" t="s">
        <v>15</v>
      </c>
      <c r="I198" t="s">
        <v>45</v>
      </c>
      <c r="J198" t="s">
        <v>7</v>
      </c>
      <c r="K198" t="s">
        <v>837</v>
      </c>
      <c r="L198" s="1">
        <v>46104</v>
      </c>
      <c r="M198" t="s">
        <v>141</v>
      </c>
      <c r="N198" t="s">
        <v>88</v>
      </c>
      <c r="O198" t="s">
        <v>838</v>
      </c>
    </row>
    <row r="199" spans="1:15" x14ac:dyDescent="0.25">
      <c r="A199" s="2">
        <v>46101.636134259257</v>
      </c>
      <c r="B199" t="s">
        <v>137</v>
      </c>
      <c r="C199" t="s">
        <v>839</v>
      </c>
      <c r="D199">
        <v>602631</v>
      </c>
      <c r="E199" t="s">
        <v>139</v>
      </c>
      <c r="F199" t="s">
        <v>112</v>
      </c>
      <c r="G199" t="s">
        <v>113</v>
      </c>
      <c r="H199" t="s">
        <v>15</v>
      </c>
      <c r="I199" t="s">
        <v>45</v>
      </c>
      <c r="J199" t="s">
        <v>7</v>
      </c>
      <c r="K199" t="s">
        <v>840</v>
      </c>
      <c r="L199" s="1">
        <v>46105</v>
      </c>
      <c r="M199" t="s">
        <v>141</v>
      </c>
      <c r="N199" t="s">
        <v>841</v>
      </c>
      <c r="O199" t="s">
        <v>143</v>
      </c>
    </row>
    <row r="200" spans="1:15" x14ac:dyDescent="0.25">
      <c r="A200" s="2">
        <v>46101.633935185186</v>
      </c>
      <c r="B200" t="s">
        <v>137</v>
      </c>
      <c r="C200" t="s">
        <v>842</v>
      </c>
      <c r="D200">
        <v>602631</v>
      </c>
      <c r="E200" t="s">
        <v>139</v>
      </c>
      <c r="F200" t="s">
        <v>112</v>
      </c>
      <c r="G200" t="s">
        <v>113</v>
      </c>
      <c r="H200" t="s">
        <v>15</v>
      </c>
      <c r="I200" t="s">
        <v>45</v>
      </c>
      <c r="J200" t="s">
        <v>7</v>
      </c>
      <c r="K200" t="s">
        <v>843</v>
      </c>
      <c r="L200" s="1">
        <v>46105</v>
      </c>
      <c r="M200" t="s">
        <v>141</v>
      </c>
      <c r="N200" t="s">
        <v>841</v>
      </c>
      <c r="O200" t="s">
        <v>143</v>
      </c>
    </row>
    <row r="201" spans="1:15" x14ac:dyDescent="0.25">
      <c r="A201" s="2">
        <v>46101.544988425929</v>
      </c>
      <c r="B201" t="s">
        <v>844</v>
      </c>
      <c r="C201" t="s">
        <v>845</v>
      </c>
      <c r="D201">
        <v>603322</v>
      </c>
      <c r="E201" t="s">
        <v>846</v>
      </c>
      <c r="F201" t="s">
        <v>164</v>
      </c>
      <c r="G201" t="s">
        <v>165</v>
      </c>
      <c r="H201" t="s">
        <v>16</v>
      </c>
      <c r="I201" t="s">
        <v>38</v>
      </c>
      <c r="J201" t="s">
        <v>7</v>
      </c>
      <c r="K201" t="s">
        <v>847</v>
      </c>
      <c r="L201" s="1">
        <v>46106</v>
      </c>
      <c r="M201" t="s">
        <v>87</v>
      </c>
      <c r="N201" t="s">
        <v>848</v>
      </c>
      <c r="O201" t="s">
        <v>849</v>
      </c>
    </row>
    <row r="202" spans="1:15" x14ac:dyDescent="0.25">
      <c r="A202" s="2">
        <v>46101.474490740744</v>
      </c>
      <c r="B202" t="s">
        <v>109</v>
      </c>
      <c r="C202" t="s">
        <v>850</v>
      </c>
      <c r="D202">
        <v>603409</v>
      </c>
      <c r="E202" t="s">
        <v>642</v>
      </c>
      <c r="F202" t="s">
        <v>71</v>
      </c>
      <c r="G202" t="s">
        <v>100</v>
      </c>
      <c r="H202" t="s">
        <v>15</v>
      </c>
      <c r="I202" t="s">
        <v>45</v>
      </c>
      <c r="J202" t="s">
        <v>7</v>
      </c>
      <c r="K202" t="s">
        <v>732</v>
      </c>
      <c r="L202" s="1">
        <v>46101</v>
      </c>
      <c r="M202" t="s">
        <v>66</v>
      </c>
      <c r="N202" t="s">
        <v>11</v>
      </c>
      <c r="O202" t="s">
        <v>116</v>
      </c>
    </row>
    <row r="203" spans="1:15" x14ac:dyDescent="0.25">
      <c r="A203" s="2">
        <v>46100.660844907405</v>
      </c>
      <c r="B203" t="s">
        <v>851</v>
      </c>
      <c r="C203" t="s">
        <v>852</v>
      </c>
      <c r="D203">
        <v>602429</v>
      </c>
      <c r="E203" t="s">
        <v>853</v>
      </c>
      <c r="F203" t="s">
        <v>71</v>
      </c>
      <c r="G203" t="s">
        <v>100</v>
      </c>
      <c r="H203" t="s">
        <v>15</v>
      </c>
      <c r="I203" t="s">
        <v>45</v>
      </c>
      <c r="J203" t="s">
        <v>7</v>
      </c>
      <c r="K203" t="s">
        <v>854</v>
      </c>
      <c r="L203" s="1">
        <v>46100</v>
      </c>
      <c r="M203" t="s">
        <v>141</v>
      </c>
      <c r="N203" t="s">
        <v>11</v>
      </c>
      <c r="O203" t="s">
        <v>855</v>
      </c>
    </row>
    <row r="204" spans="1:15" x14ac:dyDescent="0.25">
      <c r="A204" s="2">
        <v>46100.510601851849</v>
      </c>
      <c r="B204" t="s">
        <v>856</v>
      </c>
      <c r="C204" t="s">
        <v>857</v>
      </c>
      <c r="D204">
        <v>603582</v>
      </c>
      <c r="E204" t="s">
        <v>858</v>
      </c>
      <c r="F204" t="s">
        <v>71</v>
      </c>
      <c r="G204" t="s">
        <v>72</v>
      </c>
      <c r="H204" t="s">
        <v>16</v>
      </c>
      <c r="I204" t="s">
        <v>38</v>
      </c>
      <c r="J204" t="s">
        <v>7</v>
      </c>
      <c r="K204" t="s">
        <v>809</v>
      </c>
      <c r="L204" s="1">
        <v>46104</v>
      </c>
      <c r="M204" t="s">
        <v>66</v>
      </c>
      <c r="N204" t="s">
        <v>135</v>
      </c>
      <c r="O204" t="s">
        <v>859</v>
      </c>
    </row>
    <row r="205" spans="1:15" x14ac:dyDescent="0.25">
      <c r="A205" s="2">
        <v>46100.417858796296</v>
      </c>
      <c r="B205" t="s">
        <v>860</v>
      </c>
      <c r="C205" t="s">
        <v>861</v>
      </c>
      <c r="D205">
        <v>609833</v>
      </c>
      <c r="E205" t="s">
        <v>862</v>
      </c>
      <c r="F205" t="s">
        <v>93</v>
      </c>
      <c r="G205" t="s">
        <v>495</v>
      </c>
      <c r="H205" t="s">
        <v>15</v>
      </c>
      <c r="I205" t="s">
        <v>45</v>
      </c>
      <c r="J205" t="s">
        <v>7</v>
      </c>
      <c r="K205" t="s">
        <v>863</v>
      </c>
      <c r="L205" s="1">
        <v>46100</v>
      </c>
      <c r="M205" t="s">
        <v>41</v>
      </c>
      <c r="N205" t="s">
        <v>11</v>
      </c>
      <c r="O205" t="s">
        <v>864</v>
      </c>
    </row>
    <row r="206" spans="1:15" x14ac:dyDescent="0.25">
      <c r="A206" s="2">
        <v>46100.411840277775</v>
      </c>
      <c r="B206" t="s">
        <v>865</v>
      </c>
      <c r="C206" t="s">
        <v>866</v>
      </c>
      <c r="D206">
        <v>601297</v>
      </c>
      <c r="E206" t="s">
        <v>867</v>
      </c>
      <c r="F206" t="s">
        <v>71</v>
      </c>
      <c r="G206" t="s">
        <v>100</v>
      </c>
      <c r="H206" t="s">
        <v>15</v>
      </c>
      <c r="I206" t="s">
        <v>45</v>
      </c>
      <c r="J206" t="s">
        <v>7</v>
      </c>
      <c r="K206" t="s">
        <v>285</v>
      </c>
      <c r="L206" s="1">
        <v>46101</v>
      </c>
      <c r="M206" t="s">
        <v>66</v>
      </c>
      <c r="N206" t="s">
        <v>88</v>
      </c>
      <c r="O206" t="s">
        <v>868</v>
      </c>
    </row>
    <row r="207" spans="1:15" x14ac:dyDescent="0.25">
      <c r="A207" s="2">
        <v>46100.370370370372</v>
      </c>
      <c r="B207" t="s">
        <v>869</v>
      </c>
      <c r="C207" t="s">
        <v>870</v>
      </c>
      <c r="D207">
        <v>603408</v>
      </c>
      <c r="E207" t="s">
        <v>871</v>
      </c>
      <c r="F207" t="s">
        <v>71</v>
      </c>
      <c r="G207" t="s">
        <v>100</v>
      </c>
      <c r="H207" t="s">
        <v>15</v>
      </c>
      <c r="I207" t="s">
        <v>45</v>
      </c>
      <c r="J207" t="s">
        <v>7</v>
      </c>
      <c r="K207" t="s">
        <v>872</v>
      </c>
      <c r="L207" s="1">
        <v>46100</v>
      </c>
      <c r="M207" t="s">
        <v>66</v>
      </c>
      <c r="N207" t="s">
        <v>11</v>
      </c>
      <c r="O207" t="s">
        <v>873</v>
      </c>
    </row>
    <row r="208" spans="1:15" x14ac:dyDescent="0.25">
      <c r="A208" s="2">
        <v>46099.520821759259</v>
      </c>
      <c r="B208" t="s">
        <v>109</v>
      </c>
      <c r="C208" t="s">
        <v>874</v>
      </c>
      <c r="D208">
        <v>609819</v>
      </c>
      <c r="E208" t="s">
        <v>111</v>
      </c>
      <c r="F208" t="s">
        <v>112</v>
      </c>
      <c r="G208" t="s">
        <v>113</v>
      </c>
      <c r="H208" t="s">
        <v>15</v>
      </c>
      <c r="I208" t="s">
        <v>45</v>
      </c>
      <c r="J208" t="s">
        <v>7</v>
      </c>
      <c r="K208" t="s">
        <v>194</v>
      </c>
      <c r="L208" s="1">
        <v>46099</v>
      </c>
      <c r="M208" t="s">
        <v>41</v>
      </c>
      <c r="N208" t="s">
        <v>11</v>
      </c>
      <c r="O208" t="s">
        <v>116</v>
      </c>
    </row>
    <row r="209" spans="1:15" x14ac:dyDescent="0.25">
      <c r="A209" s="2">
        <v>46099.519409722219</v>
      </c>
      <c r="B209" t="s">
        <v>875</v>
      </c>
      <c r="C209" t="s">
        <v>876</v>
      </c>
      <c r="D209">
        <v>606984</v>
      </c>
      <c r="E209" t="s">
        <v>877</v>
      </c>
      <c r="F209" t="s">
        <v>878</v>
      </c>
      <c r="G209" t="s">
        <v>879</v>
      </c>
      <c r="H209" t="s">
        <v>15</v>
      </c>
      <c r="I209" t="s">
        <v>45</v>
      </c>
      <c r="J209" t="s">
        <v>7</v>
      </c>
      <c r="K209" t="s">
        <v>880</v>
      </c>
      <c r="L209" s="1">
        <v>46124</v>
      </c>
      <c r="M209" t="s">
        <v>141</v>
      </c>
      <c r="N209" t="s">
        <v>626</v>
      </c>
      <c r="O209" t="s">
        <v>881</v>
      </c>
    </row>
    <row r="210" spans="1:15" x14ac:dyDescent="0.25">
      <c r="A210" s="2">
        <v>46099.518171296295</v>
      </c>
      <c r="B210" t="s">
        <v>875</v>
      </c>
      <c r="C210" t="s">
        <v>882</v>
      </c>
      <c r="D210">
        <v>606984</v>
      </c>
      <c r="E210" t="s">
        <v>877</v>
      </c>
      <c r="F210" t="s">
        <v>878</v>
      </c>
      <c r="G210" t="s">
        <v>879</v>
      </c>
      <c r="H210" t="s">
        <v>15</v>
      </c>
      <c r="I210" t="s">
        <v>45</v>
      </c>
      <c r="J210" t="s">
        <v>7</v>
      </c>
      <c r="K210" t="s">
        <v>883</v>
      </c>
      <c r="L210" s="1">
        <v>46124</v>
      </c>
      <c r="M210" t="s">
        <v>141</v>
      </c>
      <c r="N210" t="s">
        <v>626</v>
      </c>
      <c r="O210" t="s">
        <v>881</v>
      </c>
    </row>
    <row r="211" spans="1:15" x14ac:dyDescent="0.25">
      <c r="A211" s="2">
        <v>46099.492349537039</v>
      </c>
      <c r="B211" t="s">
        <v>137</v>
      </c>
      <c r="C211" t="s">
        <v>884</v>
      </c>
      <c r="D211">
        <v>602631</v>
      </c>
      <c r="E211" t="s">
        <v>139</v>
      </c>
      <c r="F211" t="s">
        <v>112</v>
      </c>
      <c r="G211" t="s">
        <v>113</v>
      </c>
      <c r="H211" t="s">
        <v>15</v>
      </c>
      <c r="I211" t="s">
        <v>45</v>
      </c>
      <c r="J211" t="s">
        <v>7</v>
      </c>
      <c r="K211" t="s">
        <v>885</v>
      </c>
      <c r="L211" s="1">
        <v>46147</v>
      </c>
      <c r="M211" t="s">
        <v>141</v>
      </c>
      <c r="N211" t="s">
        <v>185</v>
      </c>
      <c r="O211" t="s">
        <v>143</v>
      </c>
    </row>
    <row r="212" spans="1:15" x14ac:dyDescent="0.25">
      <c r="A212" s="2">
        <v>46099.394606481481</v>
      </c>
      <c r="B212" t="s">
        <v>886</v>
      </c>
      <c r="C212" t="s">
        <v>887</v>
      </c>
      <c r="D212">
        <v>602719</v>
      </c>
      <c r="E212" t="s">
        <v>888</v>
      </c>
      <c r="F212" t="s">
        <v>36</v>
      </c>
      <c r="G212" t="s">
        <v>781</v>
      </c>
      <c r="H212" t="s">
        <v>15</v>
      </c>
      <c r="I212" t="s">
        <v>45</v>
      </c>
      <c r="J212" t="s">
        <v>7</v>
      </c>
      <c r="K212" t="s">
        <v>285</v>
      </c>
      <c r="L212" s="1">
        <v>46099</v>
      </c>
      <c r="M212" t="s">
        <v>41</v>
      </c>
      <c r="N212" t="s">
        <v>11</v>
      </c>
      <c r="O212" t="s">
        <v>889</v>
      </c>
    </row>
    <row r="213" spans="1:15" x14ac:dyDescent="0.25">
      <c r="A213" s="2">
        <v>46097.721446759257</v>
      </c>
      <c r="B213" t="s">
        <v>890</v>
      </c>
      <c r="C213" t="s">
        <v>891</v>
      </c>
      <c r="D213">
        <v>601987</v>
      </c>
      <c r="E213" t="s">
        <v>892</v>
      </c>
      <c r="F213" t="s">
        <v>459</v>
      </c>
      <c r="G213" t="s">
        <v>893</v>
      </c>
      <c r="H213" t="s">
        <v>15</v>
      </c>
      <c r="I213" t="s">
        <v>45</v>
      </c>
      <c r="J213" t="s">
        <v>7</v>
      </c>
      <c r="K213" t="s">
        <v>894</v>
      </c>
      <c r="L213" s="1">
        <v>46097</v>
      </c>
      <c r="M213" t="s">
        <v>537</v>
      </c>
      <c r="N213" t="s">
        <v>11</v>
      </c>
      <c r="O213" t="s">
        <v>895</v>
      </c>
    </row>
    <row r="214" spans="1:15" x14ac:dyDescent="0.25">
      <c r="A214" s="2">
        <v>46097.634594907409</v>
      </c>
      <c r="B214" t="s">
        <v>217</v>
      </c>
      <c r="C214" t="s">
        <v>896</v>
      </c>
      <c r="D214">
        <v>609795</v>
      </c>
      <c r="E214" t="s">
        <v>219</v>
      </c>
      <c r="F214" t="s">
        <v>220</v>
      </c>
      <c r="G214" t="s">
        <v>221</v>
      </c>
      <c r="H214" t="s">
        <v>15</v>
      </c>
      <c r="I214" t="s">
        <v>45</v>
      </c>
      <c r="J214" t="s">
        <v>7</v>
      </c>
      <c r="K214" t="s">
        <v>392</v>
      </c>
      <c r="L214" s="1">
        <v>46097</v>
      </c>
      <c r="M214" t="s">
        <v>141</v>
      </c>
      <c r="N214" t="s">
        <v>12</v>
      </c>
      <c r="O214" t="s">
        <v>223</v>
      </c>
    </row>
    <row r="215" spans="1:15" x14ac:dyDescent="0.25">
      <c r="A215" s="2">
        <v>46097.631377314814</v>
      </c>
      <c r="B215" t="s">
        <v>897</v>
      </c>
      <c r="C215" t="s">
        <v>898</v>
      </c>
      <c r="D215">
        <v>602590</v>
      </c>
      <c r="E215" t="s">
        <v>899</v>
      </c>
      <c r="F215" t="s">
        <v>71</v>
      </c>
      <c r="G215" t="s">
        <v>72</v>
      </c>
      <c r="H215" t="s">
        <v>16</v>
      </c>
      <c r="I215" t="s">
        <v>38</v>
      </c>
      <c r="J215" t="s">
        <v>6</v>
      </c>
      <c r="K215" t="s">
        <v>900</v>
      </c>
      <c r="L215" s="1">
        <v>46101</v>
      </c>
      <c r="M215" t="s">
        <v>66</v>
      </c>
      <c r="N215" t="s">
        <v>135</v>
      </c>
      <c r="O215" t="s">
        <v>901</v>
      </c>
    </row>
    <row r="216" spans="1:15" x14ac:dyDescent="0.25">
      <c r="A216" s="2">
        <v>46097.330717592595</v>
      </c>
      <c r="B216" t="s">
        <v>902</v>
      </c>
      <c r="C216" t="s">
        <v>903</v>
      </c>
      <c r="D216">
        <v>606839</v>
      </c>
      <c r="E216" t="s">
        <v>904</v>
      </c>
      <c r="F216" t="s">
        <v>905</v>
      </c>
      <c r="G216">
        <v>6245</v>
      </c>
      <c r="H216" t="s">
        <v>15</v>
      </c>
      <c r="I216" t="s">
        <v>45</v>
      </c>
      <c r="J216" t="s">
        <v>7</v>
      </c>
      <c r="K216" t="s">
        <v>906</v>
      </c>
      <c r="L216" s="1">
        <v>46097</v>
      </c>
      <c r="M216" t="s">
        <v>66</v>
      </c>
      <c r="N216" t="s">
        <v>11</v>
      </c>
      <c r="O216" t="s">
        <v>907</v>
      </c>
    </row>
    <row r="217" spans="1:15" x14ac:dyDescent="0.25">
      <c r="A217" s="2">
        <v>46097.327407407407</v>
      </c>
      <c r="B217" t="s">
        <v>813</v>
      </c>
      <c r="C217" t="s">
        <v>908</v>
      </c>
      <c r="D217">
        <v>603617</v>
      </c>
      <c r="E217" t="s">
        <v>815</v>
      </c>
      <c r="F217" t="s">
        <v>71</v>
      </c>
      <c r="G217" t="s">
        <v>100</v>
      </c>
      <c r="H217" t="s">
        <v>15</v>
      </c>
      <c r="I217" t="s">
        <v>45</v>
      </c>
      <c r="J217" t="s">
        <v>7</v>
      </c>
      <c r="K217" t="s">
        <v>909</v>
      </c>
      <c r="L217" s="1">
        <v>46104</v>
      </c>
      <c r="M217" t="s">
        <v>66</v>
      </c>
      <c r="N217" t="s">
        <v>626</v>
      </c>
      <c r="O217" t="s">
        <v>817</v>
      </c>
    </row>
    <row r="218" spans="1:15" x14ac:dyDescent="0.25">
      <c r="A218" s="2">
        <v>46097.326585648145</v>
      </c>
      <c r="B218" t="s">
        <v>813</v>
      </c>
      <c r="C218" t="s">
        <v>910</v>
      </c>
      <c r="D218">
        <v>603617</v>
      </c>
      <c r="E218" t="s">
        <v>815</v>
      </c>
      <c r="F218" t="s">
        <v>71</v>
      </c>
      <c r="G218" t="s">
        <v>100</v>
      </c>
      <c r="H218" t="s">
        <v>15</v>
      </c>
      <c r="I218" t="s">
        <v>45</v>
      </c>
      <c r="J218" t="s">
        <v>7</v>
      </c>
      <c r="K218" t="s">
        <v>911</v>
      </c>
      <c r="L218" s="1">
        <v>46097</v>
      </c>
      <c r="M218" t="s">
        <v>66</v>
      </c>
      <c r="N218" t="s">
        <v>11</v>
      </c>
      <c r="O218" t="s">
        <v>817</v>
      </c>
    </row>
    <row r="219" spans="1:15" x14ac:dyDescent="0.25">
      <c r="A219" s="2">
        <v>46094.552534722221</v>
      </c>
      <c r="B219" t="s">
        <v>161</v>
      </c>
      <c r="C219" t="s">
        <v>912</v>
      </c>
      <c r="D219">
        <v>603097</v>
      </c>
      <c r="E219" t="s">
        <v>163</v>
      </c>
      <c r="F219" t="s">
        <v>164</v>
      </c>
      <c r="G219" t="s">
        <v>165</v>
      </c>
      <c r="H219" t="s">
        <v>15</v>
      </c>
      <c r="I219" t="s">
        <v>45</v>
      </c>
      <c r="J219" t="s">
        <v>7</v>
      </c>
      <c r="K219" t="s">
        <v>412</v>
      </c>
      <c r="L219" s="1">
        <v>46100</v>
      </c>
      <c r="M219" t="s">
        <v>87</v>
      </c>
      <c r="N219" t="s">
        <v>115</v>
      </c>
      <c r="O219" t="s">
        <v>167</v>
      </c>
    </row>
    <row r="220" spans="1:15" x14ac:dyDescent="0.25">
      <c r="A220" s="2">
        <v>46094.545787037037</v>
      </c>
      <c r="B220" t="s">
        <v>707</v>
      </c>
      <c r="C220" t="s">
        <v>913</v>
      </c>
      <c r="D220">
        <v>606872</v>
      </c>
      <c r="E220" t="s">
        <v>709</v>
      </c>
      <c r="F220" t="s">
        <v>158</v>
      </c>
      <c r="G220" t="s">
        <v>159</v>
      </c>
      <c r="H220" t="s">
        <v>15</v>
      </c>
      <c r="I220" t="s">
        <v>45</v>
      </c>
      <c r="J220" t="s">
        <v>7</v>
      </c>
      <c r="K220" t="s">
        <v>914</v>
      </c>
      <c r="L220" s="1">
        <v>46094</v>
      </c>
      <c r="M220" t="s">
        <v>41</v>
      </c>
      <c r="N220" t="s">
        <v>11</v>
      </c>
      <c r="O220" t="s">
        <v>711</v>
      </c>
    </row>
    <row r="221" spans="1:15" x14ac:dyDescent="0.25">
      <c r="A221" s="2">
        <v>46094.365856481483</v>
      </c>
      <c r="B221" t="s">
        <v>564</v>
      </c>
      <c r="C221" t="s">
        <v>915</v>
      </c>
      <c r="D221">
        <v>605016</v>
      </c>
      <c r="E221" t="s">
        <v>566</v>
      </c>
      <c r="F221" t="s">
        <v>50</v>
      </c>
      <c r="G221" t="s">
        <v>51</v>
      </c>
      <c r="H221" t="s">
        <v>15</v>
      </c>
      <c r="I221" t="s">
        <v>45</v>
      </c>
      <c r="J221" t="s">
        <v>7</v>
      </c>
      <c r="K221" t="s">
        <v>527</v>
      </c>
      <c r="L221" s="1">
        <v>46094</v>
      </c>
      <c r="M221" t="s">
        <v>141</v>
      </c>
      <c r="N221" t="s">
        <v>11</v>
      </c>
      <c r="O221" t="s">
        <v>567</v>
      </c>
    </row>
    <row r="222" spans="1:15" x14ac:dyDescent="0.25">
      <c r="A222" s="2">
        <v>46093.67869212963</v>
      </c>
      <c r="B222" t="s">
        <v>851</v>
      </c>
      <c r="C222" t="s">
        <v>916</v>
      </c>
      <c r="D222">
        <v>602429</v>
      </c>
      <c r="E222" t="s">
        <v>853</v>
      </c>
      <c r="F222" t="s">
        <v>71</v>
      </c>
      <c r="G222" t="s">
        <v>100</v>
      </c>
      <c r="H222" t="s">
        <v>15</v>
      </c>
      <c r="I222" t="s">
        <v>45</v>
      </c>
      <c r="J222" t="s">
        <v>7</v>
      </c>
      <c r="K222" t="s">
        <v>917</v>
      </c>
      <c r="L222" s="1">
        <v>46094</v>
      </c>
      <c r="M222" t="s">
        <v>141</v>
      </c>
      <c r="N222" t="s">
        <v>11</v>
      </c>
      <c r="O222" t="s">
        <v>918</v>
      </c>
    </row>
    <row r="223" spans="1:15" x14ac:dyDescent="0.25">
      <c r="A223" s="2">
        <v>46093.527430555558</v>
      </c>
      <c r="B223" t="s">
        <v>82</v>
      </c>
      <c r="C223" t="s">
        <v>919</v>
      </c>
      <c r="D223">
        <v>606966</v>
      </c>
      <c r="E223" t="s">
        <v>920</v>
      </c>
      <c r="F223" t="s">
        <v>85</v>
      </c>
      <c r="G223" t="s">
        <v>86</v>
      </c>
      <c r="H223" t="s">
        <v>15</v>
      </c>
      <c r="I223" t="s">
        <v>45</v>
      </c>
      <c r="J223" t="s">
        <v>7</v>
      </c>
      <c r="K223" t="s">
        <v>837</v>
      </c>
      <c r="L223" s="1">
        <v>46093</v>
      </c>
      <c r="M223" t="s">
        <v>87</v>
      </c>
      <c r="N223" t="s">
        <v>11</v>
      </c>
      <c r="O223" t="s">
        <v>89</v>
      </c>
    </row>
    <row r="224" spans="1:15" x14ac:dyDescent="0.25">
      <c r="A224" s="13">
        <v>46092.539513888885</v>
      </c>
      <c r="B224" s="14" t="s">
        <v>921</v>
      </c>
      <c r="C224" s="14" t="s">
        <v>922</v>
      </c>
      <c r="D224" s="14">
        <v>603755</v>
      </c>
      <c r="E224" s="14" t="s">
        <v>923</v>
      </c>
      <c r="F224" s="14" t="s">
        <v>71</v>
      </c>
      <c r="G224" s="14" t="s">
        <v>100</v>
      </c>
      <c r="H224" s="14" t="s">
        <v>15</v>
      </c>
      <c r="I224" s="14" t="s">
        <v>45</v>
      </c>
      <c r="J224" s="14" t="s">
        <v>7</v>
      </c>
      <c r="K224" s="14" t="s">
        <v>924</v>
      </c>
      <c r="L224" s="15">
        <v>46092</v>
      </c>
      <c r="M224" s="14" t="s">
        <v>66</v>
      </c>
      <c r="N224" s="14" t="s">
        <v>11</v>
      </c>
      <c r="O224" s="14" t="s">
        <v>925</v>
      </c>
    </row>
    <row r="225" spans="1:15" x14ac:dyDescent="0.25">
      <c r="A225" s="13">
        <v>46092.467476851853</v>
      </c>
      <c r="B225" s="14" t="s">
        <v>137</v>
      </c>
      <c r="C225" s="14" t="s">
        <v>926</v>
      </c>
      <c r="D225" s="14">
        <v>602631</v>
      </c>
      <c r="E225" s="14" t="s">
        <v>139</v>
      </c>
      <c r="F225" s="14" t="s">
        <v>112</v>
      </c>
      <c r="G225" s="14" t="s">
        <v>113</v>
      </c>
      <c r="H225" s="14" t="s">
        <v>15</v>
      </c>
      <c r="I225" s="14" t="s">
        <v>45</v>
      </c>
      <c r="J225" s="14" t="s">
        <v>8</v>
      </c>
      <c r="K225" s="14" t="s">
        <v>927</v>
      </c>
      <c r="L225" s="14" t="s">
        <v>40</v>
      </c>
      <c r="M225" s="14" t="s">
        <v>537</v>
      </c>
      <c r="N225" s="14" t="s">
        <v>42</v>
      </c>
      <c r="O225" s="14" t="s">
        <v>143</v>
      </c>
    </row>
    <row r="226" spans="1:15" x14ac:dyDescent="0.25">
      <c r="A226" s="13">
        <v>46092.463460648149</v>
      </c>
      <c r="B226" s="14" t="s">
        <v>137</v>
      </c>
      <c r="C226" s="14" t="s">
        <v>928</v>
      </c>
      <c r="D226" s="14">
        <v>602631</v>
      </c>
      <c r="E226" s="14" t="s">
        <v>139</v>
      </c>
      <c r="F226" s="14" t="s">
        <v>112</v>
      </c>
      <c r="G226" s="14" t="s">
        <v>113</v>
      </c>
      <c r="H226" s="14" t="s">
        <v>15</v>
      </c>
      <c r="I226" s="14" t="s">
        <v>45</v>
      </c>
      <c r="J226" s="14" t="s">
        <v>8</v>
      </c>
      <c r="K226" s="14" t="s">
        <v>927</v>
      </c>
      <c r="L226" s="14" t="s">
        <v>40</v>
      </c>
      <c r="M226" s="14" t="s">
        <v>537</v>
      </c>
      <c r="N226" s="14" t="s">
        <v>42</v>
      </c>
      <c r="O226" s="14" t="s">
        <v>143</v>
      </c>
    </row>
    <row r="227" spans="1:15" x14ac:dyDescent="0.25">
      <c r="A227" s="13">
        <v>46092.441759259258</v>
      </c>
      <c r="B227" s="14" t="s">
        <v>76</v>
      </c>
      <c r="C227" s="14" t="s">
        <v>929</v>
      </c>
      <c r="D227" s="14">
        <v>602337</v>
      </c>
      <c r="E227" s="14" t="s">
        <v>78</v>
      </c>
      <c r="F227" s="14" t="s">
        <v>79</v>
      </c>
      <c r="G227" s="14">
        <v>6280</v>
      </c>
      <c r="H227" s="14" t="s">
        <v>15</v>
      </c>
      <c r="I227" s="14" t="s">
        <v>45</v>
      </c>
      <c r="J227" s="14" t="s">
        <v>7</v>
      </c>
      <c r="K227" s="14" t="s">
        <v>549</v>
      </c>
      <c r="L227" s="15">
        <v>46092</v>
      </c>
      <c r="M227" s="14" t="s">
        <v>66</v>
      </c>
      <c r="N227" s="14" t="s">
        <v>11</v>
      </c>
      <c r="O227" s="14" t="s">
        <v>81</v>
      </c>
    </row>
    <row r="228" spans="1:15" x14ac:dyDescent="0.25">
      <c r="A228" s="13">
        <v>46092.438344907408</v>
      </c>
      <c r="B228" s="14" t="s">
        <v>479</v>
      </c>
      <c r="C228" s="14" t="s">
        <v>930</v>
      </c>
      <c r="D228" s="14">
        <v>606870</v>
      </c>
      <c r="E228" s="14" t="s">
        <v>481</v>
      </c>
      <c r="F228" s="14" t="s">
        <v>71</v>
      </c>
      <c r="G228" s="14" t="s">
        <v>72</v>
      </c>
      <c r="H228" s="14" t="s">
        <v>15</v>
      </c>
      <c r="I228" s="14" t="s">
        <v>45</v>
      </c>
      <c r="J228" s="14" t="s">
        <v>8</v>
      </c>
      <c r="K228" s="14" t="s">
        <v>931</v>
      </c>
      <c r="L228" s="14" t="s">
        <v>40</v>
      </c>
      <c r="M228" s="14" t="s">
        <v>66</v>
      </c>
      <c r="N228" s="14" t="s">
        <v>42</v>
      </c>
      <c r="O228" s="14" t="s">
        <v>483</v>
      </c>
    </row>
    <row r="229" spans="1:15" x14ac:dyDescent="0.25">
      <c r="A229" s="13">
        <v>46092.419594907406</v>
      </c>
      <c r="B229" s="14" t="s">
        <v>932</v>
      </c>
      <c r="C229" s="14" t="s">
        <v>933</v>
      </c>
      <c r="D229" s="14">
        <v>603142</v>
      </c>
      <c r="E229" s="14" t="s">
        <v>934</v>
      </c>
      <c r="F229" s="14" t="s">
        <v>158</v>
      </c>
      <c r="G229" s="14" t="s">
        <v>159</v>
      </c>
      <c r="H229" s="14" t="s">
        <v>15</v>
      </c>
      <c r="I229" s="14" t="s">
        <v>45</v>
      </c>
      <c r="J229" s="14" t="s">
        <v>7</v>
      </c>
      <c r="K229" s="14" t="s">
        <v>935</v>
      </c>
      <c r="L229" s="15">
        <v>46092</v>
      </c>
      <c r="M229" s="14" t="s">
        <v>41</v>
      </c>
      <c r="N229" s="14" t="s">
        <v>11</v>
      </c>
      <c r="O229" s="14" t="s">
        <v>936</v>
      </c>
    </row>
    <row r="230" spans="1:15" x14ac:dyDescent="0.25">
      <c r="A230" s="13">
        <v>46091.574259259258</v>
      </c>
      <c r="B230" s="14" t="s">
        <v>937</v>
      </c>
      <c r="C230" s="14" t="s">
        <v>938</v>
      </c>
      <c r="D230" s="14">
        <v>606951</v>
      </c>
      <c r="E230" s="14" t="s">
        <v>939</v>
      </c>
      <c r="F230" s="14" t="s">
        <v>93</v>
      </c>
      <c r="G230" s="14" t="s">
        <v>94</v>
      </c>
      <c r="H230" s="14" t="s">
        <v>16</v>
      </c>
      <c r="I230" s="14" t="s">
        <v>38</v>
      </c>
      <c r="J230" s="14" t="s">
        <v>8</v>
      </c>
      <c r="K230" s="14" t="s">
        <v>940</v>
      </c>
      <c r="L230" s="14" t="s">
        <v>40</v>
      </c>
      <c r="M230" s="14" t="s">
        <v>41</v>
      </c>
      <c r="N230" s="14" t="s">
        <v>42</v>
      </c>
      <c r="O230" s="14" t="s">
        <v>941</v>
      </c>
    </row>
    <row r="231" spans="1:15" x14ac:dyDescent="0.25">
      <c r="A231" s="13">
        <v>46091.333310185182</v>
      </c>
      <c r="B231" s="14" t="s">
        <v>942</v>
      </c>
      <c r="C231" s="14" t="s">
        <v>943</v>
      </c>
      <c r="D231" s="14">
        <v>602935</v>
      </c>
      <c r="E231" s="14" t="s">
        <v>944</v>
      </c>
      <c r="F231" s="14" t="s">
        <v>158</v>
      </c>
      <c r="G231" s="14" t="s">
        <v>159</v>
      </c>
      <c r="H231" s="14" t="s">
        <v>15</v>
      </c>
      <c r="I231" s="14" t="s">
        <v>45</v>
      </c>
      <c r="J231" s="14" t="s">
        <v>7</v>
      </c>
      <c r="K231" s="14" t="s">
        <v>945</v>
      </c>
      <c r="L231" s="15">
        <v>46091</v>
      </c>
      <c r="M231" s="14" t="s">
        <v>41</v>
      </c>
      <c r="N231" s="14" t="s">
        <v>11</v>
      </c>
      <c r="O231" s="14" t="s">
        <v>946</v>
      </c>
    </row>
    <row r="232" spans="1:15" x14ac:dyDescent="0.25">
      <c r="A232" s="13">
        <v>46090.51462962963</v>
      </c>
      <c r="B232" s="14" t="s">
        <v>947</v>
      </c>
      <c r="C232" s="14" t="s">
        <v>948</v>
      </c>
      <c r="D232" s="14">
        <v>609974</v>
      </c>
      <c r="E232" s="14" t="s">
        <v>949</v>
      </c>
      <c r="F232" s="14" t="s">
        <v>71</v>
      </c>
      <c r="G232" s="14" t="s">
        <v>100</v>
      </c>
      <c r="H232" s="14" t="s">
        <v>16</v>
      </c>
      <c r="I232" s="14" t="s">
        <v>38</v>
      </c>
      <c r="J232" s="14" t="s">
        <v>8</v>
      </c>
      <c r="K232" s="14" t="s">
        <v>950</v>
      </c>
      <c r="L232" s="14" t="s">
        <v>40</v>
      </c>
      <c r="M232" s="14" t="s">
        <v>66</v>
      </c>
      <c r="N232" s="14" t="s">
        <v>482</v>
      </c>
      <c r="O232" s="14" t="s">
        <v>951</v>
      </c>
    </row>
    <row r="233" spans="1:15" x14ac:dyDescent="0.25">
      <c r="A233" s="13">
        <v>46090.457395833335</v>
      </c>
      <c r="B233" s="14" t="s">
        <v>952</v>
      </c>
      <c r="C233" s="14" t="s">
        <v>953</v>
      </c>
      <c r="D233" s="14">
        <v>603069</v>
      </c>
      <c r="E233" s="14" t="s">
        <v>954</v>
      </c>
      <c r="F233" s="14" t="s">
        <v>71</v>
      </c>
      <c r="G233" s="14" t="s">
        <v>100</v>
      </c>
      <c r="H233" s="14" t="s">
        <v>15</v>
      </c>
      <c r="I233" s="14" t="s">
        <v>45</v>
      </c>
      <c r="J233" s="14" t="s">
        <v>7</v>
      </c>
      <c r="K233" s="14" t="s">
        <v>955</v>
      </c>
      <c r="L233" s="15">
        <v>46090</v>
      </c>
      <c r="M233" s="14" t="s">
        <v>66</v>
      </c>
      <c r="N233" s="14" t="s">
        <v>12</v>
      </c>
      <c r="O233" s="14" t="s">
        <v>956</v>
      </c>
    </row>
    <row r="234" spans="1:15" x14ac:dyDescent="0.25">
      <c r="A234" s="13">
        <v>46090.444884259261</v>
      </c>
      <c r="B234" s="14" t="s">
        <v>957</v>
      </c>
      <c r="C234" s="14" t="s">
        <v>958</v>
      </c>
      <c r="D234" s="14">
        <v>608106</v>
      </c>
      <c r="E234" s="14" t="s">
        <v>959</v>
      </c>
      <c r="F234" s="14" t="s">
        <v>71</v>
      </c>
      <c r="G234" s="14" t="s">
        <v>100</v>
      </c>
      <c r="H234" s="14" t="s">
        <v>15</v>
      </c>
      <c r="I234" s="14" t="s">
        <v>45</v>
      </c>
      <c r="J234" s="14" t="s">
        <v>7</v>
      </c>
      <c r="K234" s="14" t="s">
        <v>960</v>
      </c>
      <c r="L234" s="15">
        <v>46090</v>
      </c>
      <c r="M234" s="14" t="s">
        <v>66</v>
      </c>
      <c r="N234" s="14" t="s">
        <v>12</v>
      </c>
      <c r="O234" s="14" t="s">
        <v>961</v>
      </c>
    </row>
    <row r="235" spans="1:15" x14ac:dyDescent="0.25">
      <c r="A235" s="13">
        <v>46090.408206018517</v>
      </c>
      <c r="B235" s="14" t="s">
        <v>962</v>
      </c>
      <c r="C235" s="14" t="s">
        <v>963</v>
      </c>
      <c r="D235" s="14">
        <v>601294</v>
      </c>
      <c r="E235" s="14" t="s">
        <v>964</v>
      </c>
      <c r="F235" s="14" t="s">
        <v>126</v>
      </c>
      <c r="G235" s="14" t="s">
        <v>133</v>
      </c>
      <c r="H235" s="14" t="s">
        <v>16</v>
      </c>
      <c r="I235" s="14" t="s">
        <v>38</v>
      </c>
      <c r="J235" s="14" t="s">
        <v>6</v>
      </c>
      <c r="K235" s="14" t="s">
        <v>965</v>
      </c>
      <c r="L235" s="15">
        <v>46093</v>
      </c>
      <c r="M235" s="14" t="s">
        <v>141</v>
      </c>
      <c r="N235" s="14" t="s">
        <v>966</v>
      </c>
      <c r="O235" s="14" t="s">
        <v>967</v>
      </c>
    </row>
    <row r="236" spans="1:15" x14ac:dyDescent="0.25">
      <c r="A236" s="13">
        <v>46087.347881944443</v>
      </c>
      <c r="B236" s="14" t="s">
        <v>968</v>
      </c>
      <c r="C236" s="14" t="s">
        <v>969</v>
      </c>
      <c r="D236" s="14">
        <v>603297</v>
      </c>
      <c r="E236" s="14" t="s">
        <v>970</v>
      </c>
      <c r="F236" s="14" t="s">
        <v>71</v>
      </c>
      <c r="G236" s="14" t="s">
        <v>100</v>
      </c>
      <c r="H236" s="14" t="s">
        <v>15</v>
      </c>
      <c r="I236" s="14" t="s">
        <v>45</v>
      </c>
      <c r="J236" s="14" t="s">
        <v>7</v>
      </c>
      <c r="K236" s="14" t="s">
        <v>914</v>
      </c>
      <c r="L236" s="15">
        <v>46087</v>
      </c>
      <c r="M236" s="14" t="s">
        <v>141</v>
      </c>
      <c r="N236" s="14" t="s">
        <v>11</v>
      </c>
      <c r="O236" s="14" t="s">
        <v>971</v>
      </c>
    </row>
    <row r="237" spans="1:15" x14ac:dyDescent="0.25">
      <c r="A237" s="13">
        <v>46086.744571759256</v>
      </c>
      <c r="B237" s="14" t="s">
        <v>82</v>
      </c>
      <c r="C237" s="14" t="s">
        <v>972</v>
      </c>
      <c r="D237" s="14">
        <v>609961</v>
      </c>
      <c r="E237" s="14" t="s">
        <v>973</v>
      </c>
      <c r="F237" s="14" t="s">
        <v>164</v>
      </c>
      <c r="G237" s="14" t="s">
        <v>165</v>
      </c>
      <c r="H237" s="14" t="s">
        <v>15</v>
      </c>
      <c r="I237" s="14" t="s">
        <v>45</v>
      </c>
      <c r="J237" s="14" t="s">
        <v>7</v>
      </c>
      <c r="K237" s="14" t="s">
        <v>974</v>
      </c>
      <c r="L237" s="15">
        <v>46086</v>
      </c>
      <c r="M237" s="14" t="s">
        <v>87</v>
      </c>
      <c r="N237" s="14" t="s">
        <v>11</v>
      </c>
      <c r="O237" s="14" t="s">
        <v>975</v>
      </c>
    </row>
    <row r="238" spans="1:15" x14ac:dyDescent="0.25">
      <c r="A238" s="13">
        <v>46086.631168981483</v>
      </c>
      <c r="B238" s="14" t="s">
        <v>224</v>
      </c>
      <c r="C238" s="14" t="s">
        <v>976</v>
      </c>
      <c r="D238" s="14">
        <v>606934</v>
      </c>
      <c r="E238" s="14" t="s">
        <v>226</v>
      </c>
      <c r="F238" s="14" t="s">
        <v>93</v>
      </c>
      <c r="G238" s="14" t="s">
        <v>94</v>
      </c>
      <c r="H238" s="14" t="s">
        <v>15</v>
      </c>
      <c r="I238" s="14" t="s">
        <v>45</v>
      </c>
      <c r="J238" s="14" t="s">
        <v>7</v>
      </c>
      <c r="K238" s="14" t="s">
        <v>977</v>
      </c>
      <c r="L238" s="15">
        <v>46086</v>
      </c>
      <c r="M238" s="14" t="s">
        <v>41</v>
      </c>
      <c r="N238" s="14" t="s">
        <v>11</v>
      </c>
      <c r="O238" s="14" t="s">
        <v>228</v>
      </c>
    </row>
    <row r="239" spans="1:15" x14ac:dyDescent="0.25">
      <c r="A239" s="13">
        <v>46086.462789351855</v>
      </c>
      <c r="B239" s="14" t="s">
        <v>137</v>
      </c>
      <c r="C239" s="14" t="s">
        <v>978</v>
      </c>
      <c r="D239" s="14">
        <v>602631</v>
      </c>
      <c r="E239" s="14" t="s">
        <v>139</v>
      </c>
      <c r="F239" s="14" t="s">
        <v>112</v>
      </c>
      <c r="G239" s="14" t="s">
        <v>113</v>
      </c>
      <c r="H239" s="14" t="s">
        <v>16</v>
      </c>
      <c r="I239" s="14" t="s">
        <v>38</v>
      </c>
      <c r="J239" s="14" t="s">
        <v>8</v>
      </c>
      <c r="K239" s="14" t="s">
        <v>979</v>
      </c>
      <c r="L239" s="14" t="s">
        <v>40</v>
      </c>
      <c r="M239" s="14" t="s">
        <v>537</v>
      </c>
      <c r="N239" s="14" t="s">
        <v>980</v>
      </c>
      <c r="O239" s="14" t="s">
        <v>143</v>
      </c>
    </row>
    <row r="240" spans="1:15" x14ac:dyDescent="0.25">
      <c r="A240" s="13">
        <v>46086.420729166668</v>
      </c>
      <c r="B240" s="14" t="s">
        <v>137</v>
      </c>
      <c r="C240" s="14" t="s">
        <v>981</v>
      </c>
      <c r="D240" s="14">
        <v>602631</v>
      </c>
      <c r="E240" s="14" t="s">
        <v>139</v>
      </c>
      <c r="F240" s="14" t="s">
        <v>112</v>
      </c>
      <c r="G240" s="14" t="s">
        <v>113</v>
      </c>
      <c r="H240" s="14" t="s">
        <v>16</v>
      </c>
      <c r="I240" s="14" t="s">
        <v>38</v>
      </c>
      <c r="J240" s="14" t="s">
        <v>8</v>
      </c>
      <c r="K240" s="14" t="s">
        <v>979</v>
      </c>
      <c r="L240" s="14" t="s">
        <v>40</v>
      </c>
      <c r="M240" s="14" t="s">
        <v>537</v>
      </c>
      <c r="N240" s="14" t="s">
        <v>980</v>
      </c>
      <c r="O240" s="14" t="s">
        <v>143</v>
      </c>
    </row>
    <row r="241" spans="1:15" x14ac:dyDescent="0.25">
      <c r="A241" s="13">
        <v>46086.415266203701</v>
      </c>
      <c r="B241" s="14" t="s">
        <v>137</v>
      </c>
      <c r="C241" s="14" t="s">
        <v>982</v>
      </c>
      <c r="D241" s="14">
        <v>602631</v>
      </c>
      <c r="E241" s="14" t="s">
        <v>139</v>
      </c>
      <c r="F241" s="14" t="s">
        <v>112</v>
      </c>
      <c r="G241" s="14" t="s">
        <v>113</v>
      </c>
      <c r="H241" s="14" t="s">
        <v>15</v>
      </c>
      <c r="I241" s="14" t="s">
        <v>45</v>
      </c>
      <c r="J241" s="14" t="s">
        <v>9</v>
      </c>
      <c r="K241" s="14" t="s">
        <v>983</v>
      </c>
      <c r="L241" s="14" t="s">
        <v>40</v>
      </c>
      <c r="M241" s="14" t="s">
        <v>537</v>
      </c>
      <c r="N241" s="14" t="s">
        <v>115</v>
      </c>
      <c r="O241" s="14" t="s">
        <v>143</v>
      </c>
    </row>
    <row r="242" spans="1:15" x14ac:dyDescent="0.25">
      <c r="A242" s="13">
        <v>46085.707881944443</v>
      </c>
      <c r="B242" s="14" t="s">
        <v>984</v>
      </c>
      <c r="C242" s="14" t="s">
        <v>985</v>
      </c>
      <c r="D242" s="14">
        <v>603014</v>
      </c>
      <c r="E242" s="14" t="s">
        <v>986</v>
      </c>
      <c r="F242" s="14" t="s">
        <v>71</v>
      </c>
      <c r="G242" s="14" t="s">
        <v>100</v>
      </c>
      <c r="H242" s="14" t="s">
        <v>15</v>
      </c>
      <c r="I242" s="14" t="s">
        <v>45</v>
      </c>
      <c r="J242" s="14" t="s">
        <v>7</v>
      </c>
      <c r="K242" s="14" t="s">
        <v>987</v>
      </c>
      <c r="L242" s="15">
        <v>46085</v>
      </c>
      <c r="M242" s="14" t="s">
        <v>66</v>
      </c>
      <c r="N242" s="14" t="s">
        <v>11</v>
      </c>
      <c r="O242" s="14" t="s">
        <v>988</v>
      </c>
    </row>
    <row r="243" spans="1:15" x14ac:dyDescent="0.25">
      <c r="A243" s="13">
        <v>46085.67459490741</v>
      </c>
      <c r="B243" s="14" t="s">
        <v>989</v>
      </c>
      <c r="C243" s="14" t="s">
        <v>990</v>
      </c>
      <c r="D243" s="14">
        <v>603493</v>
      </c>
      <c r="E243" s="14" t="s">
        <v>991</v>
      </c>
      <c r="F243" s="14" t="s">
        <v>126</v>
      </c>
      <c r="G243" s="14" t="s">
        <v>133</v>
      </c>
      <c r="H243" s="14" t="s">
        <v>15</v>
      </c>
      <c r="I243" s="14" t="s">
        <v>45</v>
      </c>
      <c r="J243" s="14" t="s">
        <v>7</v>
      </c>
      <c r="K243" s="14" t="s">
        <v>992</v>
      </c>
      <c r="L243" s="15">
        <v>46085</v>
      </c>
      <c r="M243" s="14" t="s">
        <v>141</v>
      </c>
      <c r="N243" s="14" t="s">
        <v>12</v>
      </c>
      <c r="O243" s="14" t="s">
        <v>993</v>
      </c>
    </row>
    <row r="244" spans="1:15" x14ac:dyDescent="0.25">
      <c r="A244" s="13">
        <v>46085.60665509259</v>
      </c>
      <c r="B244" s="14" t="s">
        <v>994</v>
      </c>
      <c r="C244" s="14" t="s">
        <v>995</v>
      </c>
      <c r="D244" s="14">
        <v>603469</v>
      </c>
      <c r="E244" s="14" t="s">
        <v>996</v>
      </c>
      <c r="F244" s="14" t="s">
        <v>158</v>
      </c>
      <c r="G244" s="14" t="s">
        <v>159</v>
      </c>
      <c r="H244" s="14" t="s">
        <v>15</v>
      </c>
      <c r="I244" s="14" t="s">
        <v>45</v>
      </c>
      <c r="J244" s="14" t="s">
        <v>9</v>
      </c>
      <c r="K244" s="14" t="s">
        <v>351</v>
      </c>
      <c r="L244" s="14" t="s">
        <v>40</v>
      </c>
      <c r="M244" s="14" t="s">
        <v>41</v>
      </c>
      <c r="N244" s="14" t="s">
        <v>997</v>
      </c>
      <c r="O244" s="14" t="s">
        <v>998</v>
      </c>
    </row>
    <row r="245" spans="1:15" x14ac:dyDescent="0.25">
      <c r="A245" s="13">
        <v>46085.524386574078</v>
      </c>
      <c r="B245" s="14" t="s">
        <v>742</v>
      </c>
      <c r="C245" s="14" t="s">
        <v>999</v>
      </c>
      <c r="D245" s="14">
        <v>604465</v>
      </c>
      <c r="E245" s="14" t="s">
        <v>744</v>
      </c>
      <c r="F245" s="14" t="s">
        <v>745</v>
      </c>
      <c r="G245" s="14">
        <v>3801</v>
      </c>
      <c r="H245" s="14" t="s">
        <v>15</v>
      </c>
      <c r="I245" s="14" t="s">
        <v>45</v>
      </c>
      <c r="J245" s="14" t="s">
        <v>7</v>
      </c>
      <c r="K245" s="14" t="s">
        <v>1000</v>
      </c>
      <c r="L245" s="15">
        <v>46085</v>
      </c>
      <c r="M245" s="14" t="s">
        <v>53</v>
      </c>
      <c r="N245" s="14" t="s">
        <v>12</v>
      </c>
      <c r="O245" s="14" t="s">
        <v>746</v>
      </c>
    </row>
    <row r="246" spans="1:15" x14ac:dyDescent="0.25">
      <c r="A246" s="13">
        <v>46085.453009259261</v>
      </c>
      <c r="B246" s="14" t="s">
        <v>1001</v>
      </c>
      <c r="C246" s="14" t="s">
        <v>1002</v>
      </c>
      <c r="D246" s="14">
        <v>609697</v>
      </c>
      <c r="E246" s="14" t="s">
        <v>1003</v>
      </c>
      <c r="F246" s="14" t="s">
        <v>71</v>
      </c>
      <c r="G246" s="14" t="s">
        <v>72</v>
      </c>
      <c r="H246" s="14" t="s">
        <v>15</v>
      </c>
      <c r="I246" s="14" t="s">
        <v>45</v>
      </c>
      <c r="J246" s="14" t="s">
        <v>7</v>
      </c>
      <c r="K246" s="14" t="s">
        <v>960</v>
      </c>
      <c r="L246" s="15">
        <v>46085</v>
      </c>
      <c r="M246" s="14" t="s">
        <v>74</v>
      </c>
      <c r="N246" s="14" t="s">
        <v>11</v>
      </c>
      <c r="O246" s="14" t="s">
        <v>1004</v>
      </c>
    </row>
    <row r="247" spans="1:15" x14ac:dyDescent="0.25">
      <c r="A247" s="13">
        <v>46085.424513888887</v>
      </c>
      <c r="B247" s="14" t="s">
        <v>492</v>
      </c>
      <c r="C247" s="14" t="s">
        <v>1005</v>
      </c>
      <c r="D247" s="14">
        <v>602932</v>
      </c>
      <c r="E247" s="14" t="s">
        <v>494</v>
      </c>
      <c r="F247" s="14" t="s">
        <v>93</v>
      </c>
      <c r="G247" s="14" t="s">
        <v>495</v>
      </c>
      <c r="H247" s="14" t="s">
        <v>15</v>
      </c>
      <c r="I247" s="14" t="s">
        <v>45</v>
      </c>
      <c r="J247" s="14" t="s">
        <v>7</v>
      </c>
      <c r="K247" s="14" t="s">
        <v>1006</v>
      </c>
      <c r="L247" s="15">
        <v>46091</v>
      </c>
      <c r="M247" s="14" t="s">
        <v>41</v>
      </c>
      <c r="N247" s="14" t="s">
        <v>997</v>
      </c>
      <c r="O247" s="14" t="s">
        <v>496</v>
      </c>
    </row>
    <row r="248" spans="1:15" x14ac:dyDescent="0.25">
      <c r="A248" s="13">
        <v>46085.354618055557</v>
      </c>
      <c r="B248" s="14" t="s">
        <v>249</v>
      </c>
      <c r="C248" s="14" t="s">
        <v>1007</v>
      </c>
      <c r="D248" s="14">
        <v>609773</v>
      </c>
      <c r="E248" s="14" t="s">
        <v>251</v>
      </c>
      <c r="F248" s="14" t="s">
        <v>71</v>
      </c>
      <c r="G248" s="14" t="s">
        <v>100</v>
      </c>
      <c r="H248" s="14" t="s">
        <v>15</v>
      </c>
      <c r="I248" s="14" t="s">
        <v>45</v>
      </c>
      <c r="J248" s="14" t="s">
        <v>7</v>
      </c>
      <c r="K248" s="14" t="s">
        <v>392</v>
      </c>
      <c r="L248" s="15">
        <v>46089</v>
      </c>
      <c r="M248" s="14" t="s">
        <v>66</v>
      </c>
      <c r="N248" s="14" t="s">
        <v>626</v>
      </c>
      <c r="O248" s="14" t="s">
        <v>253</v>
      </c>
    </row>
    <row r="249" spans="1:15" x14ac:dyDescent="0.25">
      <c r="A249" s="13">
        <v>46085.353217592594</v>
      </c>
      <c r="B249" s="14" t="s">
        <v>249</v>
      </c>
      <c r="C249" s="14" t="s">
        <v>1008</v>
      </c>
      <c r="D249" s="14">
        <v>609773</v>
      </c>
      <c r="E249" s="14" t="s">
        <v>251</v>
      </c>
      <c r="F249" s="14" t="s">
        <v>71</v>
      </c>
      <c r="G249" s="14" t="s">
        <v>100</v>
      </c>
      <c r="H249" s="14" t="s">
        <v>15</v>
      </c>
      <c r="I249" s="14" t="s">
        <v>45</v>
      </c>
      <c r="J249" s="14" t="s">
        <v>7</v>
      </c>
      <c r="K249" s="14" t="s">
        <v>274</v>
      </c>
      <c r="L249" s="15">
        <v>46089</v>
      </c>
      <c r="M249" s="14" t="s">
        <v>66</v>
      </c>
      <c r="N249" s="14" t="s">
        <v>626</v>
      </c>
      <c r="O249" s="14" t="s">
        <v>253</v>
      </c>
    </row>
    <row r="250" spans="1:15" x14ac:dyDescent="0.25">
      <c r="A250" s="13">
        <v>46084.6641087963</v>
      </c>
      <c r="B250" s="14" t="s">
        <v>1009</v>
      </c>
      <c r="C250" s="14" t="s">
        <v>1010</v>
      </c>
      <c r="D250" s="14">
        <v>601636</v>
      </c>
      <c r="E250" s="14" t="s">
        <v>1011</v>
      </c>
      <c r="F250" s="14" t="s">
        <v>126</v>
      </c>
      <c r="G250" s="14" t="s">
        <v>133</v>
      </c>
      <c r="H250" s="14" t="s">
        <v>15</v>
      </c>
      <c r="I250" s="14" t="s">
        <v>45</v>
      </c>
      <c r="J250" s="14" t="s">
        <v>7</v>
      </c>
      <c r="K250" s="14" t="s">
        <v>906</v>
      </c>
      <c r="L250" s="15">
        <v>46084</v>
      </c>
      <c r="M250" s="14" t="s">
        <v>141</v>
      </c>
      <c r="N250" s="14" t="s">
        <v>11</v>
      </c>
      <c r="O250" s="14" t="s">
        <v>1012</v>
      </c>
    </row>
    <row r="251" spans="1:15" x14ac:dyDescent="0.25">
      <c r="A251" s="13">
        <v>46084.605717592596</v>
      </c>
      <c r="B251" s="14" t="s">
        <v>1013</v>
      </c>
      <c r="C251" s="14" t="s">
        <v>1014</v>
      </c>
      <c r="D251" s="14">
        <v>605295</v>
      </c>
      <c r="E251" s="14" t="s">
        <v>1015</v>
      </c>
      <c r="F251" s="14" t="s">
        <v>50</v>
      </c>
      <c r="G251" s="14" t="s">
        <v>51</v>
      </c>
      <c r="H251" s="14" t="s">
        <v>15</v>
      </c>
      <c r="I251" s="14" t="s">
        <v>45</v>
      </c>
      <c r="J251" s="14" t="s">
        <v>7</v>
      </c>
      <c r="K251" s="14" t="s">
        <v>1016</v>
      </c>
      <c r="L251" s="15">
        <v>46084</v>
      </c>
      <c r="M251" s="14" t="s">
        <v>141</v>
      </c>
      <c r="N251" s="14" t="s">
        <v>11</v>
      </c>
      <c r="O251" s="14" t="s">
        <v>1017</v>
      </c>
    </row>
    <row r="252" spans="1:15" x14ac:dyDescent="0.25">
      <c r="A252" s="13">
        <v>46084.550949074073</v>
      </c>
      <c r="B252" s="14" t="s">
        <v>321</v>
      </c>
      <c r="C252" s="14" t="s">
        <v>1018</v>
      </c>
      <c r="D252" s="14">
        <v>602907</v>
      </c>
      <c r="E252" s="14" t="s">
        <v>323</v>
      </c>
      <c r="F252" s="14" t="s">
        <v>36</v>
      </c>
      <c r="G252" s="14" t="s">
        <v>37</v>
      </c>
      <c r="H252" s="14" t="s">
        <v>15</v>
      </c>
      <c r="I252" s="14" t="s">
        <v>45</v>
      </c>
      <c r="J252" s="14" t="s">
        <v>7</v>
      </c>
      <c r="K252" s="14" t="s">
        <v>931</v>
      </c>
      <c r="L252" s="15">
        <v>46084</v>
      </c>
      <c r="M252" s="14" t="s">
        <v>41</v>
      </c>
      <c r="N252" s="14" t="s">
        <v>11</v>
      </c>
      <c r="O252" s="14" t="s">
        <v>324</v>
      </c>
    </row>
    <row r="253" spans="1:15" x14ac:dyDescent="0.25">
      <c r="A253" s="13">
        <v>46084.523796296293</v>
      </c>
      <c r="B253" s="14" t="s">
        <v>1019</v>
      </c>
      <c r="C253" s="14" t="s">
        <v>1020</v>
      </c>
      <c r="D253" s="14">
        <v>602873</v>
      </c>
      <c r="E253" s="14" t="s">
        <v>1021</v>
      </c>
      <c r="F253" s="14" t="s">
        <v>93</v>
      </c>
      <c r="G253" s="14" t="s">
        <v>94</v>
      </c>
      <c r="H253" s="14" t="s">
        <v>15</v>
      </c>
      <c r="I253" s="14" t="s">
        <v>45</v>
      </c>
      <c r="J253" s="14" t="s">
        <v>7</v>
      </c>
      <c r="K253" s="14" t="s">
        <v>1022</v>
      </c>
      <c r="L253" s="15">
        <v>46084</v>
      </c>
      <c r="M253" s="14" t="s">
        <v>41</v>
      </c>
      <c r="N253" s="14" t="s">
        <v>11</v>
      </c>
      <c r="O253" s="14" t="s">
        <v>1023</v>
      </c>
    </row>
    <row r="254" spans="1:15" x14ac:dyDescent="0.25">
      <c r="A254" s="13">
        <v>46084.506840277776</v>
      </c>
      <c r="B254" s="14" t="s">
        <v>288</v>
      </c>
      <c r="C254" s="14" t="s">
        <v>1024</v>
      </c>
      <c r="D254" s="14">
        <v>603109</v>
      </c>
      <c r="E254" s="14" t="s">
        <v>290</v>
      </c>
      <c r="F254" s="14" t="s">
        <v>291</v>
      </c>
      <c r="G254" s="14" t="s">
        <v>292</v>
      </c>
      <c r="H254" s="14" t="s">
        <v>15</v>
      </c>
      <c r="I254" s="14" t="s">
        <v>45</v>
      </c>
      <c r="J254" s="14" t="s">
        <v>7</v>
      </c>
      <c r="K254" s="14" t="s">
        <v>1025</v>
      </c>
      <c r="L254" s="15">
        <v>46089</v>
      </c>
      <c r="M254" s="14" t="s">
        <v>41</v>
      </c>
      <c r="N254" s="14" t="s">
        <v>416</v>
      </c>
      <c r="O254" s="14" t="s">
        <v>294</v>
      </c>
    </row>
    <row r="255" spans="1:15" x14ac:dyDescent="0.25">
      <c r="A255" s="13">
        <v>46084.491562499999</v>
      </c>
      <c r="B255" s="14" t="s">
        <v>137</v>
      </c>
      <c r="C255" s="14" t="s">
        <v>1026</v>
      </c>
      <c r="D255" s="14">
        <v>602631</v>
      </c>
      <c r="E255" s="14" t="s">
        <v>139</v>
      </c>
      <c r="F255" s="14" t="s">
        <v>112</v>
      </c>
      <c r="G255" s="14" t="s">
        <v>113</v>
      </c>
      <c r="H255" s="14" t="s">
        <v>15</v>
      </c>
      <c r="I255" s="14" t="s">
        <v>45</v>
      </c>
      <c r="J255" s="14" t="s">
        <v>7</v>
      </c>
      <c r="K255" s="14" t="s">
        <v>412</v>
      </c>
      <c r="L255" s="15">
        <v>46087</v>
      </c>
      <c r="M255" s="14" t="s">
        <v>537</v>
      </c>
      <c r="N255" s="14" t="s">
        <v>115</v>
      </c>
      <c r="O255" s="14" t="s">
        <v>143</v>
      </c>
    </row>
    <row r="256" spans="1:15" x14ac:dyDescent="0.25">
      <c r="A256" s="13">
        <v>46084.483865740738</v>
      </c>
      <c r="B256" s="14" t="s">
        <v>137</v>
      </c>
      <c r="C256" s="14" t="s">
        <v>1027</v>
      </c>
      <c r="D256" s="14">
        <v>602631</v>
      </c>
      <c r="E256" s="14" t="s">
        <v>139</v>
      </c>
      <c r="F256" s="14" t="s">
        <v>112</v>
      </c>
      <c r="G256" s="14" t="s">
        <v>113</v>
      </c>
      <c r="H256" s="14" t="s">
        <v>15</v>
      </c>
      <c r="I256" s="14" t="s">
        <v>45</v>
      </c>
      <c r="J256" s="14" t="s">
        <v>7</v>
      </c>
      <c r="K256" s="14" t="s">
        <v>412</v>
      </c>
      <c r="L256" s="15">
        <v>46087</v>
      </c>
      <c r="M256" s="14" t="s">
        <v>537</v>
      </c>
      <c r="N256" s="14" t="s">
        <v>115</v>
      </c>
      <c r="O256" s="14" t="s">
        <v>143</v>
      </c>
    </row>
    <row r="257" spans="1:15" x14ac:dyDescent="0.25">
      <c r="A257" s="13">
        <v>46084.463506944441</v>
      </c>
      <c r="B257" s="14" t="s">
        <v>90</v>
      </c>
      <c r="C257" s="14" t="s">
        <v>1028</v>
      </c>
      <c r="D257" s="14">
        <v>609839</v>
      </c>
      <c r="E257" s="14" t="s">
        <v>92</v>
      </c>
      <c r="F257" s="14" t="s">
        <v>93</v>
      </c>
      <c r="G257" s="14" t="s">
        <v>94</v>
      </c>
      <c r="H257" s="14" t="s">
        <v>15</v>
      </c>
      <c r="I257" s="14" t="s">
        <v>45</v>
      </c>
      <c r="J257" s="14" t="s">
        <v>7</v>
      </c>
      <c r="K257" s="14" t="s">
        <v>1029</v>
      </c>
      <c r="L257" s="15">
        <v>46086</v>
      </c>
      <c r="M257" s="14" t="s">
        <v>41</v>
      </c>
      <c r="N257" s="14" t="s">
        <v>822</v>
      </c>
      <c r="O257" s="14" t="s">
        <v>96</v>
      </c>
    </row>
    <row r="258" spans="1:15" x14ac:dyDescent="0.25">
      <c r="A258" s="13">
        <v>46084.38417824074</v>
      </c>
      <c r="B258" s="14" t="s">
        <v>82</v>
      </c>
      <c r="C258" s="14" t="s">
        <v>1030</v>
      </c>
      <c r="D258" s="14">
        <v>609121</v>
      </c>
      <c r="E258" s="14" t="s">
        <v>1031</v>
      </c>
      <c r="F258" s="14" t="s">
        <v>85</v>
      </c>
      <c r="G258" s="14" t="s">
        <v>86</v>
      </c>
      <c r="H258" s="14" t="s">
        <v>15</v>
      </c>
      <c r="I258" s="14" t="s">
        <v>45</v>
      </c>
      <c r="J258" s="14" t="s">
        <v>7</v>
      </c>
      <c r="K258" s="14" t="s">
        <v>906</v>
      </c>
      <c r="L258" s="15">
        <v>46084</v>
      </c>
      <c r="M258" s="14" t="s">
        <v>87</v>
      </c>
      <c r="N258" s="14" t="s">
        <v>11</v>
      </c>
      <c r="O258" s="14" t="s">
        <v>1032</v>
      </c>
    </row>
    <row r="259" spans="1:15" x14ac:dyDescent="0.25">
      <c r="A259" s="13">
        <v>46083.707129629627</v>
      </c>
      <c r="B259" s="14" t="s">
        <v>325</v>
      </c>
      <c r="C259" s="14" t="s">
        <v>1033</v>
      </c>
      <c r="D259" s="14">
        <v>605637</v>
      </c>
      <c r="E259" s="14" t="s">
        <v>327</v>
      </c>
      <c r="F259" s="14" t="s">
        <v>50</v>
      </c>
      <c r="G259" s="14" t="s">
        <v>1034</v>
      </c>
      <c r="H259" s="14" t="s">
        <v>16</v>
      </c>
      <c r="I259" s="14" t="s">
        <v>38</v>
      </c>
      <c r="J259" s="14" t="s">
        <v>7</v>
      </c>
      <c r="K259" s="14" t="s">
        <v>1035</v>
      </c>
      <c r="L259" s="15">
        <v>46086</v>
      </c>
      <c r="M259" s="14" t="s">
        <v>141</v>
      </c>
      <c r="N259" s="14" t="s">
        <v>756</v>
      </c>
      <c r="O259" s="14" t="s">
        <v>328</v>
      </c>
    </row>
    <row r="260" spans="1:15" x14ac:dyDescent="0.25">
      <c r="A260" s="13">
        <v>46083.658055555556</v>
      </c>
      <c r="B260" s="14" t="s">
        <v>137</v>
      </c>
      <c r="C260" s="14" t="s">
        <v>1036</v>
      </c>
      <c r="D260" s="14">
        <v>602631</v>
      </c>
      <c r="E260" s="14" t="s">
        <v>139</v>
      </c>
      <c r="F260" s="14" t="s">
        <v>112</v>
      </c>
      <c r="G260" s="14" t="s">
        <v>113</v>
      </c>
      <c r="H260" s="14" t="s">
        <v>15</v>
      </c>
      <c r="I260" s="14" t="s">
        <v>45</v>
      </c>
      <c r="J260" s="14" t="s">
        <v>9</v>
      </c>
      <c r="K260" s="14" t="s">
        <v>1037</v>
      </c>
      <c r="L260" s="14" t="s">
        <v>40</v>
      </c>
      <c r="M260" s="14" t="s">
        <v>537</v>
      </c>
      <c r="N260" s="14" t="s">
        <v>241</v>
      </c>
      <c r="O260" s="14" t="s">
        <v>143</v>
      </c>
    </row>
    <row r="261" spans="1:15" x14ac:dyDescent="0.25">
      <c r="A261" s="13">
        <v>46083.619976851849</v>
      </c>
      <c r="B261" s="14" t="s">
        <v>1038</v>
      </c>
      <c r="C261" s="14" t="s">
        <v>1039</v>
      </c>
      <c r="D261" s="14">
        <v>605022</v>
      </c>
      <c r="E261" s="14" t="s">
        <v>1040</v>
      </c>
      <c r="F261" s="14" t="s">
        <v>71</v>
      </c>
      <c r="G261" s="14" t="s">
        <v>100</v>
      </c>
      <c r="H261" s="14" t="s">
        <v>15</v>
      </c>
      <c r="I261" s="14" t="s">
        <v>45</v>
      </c>
      <c r="J261" s="14" t="s">
        <v>7</v>
      </c>
      <c r="K261" s="14" t="s">
        <v>917</v>
      </c>
      <c r="L261" s="15">
        <v>46089</v>
      </c>
      <c r="M261" s="14" t="s">
        <v>66</v>
      </c>
      <c r="N261" s="14" t="s">
        <v>626</v>
      </c>
      <c r="O261" s="14" t="s">
        <v>1041</v>
      </c>
    </row>
    <row r="262" spans="1:15" x14ac:dyDescent="0.25">
      <c r="A262" s="13">
        <v>46083.544456018521</v>
      </c>
      <c r="B262" s="14" t="s">
        <v>151</v>
      </c>
      <c r="C262" s="14" t="s">
        <v>1042</v>
      </c>
      <c r="D262" s="14">
        <v>609275</v>
      </c>
      <c r="E262" s="14" t="s">
        <v>153</v>
      </c>
      <c r="F262" s="14" t="s">
        <v>50</v>
      </c>
      <c r="G262" s="14" t="s">
        <v>1034</v>
      </c>
      <c r="H262" s="14" t="s">
        <v>15</v>
      </c>
      <c r="I262" s="14" t="s">
        <v>45</v>
      </c>
      <c r="J262" s="14" t="s">
        <v>6</v>
      </c>
      <c r="K262" s="14" t="s">
        <v>1043</v>
      </c>
      <c r="L262" s="15">
        <v>46089</v>
      </c>
      <c r="M262" s="14" t="s">
        <v>141</v>
      </c>
      <c r="N262" s="14" t="s">
        <v>997</v>
      </c>
      <c r="O262" s="14" t="s">
        <v>154</v>
      </c>
    </row>
    <row r="263" spans="1:15" x14ac:dyDescent="0.25">
      <c r="A263" s="13">
        <v>46083.457291666666</v>
      </c>
      <c r="B263" s="14" t="s">
        <v>517</v>
      </c>
      <c r="C263" s="14" t="s">
        <v>1044</v>
      </c>
      <c r="D263" s="14">
        <v>603530</v>
      </c>
      <c r="E263" s="14" t="s">
        <v>519</v>
      </c>
      <c r="F263" s="14" t="s">
        <v>520</v>
      </c>
      <c r="G263" s="14" t="s">
        <v>521</v>
      </c>
      <c r="H263" s="14" t="s">
        <v>15</v>
      </c>
      <c r="I263" s="14" t="s">
        <v>45</v>
      </c>
      <c r="J263" s="14" t="s">
        <v>7</v>
      </c>
      <c r="K263" s="14" t="s">
        <v>1045</v>
      </c>
      <c r="L263" s="15">
        <v>46089</v>
      </c>
      <c r="M263" s="14" t="s">
        <v>141</v>
      </c>
      <c r="N263" s="14" t="s">
        <v>997</v>
      </c>
      <c r="O263" s="14" t="s">
        <v>522</v>
      </c>
    </row>
    <row r="264" spans="1:15" x14ac:dyDescent="0.25">
      <c r="A264" s="13">
        <v>46083.437418981484</v>
      </c>
      <c r="B264" s="14" t="s">
        <v>1046</v>
      </c>
      <c r="C264" s="14" t="s">
        <v>1047</v>
      </c>
      <c r="D264" s="14">
        <v>609701</v>
      </c>
      <c r="E264" s="14" t="s">
        <v>1048</v>
      </c>
      <c r="F264" s="14" t="s">
        <v>71</v>
      </c>
      <c r="G264" s="14" t="s">
        <v>72</v>
      </c>
      <c r="H264" s="14" t="s">
        <v>15</v>
      </c>
      <c r="I264" s="14" t="s">
        <v>45</v>
      </c>
      <c r="J264" s="14" t="s">
        <v>7</v>
      </c>
      <c r="K264" s="14" t="s">
        <v>412</v>
      </c>
      <c r="L264" s="15">
        <v>46086</v>
      </c>
      <c r="M264" s="14" t="s">
        <v>74</v>
      </c>
      <c r="N264" s="14" t="s">
        <v>115</v>
      </c>
      <c r="O264" s="14" t="s">
        <v>1049</v>
      </c>
    </row>
    <row r="265" spans="1:15" x14ac:dyDescent="0.25">
      <c r="A265" s="13">
        <v>46083.435370370367</v>
      </c>
      <c r="B265" s="14" t="s">
        <v>90</v>
      </c>
      <c r="C265" s="14" t="s">
        <v>1050</v>
      </c>
      <c r="D265" s="14">
        <v>609839</v>
      </c>
      <c r="E265" s="14" t="s">
        <v>92</v>
      </c>
      <c r="F265" s="14" t="s">
        <v>93</v>
      </c>
      <c r="G265" s="14" t="s">
        <v>94</v>
      </c>
      <c r="H265" s="14" t="s">
        <v>15</v>
      </c>
      <c r="I265" s="14" t="s">
        <v>45</v>
      </c>
      <c r="J265" s="14" t="s">
        <v>7</v>
      </c>
      <c r="K265" s="14" t="s">
        <v>977</v>
      </c>
      <c r="L265" s="15">
        <v>46083</v>
      </c>
      <c r="M265" s="14" t="s">
        <v>41</v>
      </c>
      <c r="N265" s="14" t="s">
        <v>12</v>
      </c>
      <c r="O265" s="14" t="s">
        <v>96</v>
      </c>
    </row>
    <row r="266" spans="1:15" x14ac:dyDescent="0.25">
      <c r="A266" s="13">
        <v>46083.39340277778</v>
      </c>
      <c r="B266" s="14" t="s">
        <v>109</v>
      </c>
      <c r="C266" s="14" t="s">
        <v>1051</v>
      </c>
      <c r="D266" s="14">
        <v>609819</v>
      </c>
      <c r="E266" s="14" t="s">
        <v>111</v>
      </c>
      <c r="F266" s="14" t="s">
        <v>112</v>
      </c>
      <c r="G266" s="14" t="s">
        <v>113</v>
      </c>
      <c r="H266" s="14" t="s">
        <v>15</v>
      </c>
      <c r="I266" s="14" t="s">
        <v>45</v>
      </c>
      <c r="J266" s="14" t="s">
        <v>7</v>
      </c>
      <c r="K266" s="14" t="s">
        <v>80</v>
      </c>
      <c r="L266" s="15">
        <v>46083</v>
      </c>
      <c r="M266" s="14" t="s">
        <v>41</v>
      </c>
      <c r="N266" s="14" t="s">
        <v>11</v>
      </c>
      <c r="O266" s="14" t="s">
        <v>116</v>
      </c>
    </row>
    <row r="267" spans="1:15" x14ac:dyDescent="0.25">
      <c r="A267" s="13">
        <v>46080.689236111109</v>
      </c>
      <c r="B267" s="14" t="s">
        <v>1052</v>
      </c>
      <c r="C267" s="14" t="s">
        <v>1053</v>
      </c>
      <c r="D267" s="14">
        <v>609696</v>
      </c>
      <c r="E267" s="14" t="s">
        <v>1054</v>
      </c>
      <c r="F267" s="14" t="s">
        <v>71</v>
      </c>
      <c r="G267" s="14" t="s">
        <v>72</v>
      </c>
      <c r="H267" s="14" t="s">
        <v>15</v>
      </c>
      <c r="I267" s="14" t="s">
        <v>45</v>
      </c>
      <c r="J267" s="14" t="s">
        <v>7</v>
      </c>
      <c r="K267" s="14" t="s">
        <v>931</v>
      </c>
      <c r="L267" s="15">
        <v>46080</v>
      </c>
      <c r="M267" s="14" t="s">
        <v>74</v>
      </c>
      <c r="N267" s="14" t="s">
        <v>11</v>
      </c>
      <c r="O267" s="14" t="s">
        <v>1055</v>
      </c>
    </row>
    <row r="268" spans="1:15" x14ac:dyDescent="0.25">
      <c r="A268" s="13">
        <v>46080.605439814812</v>
      </c>
      <c r="B268" s="14" t="s">
        <v>1056</v>
      </c>
      <c r="C268" s="14" t="s">
        <v>1057</v>
      </c>
      <c r="D268" s="14">
        <v>603806</v>
      </c>
      <c r="E268" s="14" t="s">
        <v>1058</v>
      </c>
      <c r="F268" s="14" t="s">
        <v>36</v>
      </c>
      <c r="G268" s="14" t="s">
        <v>362</v>
      </c>
      <c r="H268" s="14" t="s">
        <v>15</v>
      </c>
      <c r="I268" s="14" t="s">
        <v>45</v>
      </c>
      <c r="J268" s="14" t="s">
        <v>7</v>
      </c>
      <c r="K268" s="14" t="s">
        <v>1059</v>
      </c>
      <c r="L268" s="15">
        <v>46080</v>
      </c>
      <c r="M268" s="14" t="s">
        <v>41</v>
      </c>
      <c r="N268" s="14" t="s">
        <v>12</v>
      </c>
      <c r="O268" s="14" t="s">
        <v>1060</v>
      </c>
    </row>
    <row r="269" spans="1:15" x14ac:dyDescent="0.25">
      <c r="A269" s="13">
        <v>46080.571898148148</v>
      </c>
      <c r="B269" s="14" t="s">
        <v>288</v>
      </c>
      <c r="C269" s="14" t="s">
        <v>1061</v>
      </c>
      <c r="D269" s="14">
        <v>603109</v>
      </c>
      <c r="E269" s="14" t="s">
        <v>290</v>
      </c>
      <c r="F269" s="14" t="s">
        <v>291</v>
      </c>
      <c r="G269" s="14" t="s">
        <v>292</v>
      </c>
      <c r="H269" s="14" t="s">
        <v>15</v>
      </c>
      <c r="I269" s="14" t="s">
        <v>45</v>
      </c>
      <c r="J269" s="14" t="s">
        <v>7</v>
      </c>
      <c r="K269" s="14" t="s">
        <v>1062</v>
      </c>
      <c r="L269" s="15">
        <v>46083</v>
      </c>
      <c r="M269" s="14" t="s">
        <v>41</v>
      </c>
      <c r="N269" s="14" t="s">
        <v>12</v>
      </c>
      <c r="O269" s="14" t="s">
        <v>294</v>
      </c>
    </row>
    <row r="270" spans="1:15" x14ac:dyDescent="0.25">
      <c r="A270" s="13">
        <v>46080.430486111109</v>
      </c>
      <c r="B270" s="14" t="s">
        <v>401</v>
      </c>
      <c r="C270" s="14" t="s">
        <v>1063</v>
      </c>
      <c r="D270" s="14">
        <v>603485</v>
      </c>
      <c r="E270" s="14" t="s">
        <v>403</v>
      </c>
      <c r="F270" s="14" t="s">
        <v>93</v>
      </c>
      <c r="G270" s="14" t="s">
        <v>94</v>
      </c>
      <c r="H270" s="14" t="s">
        <v>15</v>
      </c>
      <c r="I270" s="14" t="s">
        <v>45</v>
      </c>
      <c r="J270" s="14" t="s">
        <v>7</v>
      </c>
      <c r="K270" s="14" t="s">
        <v>527</v>
      </c>
      <c r="L270" s="15">
        <v>46080</v>
      </c>
      <c r="M270" s="14" t="s">
        <v>41</v>
      </c>
      <c r="N270" s="14" t="s">
        <v>11</v>
      </c>
      <c r="O270" s="14" t="s">
        <v>405</v>
      </c>
    </row>
    <row r="271" spans="1:15" x14ac:dyDescent="0.25">
      <c r="A271" s="13">
        <v>46079.700057870374</v>
      </c>
      <c r="B271" s="14" t="s">
        <v>769</v>
      </c>
      <c r="C271" s="14" t="s">
        <v>1064</v>
      </c>
      <c r="D271" s="14">
        <v>605355</v>
      </c>
      <c r="E271" s="14" t="s">
        <v>771</v>
      </c>
      <c r="F271" s="14" t="s">
        <v>93</v>
      </c>
      <c r="G271" s="14" t="s">
        <v>94</v>
      </c>
      <c r="H271" s="14" t="s">
        <v>16</v>
      </c>
      <c r="I271" s="14" t="s">
        <v>38</v>
      </c>
      <c r="J271" s="14" t="s">
        <v>7</v>
      </c>
      <c r="K271" s="14" t="s">
        <v>1065</v>
      </c>
      <c r="L271" s="15">
        <v>46084</v>
      </c>
      <c r="M271" s="14" t="s">
        <v>41</v>
      </c>
      <c r="N271" s="14" t="s">
        <v>482</v>
      </c>
      <c r="O271" s="14" t="s">
        <v>773</v>
      </c>
    </row>
    <row r="272" spans="1:15" x14ac:dyDescent="0.25">
      <c r="A272" s="13">
        <v>46079.683483796296</v>
      </c>
      <c r="B272" s="14" t="s">
        <v>1066</v>
      </c>
      <c r="C272" s="14" t="s">
        <v>1067</v>
      </c>
      <c r="D272" s="14">
        <v>601382</v>
      </c>
      <c r="E272" s="14" t="s">
        <v>1068</v>
      </c>
      <c r="F272" s="14" t="s">
        <v>93</v>
      </c>
      <c r="G272" s="14" t="s">
        <v>94</v>
      </c>
      <c r="H272" s="14" t="s">
        <v>15</v>
      </c>
      <c r="I272" s="14" t="s">
        <v>45</v>
      </c>
      <c r="J272" s="14" t="s">
        <v>9</v>
      </c>
      <c r="K272" s="14" t="s">
        <v>1069</v>
      </c>
      <c r="L272" s="14" t="s">
        <v>40</v>
      </c>
      <c r="M272" s="14" t="s">
        <v>41</v>
      </c>
      <c r="N272" s="14" t="s">
        <v>841</v>
      </c>
      <c r="O272" s="14" t="s">
        <v>1070</v>
      </c>
    </row>
    <row r="273" spans="1:15" x14ac:dyDescent="0.25">
      <c r="A273" s="13">
        <v>46079.627268518518</v>
      </c>
      <c r="B273" s="14" t="s">
        <v>1066</v>
      </c>
      <c r="C273" s="14" t="s">
        <v>1071</v>
      </c>
      <c r="D273" s="14">
        <v>602471</v>
      </c>
      <c r="E273" s="14" t="s">
        <v>1072</v>
      </c>
      <c r="F273" s="14" t="s">
        <v>93</v>
      </c>
      <c r="G273" s="14" t="s">
        <v>94</v>
      </c>
      <c r="H273" s="14" t="s">
        <v>15</v>
      </c>
      <c r="I273" s="14" t="s">
        <v>45</v>
      </c>
      <c r="J273" s="14" t="s">
        <v>7</v>
      </c>
      <c r="K273" s="14" t="s">
        <v>843</v>
      </c>
      <c r="L273" s="15">
        <v>46081</v>
      </c>
      <c r="M273" s="14" t="s">
        <v>41</v>
      </c>
      <c r="N273" s="14" t="s">
        <v>841</v>
      </c>
      <c r="O273" s="14" t="s">
        <v>1070</v>
      </c>
    </row>
    <row r="274" spans="1:15" x14ac:dyDescent="0.25">
      <c r="A274" s="13">
        <v>46079.585787037038</v>
      </c>
      <c r="B274" s="14" t="s">
        <v>1066</v>
      </c>
      <c r="C274" s="14" t="s">
        <v>1073</v>
      </c>
      <c r="D274" s="14">
        <v>602471</v>
      </c>
      <c r="E274" s="14" t="s">
        <v>1072</v>
      </c>
      <c r="F274" s="14" t="s">
        <v>93</v>
      </c>
      <c r="G274" s="14" t="s">
        <v>94</v>
      </c>
      <c r="H274" s="14" t="s">
        <v>16</v>
      </c>
      <c r="I274" s="14" t="s">
        <v>38</v>
      </c>
      <c r="J274" s="14" t="s">
        <v>7</v>
      </c>
      <c r="K274" s="14" t="s">
        <v>1074</v>
      </c>
      <c r="L274" s="15">
        <v>46084</v>
      </c>
      <c r="M274" s="14" t="s">
        <v>41</v>
      </c>
      <c r="N274" s="14" t="s">
        <v>472</v>
      </c>
      <c r="O274" s="14" t="s">
        <v>1070</v>
      </c>
    </row>
    <row r="275" spans="1:15" x14ac:dyDescent="0.25">
      <c r="A275" s="13">
        <v>46079.543206018519</v>
      </c>
      <c r="B275" s="14" t="s">
        <v>1075</v>
      </c>
      <c r="C275" s="14" t="s">
        <v>1076</v>
      </c>
      <c r="D275" s="14">
        <v>603644</v>
      </c>
      <c r="E275" s="14" t="s">
        <v>1077</v>
      </c>
      <c r="F275" s="14" t="s">
        <v>699</v>
      </c>
      <c r="G275" s="14" t="s">
        <v>700</v>
      </c>
      <c r="H275" s="14" t="s">
        <v>15</v>
      </c>
      <c r="I275" s="14" t="s">
        <v>45</v>
      </c>
      <c r="J275" s="14" t="s">
        <v>7</v>
      </c>
      <c r="K275" s="14" t="s">
        <v>1078</v>
      </c>
      <c r="L275" s="15">
        <v>46087</v>
      </c>
      <c r="M275" s="14" t="s">
        <v>141</v>
      </c>
      <c r="N275" s="14" t="s">
        <v>822</v>
      </c>
      <c r="O275" s="14" t="s">
        <v>1079</v>
      </c>
    </row>
    <row r="276" spans="1:15" x14ac:dyDescent="0.25">
      <c r="A276" s="13">
        <v>46079.469247685185</v>
      </c>
      <c r="B276" s="14" t="s">
        <v>947</v>
      </c>
      <c r="C276" s="14" t="s">
        <v>1080</v>
      </c>
      <c r="D276" s="14">
        <v>609974</v>
      </c>
      <c r="E276" s="14" t="s">
        <v>949</v>
      </c>
      <c r="F276" s="14" t="s">
        <v>71</v>
      </c>
      <c r="G276" s="14" t="s">
        <v>100</v>
      </c>
      <c r="H276" s="14" t="s">
        <v>16</v>
      </c>
      <c r="I276" s="14" t="s">
        <v>38</v>
      </c>
      <c r="J276" s="14" t="s">
        <v>7</v>
      </c>
      <c r="K276" s="14" t="s">
        <v>847</v>
      </c>
      <c r="L276" s="15">
        <v>46083</v>
      </c>
      <c r="M276" s="14" t="s">
        <v>66</v>
      </c>
      <c r="N276" s="14" t="s">
        <v>135</v>
      </c>
      <c r="O276" s="14" t="s">
        <v>951</v>
      </c>
    </row>
    <row r="277" spans="1:15" x14ac:dyDescent="0.25">
      <c r="A277" s="7">
        <v>46078.960810185185</v>
      </c>
      <c r="B277" s="8" t="s">
        <v>529</v>
      </c>
      <c r="C277" s="8" t="s">
        <v>1081</v>
      </c>
      <c r="D277" s="8">
        <v>605539</v>
      </c>
      <c r="E277" s="8" t="s">
        <v>531</v>
      </c>
      <c r="F277" s="8" t="s">
        <v>207</v>
      </c>
      <c r="G277" s="8" t="s">
        <v>532</v>
      </c>
      <c r="H277" s="8" t="s">
        <v>16</v>
      </c>
      <c r="I277" s="8" t="s">
        <v>38</v>
      </c>
      <c r="J277" s="8" t="s">
        <v>6</v>
      </c>
      <c r="K277" s="8" t="s">
        <v>1082</v>
      </c>
      <c r="L277" s="9">
        <v>46083</v>
      </c>
      <c r="M277" s="8" t="s">
        <v>141</v>
      </c>
      <c r="N277" s="8" t="s">
        <v>1083</v>
      </c>
      <c r="O277" s="8" t="s">
        <v>533</v>
      </c>
    </row>
    <row r="278" spans="1:15" x14ac:dyDescent="0.25">
      <c r="A278" s="7">
        <v>46078.956099537034</v>
      </c>
      <c r="B278" s="8" t="s">
        <v>211</v>
      </c>
      <c r="C278" s="8" t="s">
        <v>1084</v>
      </c>
      <c r="D278" s="8">
        <v>602454</v>
      </c>
      <c r="E278" s="8" t="s">
        <v>213</v>
      </c>
      <c r="F278" s="8" t="s">
        <v>71</v>
      </c>
      <c r="G278" s="8" t="s">
        <v>100</v>
      </c>
      <c r="H278" s="8" t="s">
        <v>15</v>
      </c>
      <c r="I278" s="8" t="s">
        <v>45</v>
      </c>
      <c r="J278" s="8" t="s">
        <v>7</v>
      </c>
      <c r="K278" s="8" t="s">
        <v>1085</v>
      </c>
      <c r="L278" s="9">
        <v>46079</v>
      </c>
      <c r="M278" s="8" t="s">
        <v>66</v>
      </c>
      <c r="N278" s="8" t="s">
        <v>11</v>
      </c>
      <c r="O278" s="8" t="s">
        <v>216</v>
      </c>
    </row>
    <row r="279" spans="1:15" x14ac:dyDescent="0.25">
      <c r="A279" s="7">
        <v>46078.955289351848</v>
      </c>
      <c r="B279" s="8" t="s">
        <v>211</v>
      </c>
      <c r="C279" s="8" t="s">
        <v>1086</v>
      </c>
      <c r="D279" s="8">
        <v>602454</v>
      </c>
      <c r="E279" s="8" t="s">
        <v>213</v>
      </c>
      <c r="F279" s="8" t="s">
        <v>71</v>
      </c>
      <c r="G279" s="8" t="s">
        <v>100</v>
      </c>
      <c r="H279" s="8" t="s">
        <v>16</v>
      </c>
      <c r="I279" s="8" t="s">
        <v>38</v>
      </c>
      <c r="J279" s="8" t="s">
        <v>7</v>
      </c>
      <c r="K279" s="8" t="s">
        <v>357</v>
      </c>
      <c r="L279" s="9">
        <v>46083</v>
      </c>
      <c r="M279" s="8" t="s">
        <v>66</v>
      </c>
      <c r="N279" s="8" t="s">
        <v>135</v>
      </c>
      <c r="O279" s="8" t="s">
        <v>216</v>
      </c>
    </row>
    <row r="280" spans="1:15" x14ac:dyDescent="0.25">
      <c r="A280" s="7">
        <v>46078.954270833332</v>
      </c>
      <c r="B280" s="8" t="s">
        <v>211</v>
      </c>
      <c r="C280" s="8" t="s">
        <v>1087</v>
      </c>
      <c r="D280" s="8">
        <v>602454</v>
      </c>
      <c r="E280" s="8" t="s">
        <v>213</v>
      </c>
      <c r="F280" s="8" t="s">
        <v>71</v>
      </c>
      <c r="G280" s="8" t="s">
        <v>100</v>
      </c>
      <c r="H280" s="8" t="s">
        <v>16</v>
      </c>
      <c r="I280" s="8" t="s">
        <v>38</v>
      </c>
      <c r="J280" s="8" t="s">
        <v>7</v>
      </c>
      <c r="K280" s="8" t="s">
        <v>809</v>
      </c>
      <c r="L280" s="9">
        <v>46083</v>
      </c>
      <c r="M280" s="8" t="s">
        <v>66</v>
      </c>
      <c r="N280" s="8" t="s">
        <v>135</v>
      </c>
      <c r="O280" s="8" t="s">
        <v>216</v>
      </c>
    </row>
    <row r="281" spans="1:15" x14ac:dyDescent="0.25">
      <c r="A281" s="7">
        <v>46078.615277777775</v>
      </c>
      <c r="B281" s="8" t="s">
        <v>1088</v>
      </c>
      <c r="C281" s="8" t="s">
        <v>1089</v>
      </c>
      <c r="D281" s="8">
        <v>603965</v>
      </c>
      <c r="E281" s="8" t="s">
        <v>1090</v>
      </c>
      <c r="F281" s="8" t="s">
        <v>158</v>
      </c>
      <c r="G281" s="8" t="s">
        <v>159</v>
      </c>
      <c r="H281" s="8" t="s">
        <v>15</v>
      </c>
      <c r="I281" s="8" t="s">
        <v>45</v>
      </c>
      <c r="J281" s="8" t="s">
        <v>7</v>
      </c>
      <c r="K281" s="8" t="s">
        <v>1091</v>
      </c>
      <c r="L281" s="9">
        <v>46078</v>
      </c>
      <c r="M281" s="8" t="s">
        <v>41</v>
      </c>
      <c r="N281" s="8" t="s">
        <v>11</v>
      </c>
      <c r="O281" s="8" t="s">
        <v>1092</v>
      </c>
    </row>
    <row r="282" spans="1:15" x14ac:dyDescent="0.25">
      <c r="A282" s="7">
        <v>46078.387800925928</v>
      </c>
      <c r="B282" s="8" t="s">
        <v>1093</v>
      </c>
      <c r="C282" s="8" t="s">
        <v>1094</v>
      </c>
      <c r="D282" s="8">
        <v>603763</v>
      </c>
      <c r="E282" s="8" t="s">
        <v>1095</v>
      </c>
      <c r="F282" s="8" t="s">
        <v>93</v>
      </c>
      <c r="G282" s="8" t="s">
        <v>94</v>
      </c>
      <c r="H282" s="8" t="s">
        <v>15</v>
      </c>
      <c r="I282" s="8" t="s">
        <v>45</v>
      </c>
      <c r="J282" s="8" t="s">
        <v>7</v>
      </c>
      <c r="K282" s="8" t="s">
        <v>1096</v>
      </c>
      <c r="L282" s="9">
        <v>46078</v>
      </c>
      <c r="M282" s="8" t="s">
        <v>41</v>
      </c>
      <c r="N282" s="8" t="s">
        <v>11</v>
      </c>
      <c r="O282" s="8" t="s">
        <v>1097</v>
      </c>
    </row>
    <row r="283" spans="1:15" x14ac:dyDescent="0.25">
      <c r="A283" s="7">
        <v>46077.595277777778</v>
      </c>
      <c r="B283" s="8" t="s">
        <v>1098</v>
      </c>
      <c r="C283" s="8" t="s">
        <v>1099</v>
      </c>
      <c r="D283" s="8">
        <v>606873</v>
      </c>
      <c r="E283" s="8" t="s">
        <v>1100</v>
      </c>
      <c r="F283" s="8" t="s">
        <v>93</v>
      </c>
      <c r="G283" s="8" t="s">
        <v>94</v>
      </c>
      <c r="H283" s="8" t="s">
        <v>16</v>
      </c>
      <c r="I283" s="8" t="s">
        <v>38</v>
      </c>
      <c r="J283" s="8" t="s">
        <v>7</v>
      </c>
      <c r="K283" s="8" t="s">
        <v>128</v>
      </c>
      <c r="L283" s="9">
        <v>46080</v>
      </c>
      <c r="M283" s="8" t="s">
        <v>41</v>
      </c>
      <c r="N283" s="8" t="s">
        <v>472</v>
      </c>
      <c r="O283" s="8" t="s">
        <v>1101</v>
      </c>
    </row>
    <row r="284" spans="1:15" x14ac:dyDescent="0.25">
      <c r="A284" s="7">
        <v>46077.444305555553</v>
      </c>
      <c r="B284" s="8" t="s">
        <v>1102</v>
      </c>
      <c r="C284" s="8" t="s">
        <v>1103</v>
      </c>
      <c r="D284" s="8">
        <v>605116</v>
      </c>
      <c r="E284" s="8" t="s">
        <v>1104</v>
      </c>
      <c r="F284" s="8" t="s">
        <v>158</v>
      </c>
      <c r="G284" s="8" t="s">
        <v>159</v>
      </c>
      <c r="H284" s="8" t="s">
        <v>15</v>
      </c>
      <c r="I284" s="8" t="s">
        <v>45</v>
      </c>
      <c r="J284" s="8" t="s">
        <v>7</v>
      </c>
      <c r="K284" s="8" t="s">
        <v>1105</v>
      </c>
      <c r="L284" s="9">
        <v>46080</v>
      </c>
      <c r="M284" s="8" t="s">
        <v>41</v>
      </c>
      <c r="N284" s="8" t="s">
        <v>241</v>
      </c>
      <c r="O284" s="8" t="s">
        <v>1106</v>
      </c>
    </row>
    <row r="285" spans="1:15" x14ac:dyDescent="0.25">
      <c r="A285" s="7">
        <v>46077.397291666668</v>
      </c>
      <c r="B285" s="8" t="s">
        <v>989</v>
      </c>
      <c r="C285" s="8" t="s">
        <v>1107</v>
      </c>
      <c r="D285" s="8">
        <v>603493</v>
      </c>
      <c r="E285" s="8" t="s">
        <v>991</v>
      </c>
      <c r="F285" s="8" t="s">
        <v>126</v>
      </c>
      <c r="G285" s="8" t="s">
        <v>133</v>
      </c>
      <c r="H285" s="8" t="s">
        <v>15</v>
      </c>
      <c r="I285" s="8" t="s">
        <v>45</v>
      </c>
      <c r="J285" s="8" t="s">
        <v>7</v>
      </c>
      <c r="K285" s="8" t="s">
        <v>1108</v>
      </c>
      <c r="L285" s="9">
        <v>46077</v>
      </c>
      <c r="M285" s="8" t="s">
        <v>141</v>
      </c>
      <c r="N285" s="8" t="s">
        <v>11</v>
      </c>
      <c r="O285" s="8" t="s">
        <v>993</v>
      </c>
    </row>
    <row r="286" spans="1:15" x14ac:dyDescent="0.25">
      <c r="A286" s="7">
        <v>46076.901122685187</v>
      </c>
      <c r="B286" s="8" t="s">
        <v>1109</v>
      </c>
      <c r="C286" s="8" t="s">
        <v>1110</v>
      </c>
      <c r="D286" s="8">
        <v>603927</v>
      </c>
      <c r="E286" s="8" t="s">
        <v>1111</v>
      </c>
      <c r="F286" s="8" t="s">
        <v>158</v>
      </c>
      <c r="G286" s="8" t="s">
        <v>159</v>
      </c>
      <c r="H286" s="8" t="s">
        <v>16</v>
      </c>
      <c r="I286" s="8" t="s">
        <v>38</v>
      </c>
      <c r="J286" s="8" t="s">
        <v>7</v>
      </c>
      <c r="K286" s="8" t="s">
        <v>1112</v>
      </c>
      <c r="L286" s="9">
        <v>46091</v>
      </c>
      <c r="M286" s="8" t="s">
        <v>41</v>
      </c>
      <c r="N286" s="8" t="s">
        <v>135</v>
      </c>
      <c r="O286" s="8" t="s">
        <v>1113</v>
      </c>
    </row>
    <row r="287" spans="1:15" x14ac:dyDescent="0.25">
      <c r="A287" s="7">
        <v>46076.667974537035</v>
      </c>
      <c r="B287" s="8" t="s">
        <v>1114</v>
      </c>
      <c r="C287" s="8" t="s">
        <v>1115</v>
      </c>
      <c r="D287" s="8">
        <v>603614</v>
      </c>
      <c r="E287" s="8" t="s">
        <v>1116</v>
      </c>
      <c r="F287" s="8" t="s">
        <v>1117</v>
      </c>
      <c r="G287" s="8" t="s">
        <v>1118</v>
      </c>
      <c r="H287" s="8" t="s">
        <v>15</v>
      </c>
      <c r="I287" s="8" t="s">
        <v>45</v>
      </c>
      <c r="J287" s="8" t="s">
        <v>7</v>
      </c>
      <c r="K287" s="8" t="s">
        <v>1119</v>
      </c>
      <c r="L287" s="9">
        <v>46082</v>
      </c>
      <c r="M287" s="8" t="s">
        <v>141</v>
      </c>
      <c r="N287" s="8" t="s">
        <v>626</v>
      </c>
      <c r="O287" s="8" t="s">
        <v>1120</v>
      </c>
    </row>
    <row r="288" spans="1:15" x14ac:dyDescent="0.25">
      <c r="A288" s="7">
        <v>46076.649872685186</v>
      </c>
      <c r="B288" s="8" t="s">
        <v>468</v>
      </c>
      <c r="C288" s="8" t="s">
        <v>1121</v>
      </c>
      <c r="D288" s="8">
        <v>601955</v>
      </c>
      <c r="E288" s="8" t="s">
        <v>470</v>
      </c>
      <c r="F288" s="8" t="s">
        <v>158</v>
      </c>
      <c r="G288" s="8" t="s">
        <v>159</v>
      </c>
      <c r="H288" s="8" t="s">
        <v>15</v>
      </c>
      <c r="I288" s="8" t="s">
        <v>45</v>
      </c>
      <c r="J288" s="8" t="s">
        <v>6</v>
      </c>
      <c r="K288" s="8" t="s">
        <v>1122</v>
      </c>
      <c r="L288" s="9">
        <v>46080</v>
      </c>
      <c r="M288" s="8" t="s">
        <v>41</v>
      </c>
      <c r="N288" s="8" t="s">
        <v>1123</v>
      </c>
      <c r="O288" s="8" t="s">
        <v>473</v>
      </c>
    </row>
    <row r="289" spans="1:15" x14ac:dyDescent="0.25">
      <c r="A289" s="7">
        <v>46076.644525462965</v>
      </c>
      <c r="B289" s="8" t="s">
        <v>1009</v>
      </c>
      <c r="C289" s="8" t="s">
        <v>1124</v>
      </c>
      <c r="D289" s="8">
        <v>601636</v>
      </c>
      <c r="E289" s="8" t="s">
        <v>1011</v>
      </c>
      <c r="F289" s="8" t="s">
        <v>126</v>
      </c>
      <c r="G289" s="8" t="s">
        <v>133</v>
      </c>
      <c r="H289" s="8" t="s">
        <v>15</v>
      </c>
      <c r="I289" s="8" t="s">
        <v>45</v>
      </c>
      <c r="J289" s="8" t="s">
        <v>7</v>
      </c>
      <c r="K289" s="8" t="s">
        <v>1125</v>
      </c>
      <c r="L289" s="9">
        <v>46077</v>
      </c>
      <c r="M289" s="8" t="s">
        <v>141</v>
      </c>
      <c r="N289" s="8" t="s">
        <v>11</v>
      </c>
      <c r="O289" s="8" t="s">
        <v>1012</v>
      </c>
    </row>
    <row r="290" spans="1:15" x14ac:dyDescent="0.25">
      <c r="A290" s="7">
        <v>46076.63349537037</v>
      </c>
      <c r="B290" s="8" t="s">
        <v>1126</v>
      </c>
      <c r="C290" s="8" t="s">
        <v>1127</v>
      </c>
      <c r="D290" s="8">
        <v>603941</v>
      </c>
      <c r="E290" s="8" t="s">
        <v>1128</v>
      </c>
      <c r="F290" s="8" t="s">
        <v>71</v>
      </c>
      <c r="G290" s="8" t="s">
        <v>72</v>
      </c>
      <c r="H290" s="8" t="s">
        <v>15</v>
      </c>
      <c r="I290" s="8" t="s">
        <v>45</v>
      </c>
      <c r="J290" s="8" t="s">
        <v>7</v>
      </c>
      <c r="K290" s="8" t="s">
        <v>1129</v>
      </c>
      <c r="L290" s="9">
        <v>46082</v>
      </c>
      <c r="M290" s="8" t="s">
        <v>66</v>
      </c>
      <c r="N290" s="8" t="s">
        <v>626</v>
      </c>
      <c r="O290" s="8" t="s">
        <v>1130</v>
      </c>
    </row>
    <row r="291" spans="1:15" x14ac:dyDescent="0.25">
      <c r="A291" s="7">
        <v>46076.613229166665</v>
      </c>
      <c r="B291" s="8" t="s">
        <v>97</v>
      </c>
      <c r="C291" s="8" t="s">
        <v>1131</v>
      </c>
      <c r="D291" s="8">
        <v>601196</v>
      </c>
      <c r="E291" s="8" t="s">
        <v>99</v>
      </c>
      <c r="F291" s="8" t="s">
        <v>71</v>
      </c>
      <c r="G291" s="8" t="s">
        <v>100</v>
      </c>
      <c r="H291" s="8" t="s">
        <v>15</v>
      </c>
      <c r="I291" s="8" t="s">
        <v>45</v>
      </c>
      <c r="J291" s="8" t="s">
        <v>7</v>
      </c>
      <c r="K291" s="8" t="s">
        <v>1132</v>
      </c>
      <c r="L291" s="9">
        <v>46076</v>
      </c>
      <c r="M291" s="8" t="s">
        <v>66</v>
      </c>
      <c r="N291" s="8" t="s">
        <v>11</v>
      </c>
      <c r="O291" s="8" t="s">
        <v>102</v>
      </c>
    </row>
    <row r="292" spans="1:15" x14ac:dyDescent="0.25">
      <c r="A292" s="7">
        <v>46076.47115740741</v>
      </c>
      <c r="B292" s="8" t="s">
        <v>1133</v>
      </c>
      <c r="C292" s="8" t="s">
        <v>1134</v>
      </c>
      <c r="D292" s="8">
        <v>608353</v>
      </c>
      <c r="E292" s="8" t="s">
        <v>1135</v>
      </c>
      <c r="F292" s="8" t="s">
        <v>1136</v>
      </c>
      <c r="G292" s="8" t="s">
        <v>1137</v>
      </c>
      <c r="H292" s="8" t="s">
        <v>15</v>
      </c>
      <c r="I292" s="8" t="s">
        <v>45</v>
      </c>
      <c r="J292" s="8" t="s">
        <v>7</v>
      </c>
      <c r="K292" s="8" t="s">
        <v>1138</v>
      </c>
      <c r="L292" s="9">
        <v>46076</v>
      </c>
      <c r="M292" s="8" t="s">
        <v>141</v>
      </c>
      <c r="N292" s="8" t="s">
        <v>12</v>
      </c>
      <c r="O292" s="8" t="s">
        <v>1139</v>
      </c>
    </row>
    <row r="293" spans="1:15" x14ac:dyDescent="0.25">
      <c r="A293" s="7">
        <v>46076.462071759262</v>
      </c>
      <c r="B293" s="8" t="s">
        <v>517</v>
      </c>
      <c r="C293" s="8" t="s">
        <v>1140</v>
      </c>
      <c r="D293" s="8">
        <v>603530</v>
      </c>
      <c r="E293" s="8" t="s">
        <v>519</v>
      </c>
      <c r="F293" s="8" t="s">
        <v>520</v>
      </c>
      <c r="G293" s="8" t="s">
        <v>521</v>
      </c>
      <c r="H293" s="8" t="s">
        <v>15</v>
      </c>
      <c r="I293" s="8" t="s">
        <v>45</v>
      </c>
      <c r="J293" s="8" t="s">
        <v>7</v>
      </c>
      <c r="K293" s="8" t="s">
        <v>1141</v>
      </c>
      <c r="L293" s="9">
        <v>46076</v>
      </c>
      <c r="M293" s="8" t="s">
        <v>141</v>
      </c>
      <c r="N293" s="8" t="s">
        <v>12</v>
      </c>
      <c r="O293" s="8" t="s">
        <v>522</v>
      </c>
    </row>
    <row r="294" spans="1:15" x14ac:dyDescent="0.25">
      <c r="A294" s="7">
        <v>46076.454710648148</v>
      </c>
      <c r="B294" s="8" t="s">
        <v>517</v>
      </c>
      <c r="C294" s="8" t="s">
        <v>1142</v>
      </c>
      <c r="D294" s="8">
        <v>603530</v>
      </c>
      <c r="E294" s="8" t="s">
        <v>519</v>
      </c>
      <c r="F294" s="8" t="s">
        <v>520</v>
      </c>
      <c r="G294" s="8" t="s">
        <v>521</v>
      </c>
      <c r="H294" s="8" t="s">
        <v>16</v>
      </c>
      <c r="I294" s="8" t="s">
        <v>38</v>
      </c>
      <c r="J294" s="8" t="s">
        <v>6</v>
      </c>
      <c r="K294" s="8" t="s">
        <v>1143</v>
      </c>
      <c r="L294" s="9">
        <v>46078</v>
      </c>
      <c r="M294" s="8" t="s">
        <v>141</v>
      </c>
      <c r="N294" s="8" t="s">
        <v>756</v>
      </c>
      <c r="O294" s="8" t="s">
        <v>522</v>
      </c>
    </row>
    <row r="295" spans="1:15" x14ac:dyDescent="0.25">
      <c r="A295" s="7">
        <v>46073.454375000001</v>
      </c>
      <c r="B295" s="8" t="s">
        <v>1144</v>
      </c>
      <c r="C295" s="8" t="s">
        <v>1145</v>
      </c>
      <c r="D295" s="8">
        <v>604414</v>
      </c>
      <c r="E295" s="8" t="s">
        <v>1146</v>
      </c>
      <c r="F295" s="8" t="s">
        <v>93</v>
      </c>
      <c r="G295" s="8" t="s">
        <v>94</v>
      </c>
      <c r="H295" s="8" t="s">
        <v>15</v>
      </c>
      <c r="I295" s="8" t="s">
        <v>45</v>
      </c>
      <c r="J295" s="8" t="s">
        <v>7</v>
      </c>
      <c r="K295" s="8" t="s">
        <v>977</v>
      </c>
      <c r="L295" s="9">
        <v>46073</v>
      </c>
      <c r="M295" s="8" t="s">
        <v>53</v>
      </c>
      <c r="N295" s="8" t="s">
        <v>12</v>
      </c>
      <c r="O295" s="8" t="s">
        <v>1147</v>
      </c>
    </row>
    <row r="296" spans="1:15" x14ac:dyDescent="0.25">
      <c r="A296" s="7">
        <v>46073.450659722221</v>
      </c>
      <c r="B296" s="8" t="s">
        <v>921</v>
      </c>
      <c r="C296" s="8" t="s">
        <v>1148</v>
      </c>
      <c r="D296" s="8">
        <v>603755</v>
      </c>
      <c r="E296" s="8" t="s">
        <v>923</v>
      </c>
      <c r="F296" s="8" t="s">
        <v>71</v>
      </c>
      <c r="G296" s="8" t="s">
        <v>100</v>
      </c>
      <c r="H296" s="8" t="s">
        <v>15</v>
      </c>
      <c r="I296" s="8" t="s">
        <v>45</v>
      </c>
      <c r="J296" s="8" t="s">
        <v>7</v>
      </c>
      <c r="K296" s="8" t="s">
        <v>1149</v>
      </c>
      <c r="L296" s="9">
        <v>46079</v>
      </c>
      <c r="M296" s="8" t="s">
        <v>66</v>
      </c>
      <c r="N296" s="8" t="s">
        <v>626</v>
      </c>
      <c r="O296" s="8" t="s">
        <v>925</v>
      </c>
    </row>
    <row r="297" spans="1:15" x14ac:dyDescent="0.25">
      <c r="A297" s="7">
        <v>46073.449490740742</v>
      </c>
      <c r="B297" s="8" t="s">
        <v>921</v>
      </c>
      <c r="C297" s="8" t="s">
        <v>1150</v>
      </c>
      <c r="D297" s="8">
        <v>603755</v>
      </c>
      <c r="E297" s="8" t="s">
        <v>923</v>
      </c>
      <c r="F297" s="8" t="s">
        <v>71</v>
      </c>
      <c r="G297" s="8" t="s">
        <v>100</v>
      </c>
      <c r="H297" s="8" t="s">
        <v>15</v>
      </c>
      <c r="I297" s="8" t="s">
        <v>45</v>
      </c>
      <c r="J297" s="8" t="s">
        <v>7</v>
      </c>
      <c r="K297" s="8" t="s">
        <v>1149</v>
      </c>
      <c r="L297" s="9">
        <v>46073</v>
      </c>
      <c r="M297" s="8" t="s">
        <v>66</v>
      </c>
      <c r="N297" s="8" t="s">
        <v>12</v>
      </c>
      <c r="O297" s="8" t="s">
        <v>925</v>
      </c>
    </row>
    <row r="298" spans="1:15" x14ac:dyDescent="0.25">
      <c r="A298" s="7">
        <v>46073.412488425929</v>
      </c>
      <c r="B298" s="8" t="s">
        <v>1009</v>
      </c>
      <c r="C298" s="8" t="s">
        <v>1151</v>
      </c>
      <c r="D298" s="8">
        <v>606833</v>
      </c>
      <c r="E298" s="8" t="s">
        <v>1152</v>
      </c>
      <c r="F298" s="8" t="s">
        <v>71</v>
      </c>
      <c r="G298" s="8" t="s">
        <v>100</v>
      </c>
      <c r="H298" s="8" t="s">
        <v>15</v>
      </c>
      <c r="I298" s="8" t="s">
        <v>45</v>
      </c>
      <c r="J298" s="8" t="s">
        <v>7</v>
      </c>
      <c r="K298" s="8" t="s">
        <v>527</v>
      </c>
      <c r="L298" s="9">
        <v>46073</v>
      </c>
      <c r="M298" s="8" t="s">
        <v>66</v>
      </c>
      <c r="N298" s="8" t="s">
        <v>11</v>
      </c>
      <c r="O298" s="8" t="s">
        <v>1153</v>
      </c>
    </row>
    <row r="299" spans="1:15" x14ac:dyDescent="0.25">
      <c r="A299" s="7">
        <v>46073.409861111111</v>
      </c>
      <c r="B299" s="8" t="s">
        <v>1009</v>
      </c>
      <c r="C299" s="8" t="s">
        <v>1154</v>
      </c>
      <c r="D299" s="8">
        <v>606833</v>
      </c>
      <c r="E299" s="8" t="s">
        <v>1152</v>
      </c>
      <c r="F299" s="8" t="s">
        <v>71</v>
      </c>
      <c r="G299" s="8" t="s">
        <v>100</v>
      </c>
      <c r="H299" s="8" t="s">
        <v>16</v>
      </c>
      <c r="I299" s="8" t="s">
        <v>38</v>
      </c>
      <c r="J299" s="8" t="s">
        <v>7</v>
      </c>
      <c r="K299" s="8" t="s">
        <v>1155</v>
      </c>
      <c r="L299" s="9">
        <v>46077</v>
      </c>
      <c r="M299" s="8" t="s">
        <v>66</v>
      </c>
      <c r="N299" s="8" t="s">
        <v>482</v>
      </c>
      <c r="O299" s="8" t="s">
        <v>1153</v>
      </c>
    </row>
    <row r="300" spans="1:15" x14ac:dyDescent="0.25">
      <c r="A300" s="7">
        <v>46072.626099537039</v>
      </c>
      <c r="B300" s="8" t="s">
        <v>1156</v>
      </c>
      <c r="C300" s="8" t="s">
        <v>1157</v>
      </c>
      <c r="D300" s="8">
        <v>603510</v>
      </c>
      <c r="E300" s="8" t="s">
        <v>1158</v>
      </c>
      <c r="F300" s="8" t="s">
        <v>93</v>
      </c>
      <c r="G300" s="8" t="s">
        <v>94</v>
      </c>
      <c r="H300" s="8" t="s">
        <v>16</v>
      </c>
      <c r="I300" s="8" t="s">
        <v>38</v>
      </c>
      <c r="J300" s="8" t="s">
        <v>6</v>
      </c>
      <c r="K300" s="8" t="s">
        <v>621</v>
      </c>
      <c r="L300" s="9">
        <v>46077</v>
      </c>
      <c r="M300" s="8" t="s">
        <v>41</v>
      </c>
      <c r="N300" s="8" t="s">
        <v>1159</v>
      </c>
      <c r="O300" s="8" t="s">
        <v>1160</v>
      </c>
    </row>
    <row r="301" spans="1:15" x14ac:dyDescent="0.25">
      <c r="A301" s="7">
        <v>46072.625254629631</v>
      </c>
      <c r="B301" s="8" t="s">
        <v>1156</v>
      </c>
      <c r="C301" s="8" t="s">
        <v>1161</v>
      </c>
      <c r="D301" s="8">
        <v>603510</v>
      </c>
      <c r="E301" s="8" t="s">
        <v>1158</v>
      </c>
      <c r="F301" s="8" t="s">
        <v>93</v>
      </c>
      <c r="G301" s="8" t="s">
        <v>94</v>
      </c>
      <c r="H301" s="8" t="s">
        <v>15</v>
      </c>
      <c r="I301" s="8" t="s">
        <v>45</v>
      </c>
      <c r="J301" s="8" t="s">
        <v>7</v>
      </c>
      <c r="K301" s="8" t="s">
        <v>1016</v>
      </c>
      <c r="L301" s="9">
        <v>46080</v>
      </c>
      <c r="M301" s="8" t="s">
        <v>41</v>
      </c>
      <c r="N301" s="8" t="s">
        <v>997</v>
      </c>
      <c r="O301" s="8" t="s">
        <v>1160</v>
      </c>
    </row>
    <row r="302" spans="1:15" x14ac:dyDescent="0.25">
      <c r="A302" s="7">
        <v>46072.62427083333</v>
      </c>
      <c r="B302" s="8" t="s">
        <v>1156</v>
      </c>
      <c r="C302" s="8" t="s">
        <v>1162</v>
      </c>
      <c r="D302" s="8">
        <v>603510</v>
      </c>
      <c r="E302" s="8" t="s">
        <v>1158</v>
      </c>
      <c r="F302" s="8" t="s">
        <v>93</v>
      </c>
      <c r="G302" s="8" t="s">
        <v>94</v>
      </c>
      <c r="H302" s="8" t="s">
        <v>16</v>
      </c>
      <c r="I302" s="8" t="s">
        <v>38</v>
      </c>
      <c r="J302" s="8" t="s">
        <v>6</v>
      </c>
      <c r="K302" s="8" t="s">
        <v>608</v>
      </c>
      <c r="L302" s="9">
        <v>46077</v>
      </c>
      <c r="M302" s="8" t="s">
        <v>41</v>
      </c>
      <c r="N302" s="8" t="s">
        <v>1159</v>
      </c>
      <c r="O302" s="8" t="s">
        <v>1160</v>
      </c>
    </row>
    <row r="303" spans="1:15" x14ac:dyDescent="0.25">
      <c r="A303" s="7">
        <v>46072.62054398148</v>
      </c>
      <c r="B303" s="8" t="s">
        <v>1156</v>
      </c>
      <c r="C303" s="8" t="s">
        <v>1163</v>
      </c>
      <c r="D303" s="8">
        <v>603510</v>
      </c>
      <c r="E303" s="8" t="s">
        <v>1158</v>
      </c>
      <c r="F303" s="8" t="s">
        <v>93</v>
      </c>
      <c r="G303" s="8" t="s">
        <v>94</v>
      </c>
      <c r="H303" s="8" t="s">
        <v>16</v>
      </c>
      <c r="I303" s="8" t="s">
        <v>38</v>
      </c>
      <c r="J303" s="8" t="s">
        <v>6</v>
      </c>
      <c r="K303" s="8" t="s">
        <v>1164</v>
      </c>
      <c r="L303" s="9">
        <v>46077</v>
      </c>
      <c r="M303" s="8" t="s">
        <v>41</v>
      </c>
      <c r="N303" s="8" t="s">
        <v>1159</v>
      </c>
      <c r="O303" s="8" t="s">
        <v>1160</v>
      </c>
    </row>
    <row r="304" spans="1:15" x14ac:dyDescent="0.25">
      <c r="A304" s="7">
        <v>46072.618587962963</v>
      </c>
      <c r="B304" s="8" t="s">
        <v>1156</v>
      </c>
      <c r="C304" s="8" t="s">
        <v>1165</v>
      </c>
      <c r="D304" s="8">
        <v>603510</v>
      </c>
      <c r="E304" s="8" t="s">
        <v>1158</v>
      </c>
      <c r="F304" s="8" t="s">
        <v>93</v>
      </c>
      <c r="G304" s="8" t="s">
        <v>94</v>
      </c>
      <c r="H304" s="8" t="s">
        <v>16</v>
      </c>
      <c r="I304" s="8" t="s">
        <v>38</v>
      </c>
      <c r="J304" s="8" t="s">
        <v>7</v>
      </c>
      <c r="K304" s="8" t="s">
        <v>1155</v>
      </c>
      <c r="L304" s="9">
        <v>46077</v>
      </c>
      <c r="M304" s="8" t="s">
        <v>41</v>
      </c>
      <c r="N304" s="8" t="s">
        <v>1159</v>
      </c>
      <c r="O304" s="8" t="s">
        <v>1160</v>
      </c>
    </row>
    <row r="305" spans="1:15" x14ac:dyDescent="0.25">
      <c r="A305" s="7">
        <v>46072.427673611113</v>
      </c>
      <c r="B305" s="8" t="s">
        <v>774</v>
      </c>
      <c r="C305" s="8" t="s">
        <v>1166</v>
      </c>
      <c r="D305" s="8">
        <v>603654</v>
      </c>
      <c r="E305" s="8" t="s">
        <v>776</v>
      </c>
      <c r="F305" s="8" t="s">
        <v>71</v>
      </c>
      <c r="G305" s="8" t="s">
        <v>72</v>
      </c>
      <c r="H305" s="8" t="s">
        <v>15</v>
      </c>
      <c r="I305" s="8" t="s">
        <v>45</v>
      </c>
      <c r="J305" s="8" t="s">
        <v>7</v>
      </c>
      <c r="K305" s="8" t="s">
        <v>1167</v>
      </c>
      <c r="L305" s="9">
        <v>46072</v>
      </c>
      <c r="M305" s="8" t="s">
        <v>66</v>
      </c>
      <c r="N305" s="8" t="s">
        <v>11</v>
      </c>
      <c r="O305" s="8" t="s">
        <v>777</v>
      </c>
    </row>
    <row r="306" spans="1:15" x14ac:dyDescent="0.25">
      <c r="A306" s="7">
        <v>46071.450682870367</v>
      </c>
      <c r="B306" s="8" t="s">
        <v>1168</v>
      </c>
      <c r="C306" s="8" t="s">
        <v>1169</v>
      </c>
      <c r="D306" s="8">
        <v>603002</v>
      </c>
      <c r="E306" s="8" t="s">
        <v>1170</v>
      </c>
      <c r="F306" s="8" t="s">
        <v>93</v>
      </c>
      <c r="G306" s="8" t="s">
        <v>94</v>
      </c>
      <c r="H306" s="8" t="s">
        <v>16</v>
      </c>
      <c r="I306" s="8" t="s">
        <v>38</v>
      </c>
      <c r="J306" s="8" t="s">
        <v>7</v>
      </c>
      <c r="K306" s="8" t="s">
        <v>1171</v>
      </c>
      <c r="L306" s="9">
        <v>46077</v>
      </c>
      <c r="M306" s="8" t="s">
        <v>74</v>
      </c>
      <c r="N306" s="8" t="s">
        <v>1172</v>
      </c>
      <c r="O306" s="8" t="s">
        <v>1173</v>
      </c>
    </row>
    <row r="307" spans="1:15" x14ac:dyDescent="0.25">
      <c r="A307" s="7">
        <v>46071.449166666665</v>
      </c>
      <c r="B307" s="8" t="s">
        <v>1168</v>
      </c>
      <c r="C307" s="8" t="s">
        <v>1174</v>
      </c>
      <c r="D307" s="8">
        <v>603002</v>
      </c>
      <c r="E307" s="8" t="s">
        <v>1170</v>
      </c>
      <c r="F307" s="8" t="s">
        <v>93</v>
      </c>
      <c r="G307" s="8" t="s">
        <v>94</v>
      </c>
      <c r="H307" s="8" t="s">
        <v>15</v>
      </c>
      <c r="I307" s="8" t="s">
        <v>45</v>
      </c>
      <c r="J307" s="8" t="s">
        <v>7</v>
      </c>
      <c r="K307" s="8" t="s">
        <v>1175</v>
      </c>
      <c r="L307" s="9">
        <v>46075</v>
      </c>
      <c r="M307" s="8" t="s">
        <v>74</v>
      </c>
      <c r="N307" s="8" t="s">
        <v>115</v>
      </c>
      <c r="O307" s="8" t="s">
        <v>1173</v>
      </c>
    </row>
  </sheetData>
  <autoFilter ref="A3:O87" xr:uid="{06DD384A-E001-44E5-8503-8034A6E131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71CB-6368-4317-8F25-2D627F8FE6F9}">
  <dimension ref="A1:A24"/>
  <sheetViews>
    <sheetView workbookViewId="0">
      <selection activeCell="A36" sqref="A36"/>
    </sheetView>
  </sheetViews>
  <sheetFormatPr defaultRowHeight="15" x14ac:dyDescent="0.25"/>
  <cols>
    <col min="1" max="1" width="117.5703125" customWidth="1"/>
  </cols>
  <sheetData>
    <row r="1" spans="1:1" x14ac:dyDescent="0.25">
      <c r="A1" t="s">
        <v>1176</v>
      </c>
    </row>
    <row r="2" spans="1:1" x14ac:dyDescent="0.25">
      <c r="A2" t="s">
        <v>1177</v>
      </c>
    </row>
    <row r="3" spans="1:1" x14ac:dyDescent="0.25">
      <c r="A3" t="s">
        <v>1178</v>
      </c>
    </row>
    <row r="4" spans="1:1" x14ac:dyDescent="0.25">
      <c r="A4" t="s">
        <v>1179</v>
      </c>
    </row>
    <row r="5" spans="1:1" x14ac:dyDescent="0.25">
      <c r="A5" t="s">
        <v>1180</v>
      </c>
    </row>
    <row r="6" spans="1:1" x14ac:dyDescent="0.25">
      <c r="A6" t="s">
        <v>1181</v>
      </c>
    </row>
    <row r="7" spans="1:1" x14ac:dyDescent="0.25">
      <c r="A7" t="s">
        <v>1182</v>
      </c>
    </row>
    <row r="8" spans="1:1" x14ac:dyDescent="0.25">
      <c r="A8" t="s">
        <v>1183</v>
      </c>
    </row>
    <row r="9" spans="1:1" x14ac:dyDescent="0.25">
      <c r="A9" t="s">
        <v>1184</v>
      </c>
    </row>
    <row r="10" spans="1:1" x14ac:dyDescent="0.25">
      <c r="A10" t="s">
        <v>1185</v>
      </c>
    </row>
    <row r="11" spans="1:1" x14ac:dyDescent="0.25">
      <c r="A11" t="s">
        <v>1186</v>
      </c>
    </row>
    <row r="12" spans="1:1" x14ac:dyDescent="0.25">
      <c r="A12" t="s">
        <v>1187</v>
      </c>
    </row>
    <row r="13" spans="1:1" x14ac:dyDescent="0.25">
      <c r="A13" t="s">
        <v>1188</v>
      </c>
    </row>
    <row r="14" spans="1:1" x14ac:dyDescent="0.25">
      <c r="A14" t="s">
        <v>1189</v>
      </c>
    </row>
    <row r="15" spans="1:1" x14ac:dyDescent="0.25">
      <c r="A15" t="s">
        <v>1190</v>
      </c>
    </row>
    <row r="16" spans="1:1" x14ac:dyDescent="0.25">
      <c r="A16" t="s">
        <v>1191</v>
      </c>
    </row>
    <row r="17" spans="1:1" x14ac:dyDescent="0.25">
      <c r="A17" t="s">
        <v>1192</v>
      </c>
    </row>
    <row r="18" spans="1:1" x14ac:dyDescent="0.25">
      <c r="A18" t="s">
        <v>1193</v>
      </c>
    </row>
    <row r="19" spans="1:1" x14ac:dyDescent="0.25">
      <c r="A19" t="s">
        <v>1194</v>
      </c>
    </row>
    <row r="20" spans="1:1" x14ac:dyDescent="0.25">
      <c r="A20" t="s">
        <v>1195</v>
      </c>
    </row>
    <row r="21" spans="1:1" x14ac:dyDescent="0.25">
      <c r="A21" t="s">
        <v>1196</v>
      </c>
    </row>
    <row r="22" spans="1:1" x14ac:dyDescent="0.25">
      <c r="A22" t="s">
        <v>1197</v>
      </c>
    </row>
    <row r="23" spans="1:1" x14ac:dyDescent="0.25">
      <c r="A23" t="s">
        <v>1198</v>
      </c>
    </row>
    <row r="24" spans="1:1" x14ac:dyDescent="0.25">
      <c r="A24" t="s">
        <v>1199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77705a-1073-4689-9d5f-ab8064d479ad}" enabled="1" method="Privileged" siteId="{54a6c0e8-b873-47a7-a0e3-b1af69cb1d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Single Leavers</vt:lpstr>
      <vt:lpstr>SQL</vt:lpstr>
    </vt:vector>
  </TitlesOfParts>
  <Manager/>
  <Company>CTS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Kavanagh, Tricia</dc:creator>
  <cp:keywords/>
  <dc:description/>
  <cp:lastModifiedBy>Graham, Lorna</cp:lastModifiedBy>
  <cp:revision/>
  <dcterms:created xsi:type="dcterms:W3CDTF">2026-02-26T09:29:42Z</dcterms:created>
  <dcterms:modified xsi:type="dcterms:W3CDTF">2026-05-21T14:06:59Z</dcterms:modified>
  <cp:category/>
  <cp:contentStatus/>
</cp:coreProperties>
</file>