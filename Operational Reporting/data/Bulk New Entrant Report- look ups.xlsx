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347\Documents\Power BI Desktop\SecureShare Report\secureshare-phase3\"/>
    </mc:Choice>
  </mc:AlternateContent>
  <xr:revisionPtr revIDLastSave="0" documentId="8_{847EB366-CE99-41D3-8646-712ADE721DED}" xr6:coauthVersionLast="47" xr6:coauthVersionMax="47" xr10:uidLastSave="{00000000-0000-0000-0000-000000000000}"/>
  <bookViews>
    <workbookView xWindow="-9300" yWindow="-21720" windowWidth="51840" windowHeight="21120" xr2:uid="{00000000-000D-0000-FFFF-FFFF00000000}"/>
  </bookViews>
  <sheets>
    <sheet name="Export Worksheet" sheetId="1" r:id="rId1"/>
    <sheet name="Sheet2" sheetId="7" r:id="rId2"/>
    <sheet name="IP_Org_Usecase_Submission_Statu" sheetId="3" r:id="rId3"/>
    <sheet name="Tableau single and bulk" sheetId="5" r:id="rId4"/>
    <sheet name="SQL" sheetId="2" r:id="rId5"/>
    <sheet name="Notes" sheetId="4" r:id="rId6"/>
  </sheets>
  <definedNames>
    <definedName name="_xlnm._FilterDatabase" localSheetId="0" hidden="1">'Export Worksheet'!$A$1:$M$644</definedName>
    <definedName name="_xlnm._FilterDatabase" localSheetId="2" hidden="1">IP_Org_Usecase_Submission_Statu!$A$1:$J$1762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2" i="3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2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2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3" i="3"/>
  <c r="I4" i="3"/>
  <c r="I5" i="3"/>
  <c r="I6" i="3"/>
  <c r="I7" i="3"/>
  <c r="I8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2" i="3"/>
</calcChain>
</file>

<file path=xl/sharedStrings.xml><?xml version="1.0" encoding="utf-8"?>
<sst xmlns="http://schemas.openxmlformats.org/spreadsheetml/2006/main" count="65870" uniqueCount="10489">
  <si>
    <t>BATCH_ID</t>
  </si>
  <si>
    <t>BATCH_NAME</t>
  </si>
  <si>
    <t>CREATED</t>
  </si>
  <si>
    <t>COMPLETED</t>
  </si>
  <si>
    <t>NUM_DATA_RECORDS_LOADED</t>
  </si>
  <si>
    <t>NUM_DATA_RECORDS_VALID</t>
  </si>
  <si>
    <t>NUM_DATA_RECORDS_ERRORED</t>
  </si>
  <si>
    <t>NUM_DATA_RECORDS_SKIPPED</t>
  </si>
  <si>
    <t>CREATED_BY</t>
  </si>
  <si>
    <t>MIDAS_NO</t>
  </si>
  <si>
    <t>STATUS</t>
  </si>
  <si>
    <t>X465</t>
  </si>
  <si>
    <t>Y337</t>
  </si>
  <si>
    <t>K222</t>
  </si>
  <si>
    <t>false</t>
  </si>
  <si>
    <t>M132</t>
  </si>
  <si>
    <t>INSTALL NENTS</t>
  </si>
  <si>
    <t>D201</t>
  </si>
  <si>
    <t>X967</t>
  </si>
  <si>
    <t>U080</t>
  </si>
  <si>
    <t>606879</t>
  </si>
  <si>
    <t>2 Galway NEs</t>
  </si>
  <si>
    <t>7 Cork NEs</t>
  </si>
  <si>
    <t>3 Galway NEs</t>
  </si>
  <si>
    <t>C192</t>
  </si>
  <si>
    <t>J905</t>
  </si>
  <si>
    <t>x1 NE 15102025</t>
  </si>
  <si>
    <t>15-10-2025</t>
  </si>
  <si>
    <t>H506</t>
  </si>
  <si>
    <t>012087M</t>
  </si>
  <si>
    <t>DOS NE 15102025</t>
  </si>
  <si>
    <t>012099M</t>
  </si>
  <si>
    <t xml:space="preserve">603313 23ne </t>
  </si>
  <si>
    <t>F243</t>
  </si>
  <si>
    <t>017176M</t>
  </si>
  <si>
    <t xml:space="preserve">603123 4ne </t>
  </si>
  <si>
    <t>017939M</t>
  </si>
  <si>
    <t>O382161</t>
  </si>
  <si>
    <t>x2 NEs 16102025</t>
  </si>
  <si>
    <t>16-10-2025</t>
  </si>
  <si>
    <t>013043M</t>
  </si>
  <si>
    <t>602944 1 NE BULK</t>
  </si>
  <si>
    <t>013278M</t>
  </si>
  <si>
    <t>x14 NEs 16102025</t>
  </si>
  <si>
    <t>013288M</t>
  </si>
  <si>
    <t>013182M</t>
  </si>
  <si>
    <t>O383959</t>
  </si>
  <si>
    <t xml:space="preserve">608028 1ne </t>
  </si>
  <si>
    <t>O384269</t>
  </si>
  <si>
    <t>5 Dublin NEs</t>
  </si>
  <si>
    <t>O383963</t>
  </si>
  <si>
    <t>609584 12 Ne Bulk</t>
  </si>
  <si>
    <t>013095M</t>
  </si>
  <si>
    <t>Andrew Mason</t>
  </si>
  <si>
    <t>016695M</t>
  </si>
  <si>
    <t>603098 NE Bulk</t>
  </si>
  <si>
    <t>013014M</t>
  </si>
  <si>
    <t>012735M</t>
  </si>
  <si>
    <t>x51 NEs 16102025</t>
  </si>
  <si>
    <t>017905M</t>
  </si>
  <si>
    <t>601157</t>
  </si>
  <si>
    <t>011105M</t>
  </si>
  <si>
    <t>013058M</t>
  </si>
  <si>
    <t>Storehouse Oct 2025 NEs</t>
  </si>
  <si>
    <t>017034M</t>
  </si>
  <si>
    <t>x4 NEs 16102025</t>
  </si>
  <si>
    <t>017121M</t>
  </si>
  <si>
    <t>x1 NE 16102025</t>
  </si>
  <si>
    <t>017018M</t>
  </si>
  <si>
    <t>602392</t>
  </si>
  <si>
    <t>O385829</t>
  </si>
  <si>
    <t>609865 1 NE Bulk</t>
  </si>
  <si>
    <t>17-10-2025</t>
  </si>
  <si>
    <t>017237M</t>
  </si>
  <si>
    <t xml:space="preserve">602679 1NE </t>
  </si>
  <si>
    <t>018322M</t>
  </si>
  <si>
    <t xml:space="preserve">603835 2ne </t>
  </si>
  <si>
    <t>019028M</t>
  </si>
  <si>
    <t>603552 oct</t>
  </si>
  <si>
    <t>017261M</t>
  </si>
  <si>
    <t>602337 NE Bulk</t>
  </si>
  <si>
    <t>019221M</t>
  </si>
  <si>
    <t>Install New Entrants</t>
  </si>
  <si>
    <t>18-10-2025</t>
  </si>
  <si>
    <t>S068</t>
  </si>
  <si>
    <t>O392220</t>
  </si>
  <si>
    <t>7 NE Bulk</t>
  </si>
  <si>
    <t>018019M</t>
  </si>
  <si>
    <t>608028 ADIM 19NE</t>
  </si>
  <si>
    <t>19-10-2025</t>
  </si>
  <si>
    <t>019330M</t>
  </si>
  <si>
    <t>Vestas</t>
  </si>
  <si>
    <t>20-10-2025</t>
  </si>
  <si>
    <t>017656M</t>
  </si>
  <si>
    <t>602334 8ne Firhouse</t>
  </si>
  <si>
    <t>O393939</t>
  </si>
  <si>
    <t xml:space="preserve">602334 19ne Hermitage </t>
  </si>
  <si>
    <t>O393945</t>
  </si>
  <si>
    <t>BNP Paribas</t>
  </si>
  <si>
    <t>020083M</t>
  </si>
  <si>
    <t xml:space="preserve">609739 2ne </t>
  </si>
  <si>
    <t>O394436</t>
  </si>
  <si>
    <t>60503310</t>
  </si>
  <si>
    <t>020024M</t>
  </si>
  <si>
    <t>x2 NEs 20102025</t>
  </si>
  <si>
    <t>020314M</t>
  </si>
  <si>
    <t>020336M</t>
  </si>
  <si>
    <t>020356M</t>
  </si>
  <si>
    <t>Sarah O Dea 609584</t>
  </si>
  <si>
    <t>O384416</t>
  </si>
  <si>
    <t>21-10-2025</t>
  </si>
  <si>
    <t>020441M</t>
  </si>
  <si>
    <t xml:space="preserve">605085 1ne </t>
  </si>
  <si>
    <t>020761M</t>
  </si>
  <si>
    <t>609697 5ne</t>
  </si>
  <si>
    <t>O389166</t>
  </si>
  <si>
    <t>603505</t>
  </si>
  <si>
    <t>019052M</t>
  </si>
  <si>
    <t>608552 Ne Bulk</t>
  </si>
  <si>
    <t>020839M</t>
  </si>
  <si>
    <t>601183</t>
  </si>
  <si>
    <t>020935M</t>
  </si>
  <si>
    <t>605834</t>
  </si>
  <si>
    <t>019401M</t>
  </si>
  <si>
    <t>UB Tranche 6</t>
  </si>
  <si>
    <t>x8 NEs 21102025</t>
  </si>
  <si>
    <t>020987M</t>
  </si>
  <si>
    <t xml:space="preserve">609819 2NE </t>
  </si>
  <si>
    <t>012179M</t>
  </si>
  <si>
    <t>Expleo Technology</t>
  </si>
  <si>
    <t>019242M</t>
  </si>
  <si>
    <t>x1 NE 21102025</t>
  </si>
  <si>
    <t>021032M</t>
  </si>
  <si>
    <t>603817 10</t>
  </si>
  <si>
    <t>22-10-2025</t>
  </si>
  <si>
    <t>020874M</t>
  </si>
  <si>
    <t xml:space="preserve">608029 Cork </t>
  </si>
  <si>
    <t>020176M</t>
  </si>
  <si>
    <t>Encyclis</t>
  </si>
  <si>
    <t>017776M</t>
  </si>
  <si>
    <t xml:space="preserve">603756 14ne </t>
  </si>
  <si>
    <t>020049M</t>
  </si>
  <si>
    <t xml:space="preserve">602993 2NE </t>
  </si>
  <si>
    <t>020999M</t>
  </si>
  <si>
    <t>x5 NEs 22102025</t>
  </si>
  <si>
    <t>019097M</t>
  </si>
  <si>
    <t>Gowan</t>
  </si>
  <si>
    <t>019226M</t>
  </si>
  <si>
    <t>Sisters of Bon</t>
  </si>
  <si>
    <t>021509M</t>
  </si>
  <si>
    <t>4 Sept 2025 NEs</t>
  </si>
  <si>
    <t>CBRE Advisory</t>
  </si>
  <si>
    <t>Uniphar Group</t>
  </si>
  <si>
    <t>01-10-2025</t>
  </si>
  <si>
    <t>994913L</t>
  </si>
  <si>
    <t>609834 3 Ne Bulk</t>
  </si>
  <si>
    <t>993550L</t>
  </si>
  <si>
    <t>Petrogas Group</t>
  </si>
  <si>
    <t>06-10-2025</t>
  </si>
  <si>
    <t>996817L</t>
  </si>
  <si>
    <t>x1 NE 07102025</t>
  </si>
  <si>
    <t>07-10-2025</t>
  </si>
  <si>
    <t>O334375</t>
  </si>
  <si>
    <t>O351831</t>
  </si>
  <si>
    <t>8 Aug 2025 NEs</t>
  </si>
  <si>
    <t>995656L</t>
  </si>
  <si>
    <t>55 ADIM NEs 01-10-2025</t>
  </si>
  <si>
    <t>08-10-2025</t>
  </si>
  <si>
    <t>996140L</t>
  </si>
  <si>
    <t>2025 October NEs</t>
  </si>
  <si>
    <t>996789L</t>
  </si>
  <si>
    <t>609688 3ne</t>
  </si>
  <si>
    <t>997603L</t>
  </si>
  <si>
    <t>NEs 06-10-2025</t>
  </si>
  <si>
    <t>09-10-2025</t>
  </si>
  <si>
    <t>997013L</t>
  </si>
  <si>
    <t>Sept 2025 NEs</t>
  </si>
  <si>
    <t>997409L</t>
  </si>
  <si>
    <t>x3 NEs 09102025</t>
  </si>
  <si>
    <t>997607L</t>
  </si>
  <si>
    <t>606821 61 Ne Bulk</t>
  </si>
  <si>
    <t>011560M</t>
  </si>
  <si>
    <t>602377 9 Ne Bulk</t>
  </si>
  <si>
    <t>10-10-2025</t>
  </si>
  <si>
    <t>011154M</t>
  </si>
  <si>
    <t>60605910</t>
  </si>
  <si>
    <t>997429L</t>
  </si>
  <si>
    <t>5249 oct</t>
  </si>
  <si>
    <t>997710L</t>
  </si>
  <si>
    <t>Belvedere College</t>
  </si>
  <si>
    <t>010991M</t>
  </si>
  <si>
    <t>13-10-2025</t>
  </si>
  <si>
    <t>011007M</t>
  </si>
  <si>
    <t>x4 NEs 13102025</t>
  </si>
  <si>
    <t>997634L</t>
  </si>
  <si>
    <t xml:space="preserve">606911 </t>
  </si>
  <si>
    <t>012226M</t>
  </si>
  <si>
    <t xml:space="preserve">609918 3NE </t>
  </si>
  <si>
    <t>997413L</t>
  </si>
  <si>
    <t xml:space="preserve">603616 36ne </t>
  </si>
  <si>
    <t>23-10-2025</t>
  </si>
  <si>
    <t>021527M</t>
  </si>
  <si>
    <t>609720 2ne</t>
  </si>
  <si>
    <t>021318M</t>
  </si>
  <si>
    <t>x1 NE 23102025</t>
  </si>
  <si>
    <t>020345M</t>
  </si>
  <si>
    <t>x3 NEs 23102025</t>
  </si>
  <si>
    <t>020228M</t>
  </si>
  <si>
    <t>020355M</t>
  </si>
  <si>
    <t>Kober Pharma</t>
  </si>
  <si>
    <t>021078M</t>
  </si>
  <si>
    <t>Nordson</t>
  </si>
  <si>
    <t>020318M</t>
  </si>
  <si>
    <t>609904 10</t>
  </si>
  <si>
    <t>020294M</t>
  </si>
  <si>
    <t>608029 Dublin</t>
  </si>
  <si>
    <t>O402633</t>
  </si>
  <si>
    <t>608029 Tralee</t>
  </si>
  <si>
    <t>O402646</t>
  </si>
  <si>
    <t>606905 5ne</t>
  </si>
  <si>
    <t>021939M</t>
  </si>
  <si>
    <t>022178M</t>
  </si>
  <si>
    <t>Apleona Ireland</t>
  </si>
  <si>
    <t>24-10-2025</t>
  </si>
  <si>
    <t>020879M</t>
  </si>
  <si>
    <t>609768 NE Bulk</t>
  </si>
  <si>
    <t>O411343</t>
  </si>
  <si>
    <t>602637 5 Ne Bulk</t>
  </si>
  <si>
    <t>020872M</t>
  </si>
  <si>
    <t>x1 NE 24102025</t>
  </si>
  <si>
    <t>022780M</t>
  </si>
  <si>
    <t>Twilio Ireland</t>
  </si>
  <si>
    <t>26-10-2025</t>
  </si>
  <si>
    <t>021610M</t>
  </si>
  <si>
    <t>EI Unlimited</t>
  </si>
  <si>
    <t>021331M</t>
  </si>
  <si>
    <t>603381 1ne</t>
  </si>
  <si>
    <t>28-10-2025</t>
  </si>
  <si>
    <t>021609M</t>
  </si>
  <si>
    <t>x1 NE 282102025</t>
  </si>
  <si>
    <t>023497M</t>
  </si>
  <si>
    <t>Sarah Toland</t>
  </si>
  <si>
    <t>023464M</t>
  </si>
  <si>
    <t xml:space="preserve">603755 6ne </t>
  </si>
  <si>
    <t>021454M</t>
  </si>
  <si>
    <t xml:space="preserve">609717 1NE </t>
  </si>
  <si>
    <t>023615M</t>
  </si>
  <si>
    <t>603881 283ne</t>
  </si>
  <si>
    <t>023726M</t>
  </si>
  <si>
    <t>602303</t>
  </si>
  <si>
    <t>023757M</t>
  </si>
  <si>
    <t>603381</t>
  </si>
  <si>
    <t>023750M</t>
  </si>
  <si>
    <t>x2 NEs 28102025</t>
  </si>
  <si>
    <t>021940M</t>
  </si>
  <si>
    <t>x1 NE 28102025</t>
  </si>
  <si>
    <t>021878M</t>
  </si>
  <si>
    <t>603740 NE Bulk</t>
  </si>
  <si>
    <t>29-10-2025</t>
  </si>
  <si>
    <t>O421489</t>
  </si>
  <si>
    <t>Lake Region</t>
  </si>
  <si>
    <t>Coillte Teoranta</t>
  </si>
  <si>
    <t>FDC Group</t>
  </si>
  <si>
    <t>Motorola</t>
  </si>
  <si>
    <t xml:space="preserve">602197 2NE </t>
  </si>
  <si>
    <t>022634M</t>
  </si>
  <si>
    <t>603990 1NE</t>
  </si>
  <si>
    <t>022632M</t>
  </si>
  <si>
    <t>Alliance</t>
  </si>
  <si>
    <t>021862M</t>
  </si>
  <si>
    <t>608029 Cork</t>
  </si>
  <si>
    <t>023527M</t>
  </si>
  <si>
    <t>608029 Care Village</t>
  </si>
  <si>
    <t>O422560</t>
  </si>
  <si>
    <t>60381101</t>
  </si>
  <si>
    <t>021972M</t>
  </si>
  <si>
    <t>60109110</t>
  </si>
  <si>
    <t>021935M</t>
  </si>
  <si>
    <t>609819 4NE</t>
  </si>
  <si>
    <t>022496M</t>
  </si>
  <si>
    <t xml:space="preserve">602334 Linneaus </t>
  </si>
  <si>
    <t>012951M</t>
  </si>
  <si>
    <t>602334 Carton</t>
  </si>
  <si>
    <t>O423657</t>
  </si>
  <si>
    <t>602334 fIRHOUSE</t>
  </si>
  <si>
    <t>O423664</t>
  </si>
  <si>
    <t xml:space="preserve">602334 Hermitage </t>
  </si>
  <si>
    <t>O423655</t>
  </si>
  <si>
    <t>x5 NEs 29102025</t>
  </si>
  <si>
    <t>022622M</t>
  </si>
  <si>
    <t>602334 1ne</t>
  </si>
  <si>
    <t>024573M</t>
  </si>
  <si>
    <t xml:space="preserve">602334 Firhouse </t>
  </si>
  <si>
    <t>O423996</t>
  </si>
  <si>
    <t>O424006</t>
  </si>
  <si>
    <t>603381 NE Bulk</t>
  </si>
  <si>
    <t>024483M</t>
  </si>
  <si>
    <t>605042 NE Bulk</t>
  </si>
  <si>
    <t>023824M</t>
  </si>
  <si>
    <t>IT Alliance</t>
  </si>
  <si>
    <t>022626M</t>
  </si>
  <si>
    <t xml:space="preserve">603439 1NE </t>
  </si>
  <si>
    <t>30-10-2025</t>
  </si>
  <si>
    <t>022637M</t>
  </si>
  <si>
    <t>x13 NEs 30102025</t>
  </si>
  <si>
    <t>022816M</t>
  </si>
  <si>
    <t>Bord na Mona</t>
  </si>
  <si>
    <t>J987</t>
  </si>
  <si>
    <t>October 2025 NEs</t>
  </si>
  <si>
    <t>2 Sept 2025 NEs</t>
  </si>
  <si>
    <t>609911 1 NE Bulk</t>
  </si>
  <si>
    <t>993603L</t>
  </si>
  <si>
    <t>Aimware</t>
  </si>
  <si>
    <t>995239L</t>
  </si>
  <si>
    <t xml:space="preserve">602408 2ne </t>
  </si>
  <si>
    <t>994658L</t>
  </si>
  <si>
    <t>FN20 2025 NEs</t>
  </si>
  <si>
    <t>02-10-2025</t>
  </si>
  <si>
    <t>995262L</t>
  </si>
  <si>
    <t>609839 25NE</t>
  </si>
  <si>
    <t>994604L</t>
  </si>
  <si>
    <t>FN20 2025 2 NEs</t>
  </si>
  <si>
    <t>O337925</t>
  </si>
  <si>
    <t>IPB Insurance</t>
  </si>
  <si>
    <t>994475L</t>
  </si>
  <si>
    <t>5 Oct 2025 STH</t>
  </si>
  <si>
    <t>994410L</t>
  </si>
  <si>
    <t>x1 NE02102025</t>
  </si>
  <si>
    <t>994332L</t>
  </si>
  <si>
    <t>Patricia Farrell</t>
  </si>
  <si>
    <t>O325928</t>
  </si>
  <si>
    <t>Waterford Credit Union</t>
  </si>
  <si>
    <t>995777L</t>
  </si>
  <si>
    <t>Inizio Healthcare</t>
  </si>
  <si>
    <t>995733L</t>
  </si>
  <si>
    <t>03-10-2025</t>
  </si>
  <si>
    <t>987318L</t>
  </si>
  <si>
    <t>Thermo Fisher</t>
  </si>
  <si>
    <t>989416L</t>
  </si>
  <si>
    <t xml:space="preserve">603471 1ne </t>
  </si>
  <si>
    <t>994602L</t>
  </si>
  <si>
    <t>Vera Financial</t>
  </si>
  <si>
    <t>994374L</t>
  </si>
  <si>
    <t>2 NEs Sept 2025</t>
  </si>
  <si>
    <t>O324864</t>
  </si>
  <si>
    <t>2 Tralee NEs 30-09-2025</t>
  </si>
  <si>
    <t>994562L</t>
  </si>
  <si>
    <t>994601L</t>
  </si>
  <si>
    <t>Brett Brothers</t>
  </si>
  <si>
    <t>994796L</t>
  </si>
  <si>
    <t>3 Dublin NEs 30-09-2025</t>
  </si>
  <si>
    <t>994560L</t>
  </si>
  <si>
    <t>17 Limerick NEs</t>
  </si>
  <si>
    <t>994559L</t>
  </si>
  <si>
    <t>340809</t>
  </si>
  <si>
    <t>994845L</t>
  </si>
  <si>
    <t>Emerson Automation</t>
  </si>
  <si>
    <t>994747L</t>
  </si>
  <si>
    <t>Kverneland Group</t>
  </si>
  <si>
    <t>996118L</t>
  </si>
  <si>
    <t>3 ADIM NEs 26-09-2025</t>
  </si>
  <si>
    <t>994586L</t>
  </si>
  <si>
    <t>996367L</t>
  </si>
  <si>
    <t>x5 NEs 07102025</t>
  </si>
  <si>
    <t>997405L</t>
  </si>
  <si>
    <t xml:space="preserve">602835 8NE </t>
  </si>
  <si>
    <t>997430L</t>
  </si>
  <si>
    <t xml:space="preserve">609899 1ne </t>
  </si>
  <si>
    <t>997436L</t>
  </si>
  <si>
    <t>Retail in Motion</t>
  </si>
  <si>
    <t>996211L</t>
  </si>
  <si>
    <t>Cara Partners</t>
  </si>
  <si>
    <t>996051L</t>
  </si>
  <si>
    <t>996234L</t>
  </si>
  <si>
    <t>603100 6NE</t>
  </si>
  <si>
    <t>997655L</t>
  </si>
  <si>
    <t>603100 1NE Roscommon</t>
  </si>
  <si>
    <t>O355419</t>
  </si>
  <si>
    <t xml:space="preserve">15 X members sept </t>
  </si>
  <si>
    <t>Y350</t>
  </si>
  <si>
    <t>O355280</t>
  </si>
  <si>
    <t xml:space="preserve">603100 1NE Waterford </t>
  </si>
  <si>
    <t>O355426</t>
  </si>
  <si>
    <t xml:space="preserve">603100 2NE Western </t>
  </si>
  <si>
    <t>O355417</t>
  </si>
  <si>
    <t>2 Oct 2025 NEs</t>
  </si>
  <si>
    <t>996193L</t>
  </si>
  <si>
    <t>E Pheland fix</t>
  </si>
  <si>
    <t>O355890</t>
  </si>
  <si>
    <t>Arachas</t>
  </si>
  <si>
    <t>011159M</t>
  </si>
  <si>
    <t>Arvato Ireland</t>
  </si>
  <si>
    <t>997193L</t>
  </si>
  <si>
    <t>011400M</t>
  </si>
  <si>
    <t>602032 NE Bulk</t>
  </si>
  <si>
    <t>011383M</t>
  </si>
  <si>
    <t>2115 oct</t>
  </si>
  <si>
    <t>997056L</t>
  </si>
  <si>
    <t>Oct 2025 NEs</t>
  </si>
  <si>
    <t>O358574</t>
  </si>
  <si>
    <t>997350L</t>
  </si>
  <si>
    <t>Etrawler</t>
  </si>
  <si>
    <t>997764L</t>
  </si>
  <si>
    <t>609862</t>
  </si>
  <si>
    <t>011054M</t>
  </si>
  <si>
    <t>Vow Europe Limited</t>
  </si>
  <si>
    <t>011192M</t>
  </si>
  <si>
    <t>Eimear Doyle</t>
  </si>
  <si>
    <t>14-10-2025</t>
  </si>
  <si>
    <t>011920M</t>
  </si>
  <si>
    <t>Laura Farrell</t>
  </si>
  <si>
    <t>011991M</t>
  </si>
  <si>
    <t>603654 Ne Bulk</t>
  </si>
  <si>
    <t>016864M</t>
  </si>
  <si>
    <t>602254</t>
  </si>
  <si>
    <t>011703M</t>
  </si>
  <si>
    <t>602039</t>
  </si>
  <si>
    <t>012113M</t>
  </si>
  <si>
    <t>Gowan Group Ltd</t>
  </si>
  <si>
    <t>011943M</t>
  </si>
  <si>
    <t>Hertz Europe</t>
  </si>
  <si>
    <t>012015M</t>
  </si>
  <si>
    <t>609743 1NE</t>
  </si>
  <si>
    <t>O366634</t>
  </si>
  <si>
    <t>606866 Ne Bulk</t>
  </si>
  <si>
    <t>011946M</t>
  </si>
  <si>
    <t>605252 Ne Bulk</t>
  </si>
  <si>
    <t>017754M</t>
  </si>
  <si>
    <t>One Identity</t>
  </si>
  <si>
    <t>012217M</t>
  </si>
  <si>
    <t>609121 3 NE BULK</t>
  </si>
  <si>
    <t>O377537</t>
  </si>
  <si>
    <t>606849 1 NE BULK</t>
  </si>
  <si>
    <t>012955M</t>
  </si>
  <si>
    <t>602770oct</t>
  </si>
  <si>
    <t>017182M</t>
  </si>
  <si>
    <t>603970 1 ne bulk</t>
  </si>
  <si>
    <t>017317M</t>
  </si>
  <si>
    <t>603970 1 Ne Bulk</t>
  </si>
  <si>
    <t>017113M</t>
  </si>
  <si>
    <t>017273M</t>
  </si>
  <si>
    <t>603965 Ne Bulk</t>
  </si>
  <si>
    <t>017164M</t>
  </si>
  <si>
    <t>601649 4 NE Bulk</t>
  </si>
  <si>
    <t>018992M</t>
  </si>
  <si>
    <t>603744</t>
  </si>
  <si>
    <t>018027M</t>
  </si>
  <si>
    <t>609762</t>
  </si>
  <si>
    <t>017875M</t>
  </si>
  <si>
    <t xml:space="preserve">602092 </t>
  </si>
  <si>
    <t>017978M</t>
  </si>
  <si>
    <t>oct 603959</t>
  </si>
  <si>
    <t>017769M</t>
  </si>
  <si>
    <t>602467 oct</t>
  </si>
  <si>
    <t>019304M</t>
  </si>
  <si>
    <t>609897</t>
  </si>
  <si>
    <t>018595M</t>
  </si>
  <si>
    <t>605179</t>
  </si>
  <si>
    <t>018563M</t>
  </si>
  <si>
    <t>603109 oct</t>
  </si>
  <si>
    <t>018591M</t>
  </si>
  <si>
    <t>Suretank Limited</t>
  </si>
  <si>
    <t>019409M</t>
  </si>
  <si>
    <t>605564</t>
  </si>
  <si>
    <t>020104M</t>
  </si>
  <si>
    <t>605564  1 NE BULK</t>
  </si>
  <si>
    <t>020106M</t>
  </si>
  <si>
    <t>x12 NEs 20102025</t>
  </si>
  <si>
    <t>020171M</t>
  </si>
  <si>
    <t>609881 oct</t>
  </si>
  <si>
    <t>020028M</t>
  </si>
  <si>
    <t>60525610</t>
  </si>
  <si>
    <t>020021M</t>
  </si>
  <si>
    <t>606967 1 NE BULK</t>
  </si>
  <si>
    <t>020168M</t>
  </si>
  <si>
    <t>013291M</t>
  </si>
  <si>
    <t>Apelona Ireland</t>
  </si>
  <si>
    <t>018642M</t>
  </si>
  <si>
    <t xml:space="preserve">602935 3ne </t>
  </si>
  <si>
    <t>017080M</t>
  </si>
  <si>
    <t>American Well Corp</t>
  </si>
  <si>
    <t>O400889</t>
  </si>
  <si>
    <t>602471 10</t>
  </si>
  <si>
    <t>019770M</t>
  </si>
  <si>
    <t xml:space="preserve">Simmons </t>
  </si>
  <si>
    <t>019196M</t>
  </si>
  <si>
    <t>605564 10</t>
  </si>
  <si>
    <t>019341M</t>
  </si>
  <si>
    <t>602833 10</t>
  </si>
  <si>
    <t>019397M</t>
  </si>
  <si>
    <t xml:space="preserve">609865 3ne </t>
  </si>
  <si>
    <t>020715M</t>
  </si>
  <si>
    <t xml:space="preserve">604450 1ne </t>
  </si>
  <si>
    <t>O404935</t>
  </si>
  <si>
    <t>021520M</t>
  </si>
  <si>
    <t>608353 4 Ne Bulk</t>
  </si>
  <si>
    <t>020062M</t>
  </si>
  <si>
    <t>CMcD NE 23102025</t>
  </si>
  <si>
    <t>020011M</t>
  </si>
  <si>
    <t xml:space="preserve">602915 1ne </t>
  </si>
  <si>
    <t>O408118</t>
  </si>
  <si>
    <t xml:space="preserve">603936 2ne </t>
  </si>
  <si>
    <t>021931M</t>
  </si>
  <si>
    <t xml:space="preserve">603836 3NE </t>
  </si>
  <si>
    <t>021924M</t>
  </si>
  <si>
    <t xml:space="preserve">603922 5ne </t>
  </si>
  <si>
    <t>021930M</t>
  </si>
  <si>
    <t>021029M</t>
  </si>
  <si>
    <t>603976 4 NE BULK</t>
  </si>
  <si>
    <t>25-10-2025</t>
  </si>
  <si>
    <t>021622M</t>
  </si>
  <si>
    <t>Castlebrowne</t>
  </si>
  <si>
    <t>021536M</t>
  </si>
  <si>
    <t>O415391</t>
  </si>
  <si>
    <t xml:space="preserve">603381 1ne </t>
  </si>
  <si>
    <t>021330M</t>
  </si>
  <si>
    <t>x3 NEs 28102025</t>
  </si>
  <si>
    <t>021369M</t>
  </si>
  <si>
    <t xml:space="preserve">603493 4NE </t>
  </si>
  <si>
    <t>021404M</t>
  </si>
  <si>
    <t>60695710</t>
  </si>
  <si>
    <t>021528M</t>
  </si>
  <si>
    <t>603004 oct</t>
  </si>
  <si>
    <t>021426M</t>
  </si>
  <si>
    <t>30 Oct 2025 - CZ45</t>
  </si>
  <si>
    <t>O402306</t>
  </si>
  <si>
    <t>x12 NEs 28102025</t>
  </si>
  <si>
    <t>021991M</t>
  </si>
  <si>
    <t xml:space="preserve">608028 1NE </t>
  </si>
  <si>
    <t>BOC Gases</t>
  </si>
  <si>
    <t>603516</t>
  </si>
  <si>
    <t>O332525</t>
  </si>
  <si>
    <t>14 Oct 2025 NEs</t>
  </si>
  <si>
    <t>993524L</t>
  </si>
  <si>
    <t>993632L</t>
  </si>
  <si>
    <t>363209</t>
  </si>
  <si>
    <t>994850L</t>
  </si>
  <si>
    <t>Colman Morgan Folan</t>
  </si>
  <si>
    <t>994657L</t>
  </si>
  <si>
    <t>Thomas O Sullivan AOEM</t>
  </si>
  <si>
    <t>O332081</t>
  </si>
  <si>
    <t xml:space="preserve">602944 4NE </t>
  </si>
  <si>
    <t>995363L</t>
  </si>
  <si>
    <t>James Delaney</t>
  </si>
  <si>
    <t>994750L</t>
  </si>
  <si>
    <t>Moloney Mortgages</t>
  </si>
  <si>
    <t>996171L</t>
  </si>
  <si>
    <t>James Bradley</t>
  </si>
  <si>
    <t>993117L</t>
  </si>
  <si>
    <t>O328007</t>
  </si>
  <si>
    <t>2 AOEW NEs 29-09-2025</t>
  </si>
  <si>
    <t>995130L</t>
  </si>
  <si>
    <t>996382L</t>
  </si>
  <si>
    <t>507110</t>
  </si>
  <si>
    <t>995098L</t>
  </si>
  <si>
    <t xml:space="preserve">603681 1ne </t>
  </si>
  <si>
    <t>996265L</t>
  </si>
  <si>
    <t>Ben Ralph</t>
  </si>
  <si>
    <t>O347844</t>
  </si>
  <si>
    <t>383602</t>
  </si>
  <si>
    <t>995255L</t>
  </si>
  <si>
    <t>1 Group Office NE 24-09-2025</t>
  </si>
  <si>
    <t>995635L</t>
  </si>
  <si>
    <t>3 Sept 2025 NEs</t>
  </si>
  <si>
    <t>995622L</t>
  </si>
  <si>
    <t>Chloe Byrne</t>
  </si>
  <si>
    <t>996309L</t>
  </si>
  <si>
    <t>996297L</t>
  </si>
  <si>
    <t>997373L</t>
  </si>
  <si>
    <t>997428L</t>
  </si>
  <si>
    <t xml:space="preserve">601454 1NE </t>
  </si>
  <si>
    <t>997415L</t>
  </si>
  <si>
    <t xml:space="preserve">601544 1NE </t>
  </si>
  <si>
    <t>997417L</t>
  </si>
  <si>
    <t>602049 2NE</t>
  </si>
  <si>
    <t>997485L</t>
  </si>
  <si>
    <t>x25 NEs 07102025</t>
  </si>
  <si>
    <t>997561L</t>
  </si>
  <si>
    <t>The Kepak Group</t>
  </si>
  <si>
    <t>996201L</t>
  </si>
  <si>
    <t>Jacobs</t>
  </si>
  <si>
    <t>997982L</t>
  </si>
  <si>
    <t>Coras Iompair</t>
  </si>
  <si>
    <t>993106L</t>
  </si>
  <si>
    <t>287310</t>
  </si>
  <si>
    <t>996082L</t>
  </si>
  <si>
    <t>Alessandra Bucataru</t>
  </si>
  <si>
    <t>996148L</t>
  </si>
  <si>
    <t>Petrogas</t>
  </si>
  <si>
    <t>011045M</t>
  </si>
  <si>
    <t>BT Tupe</t>
  </si>
  <si>
    <t>O356586</t>
  </si>
  <si>
    <t>352410</t>
  </si>
  <si>
    <t>O345622</t>
  </si>
  <si>
    <t>9984 oct</t>
  </si>
  <si>
    <t>997254L</t>
  </si>
  <si>
    <t>011388M</t>
  </si>
  <si>
    <t>O351314</t>
  </si>
  <si>
    <t>Arctera</t>
  </si>
  <si>
    <t>997146L</t>
  </si>
  <si>
    <t>8020oct</t>
  </si>
  <si>
    <t>997006L</t>
  </si>
  <si>
    <t>x1 NE 09102025</t>
  </si>
  <si>
    <t>997610L</t>
  </si>
  <si>
    <t>Cupa Operations</t>
  </si>
  <si>
    <t>011072M</t>
  </si>
  <si>
    <t>October 2025 - CL90</t>
  </si>
  <si>
    <t>023711M</t>
  </si>
  <si>
    <t>Apex Fund</t>
  </si>
  <si>
    <t>022396M</t>
  </si>
  <si>
    <t>603756 14ne</t>
  </si>
  <si>
    <t>022593M</t>
  </si>
  <si>
    <t xml:space="preserve">609706 4ne </t>
  </si>
  <si>
    <t>023745M</t>
  </si>
  <si>
    <t>601564 1ne</t>
  </si>
  <si>
    <t>022530M</t>
  </si>
  <si>
    <t>608029 Galway</t>
  </si>
  <si>
    <t>023529M</t>
  </si>
  <si>
    <t>609743 7ne</t>
  </si>
  <si>
    <t>11-10-2025</t>
  </si>
  <si>
    <t>011396M</t>
  </si>
  <si>
    <t xml:space="preserve">Frances Haddane </t>
  </si>
  <si>
    <t>011534M</t>
  </si>
  <si>
    <t>010931M</t>
  </si>
  <si>
    <t>605244 12 NE Bulk</t>
  </si>
  <si>
    <t>013146M</t>
  </si>
  <si>
    <t>606059 oct</t>
  </si>
  <si>
    <t>O364640</t>
  </si>
  <si>
    <t>601299 Ne Bulk</t>
  </si>
  <si>
    <t>013007M</t>
  </si>
  <si>
    <t>O366473</t>
  </si>
  <si>
    <t>603714 Ne Bulk</t>
  </si>
  <si>
    <t>012214M</t>
  </si>
  <si>
    <t xml:space="preserve">603888 3NE </t>
  </si>
  <si>
    <t>013247M</t>
  </si>
  <si>
    <t>Sept 2025</t>
  </si>
  <si>
    <t>012121M</t>
  </si>
  <si>
    <t>Sept Oct 2025</t>
  </si>
  <si>
    <t>012997M</t>
  </si>
  <si>
    <t>x1 NE 14102025</t>
  </si>
  <si>
    <t>016925M</t>
  </si>
  <si>
    <t>605268 Ne Bulk</t>
  </si>
  <si>
    <t>011390M</t>
  </si>
  <si>
    <t>016926M</t>
  </si>
  <si>
    <t>608028</t>
  </si>
  <si>
    <t>O372112</t>
  </si>
  <si>
    <t xml:space="preserve">605239 </t>
  </si>
  <si>
    <t>011436M</t>
  </si>
  <si>
    <t>605376 37NE</t>
  </si>
  <si>
    <t>013252M</t>
  </si>
  <si>
    <t>603754 NE Bulk</t>
  </si>
  <si>
    <t>011510M</t>
  </si>
  <si>
    <t>016986M</t>
  </si>
  <si>
    <t>x4 NEs 14102025</t>
  </si>
  <si>
    <t>017022M</t>
  </si>
  <si>
    <t>602944</t>
  </si>
  <si>
    <t>012164M</t>
  </si>
  <si>
    <t>602375 22 Ne Bulk</t>
  </si>
  <si>
    <t>011341M</t>
  </si>
  <si>
    <t>606860 NE Bulk</t>
  </si>
  <si>
    <t>012061M</t>
  </si>
  <si>
    <t>60290310</t>
  </si>
  <si>
    <t>011352M</t>
  </si>
  <si>
    <t>Enet Defined</t>
  </si>
  <si>
    <t>011999M</t>
  </si>
  <si>
    <t>Magnet Networks</t>
  </si>
  <si>
    <t>011972M</t>
  </si>
  <si>
    <t>011928M</t>
  </si>
  <si>
    <t>Trulife Ltd</t>
  </si>
  <si>
    <t>017007M</t>
  </si>
  <si>
    <t>Zendesk International</t>
  </si>
  <si>
    <t>017688M</t>
  </si>
  <si>
    <t>NEs 29102025</t>
  </si>
  <si>
    <t>022676M</t>
  </si>
  <si>
    <t>024465M</t>
  </si>
  <si>
    <t>x6 NEs 29102025</t>
  </si>
  <si>
    <t>022661M</t>
  </si>
  <si>
    <t>602833 3NE</t>
  </si>
  <si>
    <t>022639M</t>
  </si>
  <si>
    <t>602833</t>
  </si>
  <si>
    <t>602833 4NE</t>
  </si>
  <si>
    <t>022786M</t>
  </si>
  <si>
    <t xml:space="preserve">601544 1ne </t>
  </si>
  <si>
    <t>022616M</t>
  </si>
  <si>
    <t>606856 1ne</t>
  </si>
  <si>
    <t>024318M</t>
  </si>
  <si>
    <t>Medite Europe</t>
  </si>
  <si>
    <t>022436M</t>
  </si>
  <si>
    <t>x1 NE 30102025</t>
  </si>
  <si>
    <t>022553M</t>
  </si>
  <si>
    <t>609970 40 NE Bulk</t>
  </si>
  <si>
    <t>011615M</t>
  </si>
  <si>
    <t>Opening HR Limited</t>
  </si>
  <si>
    <t>011722M</t>
  </si>
  <si>
    <t>National Advocacy</t>
  </si>
  <si>
    <t>011580M</t>
  </si>
  <si>
    <t>602944 1 NE Bulk</t>
  </si>
  <si>
    <t>012268M</t>
  </si>
  <si>
    <t>012020M</t>
  </si>
  <si>
    <t xml:space="preserve">603691 2NE </t>
  </si>
  <si>
    <t>O381121</t>
  </si>
  <si>
    <t>606840 oct</t>
  </si>
  <si>
    <t>011988M</t>
  </si>
  <si>
    <t>012195M</t>
  </si>
  <si>
    <t xml:space="preserve">Sandra D </t>
  </si>
  <si>
    <t>012923M</t>
  </si>
  <si>
    <t>RA Bailey Oct 2025</t>
  </si>
  <si>
    <t>017036M</t>
  </si>
  <si>
    <t>017106M</t>
  </si>
  <si>
    <t xml:space="preserve">603950 109ne </t>
  </si>
  <si>
    <t>017180M</t>
  </si>
  <si>
    <t>ING Bank</t>
  </si>
  <si>
    <t>016993M</t>
  </si>
  <si>
    <t>Advance Systems</t>
  </si>
  <si>
    <t>O377099</t>
  </si>
  <si>
    <t>609069</t>
  </si>
  <si>
    <t>018986M</t>
  </si>
  <si>
    <t xml:space="preserve">609701 5ne </t>
  </si>
  <si>
    <t>O386685</t>
  </si>
  <si>
    <t>606875 NE Bulk</t>
  </si>
  <si>
    <t>018993M</t>
  </si>
  <si>
    <t>603630 NE Bulk</t>
  </si>
  <si>
    <t>019577M</t>
  </si>
  <si>
    <t>603381 1 NE Bulk</t>
  </si>
  <si>
    <t>019579M</t>
  </si>
  <si>
    <t>603970oct</t>
  </si>
  <si>
    <t>019398M</t>
  </si>
  <si>
    <t>609897 kirwan</t>
  </si>
  <si>
    <t>019019M</t>
  </si>
  <si>
    <t>Install NE x 1</t>
  </si>
  <si>
    <t>O392562</t>
  </si>
  <si>
    <t>60309810</t>
  </si>
  <si>
    <t>017734M</t>
  </si>
  <si>
    <t>602334 9ne Carton</t>
  </si>
  <si>
    <t>O393952</t>
  </si>
  <si>
    <t xml:space="preserve">606897 2ne </t>
  </si>
  <si>
    <t>020045M</t>
  </si>
  <si>
    <t>apple 201025</t>
  </si>
  <si>
    <t>O402090</t>
  </si>
  <si>
    <t>603055 10</t>
  </si>
  <si>
    <t>020958M</t>
  </si>
  <si>
    <t>60355810</t>
  </si>
  <si>
    <t>020797M</t>
  </si>
  <si>
    <t>18 Sept 2025 NEs</t>
  </si>
  <si>
    <t>993834L</t>
  </si>
  <si>
    <t>Stefan Howard</t>
  </si>
  <si>
    <t>993631L</t>
  </si>
  <si>
    <t>x1 NE 01102025</t>
  </si>
  <si>
    <t>994291L</t>
  </si>
  <si>
    <t>13 Ne Bulk</t>
  </si>
  <si>
    <t>990899L</t>
  </si>
  <si>
    <t>O338307</t>
  </si>
  <si>
    <t>Patrick Goldrick</t>
  </si>
  <si>
    <t>992204L</t>
  </si>
  <si>
    <t>284309</t>
  </si>
  <si>
    <t>994362L</t>
  </si>
  <si>
    <t>Sean Ryan</t>
  </si>
  <si>
    <t>989680L</t>
  </si>
  <si>
    <t>Joseph Mulleney</t>
  </si>
  <si>
    <t>O334708</t>
  </si>
  <si>
    <t>TV members from 602359</t>
  </si>
  <si>
    <t>O343395</t>
  </si>
  <si>
    <t>x3 NEs 06102025</t>
  </si>
  <si>
    <t>995128L</t>
  </si>
  <si>
    <t>ADP HR</t>
  </si>
  <si>
    <t>995850L</t>
  </si>
  <si>
    <t>603688 2NE</t>
  </si>
  <si>
    <t>997073L</t>
  </si>
  <si>
    <t>Tente Limited</t>
  </si>
  <si>
    <t>011492M</t>
  </si>
  <si>
    <t>997534L</t>
  </si>
  <si>
    <t>997546L</t>
  </si>
  <si>
    <t>602420 1 Ne Bulk</t>
  </si>
  <si>
    <t>011109M</t>
  </si>
  <si>
    <t>Agri Health</t>
  </si>
  <si>
    <t>011956M</t>
  </si>
  <si>
    <t>601590 1 Ne Bulk</t>
  </si>
  <si>
    <t>012825M</t>
  </si>
  <si>
    <t>010998M</t>
  </si>
  <si>
    <t>011359M</t>
  </si>
  <si>
    <t>609820 Ne Bulk</t>
  </si>
  <si>
    <t>016544M</t>
  </si>
  <si>
    <t>2238 oct</t>
  </si>
  <si>
    <t>012035M</t>
  </si>
  <si>
    <t>601299 oct</t>
  </si>
  <si>
    <t>012695M</t>
  </si>
  <si>
    <t>3970 oct</t>
  </si>
  <si>
    <t>016578M</t>
  </si>
  <si>
    <t>602337 1 ne bulk</t>
  </si>
  <si>
    <t>019223M</t>
  </si>
  <si>
    <t>Addleshaw Goddard</t>
  </si>
  <si>
    <t>022471M</t>
  </si>
  <si>
    <t>x78 NEs 24102025</t>
  </si>
  <si>
    <t>018534M</t>
  </si>
  <si>
    <t>601294 10</t>
  </si>
  <si>
    <t>020890M</t>
  </si>
  <si>
    <t>603773</t>
  </si>
  <si>
    <t>020806M</t>
  </si>
  <si>
    <t>Kelpac Medical</t>
  </si>
  <si>
    <t>021407M</t>
  </si>
  <si>
    <t xml:space="preserve">608028 6ne </t>
  </si>
  <si>
    <t>022142M</t>
  </si>
  <si>
    <t>O416737</t>
  </si>
  <si>
    <t xml:space="preserve">601152 1ne </t>
  </si>
  <si>
    <t>021499M</t>
  </si>
  <si>
    <t>023624M</t>
  </si>
  <si>
    <t>602303 NE Bulk</t>
  </si>
  <si>
    <t>023439M</t>
  </si>
  <si>
    <t xml:space="preserve">602944 2ne </t>
  </si>
  <si>
    <t>022237M</t>
  </si>
  <si>
    <t xml:space="preserve">603965 6NE </t>
  </si>
  <si>
    <t>022124M</t>
  </si>
  <si>
    <t>023670M</t>
  </si>
  <si>
    <t>Royal London</t>
  </si>
  <si>
    <t>993952L</t>
  </si>
  <si>
    <t>993957L</t>
  </si>
  <si>
    <t>993960L</t>
  </si>
  <si>
    <t>Keara Masterson</t>
  </si>
  <si>
    <t>O334420</t>
  </si>
  <si>
    <t>Rebecca Keating</t>
  </si>
  <si>
    <t>994482L</t>
  </si>
  <si>
    <t>x6 NEs 03102025</t>
  </si>
  <si>
    <t>994743L</t>
  </si>
  <si>
    <t>2 ADIM 29-09-2025</t>
  </si>
  <si>
    <t>995129L</t>
  </si>
  <si>
    <t xml:space="preserve">602833 9NE </t>
  </si>
  <si>
    <t>992638L</t>
  </si>
  <si>
    <t>996785L</t>
  </si>
  <si>
    <t>996204L</t>
  </si>
  <si>
    <t xml:space="preserve">603560 3NE </t>
  </si>
  <si>
    <t>O352843</t>
  </si>
  <si>
    <t>144 October 2025 NEs</t>
  </si>
  <si>
    <t>996125L</t>
  </si>
  <si>
    <t>16 Oct 2025 NEs</t>
  </si>
  <si>
    <t>996965L</t>
  </si>
  <si>
    <t>011053M</t>
  </si>
  <si>
    <t>Capventis</t>
  </si>
  <si>
    <t>011093M</t>
  </si>
  <si>
    <t>996968L</t>
  </si>
  <si>
    <t>x3 NEs 17102025</t>
  </si>
  <si>
    <t>O391115</t>
  </si>
  <si>
    <t>60984810</t>
  </si>
  <si>
    <t>017740M</t>
  </si>
  <si>
    <t xml:space="preserve">603505 7ne </t>
  </si>
  <si>
    <t>O393407</t>
  </si>
  <si>
    <t>Biosimilar</t>
  </si>
  <si>
    <t>017961M</t>
  </si>
  <si>
    <t>AAP Aviation Ireland</t>
  </si>
  <si>
    <t>019958M</t>
  </si>
  <si>
    <t xml:space="preserve">601770 1NE </t>
  </si>
  <si>
    <t>020221M</t>
  </si>
  <si>
    <t>602334 NE Bulk</t>
  </si>
  <si>
    <t>018024M</t>
  </si>
  <si>
    <t xml:space="preserve">609909 1ne </t>
  </si>
  <si>
    <t>020271M</t>
  </si>
  <si>
    <t>x4 NEs 21102025</t>
  </si>
  <si>
    <t>018505M</t>
  </si>
  <si>
    <t xml:space="preserve">602475 1NE </t>
  </si>
  <si>
    <t>020927M</t>
  </si>
  <si>
    <t>020078M</t>
  </si>
  <si>
    <t>020209M</t>
  </si>
  <si>
    <t>CA NE 23102025</t>
  </si>
  <si>
    <t>020010M</t>
  </si>
  <si>
    <t>x26 NEs 23102025</t>
  </si>
  <si>
    <t>020211M</t>
  </si>
  <si>
    <t>609848</t>
  </si>
  <si>
    <t>022067M</t>
  </si>
  <si>
    <t>60300410</t>
  </si>
  <si>
    <t>021070M</t>
  </si>
  <si>
    <t>Quest Software</t>
  </si>
  <si>
    <t>020963M</t>
  </si>
  <si>
    <t>Stryker Ireland</t>
  </si>
  <si>
    <t>602067 2 Ne Bulk</t>
  </si>
  <si>
    <t>997782L</t>
  </si>
  <si>
    <t>995659L</t>
  </si>
  <si>
    <t>x2 NEs 09102025</t>
  </si>
  <si>
    <t>996993L</t>
  </si>
  <si>
    <t>x4 NEs 09102025</t>
  </si>
  <si>
    <t>996856L</t>
  </si>
  <si>
    <t xml:space="preserve">602686 4NE </t>
  </si>
  <si>
    <t>997662L</t>
  </si>
  <si>
    <t>997410L</t>
  </si>
  <si>
    <t>609755 1ne</t>
  </si>
  <si>
    <t>011406M</t>
  </si>
  <si>
    <t>2438 10</t>
  </si>
  <si>
    <t>997370L</t>
  </si>
  <si>
    <t>1294 oct</t>
  </si>
  <si>
    <t>997434L</t>
  </si>
  <si>
    <t>Install new ents</t>
  </si>
  <si>
    <t>O368244</t>
  </si>
  <si>
    <t>603549 NE Bulk</t>
  </si>
  <si>
    <t>012033M</t>
  </si>
  <si>
    <t xml:space="preserve">603782 48ne </t>
  </si>
  <si>
    <t>011637M</t>
  </si>
  <si>
    <t xml:space="preserve">603616 1ne </t>
  </si>
  <si>
    <t>011040M</t>
  </si>
  <si>
    <t>010996M</t>
  </si>
  <si>
    <t>603026 oct</t>
  </si>
  <si>
    <t>010928M</t>
  </si>
  <si>
    <t>609121 NE Bulk</t>
  </si>
  <si>
    <t>013147M</t>
  </si>
  <si>
    <t>603616 99ne</t>
  </si>
  <si>
    <t>012233M</t>
  </si>
  <si>
    <t>x2 NEs 13102025</t>
  </si>
  <si>
    <t>013316M</t>
  </si>
  <si>
    <t>603796 Ne Bulk</t>
  </si>
  <si>
    <t>016941M</t>
  </si>
  <si>
    <t>PP01 install</t>
  </si>
  <si>
    <t>O383548</t>
  </si>
  <si>
    <t>PP04 install</t>
  </si>
  <si>
    <t>O383543</t>
  </si>
  <si>
    <t>PP07 install</t>
  </si>
  <si>
    <t>O383554</t>
  </si>
  <si>
    <t>15 Limerick NEs</t>
  </si>
  <si>
    <t>013180M</t>
  </si>
  <si>
    <t>016581M</t>
  </si>
  <si>
    <t>602410 1 NE Bulk</t>
  </si>
  <si>
    <t>013067M</t>
  </si>
  <si>
    <t>x2 Nes 16102025</t>
  </si>
  <si>
    <t>996284L</t>
  </si>
  <si>
    <t>608028 9ne</t>
  </si>
  <si>
    <t>017919M</t>
  </si>
  <si>
    <t>4 Tralee NEs</t>
  </si>
  <si>
    <t>O383955</t>
  </si>
  <si>
    <t xml:space="preserve">601152 </t>
  </si>
  <si>
    <t>012260M</t>
  </si>
  <si>
    <t>603947</t>
  </si>
  <si>
    <t>012221M</t>
  </si>
  <si>
    <t>602903 oct</t>
  </si>
  <si>
    <t>O377669</t>
  </si>
  <si>
    <t>608029 Limerick</t>
  </si>
  <si>
    <t>Glen Dimplex</t>
  </si>
  <si>
    <t>021333M</t>
  </si>
  <si>
    <t>994595L</t>
  </si>
  <si>
    <t xml:space="preserve">603553 1ne </t>
  </si>
  <si>
    <t>995049L</t>
  </si>
  <si>
    <t>016937M</t>
  </si>
  <si>
    <t>017177M</t>
  </si>
  <si>
    <t>Diageo Oct 2025 NEs</t>
  </si>
  <si>
    <t>017031M</t>
  </si>
  <si>
    <t>019049M</t>
  </si>
  <si>
    <t>601809OCT</t>
  </si>
  <si>
    <t>017306M</t>
  </si>
  <si>
    <t>x2 NEs 17102025</t>
  </si>
  <si>
    <t>O391284</t>
  </si>
  <si>
    <t xml:space="preserve">George Walker </t>
  </si>
  <si>
    <t>018023M</t>
  </si>
  <si>
    <t>Castlelake Aviation</t>
  </si>
  <si>
    <t>017876M</t>
  </si>
  <si>
    <t>603970 oct</t>
  </si>
  <si>
    <t>017821M</t>
  </si>
  <si>
    <t>602008oct</t>
  </si>
  <si>
    <t>017774M</t>
  </si>
  <si>
    <t>608028 1NE AOEW</t>
  </si>
  <si>
    <t>O392824</t>
  </si>
  <si>
    <t>Cushman</t>
  </si>
  <si>
    <t>017642M</t>
  </si>
  <si>
    <t xml:space="preserve">603687 2NE </t>
  </si>
  <si>
    <t>018347M</t>
  </si>
  <si>
    <t>603566 1 ne bulk</t>
  </si>
  <si>
    <t>017859M</t>
  </si>
  <si>
    <t xml:space="preserve">602334 3ne Linneaus </t>
  </si>
  <si>
    <t>O393949</t>
  </si>
  <si>
    <t xml:space="preserve">601357 2ne </t>
  </si>
  <si>
    <t>018348M</t>
  </si>
  <si>
    <t xml:space="preserve">606934 1NE </t>
  </si>
  <si>
    <t>018989M</t>
  </si>
  <si>
    <t>020058M</t>
  </si>
  <si>
    <t>020069M</t>
  </si>
  <si>
    <t>605564 1 NE BULK</t>
  </si>
  <si>
    <t>020109M</t>
  </si>
  <si>
    <t>60505410</t>
  </si>
  <si>
    <t>020017M</t>
  </si>
  <si>
    <t xml:space="preserve">606812 </t>
  </si>
  <si>
    <t>020172M</t>
  </si>
  <si>
    <t>60906910</t>
  </si>
  <si>
    <t>020032M</t>
  </si>
  <si>
    <t xml:space="preserve">609795 3ne </t>
  </si>
  <si>
    <t>020113M</t>
  </si>
  <si>
    <t>020276M</t>
  </si>
  <si>
    <t>602475 1 NE Bulk</t>
  </si>
  <si>
    <t>020230M</t>
  </si>
  <si>
    <t>603349 NE Bulk</t>
  </si>
  <si>
    <t>020239M</t>
  </si>
  <si>
    <t xml:space="preserve">608028 8ne </t>
  </si>
  <si>
    <t>020321M</t>
  </si>
  <si>
    <t>Burlington</t>
  </si>
  <si>
    <t>018581M</t>
  </si>
  <si>
    <t xml:space="preserve">606069 2ne </t>
  </si>
  <si>
    <t>O379629</t>
  </si>
  <si>
    <t>x5 NEs 21102025</t>
  </si>
  <si>
    <t>018395M</t>
  </si>
  <si>
    <t>Philip Lee Sols</t>
  </si>
  <si>
    <t>020811M</t>
  </si>
  <si>
    <t>021605M</t>
  </si>
  <si>
    <t>608029 1ne cork</t>
  </si>
  <si>
    <t>O406654</t>
  </si>
  <si>
    <t>x6 NEs 28102025</t>
  </si>
  <si>
    <t>023882M</t>
  </si>
  <si>
    <t>Ornua</t>
  </si>
  <si>
    <t>995378L</t>
  </si>
  <si>
    <t>526810</t>
  </si>
  <si>
    <t>995381L</t>
  </si>
  <si>
    <t xml:space="preserve">609839 5NE </t>
  </si>
  <si>
    <t>996842L</t>
  </si>
  <si>
    <t>605043 3 NE Bulk</t>
  </si>
  <si>
    <t>997375L</t>
  </si>
  <si>
    <t>603026 1 ne bulk</t>
  </si>
  <si>
    <t>997554L</t>
  </si>
  <si>
    <t>2481 oct</t>
  </si>
  <si>
    <t>997559L</t>
  </si>
  <si>
    <t>603619 4 Ne Bulk</t>
  </si>
  <si>
    <t>012710M</t>
  </si>
  <si>
    <t>606813</t>
  </si>
  <si>
    <t>012708M</t>
  </si>
  <si>
    <t xml:space="preserve">606901 1NE </t>
  </si>
  <si>
    <t>011697M</t>
  </si>
  <si>
    <t>609584 NE bulk</t>
  </si>
  <si>
    <t>016866M</t>
  </si>
  <si>
    <t>605277 5NE RO</t>
  </si>
  <si>
    <t>976916L</t>
  </si>
  <si>
    <t>012181M</t>
  </si>
  <si>
    <t xml:space="preserve">609839 1NE </t>
  </si>
  <si>
    <t>O337860</t>
  </si>
  <si>
    <t>MSL Healthcare</t>
  </si>
  <si>
    <t>017796M</t>
  </si>
  <si>
    <t>609694 8ne</t>
  </si>
  <si>
    <t>020189M</t>
  </si>
  <si>
    <t>603888 3ne</t>
  </si>
  <si>
    <t>020709M</t>
  </si>
  <si>
    <t>The Open</t>
  </si>
  <si>
    <t>019217M</t>
  </si>
  <si>
    <t>x3 NEs 22102025</t>
  </si>
  <si>
    <t>019344M</t>
  </si>
  <si>
    <t>Anne Sullivan</t>
  </si>
  <si>
    <t>021912M</t>
  </si>
  <si>
    <t>O402636</t>
  </si>
  <si>
    <t>O402638</t>
  </si>
  <si>
    <t>603745 10</t>
  </si>
  <si>
    <t>020412M</t>
  </si>
  <si>
    <t>Abbeyleix</t>
  </si>
  <si>
    <t>022001M</t>
  </si>
  <si>
    <t>O402642</t>
  </si>
  <si>
    <t>609768 Ne Bulk</t>
  </si>
  <si>
    <t>020252M</t>
  </si>
  <si>
    <t>022109M</t>
  </si>
  <si>
    <t>020082M</t>
  </si>
  <si>
    <t>60395910</t>
  </si>
  <si>
    <t>020962M</t>
  </si>
  <si>
    <t>020966M</t>
  </si>
  <si>
    <t>021080M</t>
  </si>
  <si>
    <t xml:space="preserve">603640 1ne </t>
  </si>
  <si>
    <t>023611M</t>
  </si>
  <si>
    <t>608028 adim</t>
  </si>
  <si>
    <t>023621M</t>
  </si>
  <si>
    <t>Bord na Mona PLC</t>
  </si>
  <si>
    <t>022033M</t>
  </si>
  <si>
    <t xml:space="preserve">Brinks Cash </t>
  </si>
  <si>
    <t>022196M</t>
  </si>
  <si>
    <t>022498M</t>
  </si>
  <si>
    <t>60377310</t>
  </si>
  <si>
    <t>022752M</t>
  </si>
  <si>
    <t>022566M</t>
  </si>
  <si>
    <t>605350 6ne</t>
  </si>
  <si>
    <t>024342M</t>
  </si>
  <si>
    <t>5 Oct 2025 STH1</t>
  </si>
  <si>
    <t>994409L</t>
  </si>
  <si>
    <t>996064L</t>
  </si>
  <si>
    <t>605268</t>
  </si>
  <si>
    <t>O372054</t>
  </si>
  <si>
    <t xml:space="preserve">608028 2NE </t>
  </si>
  <si>
    <t>016927M</t>
  </si>
  <si>
    <t>2944 10</t>
  </si>
  <si>
    <t>011621M</t>
  </si>
  <si>
    <t>3965 10</t>
  </si>
  <si>
    <t>011597M</t>
  </si>
  <si>
    <t>602915</t>
  </si>
  <si>
    <t>020704M</t>
  </si>
  <si>
    <t>Berendsen Ireland</t>
  </si>
  <si>
    <t>020057M</t>
  </si>
  <si>
    <t>Athena Trident</t>
  </si>
  <si>
    <t>021105M</t>
  </si>
  <si>
    <t>60364010</t>
  </si>
  <si>
    <t>020751M</t>
  </si>
  <si>
    <t xml:space="preserve">603495 </t>
  </si>
  <si>
    <t>023374M</t>
  </si>
  <si>
    <t>605105 1NE</t>
  </si>
  <si>
    <t>022604M</t>
  </si>
  <si>
    <t>024569M</t>
  </si>
  <si>
    <t>x27 NEs 15102025</t>
  </si>
  <si>
    <t>011958M</t>
  </si>
  <si>
    <t>603583 NE BULK</t>
  </si>
  <si>
    <t>017763M</t>
  </si>
  <si>
    <t>602549 Ne Bulk</t>
  </si>
  <si>
    <t>017990M</t>
  </si>
  <si>
    <t>603473 2 NE Bulk</t>
  </si>
  <si>
    <t>018026M</t>
  </si>
  <si>
    <t>602337 1 NE Bulk</t>
  </si>
  <si>
    <t>019575M</t>
  </si>
  <si>
    <t>609921 NE Bulk</t>
  </si>
  <si>
    <t>019576M</t>
  </si>
  <si>
    <t>602197 2NE AVC</t>
  </si>
  <si>
    <t>019215M</t>
  </si>
  <si>
    <t xml:space="preserve">605268 1ne </t>
  </si>
  <si>
    <t>019246M</t>
  </si>
  <si>
    <t>608028 1NE AOEM</t>
  </si>
  <si>
    <t>O392825</t>
  </si>
  <si>
    <t xml:space="preserve">603616 53ne </t>
  </si>
  <si>
    <t>018530M</t>
  </si>
  <si>
    <t>018311M</t>
  </si>
  <si>
    <t>606829 Ne Bulk</t>
  </si>
  <si>
    <t>019987M</t>
  </si>
  <si>
    <t>605244</t>
  </si>
  <si>
    <t>020933M</t>
  </si>
  <si>
    <t>ByrneWallace</t>
  </si>
  <si>
    <t>020001M</t>
  </si>
  <si>
    <t>x31 NEs 30102025</t>
  </si>
  <si>
    <t>024379M</t>
  </si>
  <si>
    <t xml:space="preserve">603097 1NE </t>
  </si>
  <si>
    <t>022678M</t>
  </si>
  <si>
    <t>603640 1NE</t>
  </si>
  <si>
    <t>022556M</t>
  </si>
  <si>
    <t>TransPerfect</t>
  </si>
  <si>
    <t>022261M</t>
  </si>
  <si>
    <t>022706M</t>
  </si>
  <si>
    <t>O426025</t>
  </si>
  <si>
    <t>602343 2ne</t>
  </si>
  <si>
    <t>024631M</t>
  </si>
  <si>
    <t>605168 1ne</t>
  </si>
  <si>
    <t>024340M</t>
  </si>
  <si>
    <t>608035 1ne</t>
  </si>
  <si>
    <t>024347M</t>
  </si>
  <si>
    <t>603560</t>
  </si>
  <si>
    <t>995256L</t>
  </si>
  <si>
    <t>x15 NEs 21102025</t>
  </si>
  <si>
    <t>017185M</t>
  </si>
  <si>
    <t>Ogalas Unlimited</t>
  </si>
  <si>
    <t>018352M</t>
  </si>
  <si>
    <t>602823 Ne Bulk</t>
  </si>
  <si>
    <t>018995M</t>
  </si>
  <si>
    <t>605011 5 NE Bulk</t>
  </si>
  <si>
    <t>019020M</t>
  </si>
  <si>
    <t>Edel O Regan</t>
  </si>
  <si>
    <t>O400006</t>
  </si>
  <si>
    <t>Sophia</t>
  </si>
  <si>
    <t>021441M</t>
  </si>
  <si>
    <t>American</t>
  </si>
  <si>
    <t>019281M</t>
  </si>
  <si>
    <t>O406658</t>
  </si>
  <si>
    <t>608028 1ne aoem</t>
  </si>
  <si>
    <t>O419566</t>
  </si>
  <si>
    <t>Coillte</t>
  </si>
  <si>
    <t>O338660</t>
  </si>
  <si>
    <t>603640 1 ne bulk</t>
  </si>
  <si>
    <t>022209M</t>
  </si>
  <si>
    <t xml:space="preserve">603740 Ballinasmalla </t>
  </si>
  <si>
    <t>022075M</t>
  </si>
  <si>
    <t>Corrib Oil</t>
  </si>
  <si>
    <t>O421483</t>
  </si>
  <si>
    <t>995186L</t>
  </si>
  <si>
    <t>apple AE FILE 1</t>
  </si>
  <si>
    <t>011575M</t>
  </si>
  <si>
    <t>606805 NE Bulk</t>
  </si>
  <si>
    <t>017924M</t>
  </si>
  <si>
    <t>603640 NE Bulk</t>
  </si>
  <si>
    <t>018011M</t>
  </si>
  <si>
    <t>602944 2 NE Bulk</t>
  </si>
  <si>
    <t>020937M</t>
  </si>
  <si>
    <t>x3 NEs 24102025</t>
  </si>
  <si>
    <t>019284M</t>
  </si>
  <si>
    <t xml:space="preserve">Addleshaw </t>
  </si>
  <si>
    <t>022484M</t>
  </si>
  <si>
    <t>Transformed NEs 24102025</t>
  </si>
  <si>
    <t>022694M</t>
  </si>
  <si>
    <t>60307610</t>
  </si>
  <si>
    <t>020721M</t>
  </si>
  <si>
    <t>60378710</t>
  </si>
  <si>
    <t>020996M</t>
  </si>
  <si>
    <t>Berendsen</t>
  </si>
  <si>
    <t>O414126</t>
  </si>
  <si>
    <t>609776</t>
  </si>
  <si>
    <t>021512M</t>
  </si>
  <si>
    <t>603655 3 NE BULK</t>
  </si>
  <si>
    <t>021556M</t>
  </si>
  <si>
    <t>605303 NE BULK</t>
  </si>
  <si>
    <t>021381M</t>
  </si>
  <si>
    <t xml:space="preserve">608522 5NE </t>
  </si>
  <si>
    <t>021946M</t>
  </si>
  <si>
    <t>609906 8NE</t>
  </si>
  <si>
    <t>022571M</t>
  </si>
  <si>
    <t>september</t>
  </si>
  <si>
    <t>021118M</t>
  </si>
  <si>
    <t>Bourns</t>
  </si>
  <si>
    <t>023033M</t>
  </si>
  <si>
    <t>601335 3 Ne Bulk</t>
  </si>
  <si>
    <t>022420M</t>
  </si>
  <si>
    <t>609712 2ne</t>
  </si>
  <si>
    <t>021889M</t>
  </si>
  <si>
    <t>x32 NEs 28102025</t>
  </si>
  <si>
    <t>021457M</t>
  </si>
  <si>
    <t xml:space="preserve">609379 2ne </t>
  </si>
  <si>
    <t>021606M</t>
  </si>
  <si>
    <t>602896 4NE</t>
  </si>
  <si>
    <t>021268M</t>
  </si>
  <si>
    <t>021284M</t>
  </si>
  <si>
    <t>x8 NEs 28102025</t>
  </si>
  <si>
    <t>021523M</t>
  </si>
  <si>
    <t>60334110</t>
  </si>
  <si>
    <t>018994M</t>
  </si>
  <si>
    <t>x4 NEs 28102025</t>
  </si>
  <si>
    <t>021293M</t>
  </si>
  <si>
    <t>x1 NE 28102025 Zivko</t>
  </si>
  <si>
    <t>022030M</t>
  </si>
  <si>
    <t>ad hoc 281025</t>
  </si>
  <si>
    <t>O419064</t>
  </si>
  <si>
    <t>x10 NEs 28102025</t>
  </si>
  <si>
    <t>021864M</t>
  </si>
  <si>
    <t>608028 2NE aoew</t>
  </si>
  <si>
    <t>023623M</t>
  </si>
  <si>
    <t>Hostelworld</t>
  </si>
  <si>
    <t>024717M</t>
  </si>
  <si>
    <t>609739 NE BULK</t>
  </si>
  <si>
    <t>023811M</t>
  </si>
  <si>
    <t>603706 NE Bulk</t>
  </si>
  <si>
    <t>023480M</t>
  </si>
  <si>
    <t>603706</t>
  </si>
  <si>
    <t>993966L</t>
  </si>
  <si>
    <t>606879 1 Ne Bulk</t>
  </si>
  <si>
    <t>O328497</t>
  </si>
  <si>
    <t>O333044</t>
  </si>
  <si>
    <t>603015 DB joiners</t>
  </si>
  <si>
    <t>P317</t>
  </si>
  <si>
    <t>O331529</t>
  </si>
  <si>
    <t>Aimware Limited</t>
  </si>
  <si>
    <t>995396L</t>
  </si>
  <si>
    <t>Sara Jane Downdall</t>
  </si>
  <si>
    <t>994260L</t>
  </si>
  <si>
    <t>Dermot O Sullivan</t>
  </si>
  <si>
    <t>O330747</t>
  </si>
  <si>
    <t xml:space="preserve">603001 1ne </t>
  </si>
  <si>
    <t>995158L</t>
  </si>
  <si>
    <t>East Cork Oil</t>
  </si>
  <si>
    <t>995385L</t>
  </si>
  <si>
    <t xml:space="preserve">Lake Region </t>
  </si>
  <si>
    <t>996261L</t>
  </si>
  <si>
    <t>310610</t>
  </si>
  <si>
    <t>995323L</t>
  </si>
  <si>
    <t>995700L</t>
  </si>
  <si>
    <t xml:space="preserve">Cushman </t>
  </si>
  <si>
    <t>995918L</t>
  </si>
  <si>
    <t>O339990</t>
  </si>
  <si>
    <t>Cuna Mutual</t>
  </si>
  <si>
    <t>995831L</t>
  </si>
  <si>
    <t>9 Sept 2025 NEs</t>
  </si>
  <si>
    <t>995657L</t>
  </si>
  <si>
    <t>Henry J Lyons</t>
  </si>
  <si>
    <t>995884L</t>
  </si>
  <si>
    <t xml:space="preserve">2 Cork NEs </t>
  </si>
  <si>
    <t>O341416</t>
  </si>
  <si>
    <t>O341419</t>
  </si>
  <si>
    <t>Charles River</t>
  </si>
  <si>
    <t>997753L</t>
  </si>
  <si>
    <t>Laura Power</t>
  </si>
  <si>
    <t>O341949</t>
  </si>
  <si>
    <t>O360168</t>
  </si>
  <si>
    <t>Beatrice Nyawera</t>
  </si>
  <si>
    <t>O345595</t>
  </si>
  <si>
    <t>Turner</t>
  </si>
  <si>
    <t>997738L</t>
  </si>
  <si>
    <t>012290m</t>
  </si>
  <si>
    <t>Select  b.batch_id ,
        b.batch_name,
        b.creation_date as Created,
        b.completed_date as Completed,
        b.num_data_records_loaded,
        b.num_data_records_valid,
        b.num_data_records_errored,
        b.num_data_records_skipped,
        b.created_by,
        b.attribute4 as Midas_No,
        b.status
From SLDBA.BATCH b
Where b.creation_date &gt;= '06-01-2025'
AND b.completed_date is not Null</t>
  </si>
  <si>
    <t>Organization Name</t>
  </si>
  <si>
    <t>Use Case Name</t>
  </si>
  <si>
    <t>Submission Date and Time (UTC)</t>
  </si>
  <si>
    <t>Reference Number</t>
  </si>
  <si>
    <t>Submission Status</t>
  </si>
  <si>
    <t>Organization Status</t>
  </si>
  <si>
    <t>Irish Life</t>
  </si>
  <si>
    <t>Completed</t>
  </si>
  <si>
    <t>Active</t>
  </si>
  <si>
    <t>Rangeland Foods Limited</t>
  </si>
  <si>
    <t>BearingPoint Ireland Limited</t>
  </si>
  <si>
    <t>Glen Dimplex Ireland Unlimited Company</t>
  </si>
  <si>
    <t>Magnet Networks Ltd</t>
  </si>
  <si>
    <t>Glennon Employee Benefits</t>
  </si>
  <si>
    <t>Beacon Hospital Sandyford Limited</t>
  </si>
  <si>
    <t>Kerry Parents and Friends Association</t>
  </si>
  <si>
    <t>DLA Piper Ireland LLP</t>
  </si>
  <si>
    <t>Mars Foods Ireland Ltd</t>
  </si>
  <si>
    <t>Etrawler Unlimited Company</t>
  </si>
  <si>
    <t>eircom</t>
  </si>
  <si>
    <t>Cohesity International Limited</t>
  </si>
  <si>
    <t>Prosper Group Fingal and Meath</t>
  </si>
  <si>
    <t>Renaissance Services of Europe Limited</t>
  </si>
  <si>
    <t>McDonalds Restaurants of Ireland Ltd</t>
  </si>
  <si>
    <t>AWP Health and Life SA</t>
  </si>
  <si>
    <t>Open Sky Data Systems Limited</t>
  </si>
  <si>
    <t>Pramerica Systems Ireland Ltd</t>
  </si>
  <si>
    <t>Hertz Europe Service Centre Limited</t>
  </si>
  <si>
    <t>MeiraGTx Ireland DAC</t>
  </si>
  <si>
    <t>Society of Saint Vincent De Paul</t>
  </si>
  <si>
    <t>Project Management Limited</t>
  </si>
  <si>
    <t>Ability West</t>
  </si>
  <si>
    <t>Dropbox Group DC Pension Scheme</t>
  </si>
  <si>
    <t>Arvato Ireland Ltd</t>
  </si>
  <si>
    <t>Moog Ireland Limited</t>
  </si>
  <si>
    <t>Tata Consultancy Services Ltd</t>
  </si>
  <si>
    <t>Open Text Ireland Ltd</t>
  </si>
  <si>
    <t>Schneider Electric Ireland Limited</t>
  </si>
  <si>
    <t>Add Members</t>
  </si>
  <si>
    <t>018693M</t>
  </si>
  <si>
    <t>018655M</t>
  </si>
  <si>
    <t>Apleona Ireland Limited</t>
  </si>
  <si>
    <t>Murray Design and Engineering Limited</t>
  </si>
  <si>
    <t>Chartered Financial Solutions</t>
  </si>
  <si>
    <t>2025-10-16 15:54:16.759000Z</t>
  </si>
  <si>
    <t>017140M</t>
  </si>
  <si>
    <t>2025-10-16 15:46:18.989000Z</t>
  </si>
  <si>
    <t>018631M</t>
  </si>
  <si>
    <t>2025-10-16 15:42:06.606000Z</t>
  </si>
  <si>
    <t>2025-10-16 15:37:54.947000Z</t>
  </si>
  <si>
    <t>018624M</t>
  </si>
  <si>
    <t>2025-10-16 15:27:32.976000Z</t>
  </si>
  <si>
    <t>017281M</t>
  </si>
  <si>
    <t>Aon</t>
  </si>
  <si>
    <t>2025-10-16 15:11:30.329000Z</t>
  </si>
  <si>
    <t>017152M</t>
  </si>
  <si>
    <t>2025-10-16 15:08:14.285000Z</t>
  </si>
  <si>
    <t>017151M</t>
  </si>
  <si>
    <t>Proofpoint Ireland Limited</t>
  </si>
  <si>
    <t>2025-10-16 15:05:08.092000Z</t>
  </si>
  <si>
    <t>2025-10-16 15:03:47.016000Z</t>
  </si>
  <si>
    <t>017153M</t>
  </si>
  <si>
    <t>MMPI</t>
  </si>
  <si>
    <t>Generali Seguros y Reaseguros SA</t>
  </si>
  <si>
    <t>2025-10-16 14:58:20.039000Z</t>
  </si>
  <si>
    <t>017291M</t>
  </si>
  <si>
    <t>2025-10-16 14:56:12.744000Z</t>
  </si>
  <si>
    <t>017294M</t>
  </si>
  <si>
    <t>Demonware Limited</t>
  </si>
  <si>
    <t>2025-10-16 14:43:46.269000Z</t>
  </si>
  <si>
    <t>017258M</t>
  </si>
  <si>
    <t>2025-10-16 14:38:58.749000Z</t>
  </si>
  <si>
    <t>017239M</t>
  </si>
  <si>
    <t>2025-10-16 14:36:11.247000Z</t>
  </si>
  <si>
    <t>017175M</t>
  </si>
  <si>
    <t>018575M</t>
  </si>
  <si>
    <t>2025-10-16 14:21:29.022000Z</t>
  </si>
  <si>
    <t>Irish College Of General Practitioners</t>
  </si>
  <si>
    <t>018560M</t>
  </si>
  <si>
    <t>Hitachi Energy Ireland Limited</t>
  </si>
  <si>
    <t>2025-10-16 14:10:56.426000Z</t>
  </si>
  <si>
    <t>Mercer (Ireland) Limited</t>
  </si>
  <si>
    <t>018541M</t>
  </si>
  <si>
    <t>018536M</t>
  </si>
  <si>
    <t>2025-10-16 13:54:31.426000Z</t>
  </si>
  <si>
    <t>2025-10-16 13:46:55.110000Z</t>
  </si>
  <si>
    <t>2025-10-16 13:41:27.814000Z</t>
  </si>
  <si>
    <t>Paddy Denby Engineering Ltd</t>
  </si>
  <si>
    <t>2025-10-16 13:31:31.639000Z</t>
  </si>
  <si>
    <t>Zellis</t>
  </si>
  <si>
    <t>2025-10-16 13:27:56.629000Z</t>
  </si>
  <si>
    <t>Munster Cattle Breeding Group Ltd</t>
  </si>
  <si>
    <t>018512M</t>
  </si>
  <si>
    <t>Applus Car Testing Service Ltd</t>
  </si>
  <si>
    <t>2025-10-16 13:23:34.384000Z</t>
  </si>
  <si>
    <t>2025-10-16 13:17:43.048000Z</t>
  </si>
  <si>
    <t>017222M</t>
  </si>
  <si>
    <t>Unio Employee Benefits</t>
  </si>
  <si>
    <t>American Well Corporation Ireland Ltd</t>
  </si>
  <si>
    <t>018496M</t>
  </si>
  <si>
    <t>2025-10-16 13:14:12.580000Z</t>
  </si>
  <si>
    <t>017216M</t>
  </si>
  <si>
    <t>Mannok Cement Limited</t>
  </si>
  <si>
    <t>018493M</t>
  </si>
  <si>
    <t>St Vincents Healthcare Group</t>
  </si>
  <si>
    <t>018489M</t>
  </si>
  <si>
    <t>2025-10-16 12:59:44.085000Z</t>
  </si>
  <si>
    <t>2025-10-16 12:57:18.230000Z</t>
  </si>
  <si>
    <t>016548M</t>
  </si>
  <si>
    <t>2025-10-16 12:50:41.412000Z</t>
  </si>
  <si>
    <t>Securitas Security Services Ireland Ltd</t>
  </si>
  <si>
    <t>2025-10-16 12:48:35.112000Z</t>
  </si>
  <si>
    <t>017179M</t>
  </si>
  <si>
    <t>2025-10-16 12:37:32.592000Z</t>
  </si>
  <si>
    <t>2025-10-16 12:29:16.043000Z</t>
  </si>
  <si>
    <t>2025-10-16 12:21:19.642000Z</t>
  </si>
  <si>
    <t>First Citizen Finance Limited</t>
  </si>
  <si>
    <t>2025-10-16 12:15:27.486000Z</t>
  </si>
  <si>
    <t>017016M</t>
  </si>
  <si>
    <t>018446M</t>
  </si>
  <si>
    <t>018438M</t>
  </si>
  <si>
    <t>018440M</t>
  </si>
  <si>
    <t>2025-10-16 11:51:19.314000Z</t>
  </si>
  <si>
    <t>Excelsys Technologies Limited</t>
  </si>
  <si>
    <t>2025-10-16 11:47:31.395000Z</t>
  </si>
  <si>
    <t>017002M</t>
  </si>
  <si>
    <t>Lifescience Business PlatforLimited</t>
  </si>
  <si>
    <t>2025-10-16 11:34:09.996000Z</t>
  </si>
  <si>
    <t>016949M</t>
  </si>
  <si>
    <t>2025-10-16 11:31:34.149000Z</t>
  </si>
  <si>
    <t>016895M</t>
  </si>
  <si>
    <t>2025-10-16 11:02:35.558000Z</t>
  </si>
  <si>
    <t>018369M</t>
  </si>
  <si>
    <t>2025-10-16 10:52:39.500000Z</t>
  </si>
  <si>
    <t>Ethos Engineering Limited</t>
  </si>
  <si>
    <t>2025-10-16 10:50:08.921000Z</t>
  </si>
  <si>
    <t>016554M</t>
  </si>
  <si>
    <t>2025-10-16 10:44:45.084000Z</t>
  </si>
  <si>
    <t>013294M</t>
  </si>
  <si>
    <t>2025-10-16 10:40:52.916000Z</t>
  </si>
  <si>
    <t>016733M</t>
  </si>
  <si>
    <t>2025-10-16 10:38:26.845000Z</t>
  </si>
  <si>
    <t>018350M</t>
  </si>
  <si>
    <t>The Open University Retirement Solution Plan</t>
  </si>
  <si>
    <t>2025-10-16 10:34:30.850000Z</t>
  </si>
  <si>
    <t>O Neill O Malley Ltd</t>
  </si>
  <si>
    <t>2025-10-16 10:20:23.719000Z</t>
  </si>
  <si>
    <t>Tokyo Electron Europe Ltd</t>
  </si>
  <si>
    <t>2025-10-16 10:09:11.027000Z</t>
  </si>
  <si>
    <t>017356M</t>
  </si>
  <si>
    <t>018327M</t>
  </si>
  <si>
    <t>Bon Secours Health System CLG</t>
  </si>
  <si>
    <t>2025-10-16 09:56:00.933000Z</t>
  </si>
  <si>
    <t>018314M</t>
  </si>
  <si>
    <t>Patrick J Tobin Ltd</t>
  </si>
  <si>
    <t>Representative Church Body Retirement Solution Plan</t>
  </si>
  <si>
    <t>2025-10-16 09:50:55.235000Z</t>
  </si>
  <si>
    <t>017055M</t>
  </si>
  <si>
    <t>2025-10-16 09:46:33.001000Z</t>
  </si>
  <si>
    <t>2025-10-16 09:28:23.123000Z</t>
  </si>
  <si>
    <t>2025-10-16 09:27:52.344000Z</t>
  </si>
  <si>
    <t>2025-10-16 09:26:31.581000Z</t>
  </si>
  <si>
    <t>Lockton Employee Benefits Ireland</t>
  </si>
  <si>
    <t>018285M</t>
  </si>
  <si>
    <t>Cheshire Foundation in Ireland</t>
  </si>
  <si>
    <t>2025-10-16 09:14:58.502000Z</t>
  </si>
  <si>
    <t>Joseph G Byrne and Sons Consulting Actuaries</t>
  </si>
  <si>
    <t>2025-10-16 08:53:35.937000Z</t>
  </si>
  <si>
    <t>2025-10-16 08:52:14.847000Z</t>
  </si>
  <si>
    <t>2025-10-16 08:44:07.346000Z</t>
  </si>
  <si>
    <t>013317M</t>
  </si>
  <si>
    <t>2025-10-16 08:06:37.082000Z</t>
  </si>
  <si>
    <t>2025-10-16 07:59:15.279000Z</t>
  </si>
  <si>
    <t>Thermo Fisher Scientific</t>
  </si>
  <si>
    <t>2025-10-15 15:40:18.421000Z</t>
  </si>
  <si>
    <t>Mondelez International</t>
  </si>
  <si>
    <t>2025-10-15 15:29:21.230000Z</t>
  </si>
  <si>
    <t>Fold Housing Association Company IRL Ltd</t>
  </si>
  <si>
    <t>018028M</t>
  </si>
  <si>
    <t>018021M</t>
  </si>
  <si>
    <t>018020M</t>
  </si>
  <si>
    <t>ING Bank NV Dublin Branch</t>
  </si>
  <si>
    <t>Amarin</t>
  </si>
  <si>
    <t>018013M</t>
  </si>
  <si>
    <t>018005M</t>
  </si>
  <si>
    <t>2025-10-15 14:55:35.750000Z</t>
  </si>
  <si>
    <t>017999M</t>
  </si>
  <si>
    <t>018002M</t>
  </si>
  <si>
    <t>017994M</t>
  </si>
  <si>
    <t>Mediolanum International Funds Limited</t>
  </si>
  <si>
    <t>2025-10-15 14:43:18.982000Z</t>
  </si>
  <si>
    <t>2025-10-15 14:39:33.435000Z</t>
  </si>
  <si>
    <t>012146M</t>
  </si>
  <si>
    <t>2025-10-15 14:39:07.720000Z</t>
  </si>
  <si>
    <t>Booking Holdings Financial Services Intl Ltd</t>
  </si>
  <si>
    <t>2025-10-15 14:36:56.664000Z</t>
  </si>
  <si>
    <t>2025-10-15 14:27:29.275000Z</t>
  </si>
  <si>
    <t>017947M</t>
  </si>
  <si>
    <t>017944M</t>
  </si>
  <si>
    <t>Blackrock Health</t>
  </si>
  <si>
    <t>2025-10-15 13:51:08.917000Z</t>
  </si>
  <si>
    <t>016546M</t>
  </si>
  <si>
    <t>2025-10-15 13:47:56.322000Z</t>
  </si>
  <si>
    <t>016550M</t>
  </si>
  <si>
    <t>2025-10-15 13:44:34.538000Z</t>
  </si>
  <si>
    <t>016547M</t>
  </si>
  <si>
    <t>2025-10-15 13:30:26.191000Z</t>
  </si>
  <si>
    <t>012810M</t>
  </si>
  <si>
    <t>2025-10-15 13:26:44.695000Z</t>
  </si>
  <si>
    <t>012809M</t>
  </si>
  <si>
    <t>2025-10-15 13:05:46.704000Z</t>
  </si>
  <si>
    <t>017897M</t>
  </si>
  <si>
    <t>AMBU Limited</t>
  </si>
  <si>
    <t>017891M</t>
  </si>
  <si>
    <t>2025-10-15 12:46:35.744000Z</t>
  </si>
  <si>
    <t>Ornua Co Operative Limited</t>
  </si>
  <si>
    <t>2025-10-15 12:18:47.551000Z</t>
  </si>
  <si>
    <t>2025-10-15 12:14:13.333000Z</t>
  </si>
  <si>
    <t>2025-10-15 11:58:57.411000Z</t>
  </si>
  <si>
    <t>Rathdown School</t>
  </si>
  <si>
    <t>017844M</t>
  </si>
  <si>
    <t>017840M</t>
  </si>
  <si>
    <t>017841M</t>
  </si>
  <si>
    <t>2025-10-15 11:39:38.387000Z</t>
  </si>
  <si>
    <t>017835M</t>
  </si>
  <si>
    <t>2025-10-15 11:19:58.989000Z</t>
  </si>
  <si>
    <t>2025-10-15 11:12:46.152000Z</t>
  </si>
  <si>
    <t>True Temper Limited</t>
  </si>
  <si>
    <t>017779M</t>
  </si>
  <si>
    <t>CBRE Ireland</t>
  </si>
  <si>
    <t>017771M</t>
  </si>
  <si>
    <t>017765M</t>
  </si>
  <si>
    <t>017759M</t>
  </si>
  <si>
    <t>017756M</t>
  </si>
  <si>
    <t>2025-10-15 10:46:13.366000Z</t>
  </si>
  <si>
    <t>017720M</t>
  </si>
  <si>
    <t>017719M</t>
  </si>
  <si>
    <t>2025-10-15 10:07:22.331000Z</t>
  </si>
  <si>
    <t>012172M</t>
  </si>
  <si>
    <t>2025-10-15 10:05:01.005000Z</t>
  </si>
  <si>
    <t>012171M</t>
  </si>
  <si>
    <t>2025-10-15 10:02:10.023000Z</t>
  </si>
  <si>
    <t>012166M</t>
  </si>
  <si>
    <t>2025-10-15 10:00:59.385000Z</t>
  </si>
  <si>
    <t>012169M</t>
  </si>
  <si>
    <t>2025-10-15 10:00:08.782000Z</t>
  </si>
  <si>
    <t>012173M</t>
  </si>
  <si>
    <t>2025-10-15 09:57:07.512000Z</t>
  </si>
  <si>
    <t>2025-10-15 09:56:16.725000Z</t>
  </si>
  <si>
    <t>012170M</t>
  </si>
  <si>
    <t>2025-10-15 09:51:25.622000Z</t>
  </si>
  <si>
    <t>011994M</t>
  </si>
  <si>
    <t>Montage Technologies Limited</t>
  </si>
  <si>
    <t>017690M</t>
  </si>
  <si>
    <t>2025-10-15 09:46:33.757000Z</t>
  </si>
  <si>
    <t>012047M</t>
  </si>
  <si>
    <t>Zendesk International Limited</t>
  </si>
  <si>
    <t>2025-10-15 09:38:57.666000Z</t>
  </si>
  <si>
    <t>2025-10-15 09:34:45.943000Z</t>
  </si>
  <si>
    <t>2025-10-15 09:28:24.671000Z</t>
  </si>
  <si>
    <t>2025-10-15 09:23:11.048000Z</t>
  </si>
  <si>
    <t>2025-10-15 09:09:26.528000Z</t>
  </si>
  <si>
    <t>Vestas Ireland Limited</t>
  </si>
  <si>
    <t>017646M</t>
  </si>
  <si>
    <t>Cushman and Wakefield Ireland</t>
  </si>
  <si>
    <t>2025-10-15 08:49:19.111000Z</t>
  </si>
  <si>
    <t>ChildVision</t>
  </si>
  <si>
    <t>2025-10-15 08:34:28.359000Z</t>
  </si>
  <si>
    <t>012699M</t>
  </si>
  <si>
    <t>2025-10-15 08:18:40.037000Z</t>
  </si>
  <si>
    <t>2025-10-15 08:18:04.397000Z</t>
  </si>
  <si>
    <t>Killarney Hotels Limited</t>
  </si>
  <si>
    <t>2025-10-15 08:17:57.992000Z</t>
  </si>
  <si>
    <t>017592M</t>
  </si>
  <si>
    <t>017589M</t>
  </si>
  <si>
    <t>IHI Group</t>
  </si>
  <si>
    <t>2025-10-15 07:33:44.693000Z</t>
  </si>
  <si>
    <t>012249M</t>
  </si>
  <si>
    <t>017361M</t>
  </si>
  <si>
    <t>017345M</t>
  </si>
  <si>
    <t>017335M</t>
  </si>
  <si>
    <t>012212M</t>
  </si>
  <si>
    <t>2025-10-14 15:33:11.389000Z</t>
  </si>
  <si>
    <t>011702M</t>
  </si>
  <si>
    <t>Dosco Unlimited Company</t>
  </si>
  <si>
    <t>017310M</t>
  </si>
  <si>
    <t>Magee Clothing Limited</t>
  </si>
  <si>
    <t>Greencore Group Plc</t>
  </si>
  <si>
    <t>2025-10-14 15:25:33.268000Z</t>
  </si>
  <si>
    <t>2025-10-14 15:18:26.910000Z</t>
  </si>
  <si>
    <t>017286M</t>
  </si>
  <si>
    <t>Brown Thomas and Co Limited</t>
  </si>
  <si>
    <t>2025-10-14 14:43:18.308000Z</t>
  </si>
  <si>
    <t>017268M</t>
  </si>
  <si>
    <t>Sisters of Bon Secours Ireland Staff</t>
  </si>
  <si>
    <t>017263M</t>
  </si>
  <si>
    <t>Fehily Timoney and Company Limited</t>
  </si>
  <si>
    <t>017217M</t>
  </si>
  <si>
    <t>2025-10-14 13:52:53.350000Z</t>
  </si>
  <si>
    <t>Coupa Operations Inc</t>
  </si>
  <si>
    <t>2025-10-14 13:51:52.697000Z</t>
  </si>
  <si>
    <t>012128M</t>
  </si>
  <si>
    <t>Kerry Group Plc</t>
  </si>
  <si>
    <t>2025-10-14 13:46:15.675000Z</t>
  </si>
  <si>
    <t>2025-10-14 13:37:47.694000Z</t>
  </si>
  <si>
    <t>012116M</t>
  </si>
  <si>
    <t>2025-10-14 13:36:52.337000Z</t>
  </si>
  <si>
    <t>2025-10-14 13:32:29.636000Z</t>
  </si>
  <si>
    <t>013259M</t>
  </si>
  <si>
    <t>2025-10-14 13:28:08.440000Z</t>
  </si>
  <si>
    <t>2025-10-14 13:27:32.781000Z</t>
  </si>
  <si>
    <t>Ingersoll Rand Industrial Ire Limited</t>
  </si>
  <si>
    <t>2025-10-14 13:17:46.846000Z</t>
  </si>
  <si>
    <t>011982M</t>
  </si>
  <si>
    <t>2025-10-14 13:17:41.191000Z</t>
  </si>
  <si>
    <t>2025-10-14 13:10:53.107000Z</t>
  </si>
  <si>
    <t>017158M</t>
  </si>
  <si>
    <t>Moneywise Financial Planning Ltd</t>
  </si>
  <si>
    <t>2025-10-14 12:59:55.282000Z</t>
  </si>
  <si>
    <t>011645M</t>
  </si>
  <si>
    <t>Toasttab Ireland Limited</t>
  </si>
  <si>
    <t>2025-10-14 12:53:37.374000Z</t>
  </si>
  <si>
    <t>East Cork Oil Company</t>
  </si>
  <si>
    <t>2025-10-14 12:25:57.602000Z</t>
  </si>
  <si>
    <t>2025-10-14 11:24:48.803000Z</t>
  </si>
  <si>
    <t>2025-10-14 11:24:43.364000Z</t>
  </si>
  <si>
    <t>2025-10-14 11:23:32.269000Z</t>
  </si>
  <si>
    <t>2025-10-14 11:03:58.826000Z</t>
  </si>
  <si>
    <t>997369L</t>
  </si>
  <si>
    <t>2025-10-14 10:57:31.219000Z</t>
  </si>
  <si>
    <t>2025-10-14 10:52:35.799000Z</t>
  </si>
  <si>
    <t>012290M</t>
  </si>
  <si>
    <t>2025-10-14 10:43:10.211000Z</t>
  </si>
  <si>
    <t>2025-10-14 10:23:06.706000Z</t>
  </si>
  <si>
    <t>2025-10-14 10:02:16.878000Z</t>
  </si>
  <si>
    <t>2025-10-14 09:55:49.876000Z</t>
  </si>
  <si>
    <t>011491M</t>
  </si>
  <si>
    <t>2025-10-14 09:40:45.169000Z</t>
  </si>
  <si>
    <t>011617M</t>
  </si>
  <si>
    <t>2025-10-14 09:35:08.886000Z</t>
  </si>
  <si>
    <t>011392M</t>
  </si>
  <si>
    <t>GoTo Technologies Ireland Unlimited Co</t>
  </si>
  <si>
    <t>2025-10-14 09:27:37.145000Z</t>
  </si>
  <si>
    <t>2025-10-14 09:19:08.954000Z</t>
  </si>
  <si>
    <t>011362M</t>
  </si>
  <si>
    <t>Arctera International Limited</t>
  </si>
  <si>
    <t>2025-10-14 09:17:23.277000Z</t>
  </si>
  <si>
    <t>2025-10-14 09:15:06.134000Z</t>
  </si>
  <si>
    <t>011683M</t>
  </si>
  <si>
    <t>2025-10-14 09:06:56.335000Z</t>
  </si>
  <si>
    <t>2025-10-14 09:02:25.247000Z</t>
  </si>
  <si>
    <t>2025-10-14 09:00:54.302000Z</t>
  </si>
  <si>
    <t>011493M</t>
  </si>
  <si>
    <t>Western Care Association</t>
  </si>
  <si>
    <t>2025-10-14 08:57:27.778000Z</t>
  </si>
  <si>
    <t>013283M</t>
  </si>
  <si>
    <t>2025-10-14 08:56:52.089000Z</t>
  </si>
  <si>
    <t>2025-10-14 08:53:16.044000Z</t>
  </si>
  <si>
    <t>011470M</t>
  </si>
  <si>
    <t>2025-10-14 08:46:07.778000Z</t>
  </si>
  <si>
    <t>Sunbeam House Services CLG</t>
  </si>
  <si>
    <t>2025-10-14 08:36:20.162000Z</t>
  </si>
  <si>
    <t>2025-10-14 08:29:16.074000Z</t>
  </si>
  <si>
    <t>2025-10-14 08:28:15.089000Z</t>
  </si>
  <si>
    <t>St Christophers Services CLG</t>
  </si>
  <si>
    <t>2025-10-14 08:25:03.892000Z</t>
  </si>
  <si>
    <t>Waterford Intellectual Disability Association CLG</t>
  </si>
  <si>
    <t>2025-10-14 08:14:52.395000Z</t>
  </si>
  <si>
    <t>2025-10-14 07:28:10.093000Z</t>
  </si>
  <si>
    <t>011966M</t>
  </si>
  <si>
    <t>2025-10-13 17:15:05.798000Z</t>
  </si>
  <si>
    <t>012200M</t>
  </si>
  <si>
    <t>Gaeloideachas Pension Plan</t>
  </si>
  <si>
    <t>2025-10-13 17:04:33.678000Z</t>
  </si>
  <si>
    <t>013109M</t>
  </si>
  <si>
    <t>2025-10-13 16:53:30.930000Z</t>
  </si>
  <si>
    <t>2025-10-13 15:55:44.355000Z</t>
  </si>
  <si>
    <t>2025-10-13 15:37:31.907000Z</t>
  </si>
  <si>
    <t>012228M</t>
  </si>
  <si>
    <t>2025-10-13 15:17:14.612000Z</t>
  </si>
  <si>
    <t>2025-10-13 15:15:43.948000Z</t>
  </si>
  <si>
    <t>012242M</t>
  </si>
  <si>
    <t>Cathedral Financial Consultants Ltd</t>
  </si>
  <si>
    <t>2025-10-13 15:10:47.193000Z</t>
  </si>
  <si>
    <t>2025-10-13 14:56:26.403000Z</t>
  </si>
  <si>
    <t>RKD Architects</t>
  </si>
  <si>
    <t>2025-10-13 14:51:09.254000Z</t>
  </si>
  <si>
    <t>012985M</t>
  </si>
  <si>
    <t>2025-10-13 14:42:51.439000Z</t>
  </si>
  <si>
    <t>2025-10-13 14:42:45.922000Z</t>
  </si>
  <si>
    <t>2025-10-13 14:40:04.249000Z</t>
  </si>
  <si>
    <t>2025-10-13 14:35:38.250000Z</t>
  </si>
  <si>
    <t>2025-10-13 14:26:34.155000Z</t>
  </si>
  <si>
    <t>Castlehitt Limited</t>
  </si>
  <si>
    <t>2025-10-13 14:19:32.375000Z</t>
  </si>
  <si>
    <t>011335M</t>
  </si>
  <si>
    <t>2025-10-13 14:08:22.973000Z</t>
  </si>
  <si>
    <t>2025-10-13 14:01:13.469000Z</t>
  </si>
  <si>
    <t>012060M</t>
  </si>
  <si>
    <t>2025-10-13 14:00:06.147000Z</t>
  </si>
  <si>
    <t>011140M</t>
  </si>
  <si>
    <t>2025-10-13 13:45:05.681000Z</t>
  </si>
  <si>
    <t>2025-10-13 13:14:11.903000Z</t>
  </si>
  <si>
    <t>010921M</t>
  </si>
  <si>
    <t>2025-10-13 12:53:55.323000Z</t>
  </si>
  <si>
    <t>989158L</t>
  </si>
  <si>
    <t>2025-10-13 12:31:22.027000Z</t>
  </si>
  <si>
    <t>997437L</t>
  </si>
  <si>
    <t>2025-10-13 11:53:50.392000Z</t>
  </si>
  <si>
    <t>Dulux Paints Ireland Limited</t>
  </si>
  <si>
    <t>013094M</t>
  </si>
  <si>
    <t>2025-10-13 11:20:00.790000Z</t>
  </si>
  <si>
    <t>2025-10-13 11:01:28.096000Z</t>
  </si>
  <si>
    <t>011021M</t>
  </si>
  <si>
    <t>2025-10-13 10:53:45.084000Z</t>
  </si>
  <si>
    <t>2025-10-13 10:52:44.481000Z</t>
  </si>
  <si>
    <t>2025-10-13 10:48:52.266000Z</t>
  </si>
  <si>
    <t>011071M</t>
  </si>
  <si>
    <t>2025-10-13 10:40:24.006000Z</t>
  </si>
  <si>
    <t>011088M</t>
  </si>
  <si>
    <t>2025-10-13 10:39:17.217000Z</t>
  </si>
  <si>
    <t>2025-10-13 10:34:50.306000Z</t>
  </si>
  <si>
    <t>997629L</t>
  </si>
  <si>
    <t>2025-10-13 10:24:20.642000Z</t>
  </si>
  <si>
    <t>011155M</t>
  </si>
  <si>
    <t>2025-10-13 09:55:09.932000Z</t>
  </si>
  <si>
    <t>2025-10-13 09:54:44.067000Z</t>
  </si>
  <si>
    <t>991600L</t>
  </si>
  <si>
    <t>Roadstone Limited</t>
  </si>
  <si>
    <t>2025-10-13 09:42:16.436000Z</t>
  </si>
  <si>
    <t>011391M</t>
  </si>
  <si>
    <t>G4S Solutions Ltd</t>
  </si>
  <si>
    <t>2025-10-13 08:54:47.413000Z</t>
  </si>
  <si>
    <t>011019M</t>
  </si>
  <si>
    <t>2025-10-13 08:17:44.038000Z</t>
  </si>
  <si>
    <t>2025-10-12 12:14:17.129000Z</t>
  </si>
  <si>
    <t>012162M</t>
  </si>
  <si>
    <t>2025-10-12 12:08:24.986000Z</t>
  </si>
  <si>
    <t>012183M</t>
  </si>
  <si>
    <t>2025-10-11 10:21:39.372000Z</t>
  </si>
  <si>
    <t>011355M</t>
  </si>
  <si>
    <t>2025-10-11 10:20:48.880000Z</t>
  </si>
  <si>
    <t>011357M</t>
  </si>
  <si>
    <t>2025-10-11 10:17:43.024000Z</t>
  </si>
  <si>
    <t>011356M</t>
  </si>
  <si>
    <t>2025-10-11 09:42:59.881000Z</t>
  </si>
  <si>
    <t>011358M</t>
  </si>
  <si>
    <t>2025-10-11 09:36:13.763000Z</t>
  </si>
  <si>
    <t>011531M</t>
  </si>
  <si>
    <t>2025-10-11 09:33:17.969000Z</t>
  </si>
  <si>
    <t>011536M</t>
  </si>
  <si>
    <t>2025-10-10 16:28:04.193000Z</t>
  </si>
  <si>
    <t>011018M</t>
  </si>
  <si>
    <t>2025-10-10 16:18:16.800000Z</t>
  </si>
  <si>
    <t>2025-10-10 16:05:35.373000Z</t>
  </si>
  <si>
    <t>997441L</t>
  </si>
  <si>
    <t>2025-10-10 15:46:06.697000Z</t>
  </si>
  <si>
    <t>012240M</t>
  </si>
  <si>
    <t>WTW</t>
  </si>
  <si>
    <t>2025-10-10 15:19:39.423000Z</t>
  </si>
  <si>
    <t>011619M</t>
  </si>
  <si>
    <t>2025-10-10 15:12:52.349000Z</t>
  </si>
  <si>
    <t>997500L</t>
  </si>
  <si>
    <t>2025-10-10 15:09:10.611000Z</t>
  </si>
  <si>
    <t>997412L</t>
  </si>
  <si>
    <t>2025-10-10 15:04:18.063000Z</t>
  </si>
  <si>
    <t>997452L</t>
  </si>
  <si>
    <t>2025-10-10 14:59:31.046000Z</t>
  </si>
  <si>
    <t>997401L</t>
  </si>
  <si>
    <t>2025-10-10 14:44:33.244000Z</t>
  </si>
  <si>
    <t>2025-10-10 14:37:21.080000Z</t>
  </si>
  <si>
    <t>Cool Planet Group Limited</t>
  </si>
  <si>
    <t>2025-10-10 14:24:37.236000Z</t>
  </si>
  <si>
    <t>2025-10-10 14:17:16.258000Z</t>
  </si>
  <si>
    <t>McKesson Cork Business Solutions UC</t>
  </si>
  <si>
    <t>2025-10-10 13:48:03.229000Z</t>
  </si>
  <si>
    <t>997934L</t>
  </si>
  <si>
    <t>ISS Ireland Limited</t>
  </si>
  <si>
    <t>2025-10-10 13:41:21.153000Z</t>
  </si>
  <si>
    <t>997697L</t>
  </si>
  <si>
    <t>Krispy Kreme Ireland Ltd</t>
  </si>
  <si>
    <t>2025-10-10 13:23:36.716000Z</t>
  </si>
  <si>
    <t>2025-10-10 12:27:34.892000Z</t>
  </si>
  <si>
    <t>996825L</t>
  </si>
  <si>
    <t>2025-10-10 12:05:01.322000Z</t>
  </si>
  <si>
    <t>997637L</t>
  </si>
  <si>
    <t>2025-10-10 11:38:13.742000Z</t>
  </si>
  <si>
    <t>2025-10-10 11:32:31.830000Z</t>
  </si>
  <si>
    <t>2025-10-10 11:18:33.685000Z</t>
  </si>
  <si>
    <t>Mincon International Limited</t>
  </si>
  <si>
    <t>2025-10-10 11:15:17.467000Z</t>
  </si>
  <si>
    <t>997440L</t>
  </si>
  <si>
    <t>2025-10-10 11:03:47.641000Z</t>
  </si>
  <si>
    <t>Liberty Information Technology Ltd</t>
  </si>
  <si>
    <t>2025-10-10 10:58:40.453000Z</t>
  </si>
  <si>
    <t>997570L</t>
  </si>
  <si>
    <t>2025-10-10 10:53:48.643000Z</t>
  </si>
  <si>
    <t>011407M</t>
  </si>
  <si>
    <t>Veolia UK and Ireland</t>
  </si>
  <si>
    <t>2025-10-10 10:50:01.254000Z</t>
  </si>
  <si>
    <t>2025-10-10 10:31:00.132000Z</t>
  </si>
  <si>
    <t>997644L</t>
  </si>
  <si>
    <t>Smartply Europe Limited</t>
  </si>
  <si>
    <t>2025-10-10 10:30:34.770000Z</t>
  </si>
  <si>
    <t>011902M</t>
  </si>
  <si>
    <t>Chemifloc Limited</t>
  </si>
  <si>
    <t>2025-10-10 10:21:45.808000Z</t>
  </si>
  <si>
    <t>997568L</t>
  </si>
  <si>
    <t>2025-10-10 10:14:58.948000Z</t>
  </si>
  <si>
    <t>997572L</t>
  </si>
  <si>
    <t>2025-10-10 10:12:12.812000Z</t>
  </si>
  <si>
    <t>997569L</t>
  </si>
  <si>
    <t>2025-10-10 09:55:27.962000Z</t>
  </si>
  <si>
    <t>2025-10-10 09:34:21.060000Z</t>
  </si>
  <si>
    <t>011049M</t>
  </si>
  <si>
    <t>2025-10-10 08:45:18.841000Z</t>
  </si>
  <si>
    <t>997658L</t>
  </si>
  <si>
    <t>2025-10-10 08:22:43.352000Z</t>
  </si>
  <si>
    <t>997942L</t>
  </si>
  <si>
    <t>2025-10-10 08:20:02.594000Z</t>
  </si>
  <si>
    <t>997944L</t>
  </si>
  <si>
    <t>2025-10-10 07:37:42.634000Z</t>
  </si>
  <si>
    <t>2025-10-10 07:20:20.788000Z</t>
  </si>
  <si>
    <t>2025-10-09 20:53:57.283000Z</t>
  </si>
  <si>
    <t>997990L</t>
  </si>
  <si>
    <t>A C Nielsen of Ireland Limited</t>
  </si>
  <si>
    <t>2025-10-09 20:35:55.747000Z</t>
  </si>
  <si>
    <t>997943L</t>
  </si>
  <si>
    <t>2025-10-09 20:11:02.713000Z</t>
  </si>
  <si>
    <t>997932L</t>
  </si>
  <si>
    <t>PHX Ireland Group Limited</t>
  </si>
  <si>
    <t>2025-10-09 19:52:22.884000Z</t>
  </si>
  <si>
    <t>011003M</t>
  </si>
  <si>
    <t>Turner and Townsend Limited</t>
  </si>
  <si>
    <t>2025-10-09 17:20:33.080000Z</t>
  </si>
  <si>
    <t>2025-10-09 16:08:02.689000Z</t>
  </si>
  <si>
    <t>997368L</t>
  </si>
  <si>
    <t>2025-10-09 15:13:15.534000Z</t>
  </si>
  <si>
    <t>2025-10-09 15:04:15.052000Z</t>
  </si>
  <si>
    <t>2025-10-09 14:48:32.522000Z</t>
  </si>
  <si>
    <t>2025-10-09 14:37:03.318000Z</t>
  </si>
  <si>
    <t>NSRS Comms Ireland Limited</t>
  </si>
  <si>
    <t>2025-10-09 14:34:52.472000Z</t>
  </si>
  <si>
    <t>997246L</t>
  </si>
  <si>
    <t>Chime</t>
  </si>
  <si>
    <t>2025-10-09 14:24:36.041000Z</t>
  </si>
  <si>
    <t>996877L</t>
  </si>
  <si>
    <t>2025-10-09 14:20:05.340000Z</t>
  </si>
  <si>
    <t>996807L</t>
  </si>
  <si>
    <t>2025-10-09 14:12:57.260000Z</t>
  </si>
  <si>
    <t>997113L</t>
  </si>
  <si>
    <t>Lacework Ireland Ltd</t>
  </si>
  <si>
    <t>2025-10-09 14:12:17.017000Z</t>
  </si>
  <si>
    <t>997218L</t>
  </si>
  <si>
    <t>2025-10-09 14:05:39.099000Z</t>
  </si>
  <si>
    <t>2025-10-09 14:05:22.936000Z</t>
  </si>
  <si>
    <t>2025-10-09 14:01:57.190000Z</t>
  </si>
  <si>
    <t>993791L</t>
  </si>
  <si>
    <t>2025-10-09 13:49:13.950000Z</t>
  </si>
  <si>
    <t>997140L</t>
  </si>
  <si>
    <t>2025-10-09 13:41:13.085000Z</t>
  </si>
  <si>
    <t>997122L</t>
  </si>
  <si>
    <t>2025-10-09 13:35:31.853000Z</t>
  </si>
  <si>
    <t>997668L</t>
  </si>
  <si>
    <t>2025-10-09 13:35:26.444000Z</t>
  </si>
  <si>
    <t>An Breacadh Nua</t>
  </si>
  <si>
    <t>2025-10-09 13:35:25.789000Z</t>
  </si>
  <si>
    <t>2025-10-09 13:29:58.105000Z</t>
  </si>
  <si>
    <t>2025-10-09 13:15:07.582000Z</t>
  </si>
  <si>
    <t>997181L</t>
  </si>
  <si>
    <t>2025-10-09 12:43:06.593000Z</t>
  </si>
  <si>
    <t>2025-10-09 12:17:14.079000Z</t>
  </si>
  <si>
    <t>011526M</t>
  </si>
  <si>
    <t>Capita IB Solutions  Ireland  Limited</t>
  </si>
  <si>
    <t>2025-10-09 12:04:01.081000Z</t>
  </si>
  <si>
    <t>997745L</t>
  </si>
  <si>
    <t>2025-10-09 12:04:00.230000Z</t>
  </si>
  <si>
    <t>996800L</t>
  </si>
  <si>
    <t>2025-10-09 11:45:40.397000Z</t>
  </si>
  <si>
    <t>2025-10-09 11:23:54.251000Z</t>
  </si>
  <si>
    <t>2025-10-09 11:23:02.768000Z</t>
  </si>
  <si>
    <t>997493L</t>
  </si>
  <si>
    <t>2025-10-09 11:23:02.164000Z</t>
  </si>
  <si>
    <t>997501L</t>
  </si>
  <si>
    <t>2025-10-09 11:22:51.596000Z</t>
  </si>
  <si>
    <t>997516L</t>
  </si>
  <si>
    <t>2025-10-09 11:22:45.398000Z</t>
  </si>
  <si>
    <t>997509L</t>
  </si>
  <si>
    <t>2025-10-09 11:22:44.857000Z</t>
  </si>
  <si>
    <t>997532L</t>
  </si>
  <si>
    <t>2025-10-09 11:22:39.419000Z</t>
  </si>
  <si>
    <t>997524L</t>
  </si>
  <si>
    <t>2025-10-09 11:22:38.641000Z</t>
  </si>
  <si>
    <t>997530L</t>
  </si>
  <si>
    <t>2025-10-09 11:22:33.255000Z</t>
  </si>
  <si>
    <t>997553L</t>
  </si>
  <si>
    <t>2025-10-09 11:22:32.822000Z</t>
  </si>
  <si>
    <t>997541L</t>
  </si>
  <si>
    <t>2025-10-09 11:22:32.315000Z</t>
  </si>
  <si>
    <t>997536L</t>
  </si>
  <si>
    <t>2025-10-09 11:22:26.327000Z</t>
  </si>
  <si>
    <t>997556L</t>
  </si>
  <si>
    <t>2025-10-09 11:22:20.956000Z</t>
  </si>
  <si>
    <t>997535L</t>
  </si>
  <si>
    <t>2025-10-09 11:22:20.491000Z</t>
  </si>
  <si>
    <t>997527L</t>
  </si>
  <si>
    <t>2025-10-09 11:22:14.841000Z</t>
  </si>
  <si>
    <t>997542L</t>
  </si>
  <si>
    <t>2025-10-09 11:22:04.204000Z</t>
  </si>
  <si>
    <t>997533L</t>
  </si>
  <si>
    <t>2025-10-09 11:21:58.475000Z</t>
  </si>
  <si>
    <t>997538L</t>
  </si>
  <si>
    <t>2025-10-09 11:21:53.420000Z</t>
  </si>
  <si>
    <t>997491L</t>
  </si>
  <si>
    <t>2025-10-09 11:21:53.070000Z</t>
  </si>
  <si>
    <t>997523L</t>
  </si>
  <si>
    <t>2025-10-09 11:21:47.536000Z</t>
  </si>
  <si>
    <t>997543L</t>
  </si>
  <si>
    <t>2025-10-09 11:21:41.485000Z</t>
  </si>
  <si>
    <t>997528L</t>
  </si>
  <si>
    <t>2025-10-09 11:21:36.110000Z</t>
  </si>
  <si>
    <t>997508L</t>
  </si>
  <si>
    <t>2025-10-09 11:21:30.842000Z</t>
  </si>
  <si>
    <t>997484L</t>
  </si>
  <si>
    <t>2025-10-09 11:21:30.489000Z</t>
  </si>
  <si>
    <t>997482L</t>
  </si>
  <si>
    <t>2025-10-09 11:21:24.724000Z</t>
  </si>
  <si>
    <t>997488L</t>
  </si>
  <si>
    <t>2025-10-09 11:21:19.289000Z</t>
  </si>
  <si>
    <t>997507L</t>
  </si>
  <si>
    <t>2025-10-09 11:21:13.991000Z</t>
  </si>
  <si>
    <t>997502L</t>
  </si>
  <si>
    <t>2025-10-09 11:21:13.264000Z</t>
  </si>
  <si>
    <t>997492L</t>
  </si>
  <si>
    <t>2025-10-09 11:21:12.581000Z</t>
  </si>
  <si>
    <t>997497L</t>
  </si>
  <si>
    <t>2025-10-09 11:21:07.210000Z</t>
  </si>
  <si>
    <t>997490L</t>
  </si>
  <si>
    <t>2025-10-09 11:21:01.587000Z</t>
  </si>
  <si>
    <t>997519L</t>
  </si>
  <si>
    <t>2025-10-09 11:20:51.097000Z</t>
  </si>
  <si>
    <t>997499L</t>
  </si>
  <si>
    <t>2025-10-09 11:20:45.516000Z</t>
  </si>
  <si>
    <t>997522L</t>
  </si>
  <si>
    <t>2025-10-09 11:20:34.989000Z</t>
  </si>
  <si>
    <t>997512L</t>
  </si>
  <si>
    <t>2025-10-09 11:20:29.507000Z</t>
  </si>
  <si>
    <t>997496L</t>
  </si>
  <si>
    <t>2025-10-09 11:20:24.394000Z</t>
  </si>
  <si>
    <t>997486L</t>
  </si>
  <si>
    <t>2025-10-09 11:20:24.053000Z</t>
  </si>
  <si>
    <t>997483L</t>
  </si>
  <si>
    <t>2025-10-09 11:20:18.781000Z</t>
  </si>
  <si>
    <t>997515L</t>
  </si>
  <si>
    <t>2025-10-09 11:20:12.778000Z</t>
  </si>
  <si>
    <t>997518L</t>
  </si>
  <si>
    <t>2025-10-09 11:20:07.717000Z</t>
  </si>
  <si>
    <t>997513L</t>
  </si>
  <si>
    <t>2025-10-09 11:20:06.773000Z</t>
  </si>
  <si>
    <t>997506L</t>
  </si>
  <si>
    <t>2025-10-09 11:20:00.876000Z</t>
  </si>
  <si>
    <t>997504L</t>
  </si>
  <si>
    <t>2025-10-09 11:14:34.384000Z</t>
  </si>
  <si>
    <t>997042L</t>
  </si>
  <si>
    <t>2025-10-09 11:09:26.968000Z</t>
  </si>
  <si>
    <t>011443M</t>
  </si>
  <si>
    <t>2025-10-09 11:08:46.206000Z</t>
  </si>
  <si>
    <t>997739L</t>
  </si>
  <si>
    <t>SymphonyAI Netreveal Ireland Limited</t>
  </si>
  <si>
    <t>2025-10-09 11:04:18.563000Z</t>
  </si>
  <si>
    <t>Rippling Ireland Limited</t>
  </si>
  <si>
    <t>2025-10-09 10:55:35.736000Z</t>
  </si>
  <si>
    <t>2025-10-09 10:51:57.973000Z</t>
  </si>
  <si>
    <t>2025-10-09 10:51:32.452000Z</t>
  </si>
  <si>
    <t>997717L</t>
  </si>
  <si>
    <t>2025-10-09 10:48:56.555000Z</t>
  </si>
  <si>
    <t>Signode Packaging Ireland Limited</t>
  </si>
  <si>
    <t>2025-10-09 10:44:46.181000Z</t>
  </si>
  <si>
    <t>997099L</t>
  </si>
  <si>
    <t>2025-10-09 10:31:52.840000Z</t>
  </si>
  <si>
    <t>2025-10-09 10:10:19.998000Z</t>
  </si>
  <si>
    <t>2025-10-09 09:33:04.814000Z</t>
  </si>
  <si>
    <t>997715L</t>
  </si>
  <si>
    <t>PROMETRIC IRELAND LTD</t>
  </si>
  <si>
    <t>2025-10-09 09:18:10.004000Z</t>
  </si>
  <si>
    <t>2025-10-09 09:05:11.076000Z</t>
  </si>
  <si>
    <t>2025-10-09 08:52:53.648000Z</t>
  </si>
  <si>
    <t>2025-10-09 08:41:39.542000Z</t>
  </si>
  <si>
    <t>BMW Automotive Ireland Limited</t>
  </si>
  <si>
    <t>2025-10-09 08:41:04.159000Z</t>
  </si>
  <si>
    <t>2025-10-09 08:09:42.030000Z</t>
  </si>
  <si>
    <t>2025-10-09 07:16:51.710000Z</t>
  </si>
  <si>
    <t>995327L</t>
  </si>
  <si>
    <t>2025-10-08 17:22:23.724000Z</t>
  </si>
  <si>
    <t>2025-10-08 17:15:57.732000Z</t>
  </si>
  <si>
    <t>990001L</t>
  </si>
  <si>
    <t>Datalec Precision Installations Limited</t>
  </si>
  <si>
    <t>011196M</t>
  </si>
  <si>
    <t>2025-10-08 15:27:07.172000Z</t>
  </si>
  <si>
    <t>2025-10-08 15:19:08.759000Z</t>
  </si>
  <si>
    <t>996922L</t>
  </si>
  <si>
    <t>2025-10-08 14:49:07.729000Z</t>
  </si>
  <si>
    <t>2025-10-08 14:42:15.155000Z</t>
  </si>
  <si>
    <t>Discover Limerick DAC</t>
  </si>
  <si>
    <t>2025-10-08 14:16:24.262000Z</t>
  </si>
  <si>
    <t>996950L</t>
  </si>
  <si>
    <t>2025-10-08 14:11:53.614000Z</t>
  </si>
  <si>
    <t>997693L</t>
  </si>
  <si>
    <t>2025-10-08 14:06:20.742000Z</t>
  </si>
  <si>
    <t>997694L</t>
  </si>
  <si>
    <t>2025-10-08 14:06:14.944000Z</t>
  </si>
  <si>
    <t>2025-10-08 14:02:42.025000Z</t>
  </si>
  <si>
    <t>2025-10-08 13:58:50.820000Z</t>
  </si>
  <si>
    <t>2025-10-08 13:44:44.124000Z</t>
  </si>
  <si>
    <t>997696L</t>
  </si>
  <si>
    <t>Lisavaird Cooperative Creamery Limited</t>
  </si>
  <si>
    <t>2025-10-08 13:39:33.214000Z</t>
  </si>
  <si>
    <t>996343L</t>
  </si>
  <si>
    <t>SGS Ireland Limited</t>
  </si>
  <si>
    <t>2025-10-08 13:31:37.767000Z</t>
  </si>
  <si>
    <t>2025-10-08 13:23:07.534000Z</t>
  </si>
  <si>
    <t>996271L</t>
  </si>
  <si>
    <t>2025-10-08 13:03:38.625000Z</t>
  </si>
  <si>
    <t>Sappho Group Employee Benefits Plan</t>
  </si>
  <si>
    <t>2025-10-08 13:03:33.181000Z</t>
  </si>
  <si>
    <t>2025-10-08 12:57:56.950000Z</t>
  </si>
  <si>
    <t>2025-10-08 12:55:55.819000Z</t>
  </si>
  <si>
    <t>2025-10-08 12:55:50.488000Z</t>
  </si>
  <si>
    <t>2025-10-08 12:55:44.916000Z</t>
  </si>
  <si>
    <t>2025-10-08 12:50:28.905000Z</t>
  </si>
  <si>
    <t>2025-10-08 12:50:22.936000Z</t>
  </si>
  <si>
    <t>2025-10-08 12:50:10.648000Z</t>
  </si>
  <si>
    <t>2025-10-08 12:50:01.840000Z</t>
  </si>
  <si>
    <t>SanDisk International Limited</t>
  </si>
  <si>
    <t>2025-10-08 12:00:54.227000Z</t>
  </si>
  <si>
    <t>993810L</t>
  </si>
  <si>
    <t>2025-10-08 10:57:30.132000Z</t>
  </si>
  <si>
    <t>2025-10-08 10:51:23.630000Z</t>
  </si>
  <si>
    <t>2025-10-08 10:40:21.822000Z</t>
  </si>
  <si>
    <t>010937M</t>
  </si>
  <si>
    <t>2025-10-08 10:34:18.922000Z</t>
  </si>
  <si>
    <t>996054L</t>
  </si>
  <si>
    <t>2025-10-08 10:06:06.689000Z</t>
  </si>
  <si>
    <t>2025-10-08 09:56:40.290000Z</t>
  </si>
  <si>
    <t>2025-10-08 09:33:03.674000Z</t>
  </si>
  <si>
    <t>2025-10-08 09:30:12.602000Z</t>
  </si>
  <si>
    <t>997354L</t>
  </si>
  <si>
    <t>The Childrens Sunshine Home</t>
  </si>
  <si>
    <t>2025-10-08 09:27:11.564000Z</t>
  </si>
  <si>
    <t>Carl Zeiss Vision Ireland Limited</t>
  </si>
  <si>
    <t>2025-10-08 07:57:08.036000Z</t>
  </si>
  <si>
    <t>996266L</t>
  </si>
  <si>
    <t>2025-10-08 05:56:17.830000Z</t>
  </si>
  <si>
    <t>2025-10-07 19:20:26.090000Z</t>
  </si>
  <si>
    <t>996819L</t>
  </si>
  <si>
    <t>2025-10-07 18:59:13.743000Z</t>
  </si>
  <si>
    <t>996824L</t>
  </si>
  <si>
    <t>2025-10-07 18:46:32.623000Z</t>
  </si>
  <si>
    <t>996822L</t>
  </si>
  <si>
    <t>2025-10-07 18:38:41.516000Z</t>
  </si>
  <si>
    <t>996823L</t>
  </si>
  <si>
    <t>2025-10-07 18:32:05.702000Z</t>
  </si>
  <si>
    <t>996821L</t>
  </si>
  <si>
    <t>2025-10-07 16:26:37.387000Z</t>
  </si>
  <si>
    <t>2025-10-07 16:20:50.759000Z</t>
  </si>
  <si>
    <t>Cara Partners DC</t>
  </si>
  <si>
    <t>2025-10-07 16:00:49.636000Z</t>
  </si>
  <si>
    <t>2025-10-07 15:00:59.339000Z</t>
  </si>
  <si>
    <t>Boxever Limited</t>
  </si>
  <si>
    <t>2025-10-07 14:58:06.550000Z</t>
  </si>
  <si>
    <t>996283L</t>
  </si>
  <si>
    <t>2025-10-07 14:47:59.022000Z</t>
  </si>
  <si>
    <t>2025-10-07 14:39:45.635000Z</t>
  </si>
  <si>
    <t>996150L</t>
  </si>
  <si>
    <t>Retail in Motion Limited</t>
  </si>
  <si>
    <t>2025-10-07 14:29:41.834000Z</t>
  </si>
  <si>
    <t>2025-10-07 14:15:38.222000Z</t>
  </si>
  <si>
    <t>996174L</t>
  </si>
  <si>
    <t>Twitter International Company</t>
  </si>
  <si>
    <t>2025-10-07 14:14:42.193000Z</t>
  </si>
  <si>
    <t>2025-10-07 14:13:25.754000Z</t>
  </si>
  <si>
    <t>996155L</t>
  </si>
  <si>
    <t>2025-10-07 11:55:15.763000Z</t>
  </si>
  <si>
    <t>2025-10-07 11:52:59.336000Z</t>
  </si>
  <si>
    <t>997563L</t>
  </si>
  <si>
    <t>2025-10-07 11:32:26.646000Z</t>
  </si>
  <si>
    <t>St Josephs Foundation</t>
  </si>
  <si>
    <t>2025-10-07 11:22:13.703000Z</t>
  </si>
  <si>
    <t>2025-10-07 11:17:18.069000Z</t>
  </si>
  <si>
    <t>993790L</t>
  </si>
  <si>
    <t>2025-10-07 11:14:42.306000Z</t>
  </si>
  <si>
    <t>2025-10-07 11:09:00.286000Z</t>
  </si>
  <si>
    <t>World Rugby Limited</t>
  </si>
  <si>
    <t>2025-10-07 10:48:55.890000Z</t>
  </si>
  <si>
    <t>997075L</t>
  </si>
  <si>
    <t>2025-10-07 10:35:28.403000Z</t>
  </si>
  <si>
    <t>2025-10-07 10:26:31.773000Z</t>
  </si>
  <si>
    <t>2025-10-07 10:16:49.882000Z</t>
  </si>
  <si>
    <t>2025-10-07 10:12:29.086000Z</t>
  </si>
  <si>
    <t>2025-10-07 10:09:54.820000Z</t>
  </si>
  <si>
    <t>994847L</t>
  </si>
  <si>
    <t>2025-10-07 09:54:49.506000Z</t>
  </si>
  <si>
    <t>2025-10-07 09:54:48.845000Z</t>
  </si>
  <si>
    <t>Brinks Cash Services  Ireland  Limited</t>
  </si>
  <si>
    <t>2025-10-07 09:30:06.238000Z</t>
  </si>
  <si>
    <t>2025-10-07 09:17:18.406000Z</t>
  </si>
  <si>
    <t>995715L</t>
  </si>
  <si>
    <t>2025-10-07 09:07:02.195000Z</t>
  </si>
  <si>
    <t>Kerrigan Sheanon Newman Unlimited Company</t>
  </si>
  <si>
    <t>2025-10-07 08:55:26.257000Z</t>
  </si>
  <si>
    <t>995615L</t>
  </si>
  <si>
    <t>2025-10-07 08:48:19.298000Z</t>
  </si>
  <si>
    <t>2025-10-07 08:36:32.614000Z</t>
  </si>
  <si>
    <t>995778L</t>
  </si>
  <si>
    <t>2025-10-07 08:35:04.125000Z</t>
  </si>
  <si>
    <t>996984L</t>
  </si>
  <si>
    <t>2025-10-07 08:30:16.643000Z</t>
  </si>
  <si>
    <t>995583L</t>
  </si>
  <si>
    <t>Dunnhumby Ireland Limited</t>
  </si>
  <si>
    <t>2025-10-07 08:27:30.585000Z</t>
  </si>
  <si>
    <t>995628L</t>
  </si>
  <si>
    <t>2025-10-07 07:54:30.664000Z</t>
  </si>
  <si>
    <t>2025-10-07 07:54:20.124000Z</t>
  </si>
  <si>
    <t>2025-10-06 18:47:09.626000Z</t>
  </si>
  <si>
    <t>996799L</t>
  </si>
  <si>
    <t>2025-10-06 17:08:01.347000Z</t>
  </si>
  <si>
    <t>996292L</t>
  </si>
  <si>
    <t>2025-10-06 15:48:40.525000Z</t>
  </si>
  <si>
    <t>996068L</t>
  </si>
  <si>
    <t>2025-10-06 15:34:08.927000Z</t>
  </si>
  <si>
    <t>996914L</t>
  </si>
  <si>
    <t>2025-10-06 14:58:43.554000Z</t>
  </si>
  <si>
    <t>2025-10-06 14:29:41.877000Z</t>
  </si>
  <si>
    <t>2025-10-06 13:20:03.965000Z</t>
  </si>
  <si>
    <t>995210L</t>
  </si>
  <si>
    <t>2025-10-06 13:18:58.546000Z</t>
  </si>
  <si>
    <t>2025-10-06 11:44:34.743000Z</t>
  </si>
  <si>
    <t>2025-10-06 11:40:40.862000Z</t>
  </si>
  <si>
    <t>990552L</t>
  </si>
  <si>
    <t>Saint Gobain Construction Products Ire Ltd</t>
  </si>
  <si>
    <t>2025-10-06 10:42:08.126000Z</t>
  </si>
  <si>
    <t>2025-10-06 10:41:22.648000Z</t>
  </si>
  <si>
    <t>2025-10-06 09:59:55.171000Z</t>
  </si>
  <si>
    <t>995198L</t>
  </si>
  <si>
    <t>2025-10-06 09:34:06.434000Z</t>
  </si>
  <si>
    <t>2025-10-06 09:16:20.425000Z</t>
  </si>
  <si>
    <t>992107L</t>
  </si>
  <si>
    <t>Comhlucht Iascaireacht Fanad Teoranta</t>
  </si>
  <si>
    <t>2025-10-06 08:21:49.344000Z</t>
  </si>
  <si>
    <t>995109L</t>
  </si>
  <si>
    <t>Aramex Ireland Limited</t>
  </si>
  <si>
    <t>2025-10-06 08:11:11.155000Z</t>
  </si>
  <si>
    <t>2025-10-06 08:10:40.417000Z</t>
  </si>
  <si>
    <t>995290L</t>
  </si>
  <si>
    <t>2025-10-06 08:03:12.880000Z</t>
  </si>
  <si>
    <t>995354L</t>
  </si>
  <si>
    <t>2025-10-06 07:42:15.834000Z</t>
  </si>
  <si>
    <t>991599L</t>
  </si>
  <si>
    <t>2025-10-05 12:52:48.933000Z</t>
  </si>
  <si>
    <t>995548L</t>
  </si>
  <si>
    <t>2025-10-04 10:23:05.500000Z</t>
  </si>
  <si>
    <t>996103L</t>
  </si>
  <si>
    <t>2025-10-04 10:20:49.700000Z</t>
  </si>
  <si>
    <t>995874L</t>
  </si>
  <si>
    <t>2025-10-04 10:18:19.004000Z</t>
  </si>
  <si>
    <t>995675L</t>
  </si>
  <si>
    <t>2025-10-04 10:15:28.391000Z</t>
  </si>
  <si>
    <t>995875L</t>
  </si>
  <si>
    <t>2025-10-04 10:12:58.042000Z</t>
  </si>
  <si>
    <t>995873L</t>
  </si>
  <si>
    <t>2025-10-04 09:46:30.906000Z</t>
  </si>
  <si>
    <t>995549L</t>
  </si>
  <si>
    <t>2025-10-04 09:36:49.920000Z</t>
  </si>
  <si>
    <t>995123L</t>
  </si>
  <si>
    <t>2025-10-03 17:41:01.870000Z</t>
  </si>
  <si>
    <t>2025-10-03 17:28:25.918000Z</t>
  </si>
  <si>
    <t>2025-10-03 16:43:52.215000Z</t>
  </si>
  <si>
    <t>2025-10-03 15:01:22.169000Z</t>
  </si>
  <si>
    <t>2025-10-03 14:57:56.282000Z</t>
  </si>
  <si>
    <t>MBEU Designated Activity Company</t>
  </si>
  <si>
    <t>2025-10-03 14:52:14.458000Z</t>
  </si>
  <si>
    <t>2025-10-03 14:43:33.536000Z</t>
  </si>
  <si>
    <t>995312L</t>
  </si>
  <si>
    <t>2025-10-03 13:32:32.373000Z</t>
  </si>
  <si>
    <t>2025-10-03 13:32:01.923000Z</t>
  </si>
  <si>
    <t>2025-10-03 13:32:01.398000Z</t>
  </si>
  <si>
    <t>2025-10-03 13:30:20.720000Z</t>
  </si>
  <si>
    <t>2025-10-03 13:15:34.161000Z</t>
  </si>
  <si>
    <t>2025-10-03 12:55:54.996000Z</t>
  </si>
  <si>
    <t>996223L</t>
  </si>
  <si>
    <t>2025-10-03 11:43:20.076000Z</t>
  </si>
  <si>
    <t>2025-10-03 10:54:28.037000Z</t>
  </si>
  <si>
    <t>2025-10-03 10:40:24.962000Z</t>
  </si>
  <si>
    <t>Medite Europe DAC</t>
  </si>
  <si>
    <t>2025-10-03 10:33:13.078000Z</t>
  </si>
  <si>
    <t>994798L</t>
  </si>
  <si>
    <t>2025-10-03 10:19:39.580000Z</t>
  </si>
  <si>
    <t>994276L</t>
  </si>
  <si>
    <t>IKEA Ireland Defined Contribution Scheme</t>
  </si>
  <si>
    <t>2025-10-03 10:16:28.446000Z</t>
  </si>
  <si>
    <t>994727L</t>
  </si>
  <si>
    <t>2025-10-03 10:09:05.462000Z</t>
  </si>
  <si>
    <t>2025-10-03 10:01:44.355000Z</t>
  </si>
  <si>
    <t>994869L</t>
  </si>
  <si>
    <t>2025-10-03 10:00:13.543000Z</t>
  </si>
  <si>
    <t>2025-10-03 09:59:17.756000Z</t>
  </si>
  <si>
    <t>Vera Financial DAC</t>
  </si>
  <si>
    <t>2025-10-03 09:53:26.695000Z</t>
  </si>
  <si>
    <t>Emerson Process Management Ltd</t>
  </si>
  <si>
    <t>2025-10-03 09:42:55.590000Z</t>
  </si>
  <si>
    <t>2025-10-03 09:42:24.445000Z</t>
  </si>
  <si>
    <t>994911L</t>
  </si>
  <si>
    <t>2025-10-03 09:37:26.522000Z</t>
  </si>
  <si>
    <t>Brett Brothers Limited</t>
  </si>
  <si>
    <t>2025-10-03 09:07:39.217000Z</t>
  </si>
  <si>
    <t>2025-10-03 08:56:37.112000Z</t>
  </si>
  <si>
    <t>2025-10-03 08:56:01.400000Z</t>
  </si>
  <si>
    <t>2025-10-03 08:50:38.933000Z</t>
  </si>
  <si>
    <t>2025-10-03 08:45:47.091000Z</t>
  </si>
  <si>
    <t>2025-10-03 08:38:41.170000Z</t>
  </si>
  <si>
    <t>994561L</t>
  </si>
  <si>
    <t>2025-10-02 15:14:54.366000Z</t>
  </si>
  <si>
    <t>995763L</t>
  </si>
  <si>
    <t>2025-10-02 15:14:43.441000Z</t>
  </si>
  <si>
    <t>995801L</t>
  </si>
  <si>
    <t>2025-10-02 15:14:32.626000Z</t>
  </si>
  <si>
    <t>995814L</t>
  </si>
  <si>
    <t>Horizon Therapeutics Ireland DAC</t>
  </si>
  <si>
    <t>2025-10-02 15:14:11.648000Z</t>
  </si>
  <si>
    <t>994417L</t>
  </si>
  <si>
    <t>2025-10-02 14:31:34.607000Z</t>
  </si>
  <si>
    <t>2025-10-02 14:23:43.039000Z</t>
  </si>
  <si>
    <t>994632L</t>
  </si>
  <si>
    <t>2025-10-02 14:10:51.550000Z</t>
  </si>
  <si>
    <t>994597L</t>
  </si>
  <si>
    <t>St Catherines Association CLG</t>
  </si>
  <si>
    <t>2025-10-02 13:28:52.831000Z</t>
  </si>
  <si>
    <t>2025-10-02 13:26:41.832000Z</t>
  </si>
  <si>
    <t>2025-10-02 13:21:14.018000Z</t>
  </si>
  <si>
    <t>994573L</t>
  </si>
  <si>
    <t>2025-10-02 13:21:02.376000Z</t>
  </si>
  <si>
    <t>993649L</t>
  </si>
  <si>
    <t>2025-10-02 13:20:10.131000Z</t>
  </si>
  <si>
    <t>2025-10-02 13:18:43.986000Z</t>
  </si>
  <si>
    <t>990498L</t>
  </si>
  <si>
    <t>2025-10-02 12:46:34.576000Z</t>
  </si>
  <si>
    <t>2025-10-02 12:38:58.355000Z</t>
  </si>
  <si>
    <t>The Irish Times</t>
  </si>
  <si>
    <t>2025-10-02 12:24:28.500000Z</t>
  </si>
  <si>
    <t>IPB Insurance CLG</t>
  </si>
  <si>
    <t>2025-10-02 11:58:23.090000Z</t>
  </si>
  <si>
    <t>2025-10-02 11:34:54.504000Z</t>
  </si>
  <si>
    <t>2025-10-02 11:15:47.299000Z</t>
  </si>
  <si>
    <t>2025-10-02 11:15:07.870000Z</t>
  </si>
  <si>
    <t>Sport Ireland National Sports Campus Pension Scheme</t>
  </si>
  <si>
    <t>2025-10-02 10:59:44.804000Z</t>
  </si>
  <si>
    <t>993245L</t>
  </si>
  <si>
    <t>2025-10-02 10:27:32.431000Z</t>
  </si>
  <si>
    <t>994198L</t>
  </si>
  <si>
    <t>2025-10-02 10:21:29.463000Z</t>
  </si>
  <si>
    <t>994408L</t>
  </si>
  <si>
    <t>2025-10-02 10:11:28.060000Z</t>
  </si>
  <si>
    <t>994761L</t>
  </si>
  <si>
    <t>2025-10-02 10:05:40.316000Z</t>
  </si>
  <si>
    <t>994134L</t>
  </si>
  <si>
    <t>2025-10-02 10:04:39.400000Z</t>
  </si>
  <si>
    <t>994449L</t>
  </si>
  <si>
    <t>2025-10-02 09:57:16.382000Z</t>
  </si>
  <si>
    <t>994144L</t>
  </si>
  <si>
    <t>2025-10-02 09:55:55.682000Z</t>
  </si>
  <si>
    <t>994820L</t>
  </si>
  <si>
    <t>2025-10-02 09:48:01.181000Z</t>
  </si>
  <si>
    <t>2025-10-02 09:46:34.917000Z</t>
  </si>
  <si>
    <t>994574L</t>
  </si>
  <si>
    <t>2025-10-02 08:38:11.427000Z</t>
  </si>
  <si>
    <t>995193L</t>
  </si>
  <si>
    <t>2025-10-02 08:36:59.713000Z</t>
  </si>
  <si>
    <t>995195L</t>
  </si>
  <si>
    <t>2025-10-02 08:35:33.670000Z</t>
  </si>
  <si>
    <t>995261L</t>
  </si>
  <si>
    <t>2025-10-02 08:34:17.783000Z</t>
  </si>
  <si>
    <t>995219L</t>
  </si>
  <si>
    <t>2025-10-02 08:32:36.768000Z</t>
  </si>
  <si>
    <t>995259L</t>
  </si>
  <si>
    <t>2025-10-02 08:29:56.071000Z</t>
  </si>
  <si>
    <t>994242L</t>
  </si>
  <si>
    <t>2025-10-02 08:29:25.424000Z</t>
  </si>
  <si>
    <t>995200L</t>
  </si>
  <si>
    <t>2025-10-02 08:20:08.408000Z</t>
  </si>
  <si>
    <t>994387L</t>
  </si>
  <si>
    <t>2025-10-01 17:27:35.494000Z</t>
  </si>
  <si>
    <t>2025-10-01 15:07:05.865000Z</t>
  </si>
  <si>
    <t>995343L</t>
  </si>
  <si>
    <t>Zara Group Ltd</t>
  </si>
  <si>
    <t>2025-10-01 14:59:32.748000Z</t>
  </si>
  <si>
    <t>993716L</t>
  </si>
  <si>
    <t>2025-10-01 14:56:50.622000Z</t>
  </si>
  <si>
    <t>993599L</t>
  </si>
  <si>
    <t>2025-10-01 14:54:13.579000Z</t>
  </si>
  <si>
    <t>2025-10-01 14:47:56.617000Z</t>
  </si>
  <si>
    <t>994808L</t>
  </si>
  <si>
    <t>2025-10-01 14:10:14.549000Z</t>
  </si>
  <si>
    <t>2025-10-01 14:07:13.365000Z</t>
  </si>
  <si>
    <t>2025-10-01 14:05:32.004000Z</t>
  </si>
  <si>
    <t>2025-10-01 13:01:53.917000Z</t>
  </si>
  <si>
    <t>2025-10-01 12:32:43.532000Z</t>
  </si>
  <si>
    <t>2025-10-01 12:32:32.896000Z</t>
  </si>
  <si>
    <t>2025-10-01 12:32:27.233000Z</t>
  </si>
  <si>
    <t>2025-10-01 12:32:01.300000Z</t>
  </si>
  <si>
    <t>CSC Capital Markets Ireland Ltd</t>
  </si>
  <si>
    <t>2025-10-01 11:53:53.576000Z</t>
  </si>
  <si>
    <t>993666L</t>
  </si>
  <si>
    <t>2025-10-01 11:20:24.777000Z</t>
  </si>
  <si>
    <t>993816L</t>
  </si>
  <si>
    <t>2025-10-01 11:11:41.402000Z</t>
  </si>
  <si>
    <t>993575L</t>
  </si>
  <si>
    <t>2025-10-01 11:05:30.253000Z</t>
  </si>
  <si>
    <t>993707L</t>
  </si>
  <si>
    <t>2025-10-01 10:54:43.850000Z</t>
  </si>
  <si>
    <t>993645L</t>
  </si>
  <si>
    <t>2025-10-01 10:31:15.994000Z</t>
  </si>
  <si>
    <t>993602L</t>
  </si>
  <si>
    <t>2025-10-01 10:11:13.645000Z</t>
  </si>
  <si>
    <t>993807L</t>
  </si>
  <si>
    <t>2025-10-01 09:19:44.018000Z</t>
  </si>
  <si>
    <t>2025-10-01 09:17:58.179000Z</t>
  </si>
  <si>
    <t>993708L</t>
  </si>
  <si>
    <t>2025-10-01 09:00:02.090000Z</t>
  </si>
  <si>
    <t>2025-10-01 08:04:03.728000Z</t>
  </si>
  <si>
    <t>2025-10-01 07:48:30.298000Z</t>
  </si>
  <si>
    <t>Ecowave Fibre Limited</t>
  </si>
  <si>
    <t>Arachas Corporate Brokers Ltd</t>
  </si>
  <si>
    <t>Cronins Coaches Limited</t>
  </si>
  <si>
    <t>Bandon Vale Cheese</t>
  </si>
  <si>
    <t>Mason Technology Limited</t>
  </si>
  <si>
    <t>Twilio Ireland Limited</t>
  </si>
  <si>
    <t>Digicert Ireland Ltd DC Pension Scheme</t>
  </si>
  <si>
    <t>Atos IT Solutions and Services Ltd</t>
  </si>
  <si>
    <t>Premier Lotteries Ireland DAC</t>
  </si>
  <si>
    <t>Shopify International Limited</t>
  </si>
  <si>
    <t>European Movement Ireland</t>
  </si>
  <si>
    <t>Biosimilar Collaborations Ireland Ltd</t>
  </si>
  <si>
    <t>Valve Services Ltd</t>
  </si>
  <si>
    <t>NCH Europe Limited</t>
  </si>
  <si>
    <t>RSM Ireland Business Advisory Ltd</t>
  </si>
  <si>
    <t>BCMGLOBAL ASI Limited</t>
  </si>
  <si>
    <t>The Institution of Engineers of Ireland</t>
  </si>
  <si>
    <t>IP_Org_Usecase_Submission_Statu</t>
  </si>
  <si>
    <t>Only Add members in scope</t>
  </si>
  <si>
    <t>Only completed in scope</t>
  </si>
  <si>
    <t>Not in date order so I ordered it</t>
  </si>
  <si>
    <t>I deleted everything pre 1st Oct</t>
  </si>
  <si>
    <t>I done this as submission data was only for Oct</t>
  </si>
  <si>
    <t>Objective</t>
  </si>
  <si>
    <t>Identify the secure share submissions and number of members loaded</t>
  </si>
  <si>
    <t>Complication</t>
  </si>
  <si>
    <t>There may be more than 1 upload to PPI- this is because some members will fail. So a portion is loaded, Then another uploaded is done for the balance, but this also uses the same unique midas number</t>
  </si>
  <si>
    <t xml:space="preserve">If we take October as a reference there was only 2 such instances. </t>
  </si>
  <si>
    <t>Ideally there is one Secure Share Submission with a unique Reference Number. This data is contained within the tab IP_ORG_Usecase_Submission_Statu</t>
  </si>
  <si>
    <t>That Reference Number number is then used as part of the bulk upload process. The Tab "Export Spreadsheet" contains the list up uploads. The Reference number is called MIDAS_NO on this tab</t>
  </si>
  <si>
    <t>By matching the Reference Number submission and upload we can tell how many members were added by using the NUM_DATA_RECORDS_LOADED column</t>
  </si>
  <si>
    <t>On top of wanting to know how many members were loaded I want to be able to drill down by "Organization Name" too</t>
  </si>
  <si>
    <t>Bulk</t>
  </si>
  <si>
    <t>Batch was deleted</t>
  </si>
  <si>
    <t>Worktype</t>
  </si>
  <si>
    <t>Service Calculation</t>
  </si>
  <si>
    <t>Service Summary</t>
  </si>
  <si>
    <t>Allocated User</t>
  </si>
  <si>
    <t>Broker Code</t>
  </si>
  <si>
    <t>Completed By ID</t>
  </si>
  <si>
    <t>Completed date range</t>
  </si>
  <si>
    <t>Date Completed</t>
  </si>
  <si>
    <t>DC Teams</t>
  </si>
  <si>
    <t>Member Number</t>
  </si>
  <si>
    <t>Scheme Number</t>
  </si>
  <si>
    <t>Select Context</t>
  </si>
  <si>
    <t>TP2V3_WI_EFFORT</t>
  </si>
  <si>
    <t>TP2V3_WI_ORIGINATOR</t>
  </si>
  <si>
    <t>TP2V3_WI_SOURCE</t>
  </si>
  <si>
    <t>Worktype Description</t>
  </si>
  <si>
    <t>Worktype TYPE</t>
  </si>
  <si>
    <t>Allocated Team</t>
  </si>
  <si>
    <t>Context</t>
  </si>
  <si>
    <t>Date Created</t>
  </si>
  <si>
    <t>Process Deadline</t>
  </si>
  <si>
    <t>Number of Records</t>
  </si>
  <si>
    <t>Turnaround Time</t>
  </si>
  <si>
    <t>Broker Name</t>
  </si>
  <si>
    <t>Midas Number</t>
  </si>
  <si>
    <t>Object_ID</t>
  </si>
  <si>
    <t>Scheme Name</t>
  </si>
  <si>
    <t>Status</t>
  </si>
  <si>
    <t>TP2V3_DESCRIPTION</t>
  </si>
  <si>
    <t>TP2V3_SOURCE_INTEXT</t>
  </si>
  <si>
    <t>TP2V3_WI_BREAKDOWN_TOTAL</t>
  </si>
  <si>
    <t>TP2V3_WI_EFFORT_QC</t>
  </si>
  <si>
    <t>TP2V3_WI_PEND_REASON</t>
  </si>
  <si>
    <t>TP2V3_WI_QC_CHECKER</t>
  </si>
  <si>
    <t>TP2V3_WI_QC_COMP_DATE</t>
  </si>
  <si>
    <t>TP2V3_WI_QC_COMPLETE</t>
  </si>
  <si>
    <t>TP2V3_WI_QC_RESULT</t>
  </si>
  <si>
    <t>TP2V3_WI_QC_RESULT_INIT</t>
  </si>
  <si>
    <t>TP2V3_WI_QC_ROOT_CAUSE</t>
  </si>
  <si>
    <t>TP2V3_WI_QC_USER</t>
  </si>
  <si>
    <t>TP2V3_WI_TEAM_CODE</t>
  </si>
  <si>
    <t>WI_CLI_INDICATOR</t>
  </si>
  <si>
    <t>NEBAUTO</t>
  </si>
  <si>
    <t>Day 4</t>
  </si>
  <si>
    <t>In Service</t>
  </si>
  <si>
    <t>Auto Enrolment DC</t>
  </si>
  <si>
    <t xml:space="preserve">DC </t>
  </si>
  <si>
    <t>SecureShare Mason Ha</t>
  </si>
  <si>
    <t>DC</t>
  </si>
  <si>
    <t>O409008</t>
  </si>
  <si>
    <t>25296CBPR0543A4</t>
  </si>
  <si>
    <t>Mason Hayes &amp; Curran LLP (Staff)</t>
  </si>
  <si>
    <t>Employer: N/A :: Number of Members: N/A</t>
  </si>
  <si>
    <t>TM05</t>
  </si>
  <si>
    <t>NESAUTO</t>
  </si>
  <si>
    <t>Day 3</t>
  </si>
  <si>
    <t>Z798</t>
  </si>
  <si>
    <t>WK08</t>
  </si>
  <si>
    <t>Install</t>
  </si>
  <si>
    <t>CODE</t>
  </si>
  <si>
    <t>PRSA</t>
  </si>
  <si>
    <t>Rebecca Connolly</t>
  </si>
  <si>
    <t>O408443</t>
  </si>
  <si>
    <t>25296CBPR053F2B</t>
  </si>
  <si>
    <t>Emma Rooney</t>
  </si>
  <si>
    <t>INS3</t>
  </si>
  <si>
    <t>N</t>
  </si>
  <si>
    <t>A612</t>
  </si>
  <si>
    <t>Aon Ireland Ltd.</t>
  </si>
  <si>
    <t>O409016</t>
  </si>
  <si>
    <t>25296CBPR0543B4</t>
  </si>
  <si>
    <t>Murray Design &amp; Engineering Limited</t>
  </si>
  <si>
    <t>submitted to ss please archive</t>
  </si>
  <si>
    <t>TM01</t>
  </si>
  <si>
    <t>NE65</t>
  </si>
  <si>
    <t>Hewitt Associates Limited</t>
  </si>
  <si>
    <t>O414907</t>
  </si>
  <si>
    <t>25298CBPR0580FF</t>
  </si>
  <si>
    <t>Vodafone Towers Ireland Limited</t>
  </si>
  <si>
    <t>submitted to secure share, please archive</t>
  </si>
  <si>
    <t>Day 2</t>
  </si>
  <si>
    <t>x967</t>
  </si>
  <si>
    <t>S168</t>
  </si>
  <si>
    <t>Mercer (Elect Existing Business)</t>
  </si>
  <si>
    <t>O404496</t>
  </si>
  <si>
    <t>25295CBPR0512B8</t>
  </si>
  <si>
    <t>UCB (Pharma) Ireland Ltd.</t>
  </si>
  <si>
    <t>Single Apps x 2 Tara Brady &amp; Lorraine Ryan</t>
  </si>
  <si>
    <t>O405189</t>
  </si>
  <si>
    <t>25295CBPR05180C</t>
  </si>
  <si>
    <t>BSH Home Appliances Limited Pension Plan</t>
  </si>
  <si>
    <t>Single App - Lauren Colgan 1173572</t>
  </si>
  <si>
    <t>INTERNALCODE</t>
  </si>
  <si>
    <t>O400080</t>
  </si>
  <si>
    <t>25294CBPR04E6A2</t>
  </si>
  <si>
    <t>Member update set up - Rejoiner</t>
  </si>
  <si>
    <t>RT02</t>
  </si>
  <si>
    <t>SecureShare Pepper F</t>
  </si>
  <si>
    <t>PWC Financial Consulting DAC</t>
  </si>
  <si>
    <t>020948M</t>
  </si>
  <si>
    <t>25294CBPR04E683</t>
  </si>
  <si>
    <t>Pepper Finance Corporation (Ireland) Ltd</t>
  </si>
  <si>
    <t>see note</t>
  </si>
  <si>
    <t>Day 1</t>
  </si>
  <si>
    <t>K775</t>
  </si>
  <si>
    <t>O406678</t>
  </si>
  <si>
    <t>25296CBPR0531F9</t>
  </si>
  <si>
    <t>Christopher Hegarty</t>
  </si>
  <si>
    <t>Out of Service</t>
  </si>
  <si>
    <t>O415333</t>
  </si>
  <si>
    <t>25299CBPR059036</t>
  </si>
  <si>
    <t>Can Archive - Duplicate Lauren Colgan</t>
  </si>
  <si>
    <t>Day 5</t>
  </si>
  <si>
    <t>O406585</t>
  </si>
  <si>
    <t>25296CBPR053140</t>
  </si>
  <si>
    <t>Jazz Pharmaceuticals Ireland Limited</t>
  </si>
  <si>
    <t>EOW for Member, Copied Out</t>
  </si>
  <si>
    <t>S143</t>
  </si>
  <si>
    <t>O399205</t>
  </si>
  <si>
    <t>25294CBPR04DEB1</t>
  </si>
  <si>
    <t>Regnology Ireland Limited</t>
  </si>
  <si>
    <t>general mail - copied out as general</t>
  </si>
  <si>
    <t>A631</t>
  </si>
  <si>
    <t>O404207</t>
  </si>
  <si>
    <t>25295CBPR051033</t>
  </si>
  <si>
    <t>Gerard Dunne 1165883 already keyed member update copied out</t>
  </si>
  <si>
    <t>O405068</t>
  </si>
  <si>
    <t>25295CBPR051733</t>
  </si>
  <si>
    <t>AAP Aviation Ireland Limited</t>
  </si>
  <si>
    <t>reply mail from cs</t>
  </si>
  <si>
    <t>O398161</t>
  </si>
  <si>
    <t>25294CBPR04D682</t>
  </si>
  <si>
    <t>Transact Campus Limited</t>
  </si>
  <si>
    <t>copied out as general ref 1069523</t>
  </si>
  <si>
    <t>O400452</t>
  </si>
  <si>
    <t>25294CBPR04E974</t>
  </si>
  <si>
    <t>Ministry Brands Limited</t>
  </si>
  <si>
    <t>Thiago Medeiros 1131240 - advised case already keyed</t>
  </si>
  <si>
    <t>O406251</t>
  </si>
  <si>
    <t>25295CBPR051F35</t>
  </si>
  <si>
    <t>Charles River Laboratories Ireland Ltd</t>
  </si>
  <si>
    <t>Not NE - Secure Share log in query - sent to mailbox</t>
  </si>
  <si>
    <t>NK89</t>
  </si>
  <si>
    <t>O415708</t>
  </si>
  <si>
    <t>25300CBPR05A208</t>
  </si>
  <si>
    <t>Orion Group Sciences Ltd</t>
  </si>
  <si>
    <t>DOB confirmed for Aoibhin Daly - 1204897</t>
  </si>
  <si>
    <t>O408986</t>
  </si>
  <si>
    <t>25296CBPR054376</t>
  </si>
  <si>
    <t>Volkswagen Insurance Company DAC</t>
  </si>
  <si>
    <t>Mail from Volkswagen to Mercer re scheme#</t>
  </si>
  <si>
    <t>SecureShare Aon</t>
  </si>
  <si>
    <t>022156M</t>
  </si>
  <si>
    <t>25296CBPR054748</t>
  </si>
  <si>
    <t>Tesla Motors Ireland Limited</t>
  </si>
  <si>
    <t>1181024 member has been added</t>
  </si>
  <si>
    <t>021359M</t>
  </si>
  <si>
    <t>25295CBPR0508EE</t>
  </si>
  <si>
    <t xml:space="preserve"> Krystyna Kaczmarek 1199177 already keyed member update copied out</t>
  </si>
  <si>
    <t>SecureShare Atos IT</t>
  </si>
  <si>
    <t>022082M</t>
  </si>
  <si>
    <t>25296CBPR054128</t>
  </si>
  <si>
    <t>Patryk Witzak 1174135 already keyed membr update auto copied out</t>
  </si>
  <si>
    <t>022126M</t>
  </si>
  <si>
    <t>25296CBPR05445D</t>
  </si>
  <si>
    <t>David Andres Gracia 0706603 member update copied out</t>
  </si>
  <si>
    <t>SecureShare CSC Capi</t>
  </si>
  <si>
    <t>021324M</t>
  </si>
  <si>
    <t>25295CBPR05066A</t>
  </si>
  <si>
    <t>CSC Finance Holding Ireland Limited</t>
  </si>
  <si>
    <t>Employer: CSC Finance Holding Ireland Limited ... (see attached file for full description)</t>
  </si>
  <si>
    <t>021376M</t>
  </si>
  <si>
    <t>25295CBPR0509BA</t>
  </si>
  <si>
    <t>021377M</t>
  </si>
  <si>
    <t>25295CBPR050A07</t>
  </si>
  <si>
    <t>021379M</t>
  </si>
  <si>
    <t>25295CBPR050A09</t>
  </si>
  <si>
    <t>Employer: CSC Fund Administration (Ireland) L ... (see attached file for full description)</t>
  </si>
  <si>
    <t>021382M</t>
  </si>
  <si>
    <t>25295CBPR050A0C</t>
  </si>
  <si>
    <t>Employer: CSC Capital Markets (Ireland) Ltd.  ... (see attached file for full description)</t>
  </si>
  <si>
    <t>021389M</t>
  </si>
  <si>
    <t>25295CBPR050A5F</t>
  </si>
  <si>
    <t>021401M</t>
  </si>
  <si>
    <t>25295CBPR050AA7</t>
  </si>
  <si>
    <t>021396M</t>
  </si>
  <si>
    <t>25295CBPR050AA8</t>
  </si>
  <si>
    <t>021399M</t>
  </si>
  <si>
    <t>25295CBPR050AA9</t>
  </si>
  <si>
    <t>Employer: CSC Capital Markets (Ireland) Limit ... (see attached file for full description)</t>
  </si>
  <si>
    <t>021395M</t>
  </si>
  <si>
    <t>25295CBPR050AAA</t>
  </si>
  <si>
    <t>021516M</t>
  </si>
  <si>
    <t>25295CBPR051306</t>
  </si>
  <si>
    <t>021624M</t>
  </si>
  <si>
    <t>25295CBPR051B46</t>
  </si>
  <si>
    <t>Employer: CSC Fund Administration Ireland Lim ... (see attached file for full description)</t>
  </si>
  <si>
    <t>SecureShare Mileston</t>
  </si>
  <si>
    <t>021332M</t>
  </si>
  <si>
    <t>25295CBPR050703</t>
  </si>
  <si>
    <t>Milestone Integration Services Ltd</t>
  </si>
  <si>
    <t>ROPE copied out</t>
  </si>
  <si>
    <t>O399419</t>
  </si>
  <si>
    <t>25294CBPR04E0E4</t>
  </si>
  <si>
    <t>pls see mail ref payroll contact name</t>
  </si>
  <si>
    <t>TM02</t>
  </si>
  <si>
    <t>E003</t>
  </si>
  <si>
    <t>Cornmarket Group Financial Servic</t>
  </si>
  <si>
    <t>O399107</t>
  </si>
  <si>
    <t>25294CBPR04DDE5</t>
  </si>
  <si>
    <t>South Dublin County Council</t>
  </si>
  <si>
    <t>Bth members have been added</t>
  </si>
  <si>
    <t>TM04</t>
  </si>
  <si>
    <t>Cornmarket Mailbox</t>
  </si>
  <si>
    <t>O406856</t>
  </si>
  <si>
    <t>25296CBPR053341</t>
  </si>
  <si>
    <t>TUI AVC</t>
  </si>
  <si>
    <t>1198556 member already added</t>
  </si>
  <si>
    <t>O406901</t>
  </si>
  <si>
    <t>25296CBPR053392</t>
  </si>
  <si>
    <t>1204464 member already added</t>
  </si>
  <si>
    <t>N287</t>
  </si>
  <si>
    <t>Capital Advisory Services</t>
  </si>
  <si>
    <t>O398277</t>
  </si>
  <si>
    <t>25294CBPR04D746</t>
  </si>
  <si>
    <t>Department Of Justice</t>
  </si>
  <si>
    <t>Michael Sheeran incorrect scheme no should be 605288 copid out</t>
  </si>
  <si>
    <t>O406843</t>
  </si>
  <si>
    <t>25296CBPR05332E</t>
  </si>
  <si>
    <t>AHCPS</t>
  </si>
  <si>
    <t>1204231 member update copied out</t>
  </si>
  <si>
    <t>O411217</t>
  </si>
  <si>
    <t>25297CBPR056192</t>
  </si>
  <si>
    <t>University of Limerick</t>
  </si>
  <si>
    <t>incorrect scheme should be 608142 copied out</t>
  </si>
  <si>
    <t>O397333</t>
  </si>
  <si>
    <t>25294CBPR04D0E1</t>
  </si>
  <si>
    <t>T U I (Letterkenny Institute of Technolo</t>
  </si>
  <si>
    <t>1186926 already added</t>
  </si>
  <si>
    <t>O415031</t>
  </si>
  <si>
    <t>25298CBPR0581F5</t>
  </si>
  <si>
    <t>A.S.T.I. AVC Plan</t>
  </si>
  <si>
    <t>1200242 member has been addedd</t>
  </si>
  <si>
    <t>A100</t>
  </si>
  <si>
    <t>ILFS Corporate Business</t>
  </si>
  <si>
    <t>O409081</t>
  </si>
  <si>
    <t>25296CBPR05444D</t>
  </si>
  <si>
    <t>invalid midas no archive</t>
  </si>
  <si>
    <t>Garvan Kennedy</t>
  </si>
  <si>
    <t>O413764</t>
  </si>
  <si>
    <t>25297CBPR0576AE</t>
  </si>
  <si>
    <t>SanFran Cosmetics Ltd</t>
  </si>
  <si>
    <t>Uploaded To SecureShare for Transformation</t>
  </si>
  <si>
    <t>A300</t>
  </si>
  <si>
    <t>SecureShare CBRE Ire</t>
  </si>
  <si>
    <t>022504M</t>
  </si>
  <si>
    <t>25297CBPR056671</t>
  </si>
  <si>
    <t>CBRE Advisory (IRL) Ltd Pension Scheme</t>
  </si>
  <si>
    <t>022506M</t>
  </si>
  <si>
    <t>25297CBPR056672</t>
  </si>
  <si>
    <t>022507M</t>
  </si>
  <si>
    <t>25297CBPR056673</t>
  </si>
  <si>
    <t>022508M</t>
  </si>
  <si>
    <t>25297CBPR056677</t>
  </si>
  <si>
    <t>022728M</t>
  </si>
  <si>
    <t>25297CBPR0574FD</t>
  </si>
  <si>
    <t>K526</t>
  </si>
  <si>
    <t>Owen Finn</t>
  </si>
  <si>
    <t>O411600</t>
  </si>
  <si>
    <t>25297CBPR056415</t>
  </si>
  <si>
    <t>Global Media &amp; Entertainment Ltd</t>
  </si>
  <si>
    <t>Antoinette O'Callaghan IN USE</t>
  </si>
  <si>
    <t>Tom O'Dea</t>
  </si>
  <si>
    <t>O396610</t>
  </si>
  <si>
    <t>25293CBPR04CBF6</t>
  </si>
  <si>
    <t>Central Business Equipment Limited</t>
  </si>
  <si>
    <t>Rince Boby  1203696 already keyed 20th oct</t>
  </si>
  <si>
    <t>O408575</t>
  </si>
  <si>
    <t>25296CBPR05404E</t>
  </si>
  <si>
    <t>ebin Sebastian 1204168 already keyed 23.10.2025</t>
  </si>
  <si>
    <t>O408582</t>
  </si>
  <si>
    <t>25296CBPR054057</t>
  </si>
  <si>
    <t>Frankie McDonagh 1204170 already keyd 23.10.25</t>
  </si>
  <si>
    <t>O408588</t>
  </si>
  <si>
    <t>25296CBPR05405F</t>
  </si>
  <si>
    <t>thomas egan 1204165 already keyed 23.10.25</t>
  </si>
  <si>
    <t>O408591</t>
  </si>
  <si>
    <t>25296CBPR054063</t>
  </si>
  <si>
    <t>Peter Griffin 1204162 already keyed 23.10.25</t>
  </si>
  <si>
    <t>O408595</t>
  </si>
  <si>
    <t>25296CBPR054068</t>
  </si>
  <si>
    <t>Mark Gormley 1204163 already keyed 23.10.25</t>
  </si>
  <si>
    <t>VP38</t>
  </si>
  <si>
    <t>Lockton Insurance Brokers (Irelan</t>
  </si>
  <si>
    <t>O402866</t>
  </si>
  <si>
    <t>25295CBPR050596</t>
  </si>
  <si>
    <t>DFDS Logistics Contracts (Ireland) Ltd</t>
  </si>
  <si>
    <t>member update copied out</t>
  </si>
  <si>
    <t>O405353</t>
  </si>
  <si>
    <t>25295CBPR051975</t>
  </si>
  <si>
    <t>Dublin Nth West Area Partnership Co Ltd</t>
  </si>
  <si>
    <t>1141015 member has been added</t>
  </si>
  <si>
    <t>RR24</t>
  </si>
  <si>
    <t>PERMANENT TSB (NAAS)</t>
  </si>
  <si>
    <t>O411933</t>
  </si>
  <si>
    <t>25297CBPR056681</t>
  </si>
  <si>
    <t>Eastland Engineering Supply Co Limited</t>
  </si>
  <si>
    <t>sent to SS mailbox</t>
  </si>
  <si>
    <t>O397819</t>
  </si>
  <si>
    <t>25294CBPR04D43F</t>
  </si>
  <si>
    <t>Stanley Black &amp; Decker Ireland</t>
  </si>
  <si>
    <t>Ozeias De Souga Chaves 1186405 already keyed member update copied out</t>
  </si>
  <si>
    <t>O398355</t>
  </si>
  <si>
    <t>25294CBPR04D7D3</t>
  </si>
  <si>
    <t>Brenntag Chemicals Distribution Ireland</t>
  </si>
  <si>
    <t>Karina Paton date plam membership is for 1.1.26 advised to resent in dec closed this case</t>
  </si>
  <si>
    <t>O400602</t>
  </si>
  <si>
    <t>25294CBPR04EABA</t>
  </si>
  <si>
    <t>Bard na nGleann Limited - Staff Scheme</t>
  </si>
  <si>
    <t>Dax Flanagan Riner - 1203954 already added</t>
  </si>
  <si>
    <t>O402592</t>
  </si>
  <si>
    <t>25295CBPR0503EA</t>
  </si>
  <si>
    <t>Dax Flanagan-Riner 1203954 alreayd keyed 24.10.2025</t>
  </si>
  <si>
    <t>O403594</t>
  </si>
  <si>
    <t>25295CBPR050B1C</t>
  </si>
  <si>
    <t>Spearline Labs Limited</t>
  </si>
  <si>
    <t>John Kelly 1194969 already keyed membere update copied out</t>
  </si>
  <si>
    <t>John Ferguson</t>
  </si>
  <si>
    <t>O404875</t>
  </si>
  <si>
    <t>25295CBPR0515C0</t>
  </si>
  <si>
    <t>Saica Pack Dublin Ltd Retirement Plan</t>
  </si>
  <si>
    <t>William Perry  1205399</t>
  </si>
  <si>
    <t>O401282</t>
  </si>
  <si>
    <t>25294CBPR04F0BA</t>
  </si>
  <si>
    <t>6 cients already added</t>
  </si>
  <si>
    <t>PPI Secure Path</t>
  </si>
  <si>
    <t>021044M</t>
  </si>
  <si>
    <t>25294CBPR04EC67</t>
  </si>
  <si>
    <t>Hawthorn Life DAC</t>
  </si>
  <si>
    <t>Ultan Murphy 1169171 already keyed member update copied out</t>
  </si>
  <si>
    <t>SecureShare BCMGLOBA</t>
  </si>
  <si>
    <t>021440M</t>
  </si>
  <si>
    <t>25295CBPR050D84</t>
  </si>
  <si>
    <t xml:space="preserve"> Edward Dayman date joining scheme 25.1.2026 can only have one month inadvance</t>
  </si>
  <si>
    <t>SecureShare Brinks C</t>
  </si>
  <si>
    <t>022194M</t>
  </si>
  <si>
    <t>25296CBPR05492C</t>
  </si>
  <si>
    <t>Brink's Cash Services (Ir) Ltd</t>
  </si>
  <si>
    <t>Paul foley 1205549 already keyed 29.10.2025</t>
  </si>
  <si>
    <t>SecureShare Eastland</t>
  </si>
  <si>
    <t>022089M</t>
  </si>
  <si>
    <t>25296CBPR05423F</t>
  </si>
  <si>
    <t>1204414 member has been added</t>
  </si>
  <si>
    <t>022090M</t>
  </si>
  <si>
    <t>25296CBPR054240</t>
  </si>
  <si>
    <t>1204409 member already added</t>
  </si>
  <si>
    <t>Day 5 +</t>
  </si>
  <si>
    <t>25275CBPR0197EB</t>
  </si>
  <si>
    <t>Leticia Stein</t>
  </si>
  <si>
    <t>O393822</t>
  </si>
  <si>
    <t>25293CBPR04B5D7</t>
  </si>
  <si>
    <t>NEs x 3 -  raferty, croghan, kearney</t>
  </si>
  <si>
    <t>O341973</t>
  </si>
  <si>
    <t>25276CBPR01B614</t>
  </si>
  <si>
    <t>National Advocacy Service</t>
  </si>
  <si>
    <t>2 NE Siobhan McKee + Elaine Cruise</t>
  </si>
  <si>
    <t>O379973</t>
  </si>
  <si>
    <t>25288CBPR03F7C8</t>
  </si>
  <si>
    <t>Sean Raymond O'Toole</t>
  </si>
  <si>
    <t>SecureShare Irish Li</t>
  </si>
  <si>
    <t>O278617</t>
  </si>
  <si>
    <t>25254CBPR027065</t>
  </si>
  <si>
    <t>Copying out as PPI not accepting WI</t>
  </si>
  <si>
    <t>INTERNAL</t>
  </si>
  <si>
    <t>25273CBPR0134CA</t>
  </si>
  <si>
    <t>Zimmer Orthopedics Manufacturing Limited</t>
  </si>
  <si>
    <t>Nathania + Tracy</t>
  </si>
  <si>
    <t>TM34</t>
  </si>
  <si>
    <t>25274CBPR017067</t>
  </si>
  <si>
    <t>SurveyMonkey Europe Unlimited Company</t>
  </si>
  <si>
    <t>TM35</t>
  </si>
  <si>
    <t>SecureShare Project</t>
  </si>
  <si>
    <t>25287CBPR03C4AD</t>
  </si>
  <si>
    <t>Dublin members</t>
  </si>
  <si>
    <t>Passed</t>
  </si>
  <si>
    <t>TM33</t>
  </si>
  <si>
    <t>25293CBPR04BAA4</t>
  </si>
  <si>
    <t>1NE - Just Michael Ring - Other member added</t>
  </si>
  <si>
    <t>y939</t>
  </si>
  <si>
    <t>passed</t>
  </si>
  <si>
    <t>E146</t>
  </si>
  <si>
    <t>O352929</t>
  </si>
  <si>
    <t>25280CBPR02AEBF</t>
  </si>
  <si>
    <t>PayPal Europe Services Limited</t>
  </si>
  <si>
    <t>New Entrant Jevgenij Dovzik - query with ross</t>
  </si>
  <si>
    <t>25275CBPR01A21A</t>
  </si>
  <si>
    <t>Employer: Valve Services Limited :: Number of Members: 2</t>
  </si>
  <si>
    <t>O388425</t>
  </si>
  <si>
    <t>25290CBPR04514F</t>
  </si>
  <si>
    <t>duplicate please archive</t>
  </si>
  <si>
    <t>O391535</t>
  </si>
  <si>
    <t>25290CBPR0469F1</t>
  </si>
  <si>
    <t>submitted to ss</t>
  </si>
  <si>
    <t>SecureShare Emerson</t>
  </si>
  <si>
    <t>020323M</t>
  </si>
  <si>
    <t>25293CBPR04C5E5</t>
  </si>
  <si>
    <t>Emerson Automation Solutions Ireland Ltd</t>
  </si>
  <si>
    <t>member already on scheme, mem update set up 1186600</t>
  </si>
  <si>
    <t>SecureShare Patrick</t>
  </si>
  <si>
    <t>25287CBPR03E829</t>
  </si>
  <si>
    <t>PATRICK J TOBIN LTD</t>
  </si>
  <si>
    <t>Employer: N/A :: Number of Members: 1</t>
  </si>
  <si>
    <t>SecureShare Sisters</t>
  </si>
  <si>
    <t>25287CBPR03E391</t>
  </si>
  <si>
    <t>submitted to secure share properly</t>
  </si>
  <si>
    <t>F381</t>
  </si>
  <si>
    <t>O338071</t>
  </si>
  <si>
    <t>25275CBPR018DCC</t>
  </si>
  <si>
    <t>020042M</t>
  </si>
  <si>
    <t>25293CBPR04B85C</t>
  </si>
  <si>
    <t>all members have been added already</t>
  </si>
  <si>
    <t>O357320</t>
  </si>
  <si>
    <t>25281CBPR02FCB6</t>
  </si>
  <si>
    <t>Bureau Veritas Primary Integration Ltd</t>
  </si>
  <si>
    <t>25282CBPR03329E</t>
  </si>
  <si>
    <t>Viatris Pension Plan</t>
  </si>
  <si>
    <t>Duplicate - Number of Members: 5</t>
  </si>
  <si>
    <t>O388459</t>
  </si>
  <si>
    <t>25290CBPR045199</t>
  </si>
  <si>
    <t>Duplicate - 10 x NE</t>
  </si>
  <si>
    <t>O334021</t>
  </si>
  <si>
    <t>25274CBPR016D74</t>
  </si>
  <si>
    <t>Cisco Systems Limited</t>
  </si>
  <si>
    <t>Blank excel - Password is C1scoIRE23</t>
  </si>
  <si>
    <t>SecureShare Mediolan</t>
  </si>
  <si>
    <t>25276CBPR01BE10</t>
  </si>
  <si>
    <t>4 x NE - DOB, PPS, DJS, Salary, Cons &amp; Fund o/s - info recd 18/10/25</t>
  </si>
  <si>
    <t>25279CBPR026382</t>
  </si>
  <si>
    <t>Grifols Worldwide Operations Ltd</t>
  </si>
  <si>
    <t>SecureShare Hammerso</t>
  </si>
  <si>
    <t>018966M</t>
  </si>
  <si>
    <t>25290CBPR045149</t>
  </si>
  <si>
    <t>Hammerson Group Management Ltd</t>
  </si>
  <si>
    <t>advised we are not accepting application forms</t>
  </si>
  <si>
    <t>NJ72</t>
  </si>
  <si>
    <t>O337336</t>
  </si>
  <si>
    <t>25275CBPR018550</t>
  </si>
  <si>
    <t>David Flanagan- APP Never received</t>
  </si>
  <si>
    <t>O321174</t>
  </si>
  <si>
    <t>25269CBPR00D8C4</t>
  </si>
  <si>
    <t>Deutsche Bank Service Centre</t>
  </si>
  <si>
    <t>1199227 member already added</t>
  </si>
  <si>
    <t>O360840</t>
  </si>
  <si>
    <t>25282CBPR033A1E</t>
  </si>
  <si>
    <t>Jungheinrich Lift Truck Limited</t>
  </si>
  <si>
    <t>Claim Query copied out</t>
  </si>
  <si>
    <t>D689</t>
  </si>
  <si>
    <t>O359020</t>
  </si>
  <si>
    <t>25282CBPR032852</t>
  </si>
  <si>
    <t>Medite Europe Limited</t>
  </si>
  <si>
    <t>SecureShare Montage</t>
  </si>
  <si>
    <t>25288CBPR03F69E</t>
  </si>
  <si>
    <t>1201205 member has been adde d</t>
  </si>
  <si>
    <t>O346248</t>
  </si>
  <si>
    <t>25279CBPR025625</t>
  </si>
  <si>
    <t>Member Added</t>
  </si>
  <si>
    <t>25273CBPR0133E1</t>
  </si>
  <si>
    <t>Employer: N/A :: Member Name: N/A :: Date of Birth: N/A</t>
  </si>
  <si>
    <t>O333925</t>
  </si>
  <si>
    <t>25274CBPR016CAE</t>
  </si>
  <si>
    <t>Damian Pasinski 1199889 already keyed  2.10.2025 member update ref backdating</t>
  </si>
  <si>
    <t>O363517</t>
  </si>
  <si>
    <t>25283CBPR035726</t>
  </si>
  <si>
    <t>BMW Automotive (Ireland) Limited</t>
  </si>
  <si>
    <t>Aine Creamer-1201882 already keyed member upate ref ee/er %</t>
  </si>
  <si>
    <t>O277169</t>
  </si>
  <si>
    <t>25254CBPR0264D2</t>
  </si>
  <si>
    <t>John Ryan 1199230 - already keyed 25.9.2025</t>
  </si>
  <si>
    <t>O347940</t>
  </si>
  <si>
    <t>25279CBPR02627A</t>
  </si>
  <si>
    <t>Klaviyo Ireland Limited</t>
  </si>
  <si>
    <t>PW ireland@2025  other case is O347889</t>
  </si>
  <si>
    <t>O380742</t>
  </si>
  <si>
    <t>25288CBPR03FEC7</t>
  </si>
  <si>
    <t>PW AonBio2025! copied out</t>
  </si>
  <si>
    <t>O357576</t>
  </si>
  <si>
    <t>25281CBPR02FF93</t>
  </si>
  <si>
    <t>mail copied out as general</t>
  </si>
  <si>
    <t>O359997</t>
  </si>
  <si>
    <t>25282CBPR0330FB</t>
  </si>
  <si>
    <t>GoTo Technologies Ireland Unlimited Co.</t>
  </si>
  <si>
    <t>Gerard Byrne indexed to wrong scheme should be 603485 - copied out</t>
  </si>
  <si>
    <t>O361798</t>
  </si>
  <si>
    <t>25282CBPR0343A5</t>
  </si>
  <si>
    <t>Neopul Ireland</t>
  </si>
  <si>
    <t>Hugo = 1036171 already keyed member update copied out</t>
  </si>
  <si>
    <t>O385214</t>
  </si>
  <si>
    <t>25289CBPR042E97</t>
  </si>
  <si>
    <t>replied with phone no</t>
  </si>
  <si>
    <t>O338125</t>
  </si>
  <si>
    <t>25275CBPR018E85</t>
  </si>
  <si>
    <t>letter of wishes copied out</t>
  </si>
  <si>
    <t>O364421</t>
  </si>
  <si>
    <t>25283CBPR035EEA</t>
  </si>
  <si>
    <t>St. Patrick's College Maynooth</t>
  </si>
  <si>
    <t>once off avc payment copied out</t>
  </si>
  <si>
    <t>O356674</t>
  </si>
  <si>
    <t>25281CBPR02F78A</t>
  </si>
  <si>
    <t>1201882 already keyed member update copied out</t>
  </si>
  <si>
    <t>25273CBPR014A5D</t>
  </si>
  <si>
    <t>Niamh Bracken  1199960 already eeyd 2.10.2025</t>
  </si>
  <si>
    <t>25274CBPR017266</t>
  </si>
  <si>
    <t>Sanivelle OConnor already keyed 26.9.2025</t>
  </si>
  <si>
    <t>020232M</t>
  </si>
  <si>
    <t>25293CBPR04C126</t>
  </si>
  <si>
    <t>Bandon Co-Op</t>
  </si>
  <si>
    <t>Louise Warren 1202649 already keyed member update copied</t>
  </si>
  <si>
    <t>25273CBPR014D69</t>
  </si>
  <si>
    <t>Barry hurley 1131246 already keyed member update copied out</t>
  </si>
  <si>
    <t>25286CBPR03AAB1</t>
  </si>
  <si>
    <t>Ruben Garcia 1169667 already keyed member update</t>
  </si>
  <si>
    <t>25287CBPR03E173</t>
  </si>
  <si>
    <t>Sarin Puthukolangara 1131247 already keyed member update copied</t>
  </si>
  <si>
    <t>SecureShare Castlehi</t>
  </si>
  <si>
    <t>25273CBPR01492F</t>
  </si>
  <si>
    <t>Barry Butler salary contributions os advised to resend by secureshare ok to close this cas</t>
  </si>
  <si>
    <t>SecureShare Coupa Op</t>
  </si>
  <si>
    <t>25283CBPR035D78</t>
  </si>
  <si>
    <t>Coupa Operations Inc.</t>
  </si>
  <si>
    <t>Bruno Ostan 1201737 already keyed 13/10/25</t>
  </si>
  <si>
    <t>25283CBPR035E18</t>
  </si>
  <si>
    <t>Gerard Byrne 1202302 already keyed 14/1/2025 under O375848</t>
  </si>
  <si>
    <t>SecureShare NSRS Com</t>
  </si>
  <si>
    <t>25279CBPR026D40</t>
  </si>
  <si>
    <t>Mark Coneay 1200362 already keyed 6/10/2025 member update copied out</t>
  </si>
  <si>
    <t>O353077</t>
  </si>
  <si>
    <t>25280CBPR02AFEB</t>
  </si>
  <si>
    <t>Duplicate - Suzanne O' Driscoll</t>
  </si>
  <si>
    <t>SecureShare ISS Irel</t>
  </si>
  <si>
    <t>25280CBPR02AFE0</t>
  </si>
  <si>
    <t>Employer: ISS IRELAND LTD :: Member Name:  RHODA GROVES :: Date of Birth: 22/10/1973</t>
  </si>
  <si>
    <t>D490</t>
  </si>
  <si>
    <t>Brokerage</t>
  </si>
  <si>
    <t>O333930</t>
  </si>
  <si>
    <t>25274CBPR016CB7</t>
  </si>
  <si>
    <t>Siemens Energy Ireland Limited</t>
  </si>
  <si>
    <t>TUPE from scheme 603777 - add under Category TT11</t>
  </si>
  <si>
    <t>O352715</t>
  </si>
  <si>
    <t>25280CBPR02ACEF</t>
  </si>
  <si>
    <t>Nurses AVC Scheme</t>
  </si>
  <si>
    <t>Edel Emerson- Conf of fund</t>
  </si>
  <si>
    <t>O360919</t>
  </si>
  <si>
    <t>25282CBPR033AEF</t>
  </si>
  <si>
    <t>FORSA AVC PLAN</t>
  </si>
  <si>
    <t>Savio Michael DOJ 01/07/25</t>
  </si>
  <si>
    <t>O323930</t>
  </si>
  <si>
    <t>25272CBPR011079</t>
  </si>
  <si>
    <t>all members have been added</t>
  </si>
  <si>
    <t>O389603</t>
  </si>
  <si>
    <t>25290CBPR045A2B</t>
  </si>
  <si>
    <t>1185372 member has been added</t>
  </si>
  <si>
    <t>O353147</t>
  </si>
  <si>
    <t>25280CBPR02B07C</t>
  </si>
  <si>
    <t>Deirdre Kearney Member Added</t>
  </si>
  <si>
    <t>O381364</t>
  </si>
  <si>
    <t>25282CBPR0331AE</t>
  </si>
  <si>
    <t>1202647 Member Added</t>
  </si>
  <si>
    <t>O319509</t>
  </si>
  <si>
    <t>25268CBPR00BDE6</t>
  </si>
  <si>
    <t>O339533</t>
  </si>
  <si>
    <t>25275CBPR01A0DD</t>
  </si>
  <si>
    <t>O337045</t>
  </si>
  <si>
    <t>25275CBPR018374</t>
  </si>
  <si>
    <t>O337060</t>
  </si>
  <si>
    <t>25275CBPR018388</t>
  </si>
  <si>
    <t>O337088</t>
  </si>
  <si>
    <t>25275CBPR0183AD</t>
  </si>
  <si>
    <t>O357368</t>
  </si>
  <si>
    <t>25281CBPR02FD06</t>
  </si>
  <si>
    <t>Dublin City University</t>
  </si>
  <si>
    <t>O360874</t>
  </si>
  <si>
    <t>25282CBPR033A72</t>
  </si>
  <si>
    <t>I.N.T.O. AVC Plan</t>
  </si>
  <si>
    <t>Member Added 1193494</t>
  </si>
  <si>
    <t>O360927</t>
  </si>
  <si>
    <t>25282CBPR033B05</t>
  </si>
  <si>
    <t>Member Added 1183922</t>
  </si>
  <si>
    <t>O360939</t>
  </si>
  <si>
    <t>25282CBPR033B20</t>
  </si>
  <si>
    <t>Member Added 1193491</t>
  </si>
  <si>
    <t>O334181</t>
  </si>
  <si>
    <t>25274CBPR016EB8</t>
  </si>
  <si>
    <t>GRA AVC Plan</t>
  </si>
  <si>
    <t>John OConnor 1190934 already keyeyd member udpdat copied out</t>
  </si>
  <si>
    <t>O334184</t>
  </si>
  <si>
    <t>25274CBPR016EC2</t>
  </si>
  <si>
    <t>Michael Murphy 1190947 already keyed member update copied out</t>
  </si>
  <si>
    <t>O355931</t>
  </si>
  <si>
    <t>25281CBPR02F1A2</t>
  </si>
  <si>
    <t>HSE AVC PLAN</t>
  </si>
  <si>
    <t>Raquel Quizzagain Suarez  1200908 already keyed 8.10.2025 under O357048</t>
  </si>
  <si>
    <t>O356618</t>
  </si>
  <si>
    <t>25281CBPR02F729</t>
  </si>
  <si>
    <t>Laura Clarke 1199996 already keyed 3/10/2025</t>
  </si>
  <si>
    <t>O361156</t>
  </si>
  <si>
    <t>25282CBPR033D2E</t>
  </si>
  <si>
    <t>Cillian Hurley 1200819 already add 8.10.2025</t>
  </si>
  <si>
    <t>PRBS</t>
  </si>
  <si>
    <t>PRB</t>
  </si>
  <si>
    <t>N853816</t>
  </si>
  <si>
    <t>25112CBPR013969</t>
  </si>
  <si>
    <t>PRB min 0.75% AMC</t>
  </si>
  <si>
    <t>Tobin Annmarie - CBTV 06/10</t>
  </si>
  <si>
    <t>L835</t>
  </si>
  <si>
    <t>TM10</t>
  </si>
  <si>
    <t>N658223</t>
  </si>
  <si>
    <t>25055CBPR002248</t>
  </si>
  <si>
    <t>Madden Declan - AM</t>
  </si>
  <si>
    <t>25297CBPR0562A9</t>
  </si>
  <si>
    <t>Mason Hayes &amp; Curran LLP members</t>
  </si>
  <si>
    <t>25302CBPR05E54A</t>
  </si>
  <si>
    <t>Ballinasmalla Holdings Limited</t>
  </si>
  <si>
    <t>TM07</t>
  </si>
  <si>
    <t>25302CBPR05E553</t>
  </si>
  <si>
    <t>shuttington</t>
  </si>
  <si>
    <t>O417319</t>
  </si>
  <si>
    <t>25301CBPR05B8F6</t>
  </si>
  <si>
    <t>Sean Flynn</t>
  </si>
  <si>
    <t>O417332</t>
  </si>
  <si>
    <t>25301CBPR05B90B</t>
  </si>
  <si>
    <t>Gillian Kennedy</t>
  </si>
  <si>
    <t>SecureShare Apleona</t>
  </si>
  <si>
    <t>25294CBPR04E192</t>
  </si>
  <si>
    <t>Employer: Apleona Ireland Ltd :: Number of Members: 28</t>
  </si>
  <si>
    <t>SecureShare Caragh T</t>
  </si>
  <si>
    <t>25294CBPR04EF37</t>
  </si>
  <si>
    <t>Caragh Tool &amp; Die Ltd</t>
  </si>
  <si>
    <t>25295CBPR050CFA</t>
  </si>
  <si>
    <t>Employer: N/A :: Number of Members: 32</t>
  </si>
  <si>
    <t>SecureShare Ecowave</t>
  </si>
  <si>
    <t>25295CBPR051364</t>
  </si>
  <si>
    <t>Employer: ECOWAVE FIBRE LTD :: Number of Members: 4</t>
  </si>
  <si>
    <t>25295CBPR05124D</t>
  </si>
  <si>
    <t>Employer: N/A :: Number of Members: 3</t>
  </si>
  <si>
    <t>SecureShare Keelings</t>
  </si>
  <si>
    <t>25294CBPR04E194</t>
  </si>
  <si>
    <t>Keelings UC</t>
  </si>
  <si>
    <t>Employer: Keelings :: Number of Members: 2</t>
  </si>
  <si>
    <t>SecureShare Spectrum</t>
  </si>
  <si>
    <t>25295CBPR050B60</t>
  </si>
  <si>
    <t>Kelpac Medical Limited</t>
  </si>
  <si>
    <t>Employer: Kelpac Medical Retirement Plan :: Number of Members: 2</t>
  </si>
  <si>
    <t>SecureShare Veryan M</t>
  </si>
  <si>
    <t>25294CBPR04DB39</t>
  </si>
  <si>
    <t>Veryan Medical Limited</t>
  </si>
  <si>
    <t>Employer: N/A :: Number of Members: 11 - see note</t>
  </si>
  <si>
    <t>O399727</t>
  </si>
  <si>
    <t>25294CBPR04E32D</t>
  </si>
  <si>
    <t>Saica Pack Ireland Limited</t>
  </si>
  <si>
    <t>Brendan Mulholland - Need salary</t>
  </si>
  <si>
    <t>O419132</t>
  </si>
  <si>
    <t>25301CBPR05C8E3</t>
  </si>
  <si>
    <t>Add Lorenzo Mier Perez</t>
  </si>
  <si>
    <t>O419139</t>
  </si>
  <si>
    <t>25301CBPR05C8F3</t>
  </si>
  <si>
    <t>Add Juliana Gomes</t>
  </si>
  <si>
    <t>O419146</t>
  </si>
  <si>
    <t>25301CBPR05C901</t>
  </si>
  <si>
    <t>Add William Gerard Dennehy</t>
  </si>
  <si>
    <t>O419161</t>
  </si>
  <si>
    <t>25301CBPR05C923</t>
  </si>
  <si>
    <t>Add Adelaide Fouache</t>
  </si>
  <si>
    <t>O426663</t>
  </si>
  <si>
    <t>25303CBPR061A6A</t>
  </si>
  <si>
    <t>Browne Jacobson Ireland</t>
  </si>
  <si>
    <t>Rowena Maher 1205803  PW AonBro2025!</t>
  </si>
  <si>
    <t>O415346</t>
  </si>
  <si>
    <t>25299CBPR059069</t>
  </si>
  <si>
    <t>Tara Brady</t>
  </si>
  <si>
    <t>O400008</t>
  </si>
  <si>
    <t>25294CBPR04E5FC</t>
  </si>
  <si>
    <t>Nathan Fitzpatrick</t>
  </si>
  <si>
    <t>O407428</t>
  </si>
  <si>
    <t>25296CBPR053712</t>
  </si>
  <si>
    <t>Irish Pharmacy Union</t>
  </si>
  <si>
    <t>Plonka Katarzyna</t>
  </si>
  <si>
    <t>O403253</t>
  </si>
  <si>
    <t>25295CBPR050856</t>
  </si>
  <si>
    <t>Nicola Smyth 1204616 member has been added</t>
  </si>
  <si>
    <t>O418958</t>
  </si>
  <si>
    <t>25301CBPR05C750</t>
  </si>
  <si>
    <t>Cummins Ltd</t>
  </si>
  <si>
    <t>MARCO MICHELAGNOLI</t>
  </si>
  <si>
    <t>O411240</t>
  </si>
  <si>
    <t>25297CBPR0561CC</t>
  </si>
  <si>
    <t>Community Credit Union</t>
  </si>
  <si>
    <t>Orla Gray</t>
  </si>
  <si>
    <t>O418689</t>
  </si>
  <si>
    <t>25301CBPR05C4F9</t>
  </si>
  <si>
    <t>Celtic Linen Limited</t>
  </si>
  <si>
    <t>TATJANA MASLOBOJEVA</t>
  </si>
  <si>
    <t>O412932</t>
  </si>
  <si>
    <t>25297CBPR056F6E</t>
  </si>
  <si>
    <t>Chiara Quondamatteo 1205799</t>
  </si>
  <si>
    <t>O409158</t>
  </si>
  <si>
    <t>25296CBPR0544E7</t>
  </si>
  <si>
    <t>PAFS IRELAND LIMITED</t>
  </si>
  <si>
    <t>Eoin Cuddihy 1205439</t>
  </si>
  <si>
    <t>O400205</t>
  </si>
  <si>
    <t>25294CBPR04E7A6</t>
  </si>
  <si>
    <t>Zanda Lecite</t>
  </si>
  <si>
    <t>SecureShare B Braun</t>
  </si>
  <si>
    <t>021103M</t>
  </si>
  <si>
    <t>25294CBPR04F0FA</t>
  </si>
  <si>
    <t>B. Braun Medical Limited</t>
  </si>
  <si>
    <t xml:space="preserve">  Megan Doyle 1204403</t>
  </si>
  <si>
    <t>SecureShare Chemiflo</t>
  </si>
  <si>
    <t>020976M</t>
  </si>
  <si>
    <t>25294CBPR04E89C</t>
  </si>
  <si>
    <t xml:space="preserve">  Casper Roycroft ::1204406</t>
  </si>
  <si>
    <t>020978M</t>
  </si>
  <si>
    <t>25294CBPR04E89E</t>
  </si>
  <si>
    <t>Amanda Geoghegan 1204417</t>
  </si>
  <si>
    <t>SecureShare HMH Pens</t>
  </si>
  <si>
    <t>022024M</t>
  </si>
  <si>
    <t>25296CBPR053E87</t>
  </si>
  <si>
    <t>HMH Pension Scheme</t>
  </si>
  <si>
    <t>Stephen Domican</t>
  </si>
  <si>
    <t>25294CBPR04E585</t>
  </si>
  <si>
    <t>Employer: N/A :: Number of Members: 2</t>
  </si>
  <si>
    <t>25295CBPR0503A5</t>
  </si>
  <si>
    <t>x1 NE Added</t>
  </si>
  <si>
    <t>25297CBPR057A69</t>
  </si>
  <si>
    <t>x13 NEs Added</t>
  </si>
  <si>
    <t>25294CBPR04E503</t>
  </si>
  <si>
    <t>25294CBPR04DFF6</t>
  </si>
  <si>
    <t>SecureShare Jazz Pha</t>
  </si>
  <si>
    <t>25295CBPR051367</t>
  </si>
  <si>
    <t>x8 NEs Added</t>
  </si>
  <si>
    <t>SecureShare MBEU Des</t>
  </si>
  <si>
    <t>25295CBPR050418</t>
  </si>
  <si>
    <t>x4 NEs Added</t>
  </si>
  <si>
    <t>25294CBPR04E5FA</t>
  </si>
  <si>
    <t>Edel O'Reagan</t>
  </si>
  <si>
    <t>O404451</t>
  </si>
  <si>
    <t>25295CBPR05125A</t>
  </si>
  <si>
    <t>O405709</t>
  </si>
  <si>
    <t>25295CBPR051C49</t>
  </si>
  <si>
    <t>Heloisa Garcia Carneiro</t>
  </si>
  <si>
    <t>O402708</t>
  </si>
  <si>
    <t>25295CBPR05049D</t>
  </si>
  <si>
    <t>Susan Kavanagh</t>
  </si>
  <si>
    <t>SecureShare Dosco Un</t>
  </si>
  <si>
    <t>021647M</t>
  </si>
  <si>
    <t>25295CBPR051BF3</t>
  </si>
  <si>
    <t>Employer: Dosco :: Member Name: Mrs Ber Cleary :: Date of Birth: 27/04/1972</t>
  </si>
  <si>
    <t>021651M</t>
  </si>
  <si>
    <t>25295CBPR051C12</t>
  </si>
  <si>
    <t>Employer: Dosco :: Member Name: Mr Roger Cleary :: Date of Birth: 15/08/1971</t>
  </si>
  <si>
    <t>25294CBPR04D381</t>
  </si>
  <si>
    <t>Fundraising At Our Lady's Hospice &amp; Care</t>
  </si>
  <si>
    <t>SecureShare Munster</t>
  </si>
  <si>
    <t>022166M</t>
  </si>
  <si>
    <t>25296CBPR0547DA</t>
  </si>
  <si>
    <t>MUNSTER CATTLE BREEDING GROUP LTD</t>
  </si>
  <si>
    <t>Employer: Munster Bovine :: Member Name: Mrs Elaine Dennehy :: Date of Birth: 30/06/1983</t>
  </si>
  <si>
    <t>SecureShare Tokyo El</t>
  </si>
  <si>
    <t>020685M</t>
  </si>
  <si>
    <t>25294CBPR04D221</t>
  </si>
  <si>
    <t>Fabio Alejandro de Vera Gallego -  (see attached file for full description)</t>
  </si>
  <si>
    <t>O397475</t>
  </si>
  <si>
    <t>25294CBPR04D1EB</t>
  </si>
  <si>
    <t>T U I Dublin Institute of Technology</t>
  </si>
  <si>
    <t>Adrienne Fleming  1203706</t>
  </si>
  <si>
    <t>O411539</t>
  </si>
  <si>
    <t>25297CBPR0563B1</t>
  </si>
  <si>
    <t>The Prison Officers Association AVC Plan</t>
  </si>
  <si>
    <t>Micahel Sheeran  1204383</t>
  </si>
  <si>
    <t>O425792</t>
  </si>
  <si>
    <t>25303CBPR061396</t>
  </si>
  <si>
    <t>Dublin City Council AVC Plan</t>
  </si>
  <si>
    <t>Stephanie Swales 1205733 -  SP 7,470</t>
  </si>
  <si>
    <t>Cash (Scan)</t>
  </si>
  <si>
    <t>O407086</t>
  </si>
  <si>
    <t>25296CBPR054091</t>
  </si>
  <si>
    <t>25000 SPAV NE ROSE MANSFIELD NURSES AVC</t>
  </si>
  <si>
    <t>O393455</t>
  </si>
  <si>
    <t>25294CBPR04E414</t>
  </si>
  <si>
    <t>19500.00 SPAV  MARY CREAN LYNCH 1204256</t>
  </si>
  <si>
    <t>O407521</t>
  </si>
  <si>
    <t>25296CBPR0537DF</t>
  </si>
  <si>
    <t>SP9500 EITHNE UI FHOGHLU</t>
  </si>
  <si>
    <t>O416921</t>
  </si>
  <si>
    <t>25301CBPR05B5F7</t>
  </si>
  <si>
    <t>CPSMT AVC Plan</t>
  </si>
  <si>
    <t>ANNE KEANE 55552</t>
  </si>
  <si>
    <t>O413803</t>
  </si>
  <si>
    <t>25297CBPR057716</t>
  </si>
  <si>
    <t>Martha Mathew 1205788</t>
  </si>
  <si>
    <t>O405213</t>
  </si>
  <si>
    <t>25295CBPR05183C</t>
  </si>
  <si>
    <t>Ronnie McDermott</t>
  </si>
  <si>
    <t>O405219</t>
  </si>
  <si>
    <t>25295CBPR051846</t>
  </si>
  <si>
    <t>Darragh Heneghan</t>
  </si>
  <si>
    <t>O416887</t>
  </si>
  <si>
    <t>25301CBPR05B5B2</t>
  </si>
  <si>
    <t>Laura Dowling SP 30000</t>
  </si>
  <si>
    <t>O422873</t>
  </si>
  <si>
    <t>25302CBPR05F11E</t>
  </si>
  <si>
    <t>Declan O'Connor 12000 SP</t>
  </si>
  <si>
    <t>O397538</t>
  </si>
  <si>
    <t>25294CBPR04E4C6</t>
  </si>
  <si>
    <t>21000.00 SPAV NE CAROLINE HUGHES NURSES AVC</t>
  </si>
  <si>
    <t>O397539</t>
  </si>
  <si>
    <t>25294CBPR04E4E0</t>
  </si>
  <si>
    <t>19500.00 SPAV NW GEAROID HERBERT TUI</t>
  </si>
  <si>
    <t>O397540</t>
  </si>
  <si>
    <t>25294CBPR04E4F6</t>
  </si>
  <si>
    <t>T U I (Cork Institute of Technology)</t>
  </si>
  <si>
    <t>25000.00 SPAV NE LESLIE ELLIS TUI CORK IT</t>
  </si>
  <si>
    <t>O397541</t>
  </si>
  <si>
    <t>25294CBPR04E509</t>
  </si>
  <si>
    <t>50000.00 SPAV NE DAVID SMYTH NURSES AVC</t>
  </si>
  <si>
    <t>O407082</t>
  </si>
  <si>
    <t>25296CBPR05406E</t>
  </si>
  <si>
    <t>34000.00 SPAV NE NIALL DELOUGHRY UNIVERSITY OF LIMERICK</t>
  </si>
  <si>
    <t>O411407</t>
  </si>
  <si>
    <t>25297CBPR0570AA</t>
  </si>
  <si>
    <t>14235 SP N/E MARTIN LONG FORSA</t>
  </si>
  <si>
    <t>O407087</t>
  </si>
  <si>
    <t>25296CBPR0540A3</t>
  </si>
  <si>
    <t>Public Sector PRSA</t>
  </si>
  <si>
    <t>10000.00 SPAV NE AIDEEN HOGAN PS PRSA</t>
  </si>
  <si>
    <t>O396611</t>
  </si>
  <si>
    <t>25293CBPR04CBF7</t>
  </si>
  <si>
    <t>Declan Lewis SP 40000</t>
  </si>
  <si>
    <t>O398087</t>
  </si>
  <si>
    <t>25294CBPR04D60E</t>
  </si>
  <si>
    <t>University College Dublin</t>
  </si>
  <si>
    <t>Winifred Ryan SP 5000</t>
  </si>
  <si>
    <t>O403620</t>
  </si>
  <si>
    <t>25295CBPR050B58</t>
  </si>
  <si>
    <t>Greg Nason SP 5467</t>
  </si>
  <si>
    <t>O405317</t>
  </si>
  <si>
    <t>25295CBPR051917</t>
  </si>
  <si>
    <t>Cathy Blennerhassett - 100 fee</t>
  </si>
  <si>
    <t>O405461</t>
  </si>
  <si>
    <t>25295CBPR051A3E</t>
  </si>
  <si>
    <t>Alan Dermody - 100 fee</t>
  </si>
  <si>
    <t>O343971</t>
  </si>
  <si>
    <t>25276CBPR01C654</t>
  </si>
  <si>
    <t>submitted to secure share</t>
  </si>
  <si>
    <t>O364631</t>
  </si>
  <si>
    <t>25283CBPR036079</t>
  </si>
  <si>
    <t>O345383</t>
  </si>
  <si>
    <t>25279CBPR02509E</t>
  </si>
  <si>
    <t>25288CBPR03FAE7</t>
  </si>
  <si>
    <t>TU84</t>
  </si>
  <si>
    <t>Joseph G. Byrne &amp; Sons Consulting</t>
  </si>
  <si>
    <t>O360914</t>
  </si>
  <si>
    <t>25282CBPR033ADF</t>
  </si>
  <si>
    <t>Dornan Engineering Limited</t>
  </si>
  <si>
    <t>Copied as Member Update</t>
  </si>
  <si>
    <t>O338686</t>
  </si>
  <si>
    <t>25275CBPR01983A</t>
  </si>
  <si>
    <t>Stephens Green Hibernian Club</t>
  </si>
  <si>
    <t>Email advisising bulk + SS</t>
  </si>
  <si>
    <t>O365704</t>
  </si>
  <si>
    <t>25283CBPR0368E3</t>
  </si>
  <si>
    <t>Donal Burns Bulk</t>
  </si>
  <si>
    <t>O367642</t>
  </si>
  <si>
    <t>25286CBPR0393C7</t>
  </si>
  <si>
    <t>Craig Grant Bulk</t>
  </si>
  <si>
    <t>SecureShare Smartply</t>
  </si>
  <si>
    <t>25283CBPR035080</t>
  </si>
  <si>
    <t>Smartply Europe DAC</t>
  </si>
  <si>
    <t xml:space="preserve"> Member Added</t>
  </si>
  <si>
    <t>VO24</t>
  </si>
  <si>
    <t>Bluechip Financial Consultants Lt</t>
  </si>
  <si>
    <t>O295066</t>
  </si>
  <si>
    <t>25260CBPR0329C6</t>
  </si>
  <si>
    <t>24 x NE -  Arachas bought over Insight Ins Brokers</t>
  </si>
  <si>
    <t>RD86</t>
  </si>
  <si>
    <t>Liam McNamara &amp; Associates Ltd</t>
  </si>
  <si>
    <t>O345011</t>
  </si>
  <si>
    <t>25277CBPR02340A</t>
  </si>
  <si>
    <t>Jacobs Douwe Egberts IE Limited</t>
  </si>
  <si>
    <t>Duplicate - John Prendergast</t>
  </si>
  <si>
    <t>O359954</t>
  </si>
  <si>
    <t>25282CBPR033087</t>
  </si>
  <si>
    <t>Delgany Golf Club</t>
  </si>
  <si>
    <t>Not NE - Salary increases x 5, DD &amp; Member update</t>
  </si>
  <si>
    <t>25260CBPR032D0E</t>
  </si>
  <si>
    <t>24 x NE - SS 011159M</t>
  </si>
  <si>
    <t>25273CBPR013197</t>
  </si>
  <si>
    <t>Duplicate - 1199481 Majo Rivas</t>
  </si>
  <si>
    <t>SecureShare Kerrigan</t>
  </si>
  <si>
    <t>John Small</t>
  </si>
  <si>
    <t>25275CBPR0186CA</t>
  </si>
  <si>
    <t>Kerrigan Sheanon Newman ULC</t>
  </si>
  <si>
    <t>Not NE - VRDD breakdown</t>
  </si>
  <si>
    <t>25281CBPR02F8F3</t>
  </si>
  <si>
    <t>O381773</t>
  </si>
  <si>
    <t>25288CBPR040771</t>
  </si>
  <si>
    <t>Booking Holdings Fin. Serv. Intl Ltd</t>
  </si>
  <si>
    <t>Tim Ryan</t>
  </si>
  <si>
    <t>O390881</t>
  </si>
  <si>
    <t>25290CBPR04649C</t>
  </si>
  <si>
    <t>Glenstal Food Ltd</t>
  </si>
  <si>
    <t>Marta Madziag</t>
  </si>
  <si>
    <t>O390889</t>
  </si>
  <si>
    <t>25290CBPR0464AB</t>
  </si>
  <si>
    <t>advised we are not accepting apps</t>
  </si>
  <si>
    <t>TP10</t>
  </si>
  <si>
    <t>Howden Insurance (Ireland) Ltd</t>
  </si>
  <si>
    <t>O386658</t>
  </si>
  <si>
    <t>25289CBPR043A11</t>
  </si>
  <si>
    <t>Howden Insurance (Ireland) Limited</t>
  </si>
  <si>
    <t>see email</t>
  </si>
  <si>
    <t>O386856</t>
  </si>
  <si>
    <t>25289CBPR043B7C</t>
  </si>
  <si>
    <t>O386871</t>
  </si>
  <si>
    <t>25289CBPR043B95</t>
  </si>
  <si>
    <t>O382169</t>
  </si>
  <si>
    <t>25288CBPR040ABC</t>
  </si>
  <si>
    <t>RM91</t>
  </si>
  <si>
    <t>Willis Towers Watson Life &amp; Pensi</t>
  </si>
  <si>
    <t>O388360</t>
  </si>
  <si>
    <t>25290CBPR04509E</t>
  </si>
  <si>
    <t>Expleo Technology Ireland Limited</t>
  </si>
  <si>
    <t>mem update set up - 0962355</t>
  </si>
  <si>
    <t>SecureShare HelsinnB</t>
  </si>
  <si>
    <t>25288CBPR03FAE1</t>
  </si>
  <si>
    <t>Helsinn Birex Pharmaceuticals Ltd</t>
  </si>
  <si>
    <t>SecureShare I T Alli</t>
  </si>
  <si>
    <t>25289CBPR042753</t>
  </si>
  <si>
    <t>I.T Alliance Group Ltd.</t>
  </si>
  <si>
    <t>Employer: N/A :: Member Name:  Gareth Martin :: Date of Birth: 31/12/1973</t>
  </si>
  <si>
    <t>SecureShare Mondelez</t>
  </si>
  <si>
    <t>25288CBPR040A1A</t>
  </si>
  <si>
    <t>see dropzoned email</t>
  </si>
  <si>
    <t>25288CBPR040AC3</t>
  </si>
  <si>
    <t>See dropzoned email</t>
  </si>
  <si>
    <t>25288CBPR040B1B</t>
  </si>
  <si>
    <t>SecureShare Capita I</t>
  </si>
  <si>
    <t>020128M</t>
  </si>
  <si>
    <t>25293CBPR04BCBF</t>
  </si>
  <si>
    <t>Capita PLC</t>
  </si>
  <si>
    <t>Not archiving as would show cancelled- Member added 1203294</t>
  </si>
  <si>
    <t>O394258</t>
  </si>
  <si>
    <t>25293CBPR04B945</t>
  </si>
  <si>
    <t>Member number confirmed</t>
  </si>
  <si>
    <t>O368286</t>
  </si>
  <si>
    <t>25286CBPR0398CE</t>
  </si>
  <si>
    <t>member update copied out-0866789</t>
  </si>
  <si>
    <t>O368315</t>
  </si>
  <si>
    <t>25286CBPR039908</t>
  </si>
  <si>
    <t>member update carried out</t>
  </si>
  <si>
    <t>O369998</t>
  </si>
  <si>
    <t>25286CBPR03A734</t>
  </si>
  <si>
    <t>O370171</t>
  </si>
  <si>
    <t>25286CBPR03A893</t>
  </si>
  <si>
    <t>Member update copied out</t>
  </si>
  <si>
    <t>25280CBPR02B523</t>
  </si>
  <si>
    <t>1199789 member has been added</t>
  </si>
  <si>
    <t>RF17</t>
  </si>
  <si>
    <t>Insight Private Clients Ltd</t>
  </si>
  <si>
    <t>O369692</t>
  </si>
  <si>
    <t>25286CBPR03A494</t>
  </si>
  <si>
    <t>O393134</t>
  </si>
  <si>
    <t>25293CBPR04B18B</t>
  </si>
  <si>
    <t>Anglo Beef Processors Ireland</t>
  </si>
  <si>
    <t>TO66</t>
  </si>
  <si>
    <t>Mount Street Trustees Ltd</t>
  </si>
  <si>
    <t>011128M</t>
  </si>
  <si>
    <t>25281CBPR02FEBE</t>
  </si>
  <si>
    <t>Nisbets Limited</t>
  </si>
  <si>
    <t>Member Added 1201219</t>
  </si>
  <si>
    <t>O358779</t>
  </si>
  <si>
    <t>25282CBPR032697</t>
  </si>
  <si>
    <t>ElectroRoute Market Access Limited</t>
  </si>
  <si>
    <t>ALREADY IN USE</t>
  </si>
  <si>
    <t>Fran Meehan</t>
  </si>
  <si>
    <t>O375480</t>
  </si>
  <si>
    <t>25287CBPR03D384</t>
  </si>
  <si>
    <t>Towercom Limited</t>
  </si>
  <si>
    <t>Laurence Stratton 1202040 already keyed 13.10.25</t>
  </si>
  <si>
    <t>O376832</t>
  </si>
  <si>
    <t>25287CBPR03DD66</t>
  </si>
  <si>
    <t>Nataliia Potlova 1203518 already keyed 20.10.25f</t>
  </si>
  <si>
    <t>O376836</t>
  </si>
  <si>
    <t>25287CBPR03DD71</t>
  </si>
  <si>
    <t>Nataliia Potlov 1203518</t>
  </si>
  <si>
    <t>CBBenefits</t>
  </si>
  <si>
    <t>O357672</t>
  </si>
  <si>
    <t>25281CBPR030058</t>
  </si>
  <si>
    <t>claims form copied out</t>
  </si>
  <si>
    <t>O327249</t>
  </si>
  <si>
    <t>25272CBPR0127BE</t>
  </si>
  <si>
    <t>copied out general query avc form one off payment</t>
  </si>
  <si>
    <t>O359869</t>
  </si>
  <si>
    <t>25282CBPR032FA4</t>
  </si>
  <si>
    <t>Bridgette Murphy 1202041 already added 13/10/25</t>
  </si>
  <si>
    <t>A716</t>
  </si>
  <si>
    <t>Frank Glennon L &amp; P Ltd</t>
  </si>
  <si>
    <t>O326563</t>
  </si>
  <si>
    <t>25272CBPR012284</t>
  </si>
  <si>
    <t>Merative Healthcare Ireland Ltd</t>
  </si>
  <si>
    <t>Vincent Mulhall 1079586 member update copied out</t>
  </si>
  <si>
    <t>O341766</t>
  </si>
  <si>
    <t>25276CBPR01B4B0</t>
  </si>
  <si>
    <t>copied out member  update</t>
  </si>
  <si>
    <t>O342683</t>
  </si>
  <si>
    <t>25276CBPR01BBA9</t>
  </si>
  <si>
    <t>Charles Johnston 1199789 already keyed 2.10.2025</t>
  </si>
  <si>
    <t>O346925</t>
  </si>
  <si>
    <t>25279CBPR025A46</t>
  </si>
  <si>
    <t>The Open University</t>
  </si>
  <si>
    <t>looking for app form</t>
  </si>
  <si>
    <t>O359870</t>
  </si>
  <si>
    <t>25282CBPR032FA6</t>
  </si>
  <si>
    <t>Deutsche Schule Dublin Co Ltd</t>
  </si>
  <si>
    <t>Emma Jones 1202225 already added 14/10/25</t>
  </si>
  <si>
    <t>O362944</t>
  </si>
  <si>
    <t>25283CBPR0352D2</t>
  </si>
  <si>
    <t>copied out general mail</t>
  </si>
  <si>
    <t>O368663</t>
  </si>
  <si>
    <t>25286CBPR039BDB</t>
  </si>
  <si>
    <t>Donegal Airport</t>
  </si>
  <si>
    <t>Thank you mail</t>
  </si>
  <si>
    <t>O381509</t>
  </si>
  <si>
    <t>25288CBPR04050D</t>
  </si>
  <si>
    <t>Lillian Hope date plan membership 2026 will pend to see if she changes it then ill complet</t>
  </si>
  <si>
    <t>O388842</t>
  </si>
  <si>
    <t>25290CBPR0454AC</t>
  </si>
  <si>
    <t>no app with mail advised to resend to code closing off</t>
  </si>
  <si>
    <t>O391239</t>
  </si>
  <si>
    <t>25290CBPR046777</t>
  </si>
  <si>
    <t>Ozeias De Souga Chaves 1186405 member update copied out</t>
  </si>
  <si>
    <t>O393297</t>
  </si>
  <si>
    <t>25293CBPR04B2AD</t>
  </si>
  <si>
    <t>Butler Calibration Limited</t>
  </si>
  <si>
    <t>Adam McEneaney date joined scheme jan 2026</t>
  </si>
  <si>
    <t>Joan Brady</t>
  </si>
  <si>
    <t>O325588</t>
  </si>
  <si>
    <t>25272CBPR011B8C</t>
  </si>
  <si>
    <t>Aryza Ireland Ltd</t>
  </si>
  <si>
    <t>Serhii Kravchuk already keyed 1.10.2025</t>
  </si>
  <si>
    <t>O339718</t>
  </si>
  <si>
    <t>25275CBPR01A3BD</t>
  </si>
  <si>
    <t>Fafel Santos  De Mello 1200353 already keyed 6.10.2025</t>
  </si>
  <si>
    <t>O393243</t>
  </si>
  <si>
    <t>25293CBPR04B24F</t>
  </si>
  <si>
    <t>Oisin Skinnader 1202392 already keyed member update copied out</t>
  </si>
  <si>
    <t>Sean McGreevy</t>
  </si>
  <si>
    <t>O340053</t>
  </si>
  <si>
    <t>25275CBPR01A8E7</t>
  </si>
  <si>
    <t>Larry Kiernan Plant Hire Ltd</t>
  </si>
  <si>
    <t>chrtistopher harold advised to send by secure share</t>
  </si>
  <si>
    <t>O371899</t>
  </si>
  <si>
    <t>25287CBPR03C374</t>
  </si>
  <si>
    <t>AVC form 0944596 copied o ut</t>
  </si>
  <si>
    <t>O371942</t>
  </si>
  <si>
    <t>25287CBPR03C3DB</t>
  </si>
  <si>
    <t>AVC form 1034320 member update copied out</t>
  </si>
  <si>
    <t>O389174</t>
  </si>
  <si>
    <t>25290CBPR0456F0</t>
  </si>
  <si>
    <t>avc form not for us copied out</t>
  </si>
  <si>
    <t>Mary Brislane</t>
  </si>
  <si>
    <t>O357300</t>
  </si>
  <si>
    <t>25281CBPR02FC90</t>
  </si>
  <si>
    <t>Delta Electronics (Europe) Ltd.</t>
  </si>
  <si>
    <t>Jenny Tobin DOJ 01/07/25 incorrect scheme no copied out should be 601353</t>
  </si>
  <si>
    <t>25279CBPR026184</t>
  </si>
  <si>
    <t>Jovin Chouwalloor Jose 1188128 alredy keyed 11/07/2025</t>
  </si>
  <si>
    <t>SecureShare Chime</t>
  </si>
  <si>
    <t>019975M</t>
  </si>
  <si>
    <t>25293CBPR04B4DC</t>
  </si>
  <si>
    <t>Nicola Moore date joining scheme 1.1.26 can only add a month in advance</t>
  </si>
  <si>
    <t>SecureShare Liberty</t>
  </si>
  <si>
    <t>25279CBPR026657</t>
  </si>
  <si>
    <t>James will be resent in Jan date joining scheme in jan 2026</t>
  </si>
  <si>
    <t>SecureShare Lifescie</t>
  </si>
  <si>
    <t>Peter Seymour</t>
  </si>
  <si>
    <t>25287CBPR03C62E</t>
  </si>
  <si>
    <t>Lifescience Business Platforms Limited</t>
  </si>
  <si>
    <t>Pratiksha Birajdar 1201231 already keyed 9.10.2025</t>
  </si>
  <si>
    <t>SecureShare Stanley</t>
  </si>
  <si>
    <t>25289CBPR043C86</t>
  </si>
  <si>
    <t>020132M</t>
  </si>
  <si>
    <t>25293CBPR04BCBD</t>
  </si>
  <si>
    <t>Olena Bulatkina :1186419 already keyed member update copied</t>
  </si>
  <si>
    <t>Eileen Gillick</t>
  </si>
  <si>
    <t>O348871</t>
  </si>
  <si>
    <t>25279CBPR0268C5</t>
  </si>
  <si>
    <t>Motorola Solutions UK Ltd (Irl Branch)</t>
  </si>
  <si>
    <t xml:space="preserve"> Pierre-Antoine Garnier PPSN confirmed - Added already</t>
  </si>
  <si>
    <t>O326777</t>
  </si>
  <si>
    <t>25272CBPR012441</t>
  </si>
  <si>
    <t>Xylem Water Solutions Ireland Ltd</t>
  </si>
  <si>
    <t>Request for NE Form</t>
  </si>
  <si>
    <t>O328449</t>
  </si>
  <si>
    <t>25273CBPR01347D</t>
  </si>
  <si>
    <t>Kyrian Bourgi plan #</t>
  </si>
  <si>
    <t>TN73</t>
  </si>
  <si>
    <t>Campion Insurances Ltd.</t>
  </si>
  <si>
    <t>O363360</t>
  </si>
  <si>
    <t>25283CBPR0355ED</t>
  </si>
  <si>
    <t>Dovea Genetics Ltd</t>
  </si>
  <si>
    <t>RJ70</t>
  </si>
  <si>
    <t>O323876</t>
  </si>
  <si>
    <t>25272CBPR0115C9</t>
  </si>
  <si>
    <t>CGN Europe Energy Ireland Ltd</t>
  </si>
  <si>
    <t>1 new entrant</t>
  </si>
  <si>
    <t>O384760</t>
  </si>
  <si>
    <t>25289CBPR042ACA</t>
  </si>
  <si>
    <t>TransPerfect Translations Limited</t>
  </si>
  <si>
    <t>022092M</t>
  </si>
  <si>
    <t>25296CBPR054242</t>
  </si>
  <si>
    <t>1204425 member has been added</t>
  </si>
  <si>
    <t>021840M</t>
  </si>
  <si>
    <t>25296CBPR0532B3</t>
  </si>
  <si>
    <t>RO to pension- Not a NE - Not archiving</t>
  </si>
  <si>
    <t>021837M</t>
  </si>
  <si>
    <t>25296CBPR0532B4</t>
  </si>
  <si>
    <t>Not a NE- RO To pension copied- Not archiving</t>
  </si>
  <si>
    <t>UW MAILBOX</t>
  </si>
  <si>
    <t>O406876</t>
  </si>
  <si>
    <t>25296CBPR05336B</t>
  </si>
  <si>
    <t>J Byrne 1141015 already keyed member update copied out</t>
  </si>
  <si>
    <t>O409276</t>
  </si>
  <si>
    <t>25296CBPR0545CA</t>
  </si>
  <si>
    <t>O414831</t>
  </si>
  <si>
    <t>25298CBPR058066</t>
  </si>
  <si>
    <t>SimoTech</t>
  </si>
  <si>
    <t>Uploaded to SecureShare for Transformation</t>
  </si>
  <si>
    <t>VL74</t>
  </si>
  <si>
    <t>National Corporate Finance Ltd</t>
  </si>
  <si>
    <t>O415005</t>
  </si>
  <si>
    <t>25298CBPR0581C0</t>
  </si>
  <si>
    <t>SD Worx Ireland Ltd</t>
  </si>
  <si>
    <t>SecureShare Glennon</t>
  </si>
  <si>
    <t>022646M</t>
  </si>
  <si>
    <t>25297CBPR056F09</t>
  </si>
  <si>
    <t>Quest Software International Ltd</t>
  </si>
  <si>
    <t>All NEs Already Added</t>
  </si>
  <si>
    <t>020964M</t>
  </si>
  <si>
    <t>25294CBPR04E78D</t>
  </si>
  <si>
    <t>One Identity Software International DAC</t>
  </si>
  <si>
    <t>E022</t>
  </si>
  <si>
    <t>BCP Asset Management Ltd</t>
  </si>
  <si>
    <t>O414843</t>
  </si>
  <si>
    <t>25298CBPR058075</t>
  </si>
  <si>
    <t>Poster Management Ireland Ltd</t>
  </si>
  <si>
    <t>Dara Lynch 1205405</t>
  </si>
  <si>
    <t>UP79</t>
  </si>
  <si>
    <t>Charles McCarthy Insurances Ltd</t>
  </si>
  <si>
    <t>O405359</t>
  </si>
  <si>
    <t>25295CBPR051985</t>
  </si>
  <si>
    <t>Schivo Medical Ltd</t>
  </si>
  <si>
    <t>Kinga Szabat date joining scheme 1/1/26 cannot add</t>
  </si>
  <si>
    <t>O416221</t>
  </si>
  <si>
    <t>25301CBPR05B15A</t>
  </si>
  <si>
    <t>Kinga Szabet- returning app needs to be sent in my secure share - archieved</t>
  </si>
  <si>
    <t>NM89</t>
  </si>
  <si>
    <t>MMPI Ltd</t>
  </si>
  <si>
    <t>O400596</t>
  </si>
  <si>
    <t>25294CBPR04EAAF</t>
  </si>
  <si>
    <t>New Measured Power t/a Pinergy</t>
  </si>
  <si>
    <t>application in linked WI</t>
  </si>
  <si>
    <t>O411179</t>
  </si>
  <si>
    <t>25297CBPR056147</t>
  </si>
  <si>
    <t>Dublin Central Mission</t>
  </si>
  <si>
    <t>Eugene Ryan t/a Safeguard Financi</t>
  </si>
  <si>
    <t>O407948</t>
  </si>
  <si>
    <t>25296CBPR053B07</t>
  </si>
  <si>
    <t>Amogan Ltd</t>
  </si>
  <si>
    <t>Sarah Walters  1204280</t>
  </si>
  <si>
    <t>NJ35</t>
  </si>
  <si>
    <t>Kirwan Pike Insurance and Financi</t>
  </si>
  <si>
    <t>O414212</t>
  </si>
  <si>
    <t>25297CBPR057AB3</t>
  </si>
  <si>
    <t>Casey O'Rourke Associates Limited</t>
  </si>
  <si>
    <t>remittance copied out</t>
  </si>
  <si>
    <t>TM85</t>
  </si>
  <si>
    <t>NFP Ireland Consultants Ltd</t>
  </si>
  <si>
    <t>O396028</t>
  </si>
  <si>
    <t>25293CBPR04C79E</t>
  </si>
  <si>
    <t>MongoDB Limited</t>
  </si>
  <si>
    <t>Joseph Morrin 1196378 already added 10.9.2025</t>
  </si>
  <si>
    <t>RD75</t>
  </si>
  <si>
    <t>SYS Financial Ltd</t>
  </si>
  <si>
    <t>O411130</t>
  </si>
  <si>
    <t>25297CBPR0560E3</t>
  </si>
  <si>
    <t>Ammeon Limited</t>
  </si>
  <si>
    <t>Eoin Keahy 1204608 already keyed member update auto copied out</t>
  </si>
  <si>
    <t>O411170</t>
  </si>
  <si>
    <t>25297CBPR056136</t>
  </si>
  <si>
    <t>original case O411130 member update copied out today</t>
  </si>
  <si>
    <t>021596M</t>
  </si>
  <si>
    <t>25295CBPR0519A3</t>
  </si>
  <si>
    <t>Payward Ireland Limited</t>
  </si>
  <si>
    <t>oluwatosin adams closed date joining sche is 2026</t>
  </si>
  <si>
    <t>D735</t>
  </si>
  <si>
    <t>SecureShare IHI Grou</t>
  </si>
  <si>
    <t>021275M</t>
  </si>
  <si>
    <t>25295CBPR050286</t>
  </si>
  <si>
    <t>Encyclis Ireland Operations Limited</t>
  </si>
  <si>
    <t>VS41</t>
  </si>
  <si>
    <t>SecureShare NFP Irel</t>
  </si>
  <si>
    <t>021383M</t>
  </si>
  <si>
    <t>25295CBPR050A0D</t>
  </si>
  <si>
    <t>Bristow Ireland Limited</t>
  </si>
  <si>
    <t>niamh Mulrooney1204618 already keyed member update copied out</t>
  </si>
  <si>
    <t>SecureShare Premier</t>
  </si>
  <si>
    <t>021555M</t>
  </si>
  <si>
    <t>25295CBPR05160F</t>
  </si>
  <si>
    <t>ROPE COPIED out</t>
  </si>
  <si>
    <t>SecureShare Riverty</t>
  </si>
  <si>
    <t>021286M</t>
  </si>
  <si>
    <t>25295CBPR0503CB</t>
  </si>
  <si>
    <t>Riverty Services Ireland Ltd</t>
  </si>
  <si>
    <t>VT24</t>
  </si>
  <si>
    <t>SecureShare Trust Ma</t>
  </si>
  <si>
    <t>Mamcol Ltd</t>
  </si>
  <si>
    <t>020851M</t>
  </si>
  <si>
    <t>25294CBPR04E072</t>
  </si>
  <si>
    <t>JLPS Holding Ireland Limited</t>
  </si>
  <si>
    <t xml:space="preserve"> Colin Joyce 0914780 member update copied out</t>
  </si>
  <si>
    <t>SecureShare Wesco Ir</t>
  </si>
  <si>
    <t>020763M</t>
  </si>
  <si>
    <t>25294CBPR04D724</t>
  </si>
  <si>
    <t>Anixter Distribution Ireland Limited</t>
  </si>
  <si>
    <t>Employer: N/A :: Member Name: Vincent Kennedy 2025 09 01   :: Date of Birth: N/A</t>
  </si>
  <si>
    <t>VO82</t>
  </si>
  <si>
    <t>SecureShare White Ho</t>
  </si>
  <si>
    <t>Chartered Life Wealth Management</t>
  </si>
  <si>
    <t>022118M</t>
  </si>
  <si>
    <t>25296CBPR054418</t>
  </si>
  <si>
    <t>WHITE HORSE INSURANCE IRELAND DAC</t>
  </si>
  <si>
    <t>Aibne Nic Cormaic 0663625 member update copied out</t>
  </si>
  <si>
    <t>VV43</t>
  </si>
  <si>
    <t>Arthur J Gallagher Insurance Brok</t>
  </si>
  <si>
    <t>O404641</t>
  </si>
  <si>
    <t>25295CBPR0513EB</t>
  </si>
  <si>
    <t>Nissan Ireland</t>
  </si>
  <si>
    <t>Jessica Kenny</t>
  </si>
  <si>
    <t>O338329</t>
  </si>
  <si>
    <t>25275CBPR019234</t>
  </si>
  <si>
    <t>Autodesk Ireland</t>
  </si>
  <si>
    <t>TM30</t>
  </si>
  <si>
    <t>O338328</t>
  </si>
  <si>
    <t>25275CBPR019233</t>
  </si>
  <si>
    <t>K815</t>
  </si>
  <si>
    <t>O354651</t>
  </si>
  <si>
    <t>25281CBPR02C135</t>
  </si>
  <si>
    <t>Tenable Network Security Ireland Limited</t>
  </si>
  <si>
    <t>New Entrant - 603630 - Bulk</t>
  </si>
  <si>
    <t>O346636</t>
  </si>
  <si>
    <t>25279CBPR025846</t>
  </si>
  <si>
    <t>Pw = Autodesk.IRE.123</t>
  </si>
  <si>
    <t>SecureShare Vestas I</t>
  </si>
  <si>
    <t>25272CBPR01102B</t>
  </si>
  <si>
    <t>please archive</t>
  </si>
  <si>
    <t>O343113</t>
  </si>
  <si>
    <t>25276CBPR01BF4E</t>
  </si>
  <si>
    <t>Kent Stainless Wexford Limited</t>
  </si>
  <si>
    <t>24 ne- Push Back for SecureShare</t>
  </si>
  <si>
    <t>O348036</t>
  </si>
  <si>
    <t>25279CBPR026340</t>
  </si>
  <si>
    <t>BOC Gases Ireland Limited</t>
  </si>
  <si>
    <t>Already on scheme - member updates</t>
  </si>
  <si>
    <t>TM31</t>
  </si>
  <si>
    <t>O344803</t>
  </si>
  <si>
    <t>25277CBPR023199</t>
  </si>
  <si>
    <t>Seftec Limited</t>
  </si>
  <si>
    <t>Qeury</t>
  </si>
  <si>
    <t>RN09</t>
  </si>
  <si>
    <t>Reade Pensions &amp; Financial Servic</t>
  </si>
  <si>
    <t>O371618</t>
  </si>
  <si>
    <t>25287CBPR03C13B</t>
  </si>
  <si>
    <t>Sutton Park School</t>
  </si>
  <si>
    <t>suzanne McGinn 1173127 already keyed 19.2.2025 member update copied out</t>
  </si>
  <si>
    <t>N165</t>
  </si>
  <si>
    <t>CUMMINS INSURANCES LTD</t>
  </si>
  <si>
    <t>O364906</t>
  </si>
  <si>
    <t>25283CBPR036258</t>
  </si>
  <si>
    <t>Primeline Logistics Unlimited Company</t>
  </si>
  <si>
    <t>Bulk excel s/sheet copied out : archieved</t>
  </si>
  <si>
    <t>O385315</t>
  </si>
  <si>
    <t>25289CBPR042FB1</t>
  </si>
  <si>
    <t>Laura Wheeler 1134231 alredy keyed member update autoo copied out</t>
  </si>
  <si>
    <t>OUTBOUND MAIL</t>
  </si>
  <si>
    <t>O334958</t>
  </si>
  <si>
    <t>25274CBPR01745C</t>
  </si>
  <si>
    <t>Teleflex Medical Europe Limited</t>
  </si>
  <si>
    <t>copied in mail from corporate</t>
  </si>
  <si>
    <t>O355074</t>
  </si>
  <si>
    <t>25281CBPR02C400</t>
  </si>
  <si>
    <t>Duplicate - Aaron Doran 1198647</t>
  </si>
  <si>
    <t>VT80</t>
  </si>
  <si>
    <t>SecureShare Lockton</t>
  </si>
  <si>
    <t>25276CBPR01B8FB</t>
  </si>
  <si>
    <t>SR Technics Airfoil Services Limited</t>
  </si>
  <si>
    <t xml:space="preserve"> Dylan Mulqueen - 1200260 on scheme already</t>
  </si>
  <si>
    <t>O378880</t>
  </si>
  <si>
    <t>25288CBPR03F001</t>
  </si>
  <si>
    <t>Google Ireland Limited</t>
  </si>
  <si>
    <t>TM32</t>
  </si>
  <si>
    <t>O379611</t>
  </si>
  <si>
    <t>25288CBPR03F540</t>
  </si>
  <si>
    <t>Matheson</t>
  </si>
  <si>
    <t>PW = 603950 - All members on Starters tab are added to scheme</t>
  </si>
  <si>
    <t>O355521</t>
  </si>
  <si>
    <t>25281CBPR02EE2E</t>
  </si>
  <si>
    <t>Blank File - no action needed</t>
  </si>
  <si>
    <t>O273119</t>
  </si>
  <si>
    <t>25253CBPR0242EE</t>
  </si>
  <si>
    <t>Schneider O/S New Entrants</t>
  </si>
  <si>
    <t>SecureShare Ability</t>
  </si>
  <si>
    <t>25274CBPR016AF3</t>
  </si>
  <si>
    <t>NFVSP Ability West</t>
  </si>
  <si>
    <t>Not NE data</t>
  </si>
  <si>
    <t>SecureShare Zellis</t>
  </si>
  <si>
    <t>25274CBPR016AEE</t>
  </si>
  <si>
    <t>Aer Lingus</t>
  </si>
  <si>
    <t>Leavers - already processed</t>
  </si>
  <si>
    <t>25274CBPR016AEF</t>
  </si>
  <si>
    <t>Mbrs already added -completing so does not show as Cancelled on ER SecureShare</t>
  </si>
  <si>
    <t>25274CBPR016AF0</t>
  </si>
  <si>
    <t>Mbrs already added - Completing so does not sow as Cancelled on ER SecureShare</t>
  </si>
  <si>
    <t>25274CBPR016B58</t>
  </si>
  <si>
    <t>Mbrs already added - Completing so does not show as Cancelled on ER SecureShare</t>
  </si>
  <si>
    <t>25274CBPR016DEF</t>
  </si>
  <si>
    <t>No NE added - completing so does not show as Cancelled on ER Secure Share</t>
  </si>
  <si>
    <t>25274CBPR016DF0</t>
  </si>
  <si>
    <t>Mbrs already added - Competing so not to show as Cancelled on ER Secure Share</t>
  </si>
  <si>
    <t>SecureShare KARE</t>
  </si>
  <si>
    <t>25289CBPR043749</t>
  </si>
  <si>
    <t>NFVSP KARE</t>
  </si>
  <si>
    <t>Employer: Kare :: Number of Members: N/A</t>
  </si>
  <si>
    <t>SecureShare Kerry Pa</t>
  </si>
  <si>
    <t>25280CBPR02AFDE</t>
  </si>
  <si>
    <t>NFVSP Kerry Parents &amp; Friends Assoc</t>
  </si>
  <si>
    <t>Christine Nolan</t>
  </si>
  <si>
    <t>SecureShare Blackroc</t>
  </si>
  <si>
    <t>25280CBPR02A45D</t>
  </si>
  <si>
    <t>Galway Clinic Doughiska Unltd Co</t>
  </si>
  <si>
    <t>25280CBPR02A45E</t>
  </si>
  <si>
    <t>25280CBPR02A45F</t>
  </si>
  <si>
    <t>25280CBPR02A461</t>
  </si>
  <si>
    <t>25280CBPR02A462</t>
  </si>
  <si>
    <t>25280CBPR02A464</t>
  </si>
  <si>
    <t>25280CBPR02A465</t>
  </si>
  <si>
    <t>25280CBPR02A466</t>
  </si>
  <si>
    <t>25280CBPR02A467</t>
  </si>
  <si>
    <t>25280CBPR02A469</t>
  </si>
  <si>
    <t>25280CBPR02A46A</t>
  </si>
  <si>
    <t>25280CBPR02A46C</t>
  </si>
  <si>
    <t>25280CBPR02A46D</t>
  </si>
  <si>
    <t>25280CBPR02A46F</t>
  </si>
  <si>
    <t>25280CBPR02A470</t>
  </si>
  <si>
    <t>25280CBPR02A471</t>
  </si>
  <si>
    <t>25280CBPR02A472</t>
  </si>
  <si>
    <t>25280CBPR02A473</t>
  </si>
  <si>
    <t>25280CBPR02A474</t>
  </si>
  <si>
    <t>25280CBPR02A475</t>
  </si>
  <si>
    <t>25280CBPR02A476</t>
  </si>
  <si>
    <t>25280CBPR02A477</t>
  </si>
  <si>
    <t>25280CBPR02A478</t>
  </si>
  <si>
    <t>25280CBPR02A479</t>
  </si>
  <si>
    <t>25280CBPR02A47A</t>
  </si>
  <si>
    <t>25280CBPR02A47B</t>
  </si>
  <si>
    <t>25280CBPR02A4D0</t>
  </si>
  <si>
    <t>25280CBPR02A4D1</t>
  </si>
  <si>
    <t>25280CBPR02A4D2</t>
  </si>
  <si>
    <t>25280CBPR02A4D3</t>
  </si>
  <si>
    <t>25280CBPR02A4D4</t>
  </si>
  <si>
    <t>25280CBPR02A4D5</t>
  </si>
  <si>
    <t>25280CBPR02A4D7</t>
  </si>
  <si>
    <t>25280CBPR02A4DB</t>
  </si>
  <si>
    <t>25280CBPR02A4DC</t>
  </si>
  <si>
    <t>25280CBPR02A4DD</t>
  </si>
  <si>
    <t>25280CBPR02A52B</t>
  </si>
  <si>
    <t>25280CBPR02A52C</t>
  </si>
  <si>
    <t>25280CBPR02A52D</t>
  </si>
  <si>
    <t>25280CBPR02A579</t>
  </si>
  <si>
    <t>25280CBPR02A57B</t>
  </si>
  <si>
    <t>O383505</t>
  </si>
  <si>
    <t>25289CBPR0421E5</t>
  </si>
  <si>
    <t>PricewaterhouseCoopers</t>
  </si>
  <si>
    <t>O371462</t>
  </si>
  <si>
    <t>25287CBPR03C003</t>
  </si>
  <si>
    <t>Intel Ireland DC Plan</t>
  </si>
  <si>
    <t>NE x4 - Mbrs already on scheme - no action needed</t>
  </si>
  <si>
    <t>O339525</t>
  </si>
  <si>
    <t>25275CBPR01A0C1</t>
  </si>
  <si>
    <t>Dunnes Stores Unlimited Company</t>
  </si>
  <si>
    <t>PW for new joiners file</t>
  </si>
  <si>
    <t>UM51</t>
  </si>
  <si>
    <t>SecureShare AWP Heal</t>
  </si>
  <si>
    <t>25287CBPR03E393</t>
  </si>
  <si>
    <t>AWP Health &amp; Life SA</t>
  </si>
  <si>
    <t>Not archiving as SS by ER- Member added 1196620</t>
  </si>
  <si>
    <t>SecureShare Society</t>
  </si>
  <si>
    <t>019952M</t>
  </si>
  <si>
    <t>25293CBPR04B36B</t>
  </si>
  <si>
    <t>Martina Quinn</t>
  </si>
  <si>
    <t>O332477</t>
  </si>
  <si>
    <t>25274CBPR01630A</t>
  </si>
  <si>
    <t>Yvonne Hayden - AVC once off</t>
  </si>
  <si>
    <t>NJ24</t>
  </si>
  <si>
    <t>Unio (BONDS)</t>
  </si>
  <si>
    <t>O386393</t>
  </si>
  <si>
    <t>25289CBPR043814</t>
  </si>
  <si>
    <t>Haleon Ireland Dungarvan Limited</t>
  </si>
  <si>
    <t>BULK excel s/sheet</t>
  </si>
  <si>
    <t>O335359</t>
  </si>
  <si>
    <t>25274CBPR01779E</t>
  </si>
  <si>
    <t>Maples Group</t>
  </si>
  <si>
    <t>O362723</t>
  </si>
  <si>
    <t>25283CBPR035169</t>
  </si>
  <si>
    <t>Thermo Fisher Scientific Cork Limited</t>
  </si>
  <si>
    <t>members already on scheme, no action taken</t>
  </si>
  <si>
    <t>O370187</t>
  </si>
  <si>
    <t>25286CBPR03A8B6</t>
  </si>
  <si>
    <t>Sulzer Pump Solutions Ire Ltd - Manu</t>
  </si>
  <si>
    <t>SecureShare Cool Pla</t>
  </si>
  <si>
    <t>25273CBPR01362F</t>
  </si>
  <si>
    <t>Employer: N/A :: Number of Members: 1 - 1198453</t>
  </si>
  <si>
    <t>O364364</t>
  </si>
  <si>
    <t>25283CBPR035E72</t>
  </si>
  <si>
    <t>Agri Health DC Pension Scheme</t>
  </si>
  <si>
    <t>email sent to ss support</t>
  </si>
  <si>
    <t>25287CBPR03C125</t>
  </si>
  <si>
    <t>Co Wexford Community Workshop(E) Ltd</t>
  </si>
  <si>
    <t>1201775 member has been added</t>
  </si>
  <si>
    <t>SecureShare Thermo F</t>
  </si>
  <si>
    <t>25283CBPR0354A5</t>
  </si>
  <si>
    <t>members have been added</t>
  </si>
  <si>
    <t>O389189</t>
  </si>
  <si>
    <t>25290CBPR045701</t>
  </si>
  <si>
    <t>Copied BULK</t>
  </si>
  <si>
    <t>O338099</t>
  </si>
  <si>
    <t>25275CBPR018E24</t>
  </si>
  <si>
    <t>Danone Limited</t>
  </si>
  <si>
    <t>O346598</t>
  </si>
  <si>
    <t>25279CBPR025805</t>
  </si>
  <si>
    <t>Uniphar Group Retirement Benefits Scheme</t>
  </si>
  <si>
    <t>O355600</t>
  </si>
  <si>
    <t>25281CBPR02EEC0</t>
  </si>
  <si>
    <t>BULK</t>
  </si>
  <si>
    <t>O365467</t>
  </si>
  <si>
    <t>25283CBPR0366EC</t>
  </si>
  <si>
    <t>Portmarnock Golf Club</t>
  </si>
  <si>
    <t>O369557</t>
  </si>
  <si>
    <t>25286CBPR03A355</t>
  </si>
  <si>
    <t>O376085</t>
  </si>
  <si>
    <t>25287CBPR03D794</t>
  </si>
  <si>
    <t>Jenkinson Holdings Ltd</t>
  </si>
  <si>
    <t>O379253</t>
  </si>
  <si>
    <t>25288CBPR03F2E0</t>
  </si>
  <si>
    <t>Fianna Fail Staff Ret Benefit Scheme</t>
  </si>
  <si>
    <t>O383586</t>
  </si>
  <si>
    <t>25289CBPR042275</t>
  </si>
  <si>
    <t>O356326</t>
  </si>
  <si>
    <t>25281CBPR02F4C3</t>
  </si>
  <si>
    <t>AVEC Logistics (Ireland) Limited</t>
  </si>
  <si>
    <t>Duplicate - Kody Pringle 1200426</t>
  </si>
  <si>
    <t>O283765</t>
  </si>
  <si>
    <t>25256CBPR02A391</t>
  </si>
  <si>
    <t>Avolon Aerospace Leasing Limited</t>
  </si>
  <si>
    <t>2 x NE - 992056L (PPS# &amp; Address for RossMcKeand o/s )</t>
  </si>
  <si>
    <t>O390047</t>
  </si>
  <si>
    <t>25290CBPR045DDF</t>
  </si>
  <si>
    <t>eShopWorld</t>
  </si>
  <si>
    <t>Jordan Lee Thompson - pps</t>
  </si>
  <si>
    <t>O391474</t>
  </si>
  <si>
    <t>25290CBPR046952</t>
  </si>
  <si>
    <t>Fehily Timoney &amp; Company Limited</t>
  </si>
  <si>
    <t>not a ne, copied to index</t>
  </si>
  <si>
    <t>Pension Planet</t>
  </si>
  <si>
    <t>O391469</t>
  </si>
  <si>
    <t>25290CBPR04694B</t>
  </si>
  <si>
    <t>O336779</t>
  </si>
  <si>
    <t>25275CBPR0181B6</t>
  </si>
  <si>
    <t>O357106</t>
  </si>
  <si>
    <t>25281CBPR02FAEB</t>
  </si>
  <si>
    <t>Cadence Design Systems (Ireland) Limited</t>
  </si>
  <si>
    <t>Ian O'Regan</t>
  </si>
  <si>
    <t>O365590</t>
  </si>
  <si>
    <t>25283CBPR0367EC</t>
  </si>
  <si>
    <t>Lucia Hwenhira- Advised on SS and cannot accept</t>
  </si>
  <si>
    <t>O365647</t>
  </si>
  <si>
    <t>25283CBPR03687E</t>
  </si>
  <si>
    <t>Tom Keogh- Went back advising cannot accept</t>
  </si>
  <si>
    <t>O355043</t>
  </si>
  <si>
    <t>25281CBPR02C3D3</t>
  </si>
  <si>
    <t>RiverStone International Ireland</t>
  </si>
  <si>
    <t>query copied out</t>
  </si>
  <si>
    <t>O363647</t>
  </si>
  <si>
    <t>25283CBPR03581E</t>
  </si>
  <si>
    <t>PW Invesco-2025</t>
  </si>
  <si>
    <t>O329169</t>
  </si>
  <si>
    <t>25273CBPR01392D</t>
  </si>
  <si>
    <t>Amalgamated Hardware Plc</t>
  </si>
  <si>
    <t>O328712</t>
  </si>
  <si>
    <t>25273CBPR01363E</t>
  </si>
  <si>
    <t>Dillon Eustace LLP</t>
  </si>
  <si>
    <t>O332887</t>
  </si>
  <si>
    <t>25274CBPR016571</t>
  </si>
  <si>
    <t>Jessica Kickham 1199376 already keyed 27.9.205 member update copied out</t>
  </si>
  <si>
    <t>O333980</t>
  </si>
  <si>
    <t>25274CBPR016D22</t>
  </si>
  <si>
    <t>reply mail from holly</t>
  </si>
  <si>
    <t>O342280</t>
  </si>
  <si>
    <t>25276CBPR01B83E</t>
  </si>
  <si>
    <t>Addleshaw Goddard (Ire) LLP</t>
  </si>
  <si>
    <t>PW Addleshaw@2025! copied out</t>
  </si>
  <si>
    <t>O342286</t>
  </si>
  <si>
    <t>25276CBPR01B850</t>
  </si>
  <si>
    <t>BULK copied out</t>
  </si>
  <si>
    <t>O352793</t>
  </si>
  <si>
    <t>25280CBPR02ADAA</t>
  </si>
  <si>
    <t>Doanl Hurley 12017144 already keyed member update copied out</t>
  </si>
  <si>
    <t>O371987</t>
  </si>
  <si>
    <t>25287CBPR03C43C</t>
  </si>
  <si>
    <t>general mail copied out</t>
  </si>
  <si>
    <t>O376260</t>
  </si>
  <si>
    <t>25287CBPR03D8EF</t>
  </si>
  <si>
    <t>reply mail</t>
  </si>
  <si>
    <t>O380894</t>
  </si>
  <si>
    <t>25288CBPR040049</t>
  </si>
  <si>
    <t>replied to mail ref client add to scheme</t>
  </si>
  <si>
    <t>O382309</t>
  </si>
  <si>
    <t>25288CBPR040C03</t>
  </si>
  <si>
    <t>Jessica Kickham 1199376 mail to say client has been set up</t>
  </si>
  <si>
    <t>O382346</t>
  </si>
  <si>
    <t>25288CBPR040C4F</t>
  </si>
  <si>
    <t>general query copied out</t>
  </si>
  <si>
    <t>O390360</t>
  </si>
  <si>
    <t>25290CBPR046084</t>
  </si>
  <si>
    <t>O390502</t>
  </si>
  <si>
    <t>25290CBPR046195</t>
  </si>
  <si>
    <t>pw addleshaw@2025! already copied out under O390360</t>
  </si>
  <si>
    <t>O393156</t>
  </si>
  <si>
    <t>25293CBPR04B1B2</t>
  </si>
  <si>
    <t>Bourns Electronics (Ireland)</t>
  </si>
  <si>
    <t>W Ir1s4L1f325 copied out</t>
  </si>
  <si>
    <t>O326174</t>
  </si>
  <si>
    <t>25272CBPR011FC3</t>
  </si>
  <si>
    <t>Password is Addleshaw@2025!</t>
  </si>
  <si>
    <t>O335273</t>
  </si>
  <si>
    <t>25274CBPR0176D9</t>
  </si>
  <si>
    <t>Sarah Turcanu - PPSN &amp; Location confirmed</t>
  </si>
  <si>
    <t>NJ23</t>
  </si>
  <si>
    <t>Unio  Ltd</t>
  </si>
  <si>
    <t>25275CBPR0199E0</t>
  </si>
  <si>
    <t>Zarion Limited</t>
  </si>
  <si>
    <t>Employer: Zarion :: Number of Members: 1</t>
  </si>
  <si>
    <t>SecureShare Unio Emp</t>
  </si>
  <si>
    <t>25275CBPR019F6D</t>
  </si>
  <si>
    <t>ADP HR &amp; Payroll Services Ireland Ltd</t>
  </si>
  <si>
    <t>Employer: ADP HR &amp; Payroll Services :: Number of Members: 1</t>
  </si>
  <si>
    <t>TM18</t>
  </si>
  <si>
    <t>Unio</t>
  </si>
  <si>
    <t>O389107</t>
  </si>
  <si>
    <t>25290CBPR045675</t>
  </si>
  <si>
    <t>Brickiln Limited</t>
  </si>
  <si>
    <t>BULK excel s/sheet - submitted to ss</t>
  </si>
  <si>
    <t>993509L</t>
  </si>
  <si>
    <t>25269CBPR00D13F</t>
  </si>
  <si>
    <t>StepStone Grp Eur Alt Investments Ltd</t>
  </si>
  <si>
    <t>993797L</t>
  </si>
  <si>
    <t>25269CBPR00E691</t>
  </si>
  <si>
    <t>Fenergo Limited</t>
  </si>
  <si>
    <t>X479</t>
  </si>
  <si>
    <t>Key Accounts</t>
  </si>
  <si>
    <t>O361664</t>
  </si>
  <si>
    <t>25282CBPR034241</t>
  </si>
  <si>
    <t>ne forms - john doyle</t>
  </si>
  <si>
    <t>25274CBPR017825</t>
  </si>
  <si>
    <t>Employer: N/A :: Number of Members: 72</t>
  </si>
  <si>
    <t>25281CBPR02F92E</t>
  </si>
  <si>
    <t>Employer: Dunnes Stores :: Number of Members: 29</t>
  </si>
  <si>
    <t>D522</t>
  </si>
  <si>
    <t>25276CBPR01B253</t>
  </si>
  <si>
    <t>Bon Secours Health System Limited</t>
  </si>
  <si>
    <t>1 Cork NE</t>
  </si>
  <si>
    <t>25276CBPR01B258</t>
  </si>
  <si>
    <t>25289CBPR0424D1</t>
  </si>
  <si>
    <t>25289CBPR0424DB</t>
  </si>
  <si>
    <t>25289CBPR0424E1</t>
  </si>
  <si>
    <t>4 Dublin NEs</t>
  </si>
  <si>
    <t>25279CBPR0251B3</t>
  </si>
  <si>
    <t>Saol Assurance DAC</t>
  </si>
  <si>
    <t>AIB life September new entrants x 1</t>
  </si>
  <si>
    <t>25272CBPR0116CF</t>
  </si>
  <si>
    <t>PwC Partners</t>
  </si>
  <si>
    <t>ILEMT 609997 - 2 new Partners joining the ILEMT 609997</t>
  </si>
  <si>
    <t>SecureShare Bon Seco</t>
  </si>
  <si>
    <t>25273CBPR013196</t>
  </si>
  <si>
    <t>3 Dublin NEs</t>
  </si>
  <si>
    <t>25273CBPR013199</t>
  </si>
  <si>
    <t>2 Tralee NEs</t>
  </si>
  <si>
    <t>25275CBPR0189BC</t>
  </si>
  <si>
    <t>1 Group Office NE</t>
  </si>
  <si>
    <t>25286CBPR03A2FC</t>
  </si>
  <si>
    <t>25286CBPR03A2FD</t>
  </si>
  <si>
    <t>8 Cork NEs</t>
  </si>
  <si>
    <t>25276CBPR01B6CA</t>
  </si>
  <si>
    <t>Ernst &amp; Young</t>
  </si>
  <si>
    <t>Employer: Ernst &amp; Young :: Number of Members: 144</t>
  </si>
  <si>
    <t>25287CBPR03DF89</t>
  </si>
  <si>
    <t>Three Ireland (Hutchison) Limited</t>
  </si>
  <si>
    <t>17 Nes Three Ireland :: Number of Members: 18</t>
  </si>
  <si>
    <t>25283CBPR03620D</t>
  </si>
  <si>
    <t>11 NEs: N/A :: Number of Members: 11</t>
  </si>
  <si>
    <t>SecureShare St Vince</t>
  </si>
  <si>
    <t>25283CBPR035247</t>
  </si>
  <si>
    <t>St Vincent's Private Hospital</t>
  </si>
  <si>
    <t>31 NEs St Vincent's Private Hospital :: Number of Members: 31</t>
  </si>
  <si>
    <t>O347154</t>
  </si>
  <si>
    <t>25279CBPR025C41</t>
  </si>
  <si>
    <t>Fw: [EXT] Connor Finn, Allianz Re Dublin dac - Completed Application Form</t>
  </si>
  <si>
    <t>O375618</t>
  </si>
  <si>
    <t>25287CBPR03D476</t>
  </si>
  <si>
    <t>Yaping Zhang</t>
  </si>
  <si>
    <t>25281CBPR02F082</t>
  </si>
  <si>
    <t>Employer: Society of Saint Vincent de Paul :: ... (see attached file for full description)</t>
  </si>
  <si>
    <t>25289CBPR042F4A</t>
  </si>
  <si>
    <t>David St Vincent</t>
  </si>
  <si>
    <t>25289CBPR0431BE</t>
  </si>
  <si>
    <t>Employer: St Vincent's private Hospital :: Me ... (see attached file for full description)</t>
  </si>
  <si>
    <t>019143M</t>
  </si>
  <si>
    <t>25290CBPR045BF3</t>
  </si>
  <si>
    <t>Lorein Susan Jose</t>
  </si>
  <si>
    <t>019306M</t>
  </si>
  <si>
    <t>25290CBPR04657A</t>
  </si>
  <si>
    <t>Abin John</t>
  </si>
  <si>
    <t>25259CBPR02E72F</t>
  </si>
  <si>
    <t>Ronan Craven - RO DOB 30-07-2002 - added 1201940</t>
  </si>
  <si>
    <t>25283CBPR03593D</t>
  </si>
  <si>
    <t>Tracey Cooney - added 4005561</t>
  </si>
  <si>
    <t>25282CBPR032956</t>
  </si>
  <si>
    <t>25289CBPR0434F7</t>
  </si>
  <si>
    <t>x78 NEs Added</t>
  </si>
  <si>
    <t>P165</t>
  </si>
  <si>
    <t>Prem Clients and Prem Install</t>
  </si>
  <si>
    <t>O345592</t>
  </si>
  <si>
    <t>25279CBPR0251AF</t>
  </si>
  <si>
    <t>Audrey Pederson</t>
  </si>
  <si>
    <t>25280CBPR027530</t>
  </si>
  <si>
    <t>SecureShare Dropbox</t>
  </si>
  <si>
    <t>25293CBPR04C4CF</t>
  </si>
  <si>
    <t>Employer: Dropbox :: Number of Members: 2</t>
  </si>
  <si>
    <t>25286CBPR039009</t>
  </si>
  <si>
    <t>Employer: 1103 Life Technologies Ireland, 110 ... (see attached file for full description)</t>
  </si>
  <si>
    <t>25287CBPR03E352</t>
  </si>
  <si>
    <t>609121 2 ne bulk</t>
  </si>
  <si>
    <t>25282CBPR03329D</t>
  </si>
  <si>
    <t>Tente Limited Employee Benefits Plan</t>
  </si>
  <si>
    <t>James Clarke</t>
  </si>
  <si>
    <t>25283CBPR03542B</t>
  </si>
  <si>
    <t>3 x NE Self Directed Funds</t>
  </si>
  <si>
    <t>25287CBPR03D48D</t>
  </si>
  <si>
    <t>2 x NE Stephen &amp; Niall</t>
  </si>
  <si>
    <t>25280CBPR02A03E</t>
  </si>
  <si>
    <t>2 NEs Uniphar Group :: Number of Members: 2</t>
  </si>
  <si>
    <t>O316804</t>
  </si>
  <si>
    <t>25268CBPR00A77A</t>
  </si>
  <si>
    <t>Michael Buckley</t>
  </si>
  <si>
    <t>O307890</t>
  </si>
  <si>
    <t>25266CBPR0044B7</t>
  </si>
  <si>
    <t>Kritika</t>
  </si>
  <si>
    <t>O315159</t>
  </si>
  <si>
    <t>25267CBPR008C1A</t>
  </si>
  <si>
    <t>K Lenihan</t>
  </si>
  <si>
    <t>O330474</t>
  </si>
  <si>
    <t>25273CBPR014538</t>
  </si>
  <si>
    <t>Vigneshwar Sivakumar</t>
  </si>
  <si>
    <t>O331319</t>
  </si>
  <si>
    <t>25273CBPR014C28</t>
  </si>
  <si>
    <t>Reece Burke</t>
  </si>
  <si>
    <t>O351263</t>
  </si>
  <si>
    <t>25280CBPR029FEE</t>
  </si>
  <si>
    <t>William McLellan</t>
  </si>
  <si>
    <t>O351490</t>
  </si>
  <si>
    <t>25280CBPR02A19E</t>
  </si>
  <si>
    <t>Ankur Solanki</t>
  </si>
  <si>
    <t>O355693</t>
  </si>
  <si>
    <t>25281CBPR02EF8B</t>
  </si>
  <si>
    <t>Nitin Srivastava</t>
  </si>
  <si>
    <t>O357125</t>
  </si>
  <si>
    <t>25281CBPR02FB12</t>
  </si>
  <si>
    <t>Nahid Hasan</t>
  </si>
  <si>
    <t>O362633</t>
  </si>
  <si>
    <t>25283CBPR0350C4</t>
  </si>
  <si>
    <t>Alexander Chernyaev</t>
  </si>
  <si>
    <t>O362859</t>
  </si>
  <si>
    <t>25283CBPR035254</t>
  </si>
  <si>
    <t>Jack Mulcahy</t>
  </si>
  <si>
    <t>O367717</t>
  </si>
  <si>
    <t>25286CBPR039453</t>
  </si>
  <si>
    <t>Vanaj Kamboj</t>
  </si>
  <si>
    <t>O369278</t>
  </si>
  <si>
    <t>25286CBPR03A11F</t>
  </si>
  <si>
    <t>Aleksei Markov</t>
  </si>
  <si>
    <t>O312604</t>
  </si>
  <si>
    <t>25267CBPR0074A8</t>
  </si>
  <si>
    <t>Missing Contributions</t>
  </si>
  <si>
    <t>O333949</t>
  </si>
  <si>
    <t>25274CBPR016CD9</t>
  </si>
  <si>
    <t>E.I. Unlimited Company</t>
  </si>
  <si>
    <t>O337759</t>
  </si>
  <si>
    <t>25275CBPR018944</t>
  </si>
  <si>
    <t>O343064</t>
  </si>
  <si>
    <t>25276CBPR01BEEB</t>
  </si>
  <si>
    <t>O329115</t>
  </si>
  <si>
    <t>25273CBPR0138C4</t>
  </si>
  <si>
    <t>ANDREW STEPHEN 90000</t>
  </si>
  <si>
    <t>O332145</t>
  </si>
  <si>
    <t>25274CBPR01606E</t>
  </si>
  <si>
    <t>GEORGE CHUBB 110000</t>
  </si>
  <si>
    <t>O342282</t>
  </si>
  <si>
    <t>25276CBPR01B840</t>
  </si>
  <si>
    <t>VARSHA BHARADWAJ 50400</t>
  </si>
  <si>
    <t>O337930</t>
  </si>
  <si>
    <t>25275CBPR018BE3</t>
  </si>
  <si>
    <t>Guggenheim Partners Europe Ltd</t>
  </si>
  <si>
    <t>James Murpjhy 1204104</t>
  </si>
  <si>
    <t>O350706</t>
  </si>
  <si>
    <t>25280CBPR027546</t>
  </si>
  <si>
    <t>DAE (Ireland) Limited</t>
  </si>
  <si>
    <t>Georgia McDonigle 1201461</t>
  </si>
  <si>
    <t>O324925</t>
  </si>
  <si>
    <t>25272CBPR011733</t>
  </si>
  <si>
    <t>CarGurus Ireland Limited</t>
  </si>
  <si>
    <t>Nathan Kidd 1199740</t>
  </si>
  <si>
    <t>O326228</t>
  </si>
  <si>
    <t>25272CBPR01201A</t>
  </si>
  <si>
    <t>Cathal Carty 1199749</t>
  </si>
  <si>
    <t>O329675</t>
  </si>
  <si>
    <t>25273CBPR013D83</t>
  </si>
  <si>
    <t>Ellen McCormack 1200724</t>
  </si>
  <si>
    <t>O347677</t>
  </si>
  <si>
    <t>25279CBPR026032</t>
  </si>
  <si>
    <t>Philip Lee Solicitors</t>
  </si>
  <si>
    <t>Jennifer Colleran 1201337</t>
  </si>
  <si>
    <t>O359478</t>
  </si>
  <si>
    <t>25282CBPR032C3D</t>
  </si>
  <si>
    <t>Marinochem Limited</t>
  </si>
  <si>
    <t>Sean Griffin  1202207</t>
  </si>
  <si>
    <t>SecureShare Fehily T</t>
  </si>
  <si>
    <t>25261CBPR03559F</t>
  </si>
  <si>
    <t>Inna Sterbet 1200352</t>
  </si>
  <si>
    <t>25261CBPR03522B</t>
  </si>
  <si>
    <t>Michelle Mehigan 1199939</t>
  </si>
  <si>
    <t>O326209</t>
  </si>
  <si>
    <t>25272CBPR012001</t>
  </si>
  <si>
    <t>Cormac Doyle</t>
  </si>
  <si>
    <t>O326289</t>
  </si>
  <si>
    <t>25272CBPR01208D</t>
  </si>
  <si>
    <t>Paula Perkone</t>
  </si>
  <si>
    <t>25273CBPR0133AA</t>
  </si>
  <si>
    <t>Catriona Harte</t>
  </si>
  <si>
    <t>25286CBPR039A12</t>
  </si>
  <si>
    <t>25290CBPR04523B</t>
  </si>
  <si>
    <t>Multi Packaging Solutions Ire(Westport)</t>
  </si>
  <si>
    <t>25269CBPR00D8D7</t>
  </si>
  <si>
    <t>Medical Supply Company</t>
  </si>
  <si>
    <t>Michael Burke</t>
  </si>
  <si>
    <t>25283CBPR0362C3</t>
  </si>
  <si>
    <t>25275CBPR018C9A</t>
  </si>
  <si>
    <t>Kayfoam Woolfson Unlimited Company</t>
  </si>
  <si>
    <t>25273CBPR014D6A</t>
  </si>
  <si>
    <t>NT07</t>
  </si>
  <si>
    <t>O343225</t>
  </si>
  <si>
    <t>25276CBPR01C047</t>
  </si>
  <si>
    <t>Scandinavian Airlines Ireland</t>
  </si>
  <si>
    <t>Duplicate - Justyna Leszkiewicz - 1200485</t>
  </si>
  <si>
    <t>SecureShare Cushman</t>
  </si>
  <si>
    <t>019769M</t>
  </si>
  <si>
    <t>25292CBPR04A083</t>
  </si>
  <si>
    <t>Cushman &amp; Wakefield Ireland</t>
  </si>
  <si>
    <t>TM12</t>
  </si>
  <si>
    <t>E080</t>
  </si>
  <si>
    <t>25293CBPR04B6B6</t>
  </si>
  <si>
    <t>9ne Carton House</t>
  </si>
  <si>
    <t>SecureShare Chartere</t>
  </si>
  <si>
    <t>Howden Insurance Ireland Ltd (D4)</t>
  </si>
  <si>
    <t>25289CBPR043B00</t>
  </si>
  <si>
    <t>SecureShare Kerry Gr</t>
  </si>
  <si>
    <t>25286CBPR03A72F</t>
  </si>
  <si>
    <t>Kerry Dairy Holdings (Ireland) Limited</t>
  </si>
  <si>
    <t>Not archiving as SS- Copied as Leavers not NE</t>
  </si>
  <si>
    <t>O381658</t>
  </si>
  <si>
    <t>25288CBPR04065E</t>
  </si>
  <si>
    <t>Everyone added- Copied out updates for the few needed</t>
  </si>
  <si>
    <t>25280CBPR02A21A</t>
  </si>
  <si>
    <t>1198413 member has been added</t>
  </si>
  <si>
    <t>TM21</t>
  </si>
  <si>
    <t>O345013</t>
  </si>
  <si>
    <t>25277CBPR023417</t>
  </si>
  <si>
    <t>Copy of email to ER - 1200231</t>
  </si>
  <si>
    <t>VV98</t>
  </si>
  <si>
    <t>Yonder Technology Ltd t/a Kota</t>
  </si>
  <si>
    <t>25291CBPR047013</t>
  </si>
  <si>
    <t>Glitch Ads Ltd</t>
  </si>
  <si>
    <t>NE x 5</t>
  </si>
  <si>
    <t>INS4</t>
  </si>
  <si>
    <t>25291CBPR04734F</t>
  </si>
  <si>
    <t>Not On The High Street Enterprise Ltd</t>
  </si>
  <si>
    <t>Install New Entrant x 1</t>
  </si>
  <si>
    <t>SecureShare Applus C</t>
  </si>
  <si>
    <t>25287CBPR03E013</t>
  </si>
  <si>
    <t>Employer: Applus Inspection Services Ireland Ltd. :: Number of Members: 14</t>
  </si>
  <si>
    <t>SecureShare Irish Co</t>
  </si>
  <si>
    <t>25289CBPR043645</t>
  </si>
  <si>
    <t>Employer: N/A :: Number of Members: 6</t>
  </si>
  <si>
    <t>SecureShare Magee Cl</t>
  </si>
  <si>
    <t>25287CBPR03E6E1</t>
  </si>
  <si>
    <t>Employer: MAGEE CLOTHING LTD :: Number of Members: 3</t>
  </si>
  <si>
    <t>SecureShare Moog Ire</t>
  </si>
  <si>
    <t>25289CBPR0438C3</t>
  </si>
  <si>
    <t>Employer: Moog Ireland Limited :: Number of Members: 3</t>
  </si>
  <si>
    <t>SecureShare Orion Gr</t>
  </si>
  <si>
    <t>25290CBPR0452DE</t>
  </si>
  <si>
    <t>3 mem on bulk, 1 missing dob</t>
  </si>
  <si>
    <t>SecureShare SGS Irel</t>
  </si>
  <si>
    <t>25276CBPR01B40F</t>
  </si>
  <si>
    <t>SGS IRELAND LIMITED</t>
  </si>
  <si>
    <t>SecureShare Symphony</t>
  </si>
  <si>
    <t>25279CBPR026240</t>
  </si>
  <si>
    <t>Symphonyai Netreveal Ireland Limited</t>
  </si>
  <si>
    <t>25288CBPR03FAE0</t>
  </si>
  <si>
    <t>25286CBPR03A829</t>
  </si>
  <si>
    <t>25282CBPR032776</t>
  </si>
  <si>
    <t>Employer: Apleona Ireland Ltd :: Number of Members: Jack Large</t>
  </si>
  <si>
    <t>25289CBPR043BE0</t>
  </si>
  <si>
    <t>Employer: Apleona Ireland Ltd :: Number of Members: 2</t>
  </si>
  <si>
    <t>SecureShare Arctera</t>
  </si>
  <si>
    <t>25279CBPR0268DA</t>
  </si>
  <si>
    <t>Catherine Halpin</t>
  </si>
  <si>
    <t>SecureShare Arvato I</t>
  </si>
  <si>
    <t>25279CBPR026B57</t>
  </si>
  <si>
    <t>Employer: Arvato Ireland Limited :: Number of Members: 8</t>
  </si>
  <si>
    <t>25281CBPR02FB71</t>
  </si>
  <si>
    <t>Cristina Sala</t>
  </si>
  <si>
    <t>25273CBPR014149</t>
  </si>
  <si>
    <t>Barry Cole</t>
  </si>
  <si>
    <t>25280CBPR02B57D</t>
  </si>
  <si>
    <t>25293CBPR04B36D</t>
  </si>
  <si>
    <t>10 x NE</t>
  </si>
  <si>
    <t>SecureShare Magnet N</t>
  </si>
  <si>
    <t>25283CBPR0355EB</t>
  </si>
  <si>
    <t>Enet Defined Contribution Plan</t>
  </si>
  <si>
    <t>Ozgur Demirtas</t>
  </si>
  <si>
    <t>SecureShare Simmons</t>
  </si>
  <si>
    <t>25290CBPR045E39</t>
  </si>
  <si>
    <t>Simmons &amp; Simmons</t>
  </si>
  <si>
    <t>Employer: Simmons &amp; Simmons :: Number of Members: 2</t>
  </si>
  <si>
    <t>25279CBPR026190</t>
  </si>
  <si>
    <t>O356229</t>
  </si>
  <si>
    <t>25281CBPR02F3F5</t>
  </si>
  <si>
    <t>Electronic Arts Ireland Limited</t>
  </si>
  <si>
    <t>New Entrants X7</t>
  </si>
  <si>
    <t>O322059</t>
  </si>
  <si>
    <t>25269CBPR00E038</t>
  </si>
  <si>
    <t>O322913</t>
  </si>
  <si>
    <t>25269CBPR00E815</t>
  </si>
  <si>
    <t>Emma A</t>
  </si>
  <si>
    <t>O326595</t>
  </si>
  <si>
    <t>25272CBPR0122C9</t>
  </si>
  <si>
    <t>O356662</t>
  </si>
  <si>
    <t>25281CBPR02F773</t>
  </si>
  <si>
    <t>Scheme 602067 New Entrant</t>
  </si>
  <si>
    <t>25269CBPR00D8A6</t>
  </si>
  <si>
    <t>The Hammond Lane Metal Company Ltd</t>
  </si>
  <si>
    <t>Employer: Hammond Lane :: Member Name:  Hubert Maguire :: Date of Birth: []</t>
  </si>
  <si>
    <t>SecureShare Horizon</t>
  </si>
  <si>
    <t>25272CBPR01256D</t>
  </si>
  <si>
    <t>Employer: N/A :: Member Name:  Nikolay Tomev :: Date of Birth: []</t>
  </si>
  <si>
    <t>SecureShare Lisavair</t>
  </si>
  <si>
    <t>25276CBPR01C59C</t>
  </si>
  <si>
    <t>Lisavaird Co-operative Creamery Limited</t>
  </si>
  <si>
    <t>Employer: Lisavaird Co-op :: Member Name: Mr Denis O'Donovan :: Date of Birth: 22/06/1979</t>
  </si>
  <si>
    <t>25276CBPR01B225</t>
  </si>
  <si>
    <t>O286892</t>
  </si>
  <si>
    <t>25258CBPR02D466</t>
  </si>
  <si>
    <t>Western Community Broadcasting Services</t>
  </si>
  <si>
    <t>Deirdre Trapey DOB  confirmed</t>
  </si>
  <si>
    <t>O345999</t>
  </si>
  <si>
    <t>25279CBPR02546F</t>
  </si>
  <si>
    <t>Kathryn Fitzpatrick</t>
  </si>
  <si>
    <t>O346001</t>
  </si>
  <si>
    <t>25279CBPR025472</t>
  </si>
  <si>
    <t>Megha Baiju</t>
  </si>
  <si>
    <t>O393985</t>
  </si>
  <si>
    <t>25293CBPR04B6F2</t>
  </si>
  <si>
    <t>Lorraine Ryan</t>
  </si>
  <si>
    <t>O330271</t>
  </si>
  <si>
    <t>25273CBPR014371</t>
  </si>
  <si>
    <t>Nicole Herana</t>
  </si>
  <si>
    <t>O330413</t>
  </si>
  <si>
    <t>25273CBPR0144B3</t>
  </si>
  <si>
    <t>Danijela Dupor</t>
  </si>
  <si>
    <t>O331614</t>
  </si>
  <si>
    <t>25273CBPR014E28</t>
  </si>
  <si>
    <t>Aneta Lagodzinska</t>
  </si>
  <si>
    <t>O335345</t>
  </si>
  <si>
    <t>25274CBPR017780</t>
  </si>
  <si>
    <t>Peniel Onayemi</t>
  </si>
  <si>
    <t>O335368</t>
  </si>
  <si>
    <t>25274CBPR0177AF</t>
  </si>
  <si>
    <t>Elaine Killion</t>
  </si>
  <si>
    <t>O335526</t>
  </si>
  <si>
    <t>25274CBPR0178CB</t>
  </si>
  <si>
    <t>Derek Walshe</t>
  </si>
  <si>
    <t>O335531</t>
  </si>
  <si>
    <t>25274CBPR0178D3</t>
  </si>
  <si>
    <t>Francis Bollard</t>
  </si>
  <si>
    <t>O335545</t>
  </si>
  <si>
    <t>25274CBPR0178F7</t>
  </si>
  <si>
    <t>Gary Boylan</t>
  </si>
  <si>
    <t>O335552</t>
  </si>
  <si>
    <t>25274CBPR017911</t>
  </si>
  <si>
    <t>Kamel Belarbi</t>
  </si>
  <si>
    <t>O335560</t>
  </si>
  <si>
    <t>25274CBPR017924</t>
  </si>
  <si>
    <t>Aleksandra Pavlenkova</t>
  </si>
  <si>
    <t>O335569</t>
  </si>
  <si>
    <t>25274CBPR017933</t>
  </si>
  <si>
    <t>Hannah Doyle</t>
  </si>
  <si>
    <t>O335575</t>
  </si>
  <si>
    <t>25274CBPR01793F</t>
  </si>
  <si>
    <t>Laurence Whelan</t>
  </si>
  <si>
    <t>O335576</t>
  </si>
  <si>
    <t>25274CBPR017942</t>
  </si>
  <si>
    <t>Eoin Nolan</t>
  </si>
  <si>
    <t>O335610</t>
  </si>
  <si>
    <t>25274CBPR01797B</t>
  </si>
  <si>
    <t>Sadaf Anjum</t>
  </si>
  <si>
    <t>O342712</t>
  </si>
  <si>
    <t>25276CBPR01BBDA</t>
  </si>
  <si>
    <t>Aoife Corduff</t>
  </si>
  <si>
    <t>O329728</t>
  </si>
  <si>
    <t>25273CBPR013DFA</t>
  </si>
  <si>
    <t>Volkswagen Financial Services Ireland</t>
  </si>
  <si>
    <t>Ethan Winter</t>
  </si>
  <si>
    <t>O338455</t>
  </si>
  <si>
    <t>25275CBPR0194D8</t>
  </si>
  <si>
    <t>Lee Tierney</t>
  </si>
  <si>
    <t>O311080</t>
  </si>
  <si>
    <t>25266CBPR0061EA</t>
  </si>
  <si>
    <t>Edward Murphy PPS confirmed</t>
  </si>
  <si>
    <t>O317875</t>
  </si>
  <si>
    <t>25268CBPR00B028</t>
  </si>
  <si>
    <t>Jp Kenneally aw salary confirmed</t>
  </si>
  <si>
    <t>O391547</t>
  </si>
  <si>
    <t>25290CBPR046A0F</t>
  </si>
  <si>
    <t>Jemma Dunne</t>
  </si>
  <si>
    <t>25282CBPR03253A</t>
  </si>
  <si>
    <t>Barry Burtler- Need salary</t>
  </si>
  <si>
    <t>25274CBPR016583</t>
  </si>
  <si>
    <t>25275CBPR0181E6</t>
  </si>
  <si>
    <t>25275CBPR018E33</t>
  </si>
  <si>
    <t>ANASTASIA PAPADOURIS</t>
  </si>
  <si>
    <t>25275CBPR01A764</t>
  </si>
  <si>
    <t>Periakaruppan Annamalai</t>
  </si>
  <si>
    <t>25275CBPR01A765</t>
  </si>
  <si>
    <t>VISWAS RAJAN GNANA KUTTY</t>
  </si>
  <si>
    <t>25275CBPR01A766</t>
  </si>
  <si>
    <t>NISCHITHA KOLLA NATTARAJ</t>
  </si>
  <si>
    <t>25276CBPR01B561</t>
  </si>
  <si>
    <t>Declan Collins</t>
  </si>
  <si>
    <t>25282CBPR03272A</t>
  </si>
  <si>
    <t>Leandro Benedik</t>
  </si>
  <si>
    <t>25282CBPR03272C</t>
  </si>
  <si>
    <t>Saoirse Burke</t>
  </si>
  <si>
    <t>25282CBPR03272D</t>
  </si>
  <si>
    <t>Ronald Munetsi</t>
  </si>
  <si>
    <t>25282CBPR03272E</t>
  </si>
  <si>
    <t>Taryn Lee Anne Keane</t>
  </si>
  <si>
    <t>SecureShare PROMETRI</t>
  </si>
  <si>
    <t>019317M</t>
  </si>
  <si>
    <t>25290CBPR04663B</t>
  </si>
  <si>
    <t>Employer: Prometric :: Member Name: Mrs Kulbir Kaur Harris :: Date of Birth: 27/04/1964</t>
  </si>
  <si>
    <t>O406833</t>
  </si>
  <si>
    <t>25296CBPR053321</t>
  </si>
  <si>
    <t>Liam Kidney SP 5000</t>
  </si>
  <si>
    <t>O407134</t>
  </si>
  <si>
    <t>25296CBPR053534</t>
  </si>
  <si>
    <t>Patricia Lee SP 23909</t>
  </si>
  <si>
    <t>O407392</t>
  </si>
  <si>
    <t>25296CBPR0536DC</t>
  </si>
  <si>
    <t>27,000 (10000, 10000, 7000) Geraldine Quinn n/e app</t>
  </si>
  <si>
    <t>O408444</t>
  </si>
  <si>
    <t>25296CBPR053F2D</t>
  </si>
  <si>
    <t>Catherine Everitt</t>
  </si>
  <si>
    <t>O408829</t>
  </si>
  <si>
    <t>25296CBPR054222</t>
  </si>
  <si>
    <t>Gary Lynch</t>
  </si>
  <si>
    <t>O409195</t>
  </si>
  <si>
    <t>25296CBPR054530</t>
  </si>
  <si>
    <t>Liam Quinn</t>
  </si>
  <si>
    <t>O409252</t>
  </si>
  <si>
    <t>25296CBPR0545A1</t>
  </si>
  <si>
    <t>Diarmuid Sloan</t>
  </si>
  <si>
    <t>O411238</t>
  </si>
  <si>
    <t>25297CBPR0561C7</t>
  </si>
  <si>
    <t>David Donnelly SP 50000</t>
  </si>
  <si>
    <t>O411266</t>
  </si>
  <si>
    <t>25297CBPR05620A</t>
  </si>
  <si>
    <t>Ciaran Russell</t>
  </si>
  <si>
    <t>O412949</t>
  </si>
  <si>
    <t>25297CBPR056F90</t>
  </si>
  <si>
    <t>O413742</t>
  </si>
  <si>
    <t>25297CBPR05766C</t>
  </si>
  <si>
    <t>PADRAIC WALDRON</t>
  </si>
  <si>
    <t>O397322</t>
  </si>
  <si>
    <t>25294CBPR04D0CA</t>
  </si>
  <si>
    <t>SHANE DOODY 01/08/2025</t>
  </si>
  <si>
    <t>O397326</t>
  </si>
  <si>
    <t>25294CBPR04D0D3</t>
  </si>
  <si>
    <t>TARA WALSH DOJ 01/08/2025</t>
  </si>
  <si>
    <t>O397330</t>
  </si>
  <si>
    <t>25294CBPR04D0DC</t>
  </si>
  <si>
    <t>TONY HUTCHINSON DOJ 01/08/2025</t>
  </si>
  <si>
    <t>O397336</t>
  </si>
  <si>
    <t>25294CBPR04D0E4</t>
  </si>
  <si>
    <t>VICTORIA O HAGAN DOJ 01/08/2025</t>
  </si>
  <si>
    <t>O397341</t>
  </si>
  <si>
    <t>25294CBPR04D0EB</t>
  </si>
  <si>
    <t>Fw: THOMAS GRINSELL DOJ 01/08/2025</t>
  </si>
  <si>
    <t>O397342</t>
  </si>
  <si>
    <t>25294CBPR04D0EC</t>
  </si>
  <si>
    <t>YASMIN TUBITT DOJ 01/08/2025</t>
  </si>
  <si>
    <t>O397344</t>
  </si>
  <si>
    <t>25294CBPR04D0F3</t>
  </si>
  <si>
    <t>ZARA BLAKE DOJ 01/08/2025</t>
  </si>
  <si>
    <t>O397347</t>
  </si>
  <si>
    <t>25294CBPR04D0F9</t>
  </si>
  <si>
    <t>Fw: TRACY DEERY DOJ 01/08/2025</t>
  </si>
  <si>
    <t>O412653</t>
  </si>
  <si>
    <t>25297CBPR056CA0</t>
  </si>
  <si>
    <t>Dun Laoghaire/ Rathdown County Council</t>
  </si>
  <si>
    <t>Lee Sabatino</t>
  </si>
  <si>
    <t>O424433</t>
  </si>
  <si>
    <t>25302CBPR05FDEB</t>
  </si>
  <si>
    <t>Cork City Council AVC Plan</t>
  </si>
  <si>
    <t>Aiden Webster</t>
  </si>
  <si>
    <t>O424582</t>
  </si>
  <si>
    <t>25302CBPR05FEF1</t>
  </si>
  <si>
    <t>Thomas McKenzie</t>
  </si>
  <si>
    <t>25296CBPR05492D</t>
  </si>
  <si>
    <t>Paul Foley</t>
  </si>
  <si>
    <t>25294CBPR04E790</t>
  </si>
  <si>
    <t>25294CBPR04E791</t>
  </si>
  <si>
    <t>022726M</t>
  </si>
  <si>
    <t>25297CBPR0574AF</t>
  </si>
  <si>
    <t>SecureShare Crosscar</t>
  </si>
  <si>
    <t>25294CBPR04F16C</t>
  </si>
  <si>
    <t>Crosscare</t>
  </si>
  <si>
    <t>Employer: CROSSCARE :: Number of Members: 6</t>
  </si>
  <si>
    <t>25297CBPR056E3D</t>
  </si>
  <si>
    <t>I.T. Alliance Group Ltd.</t>
  </si>
  <si>
    <t>Ciaran Condren</t>
  </si>
  <si>
    <t>SecureShare Medite E</t>
  </si>
  <si>
    <t>25297CBPR05624A</t>
  </si>
  <si>
    <t>Employer: Medite Europe DAC :: Number of Members: 3</t>
  </si>
  <si>
    <t>25297CBPR056A3E</t>
  </si>
  <si>
    <t>Duplicate x 2 NE Gary &amp; Sarah</t>
  </si>
  <si>
    <t>SecureShare Rowex Li</t>
  </si>
  <si>
    <t>25294CBPR04D4D1</t>
  </si>
  <si>
    <t>Rowex Limited</t>
  </si>
  <si>
    <t>Employer: Rowex Limtied :: Number of Members: 2</t>
  </si>
  <si>
    <t>O411162</t>
  </si>
  <si>
    <t>25297CBPR056122</t>
  </si>
  <si>
    <t>Stephen Higgins 1204353</t>
  </si>
  <si>
    <t>Dermot Moran</t>
  </si>
  <si>
    <t>O412368</t>
  </si>
  <si>
    <t>25297CBPR0569F0</t>
  </si>
  <si>
    <t>Fast Track Into Information Technology</t>
  </si>
  <si>
    <t>Single App - Robert Ardiff</t>
  </si>
  <si>
    <t>O400073</t>
  </si>
  <si>
    <t>25294CBPR04E694</t>
  </si>
  <si>
    <t>Aoife Brown</t>
  </si>
  <si>
    <t>O422921</t>
  </si>
  <si>
    <t>25302CBPR05F193</t>
  </si>
  <si>
    <t>Benson Box Ltd.</t>
  </si>
  <si>
    <t>Philip Burns</t>
  </si>
  <si>
    <t>O409611</t>
  </si>
  <si>
    <t>25296CBPR054867</t>
  </si>
  <si>
    <t>Noel Keegan</t>
  </si>
  <si>
    <t>O413718</t>
  </si>
  <si>
    <t>25297CBPR05762D</t>
  </si>
  <si>
    <t>Michelle Glynn</t>
  </si>
  <si>
    <t>Eoin Kelliher</t>
  </si>
  <si>
    <t>O413599</t>
  </si>
  <si>
    <t>25297CBPR05751F</t>
  </si>
  <si>
    <t>Fohntech Ireland Ltd</t>
  </si>
  <si>
    <t>LORNA MORIARTY 40000</t>
  </si>
  <si>
    <t>O418740</t>
  </si>
  <si>
    <t>25301CBPR05C558</t>
  </si>
  <si>
    <t>Digital Manufacturing Ireland CLG</t>
  </si>
  <si>
    <t>RAJESH BIDDALA</t>
  </si>
  <si>
    <t>O418950</t>
  </si>
  <si>
    <t>25301CBPR05C737</t>
  </si>
  <si>
    <t>SARANYA NEEMAN SADASIVAM</t>
  </si>
  <si>
    <t>O419249</t>
  </si>
  <si>
    <t>25301CBPR05C9CC</t>
  </si>
  <si>
    <t>DRAGOSH MARGINEAN 60000</t>
  </si>
  <si>
    <t>O418669</t>
  </si>
  <si>
    <t>25301CBPR05C4D6</t>
  </si>
  <si>
    <t>ECI European Chemical Industries Limited</t>
  </si>
  <si>
    <t>MICAH JAMES LAMBE 31130</t>
  </si>
  <si>
    <t>Niall Tallon</t>
  </si>
  <si>
    <t>O412730</t>
  </si>
  <si>
    <t>25297CBPR056D4F</t>
  </si>
  <si>
    <t>Ecocem Ireland Limited</t>
  </si>
  <si>
    <t>O413005</t>
  </si>
  <si>
    <t>25297CBPR057031</t>
  </si>
  <si>
    <t>OSCAR MEDALLO 55000</t>
  </si>
  <si>
    <t>O413427</t>
  </si>
  <si>
    <t>25297CBPR0573A7</t>
  </si>
  <si>
    <t>Channelscaler Limited</t>
  </si>
  <si>
    <t>GENECI DA CRUZ UI FHATHARTA</t>
  </si>
  <si>
    <t>O400039</t>
  </si>
  <si>
    <t>25294CBPR04E64A</t>
  </si>
  <si>
    <t>Sonia Walsh  1204428</t>
  </si>
  <si>
    <t>O399908</t>
  </si>
  <si>
    <t>25294CBPR04E4F1</t>
  </si>
  <si>
    <t>Siemens Gamesa Renewable Energy Limited</t>
  </si>
  <si>
    <t>Daniel Lordan 1204585</t>
  </si>
  <si>
    <t>O402781</t>
  </si>
  <si>
    <t>25295CBPR050509</t>
  </si>
  <si>
    <t>Michael Reddin 1204615</t>
  </si>
  <si>
    <t>O407162</t>
  </si>
  <si>
    <t>25296CBPR053563</t>
  </si>
  <si>
    <t>Anthony Dunne  1205475</t>
  </si>
  <si>
    <t>Jonathon Butterly</t>
  </si>
  <si>
    <t>O397549</t>
  </si>
  <si>
    <t>25294CBPR04D25E</t>
  </si>
  <si>
    <t>Algebris Investments (Ireland) Limited</t>
  </si>
  <si>
    <t>Fintan Morris  1204349</t>
  </si>
  <si>
    <t>Kevin Bouchier</t>
  </si>
  <si>
    <t>O410274</t>
  </si>
  <si>
    <t>25296CBPR054CE9</t>
  </si>
  <si>
    <t>Black Shamrock Ltd</t>
  </si>
  <si>
    <t xml:space="preserve"> Krystian Sarowski 1205552</t>
  </si>
  <si>
    <t>O408222</t>
  </si>
  <si>
    <t>25296CBPR053D43</t>
  </si>
  <si>
    <t>Propylon Ltd</t>
  </si>
  <si>
    <t>Sam Green  1205421</t>
  </si>
  <si>
    <t>Mary Harkin</t>
  </si>
  <si>
    <t>O406429</t>
  </si>
  <si>
    <t>25296CBPR053074</t>
  </si>
  <si>
    <t>Snipp Interactive Limited</t>
  </si>
  <si>
    <t>Xuetong Cao 1204614</t>
  </si>
  <si>
    <t>O399502</t>
  </si>
  <si>
    <t>25294CBPR04E177</t>
  </si>
  <si>
    <t>Donna Lambe 1204414</t>
  </si>
  <si>
    <t>O399537</t>
  </si>
  <si>
    <t>25294CBPR04E1C7</t>
  </si>
  <si>
    <t>Eliete Silva 1204409</t>
  </si>
  <si>
    <t>O399831</t>
  </si>
  <si>
    <t>25294CBPR04E43C</t>
  </si>
  <si>
    <t>Kristy McShane 1204425</t>
  </si>
  <si>
    <t>TJ Maher</t>
  </si>
  <si>
    <t>O400129</t>
  </si>
  <si>
    <t>25294CBPR04E708</t>
  </si>
  <si>
    <t>Coface Ireland Services Ltd</t>
  </si>
  <si>
    <t>Finlay Thomson  1204350</t>
  </si>
  <si>
    <t>O413525</t>
  </si>
  <si>
    <t>25297CBPR057484</t>
  </si>
  <si>
    <t>The Board of the High School</t>
  </si>
  <si>
    <t>FW: [EXT] New Entrant Bulk Template.xlsx</t>
  </si>
  <si>
    <t>O406659</t>
  </si>
  <si>
    <t>25296CBPR0531D9</t>
  </si>
  <si>
    <t>-Sergii Potlov. 1205688</t>
  </si>
  <si>
    <t>021588M</t>
  </si>
  <si>
    <t>25295CBPR0518DF</t>
  </si>
  <si>
    <t>Aifric Connolly 1204629</t>
  </si>
  <si>
    <t>SecureShare Freshway</t>
  </si>
  <si>
    <t>021923M</t>
  </si>
  <si>
    <t>25296CBPR05382E</t>
  </si>
  <si>
    <t>Freshways</t>
  </si>
  <si>
    <t xml:space="preserve"> Katie Byrne  - Single Application Form</t>
  </si>
  <si>
    <t>SecureShare Mannok C</t>
  </si>
  <si>
    <t>021890M</t>
  </si>
  <si>
    <t>25296CBPR05365E</t>
  </si>
  <si>
    <t>Employer: MANNOK PIR :: Member Name: N/A :: Date of Birth: N/A</t>
  </si>
  <si>
    <t>021839M</t>
  </si>
  <si>
    <t>25296CBPR0532B5</t>
  </si>
  <si>
    <t>Jeremie Bria</t>
  </si>
  <si>
    <t>021842M</t>
  </si>
  <si>
    <t>25296CBPR0532B6</t>
  </si>
  <si>
    <t>Oisin Leyden</t>
  </si>
  <si>
    <t>25301CBPR05C1CC</t>
  </si>
  <si>
    <t>SecureShare J H Roch</t>
  </si>
  <si>
    <t>25296CBPR053438</t>
  </si>
  <si>
    <t>J.H. Roche &amp; Sons Limited</t>
  </si>
  <si>
    <t>x10 NEs Added</t>
  </si>
  <si>
    <t>SecureShare Proofpoi</t>
  </si>
  <si>
    <t>25297CBPR057146</t>
  </si>
  <si>
    <t>x3 NEs Added</t>
  </si>
  <si>
    <t>SecureShare Revolut</t>
  </si>
  <si>
    <t>25297CBPR056DF2</t>
  </si>
  <si>
    <t>Revolut Ltd</t>
  </si>
  <si>
    <t>x5 NEs Added</t>
  </si>
  <si>
    <t>25297CBPR056FC2</t>
  </si>
  <si>
    <t>x6 NEs Added</t>
  </si>
  <si>
    <t>25297CBPR057396</t>
  </si>
  <si>
    <t>Gerard Kirby</t>
  </si>
  <si>
    <t>020833M</t>
  </si>
  <si>
    <t>25294CBPR04DEA5</t>
  </si>
  <si>
    <t>Alliance Medical Diagnostic Imaging Ltd</t>
  </si>
  <si>
    <t>DIGI: Helen Van De Beek Added, Member No. 1204593</t>
  </si>
  <si>
    <t>James Nolan</t>
  </si>
  <si>
    <t>25296CBPR054369</t>
  </si>
  <si>
    <t>Gavin and Doherty Geosolutions Ltd</t>
  </si>
  <si>
    <t>Elaine Breslin</t>
  </si>
  <si>
    <t>O402903</t>
  </si>
  <si>
    <t>25295CBPR0505F4</t>
  </si>
  <si>
    <t>Precision Heating Limited</t>
  </si>
  <si>
    <t>Valentine</t>
  </si>
  <si>
    <t>O402909</t>
  </si>
  <si>
    <t>25295CBPR0505FC</t>
  </si>
  <si>
    <t>Mark</t>
  </si>
  <si>
    <t>VI81</t>
  </si>
  <si>
    <t>Mark Gallagher t/a Smart Financia</t>
  </si>
  <si>
    <t>O397962</t>
  </si>
  <si>
    <t>25294CBPR04D54A</t>
  </si>
  <si>
    <t>Carnehill Contractors</t>
  </si>
  <si>
    <t>Ion Cojocaru</t>
  </si>
  <si>
    <t>O396604</t>
  </si>
  <si>
    <t>25293CBPR04CBED</t>
  </si>
  <si>
    <t>Ebin Sebestian</t>
  </si>
  <si>
    <t>O396605</t>
  </si>
  <si>
    <t>25293CBPR04CBEE</t>
  </si>
  <si>
    <t>Frankie McDonagh</t>
  </si>
  <si>
    <t>O396608</t>
  </si>
  <si>
    <t>25293CBPR04CBF3</t>
  </si>
  <si>
    <t>Thomas Egan</t>
  </si>
  <si>
    <t>O396612</t>
  </si>
  <si>
    <t>25293CBPR04CBF8</t>
  </si>
  <si>
    <t>Mark Gormely</t>
  </si>
  <si>
    <t>O396613</t>
  </si>
  <si>
    <t>25293CBPR04CBF9</t>
  </si>
  <si>
    <t>Peter Griffin</t>
  </si>
  <si>
    <t>O402303</t>
  </si>
  <si>
    <t>25295CBPR050244</t>
  </si>
  <si>
    <t xml:space="preserve"> Jennifer Kenna</t>
  </si>
  <si>
    <t>O402973</t>
  </si>
  <si>
    <t>25295CBPR050679</t>
  </si>
  <si>
    <t>Maquet Ireland</t>
  </si>
  <si>
    <t>Eoin Reidy</t>
  </si>
  <si>
    <t>O409689</t>
  </si>
  <si>
    <t>25296CBPR0548F4</t>
  </si>
  <si>
    <t>Adam McEneaney</t>
  </si>
  <si>
    <t>O411061</t>
  </si>
  <si>
    <t>25297CBPR056041</t>
  </si>
  <si>
    <t>Depaul Ireland</t>
  </si>
  <si>
    <t>Kevin Higgins</t>
  </si>
  <si>
    <t>O422998</t>
  </si>
  <si>
    <t>25302CBPR05F243</t>
  </si>
  <si>
    <t>Brian Burroughs</t>
  </si>
  <si>
    <t>TA22</t>
  </si>
  <si>
    <t>RBK Business Services Ltd</t>
  </si>
  <si>
    <t>O410029</t>
  </si>
  <si>
    <t>25296CBPR054B74</t>
  </si>
  <si>
    <t>Russell Brennan &amp; Keane Staff</t>
  </si>
  <si>
    <t>Veronica McGee</t>
  </si>
  <si>
    <t>O409873</t>
  </si>
  <si>
    <t>25296CBPR054A52</t>
  </si>
  <si>
    <t>Padraig Guckian</t>
  </si>
  <si>
    <t>021546M</t>
  </si>
  <si>
    <t>25295CBPR051550</t>
  </si>
  <si>
    <t>25294CBPR04ED59</t>
  </si>
  <si>
    <t>Eva Gaffney</t>
  </si>
  <si>
    <t>SecureShare Apex Fun</t>
  </si>
  <si>
    <t>25297CBPR05604D</t>
  </si>
  <si>
    <t>Apex Fund Services (Ireland) Ltd.</t>
  </si>
  <si>
    <t>Sneha B Nair</t>
  </si>
  <si>
    <t>SecureShare Athena T</t>
  </si>
  <si>
    <t>25294CBPR04F10F</t>
  </si>
  <si>
    <t>Athena Trident Management DAC</t>
  </si>
  <si>
    <t>SecureShare Center P</t>
  </si>
  <si>
    <t>25294CBPR04EA4A</t>
  </si>
  <si>
    <t>Center Parcs Ireland Limited</t>
  </si>
  <si>
    <t>Employer: Center Parcs Ireland Ltd :: Number of Members: 2</t>
  </si>
  <si>
    <t>25293CBPR04CA74</t>
  </si>
  <si>
    <t>Fighting Blindness</t>
  </si>
  <si>
    <t>Employer: Fighting Blindness :: Number of Members: 1</t>
  </si>
  <si>
    <t>25295CBPR0519ED</t>
  </si>
  <si>
    <t>William Walsh-Dowd</t>
  </si>
  <si>
    <t>25295CBPR051A81</t>
  </si>
  <si>
    <t>Aleksandr Iakovlev</t>
  </si>
  <si>
    <t>25296CBPR053436</t>
  </si>
  <si>
    <t>Alliance Disposables Ireland Ltd</t>
  </si>
  <si>
    <t>Employer: N/A :: Number of Members: 15</t>
  </si>
  <si>
    <t>SecureShare Cheshire</t>
  </si>
  <si>
    <t>25294CBPR04E1FC</t>
  </si>
  <si>
    <t>Employer: Cheshire Ireland :: Number of Members: 7</t>
  </si>
  <si>
    <t>022453M</t>
  </si>
  <si>
    <t>25297CBPR0562E1</t>
  </si>
  <si>
    <t>124 x NE - 6 already added</t>
  </si>
  <si>
    <t>VV47</t>
  </si>
  <si>
    <t>SecureShare Eoin Byr</t>
  </si>
  <si>
    <t>25294CBPR04DD80</t>
  </si>
  <si>
    <t>WP Engine Ireland Limited</t>
  </si>
  <si>
    <t>Employer: WP Engine Ireland Limited :: Number of Members: 6 - missing pps numbers</t>
  </si>
  <si>
    <t>25297CBPR0576E6</t>
  </si>
  <si>
    <t>Employer: WP Engine Limited Ireland :: Number of Members: 6</t>
  </si>
  <si>
    <t>25294CBPR04E78C</t>
  </si>
  <si>
    <t>Shane Prendergast</t>
  </si>
  <si>
    <t>Lane Clark &amp; Peacock Ireland Ltd.</t>
  </si>
  <si>
    <t>25295CBPR050704</t>
  </si>
  <si>
    <t>Andrina McLeod</t>
  </si>
  <si>
    <t>SecureShare LMR Part</t>
  </si>
  <si>
    <t>023205M</t>
  </si>
  <si>
    <t>25300CBPR05A0FA</t>
  </si>
  <si>
    <t>LMR Partners Research (Ireland) Ltd</t>
  </si>
  <si>
    <t>Pierce Redmond</t>
  </si>
  <si>
    <t>SecureShare MMPI</t>
  </si>
  <si>
    <t>25295CBPR051468</t>
  </si>
  <si>
    <t>Castlebrowne Civil Engineering Limited</t>
  </si>
  <si>
    <t>Marcel Mako</t>
  </si>
  <si>
    <t>TC31</t>
  </si>
  <si>
    <t>SecureShare Teamwork</t>
  </si>
  <si>
    <t>25296CBPR053BCE</t>
  </si>
  <si>
    <t>Teamwork Crew Limited</t>
  </si>
  <si>
    <t>Employer: Teamwork Crew Ltd. :: Number of Members: N/A</t>
  </si>
  <si>
    <t>SecureShare TransPer</t>
  </si>
  <si>
    <t>25296CBPR054BBC</t>
  </si>
  <si>
    <t>2 x RO NE - Dimitry &amp; Callum</t>
  </si>
  <si>
    <t>O405354</t>
  </si>
  <si>
    <t>25295CBPR051976</t>
  </si>
  <si>
    <t xml:space="preserve"> Sandra Coughlan 1204073</t>
  </si>
  <si>
    <t>NN04</t>
  </si>
  <si>
    <t>Doyle Pension &amp; Insurance Managem</t>
  </si>
  <si>
    <t>O414816</t>
  </si>
  <si>
    <t>25298CBPR058033</t>
  </si>
  <si>
    <t>Blackrock College and Willow Park School</t>
  </si>
  <si>
    <t>Catherine Meehan-Doyle 1205690</t>
  </si>
  <si>
    <t>O426431</t>
  </si>
  <si>
    <t>25303CBPR06187A</t>
  </si>
  <si>
    <t>Joseph OBrien 1205789 - secure share mail has been sent to this scheme</t>
  </si>
  <si>
    <t>PA46</t>
  </si>
  <si>
    <t>Rose Private Clients Ltd</t>
  </si>
  <si>
    <t>O412937</t>
  </si>
  <si>
    <t>25297CBPR056F78</t>
  </si>
  <si>
    <t>Medical Protection Society Ltd</t>
  </si>
  <si>
    <t>Morne Jordaan Gouws 1204544</t>
  </si>
  <si>
    <t>O421540</t>
  </si>
  <si>
    <t>25302CBPR05E5A6</t>
  </si>
  <si>
    <t>Sarah Larkin</t>
  </si>
  <si>
    <t>O406891</t>
  </si>
  <si>
    <t>25296CBPR053382</t>
  </si>
  <si>
    <t>Brian Donohoe</t>
  </si>
  <si>
    <t>D714</t>
  </si>
  <si>
    <t>Lennon Earley Crotty Insurance Lt</t>
  </si>
  <si>
    <t>O399132</t>
  </si>
  <si>
    <t>25294CBPR04DE1B</t>
  </si>
  <si>
    <t>AMOSS Solicitors</t>
  </si>
  <si>
    <t>Ruairi O'Malley</t>
  </si>
  <si>
    <t>VT86</t>
  </si>
  <si>
    <t>Rockwell Financial Management Ltd</t>
  </si>
  <si>
    <t>O410205</t>
  </si>
  <si>
    <t>25296CBPR054C9C</t>
  </si>
  <si>
    <t>Alstom Transport Ireland Limited</t>
  </si>
  <si>
    <t>Wayne Aherne</t>
  </si>
  <si>
    <t>TT51</t>
  </si>
  <si>
    <t>O402518</t>
  </si>
  <si>
    <t>25295CBPR050378</t>
  </si>
  <si>
    <t>Lane Clark &amp; Peacock Ireland</t>
  </si>
  <si>
    <t>O399483</t>
  </si>
  <si>
    <t>25294CBPR04E154</t>
  </si>
  <si>
    <t>Alan Kavanagh</t>
  </si>
  <si>
    <t>O419637</t>
  </si>
  <si>
    <t>25301CBPR05CCCA</t>
  </si>
  <si>
    <t>PATRICK ABRAHAM</t>
  </si>
  <si>
    <t>O397253</t>
  </si>
  <si>
    <t>25294CBPR04D042</t>
  </si>
  <si>
    <t>Aidan Ryan 1204334</t>
  </si>
  <si>
    <t>E883</t>
  </si>
  <si>
    <t>Cleary Barker Ltd</t>
  </si>
  <si>
    <t>O402776</t>
  </si>
  <si>
    <t>25295CBPR0504FF</t>
  </si>
  <si>
    <t>24 Hour Care Service Limited</t>
  </si>
  <si>
    <t>Cristina Maria Puttergill Erasmus 1204605</t>
  </si>
  <si>
    <t>O404215</t>
  </si>
  <si>
    <t>25295CBPR05103F</t>
  </si>
  <si>
    <t>Sarah Hayes 1204609 need to amend er location memberupdate copied out</t>
  </si>
  <si>
    <t>RS68</t>
  </si>
  <si>
    <t>Integrated Wealth Management Ltd.</t>
  </si>
  <si>
    <t>O412626</t>
  </si>
  <si>
    <t>25297CBPR056C62</t>
  </si>
  <si>
    <t>AG1 EU Enterprise Limited</t>
  </si>
  <si>
    <t>Siva Sethupathy 1205809</t>
  </si>
  <si>
    <t>O399221</t>
  </si>
  <si>
    <t>25294CBPR04DECC</t>
  </si>
  <si>
    <t>Kevin Duffy 1204357</t>
  </si>
  <si>
    <t>O403815</t>
  </si>
  <si>
    <t>25295CBPR050CCE</t>
  </si>
  <si>
    <t>Susan Seager 1204606</t>
  </si>
  <si>
    <t>O404384</t>
  </si>
  <si>
    <t>25295CBPR0511BD</t>
  </si>
  <si>
    <t>Kevin Gavigan 1204607</t>
  </si>
  <si>
    <t>O399150</t>
  </si>
  <si>
    <t>25294CBPR04DE47</t>
  </si>
  <si>
    <t>Oneview Limited</t>
  </si>
  <si>
    <t>Sanju Varughese 1204463</t>
  </si>
  <si>
    <t>O399584</t>
  </si>
  <si>
    <t>25294CBPR04E21E</t>
  </si>
  <si>
    <t>Celt Stephenson Li 1204454</t>
  </si>
  <si>
    <t>O404356</t>
  </si>
  <si>
    <t>25295CBPR05117E</t>
  </si>
  <si>
    <t xml:space="preserve"> Anjali Kumari  1204610</t>
  </si>
  <si>
    <t>VP48</t>
  </si>
  <si>
    <t>Provest Private Clients Ltd</t>
  </si>
  <si>
    <t>O400216</t>
  </si>
  <si>
    <t>25294CBPR04E7B9</t>
  </si>
  <si>
    <t>Irish Guide Dogs for the Blind Limited</t>
  </si>
  <si>
    <t>Robert Hanrahan 1204351</t>
  </si>
  <si>
    <t>O399672</t>
  </si>
  <si>
    <t>25294CBPR04E2C5</t>
  </si>
  <si>
    <t>Jamie Nugent 1204468</t>
  </si>
  <si>
    <t>O405058</t>
  </si>
  <si>
    <t>25295CBPR051724</t>
  </si>
  <si>
    <t>Eoin Leahy 1204608</t>
  </si>
  <si>
    <t>VR14</t>
  </si>
  <si>
    <t>Wallace Financial Consultants Ltd</t>
  </si>
  <si>
    <t>O402705</t>
  </si>
  <si>
    <t>25295CBPR05049B</t>
  </si>
  <si>
    <t>Avonmore Electrical Company Ltd</t>
  </si>
  <si>
    <t>Mary Elaine OCallaghan 1205693</t>
  </si>
  <si>
    <t>SecureShare Atradius</t>
  </si>
  <si>
    <t>022117M</t>
  </si>
  <si>
    <t>25296CBPR054417</t>
  </si>
  <si>
    <t>Atradius Reinsurance DAC</t>
  </si>
  <si>
    <t xml:space="preserve"> Olaomopo Bandele 1205687</t>
  </si>
  <si>
    <t>021043M</t>
  </si>
  <si>
    <t>25294CBPR04ECEA</t>
  </si>
  <si>
    <t>Sanlam Asset Management (Ireland) Ltd</t>
  </si>
  <si>
    <t>Daragh Mcloughney 1204572</t>
  </si>
  <si>
    <t>021267M</t>
  </si>
  <si>
    <t>25295CBPR050184</t>
  </si>
  <si>
    <t>Keeper Security EMEA Limited</t>
  </si>
  <si>
    <t xml:space="preserve">  Part Katti 1204619</t>
  </si>
  <si>
    <t>SecureShare Lenovo I</t>
  </si>
  <si>
    <t>020856M</t>
  </si>
  <si>
    <t>25294CBPR04E075</t>
  </si>
  <si>
    <t>Lenovo Ireland Intl Limited</t>
  </si>
  <si>
    <t>Alan Treacy 1204444</t>
  </si>
  <si>
    <t>020779M</t>
  </si>
  <si>
    <t>25294CBPR04D81A</t>
  </si>
  <si>
    <t>Boon Edam Ireland Ltd</t>
  </si>
  <si>
    <t>Jason McCormack 1204352</t>
  </si>
  <si>
    <t>SecureShare P and S</t>
  </si>
  <si>
    <t>022242M</t>
  </si>
  <si>
    <t>25296CBPR054AEE</t>
  </si>
  <si>
    <t>P&amp;S Civil Works Limited</t>
  </si>
  <si>
    <t>Joel Gibson 1205686</t>
  </si>
  <si>
    <t>020853M</t>
  </si>
  <si>
    <t>25294CBPR04E074</t>
  </si>
  <si>
    <t>Lynsey Hickey 1204432</t>
  </si>
  <si>
    <t>020767M</t>
  </si>
  <si>
    <t>25294CBPR04D79C</t>
  </si>
  <si>
    <t>Wesco Digital Solutions Ireland Limited</t>
  </si>
  <si>
    <t>Subhendu Mohapatra</t>
  </si>
  <si>
    <t>020768M</t>
  </si>
  <si>
    <t>25294CBPR04D79D</t>
  </si>
  <si>
    <t>Barbara McLoughlin</t>
  </si>
  <si>
    <t>25296CBPR05406C</t>
  </si>
  <si>
    <t>TQ49</t>
  </si>
  <si>
    <t>City Life Financial Services Ltd.</t>
  </si>
  <si>
    <t>25296CBPR054126</t>
  </si>
  <si>
    <t>NZ58</t>
  </si>
  <si>
    <t>MCCARNEY FINANCIAL SERVICES LTD</t>
  </si>
  <si>
    <t>25301CBPR05B4D7</t>
  </si>
  <si>
    <t>Newpark Care Centre Ltd</t>
  </si>
  <si>
    <t>25295CBPR050979</t>
  </si>
  <si>
    <t>25293CBPR04C749</t>
  </si>
  <si>
    <t>25296CBPR0534FE</t>
  </si>
  <si>
    <t>25296CBPR053EF0</t>
  </si>
  <si>
    <t>SecureShare Coillte</t>
  </si>
  <si>
    <t>25296CBPR05397A</t>
  </si>
  <si>
    <t>x2 NEs Added</t>
  </si>
  <si>
    <t>025244M</t>
  </si>
  <si>
    <t>25303CBPR06229E</t>
  </si>
  <si>
    <t>O408299</t>
  </si>
  <si>
    <t>25296CBPR053DE5</t>
  </si>
  <si>
    <t>Hard Metal Machine Tools Ltd</t>
  </si>
  <si>
    <t>TEXT: Selina King Added, Member No. 1205554</t>
  </si>
  <si>
    <t>O409795</t>
  </si>
  <si>
    <t>25296CBPR0549AF</t>
  </si>
  <si>
    <t>DIGI: Thomas Kelly Added, Member No. 1205562</t>
  </si>
  <si>
    <t>VR86</t>
  </si>
  <si>
    <t>021017M</t>
  </si>
  <si>
    <t>25294CBPR04EC01</t>
  </si>
  <si>
    <t>Age Action Ireland Limited</t>
  </si>
  <si>
    <t>TEXT: Thomas McEvoy Added, Member No. 1204596</t>
  </si>
  <si>
    <t>O348454</t>
  </si>
  <si>
    <t>25279CBPR0266AA</t>
  </si>
  <si>
    <t>DIGI: Yangchen Dolkar Sherpa Added, Member No. 1200911</t>
  </si>
  <si>
    <t>O348460</t>
  </si>
  <si>
    <t>25279CBPR0266B4</t>
  </si>
  <si>
    <t>DIGI: Vaibhavi Khobragade Added, Member No. 1200913</t>
  </si>
  <si>
    <t>O348465</t>
  </si>
  <si>
    <t>25279CBPR0266BD</t>
  </si>
  <si>
    <t>DIGI: Soni Machanuru Added, Member No. 1202395</t>
  </si>
  <si>
    <t>O348468</t>
  </si>
  <si>
    <t>25279CBPR0266C5</t>
  </si>
  <si>
    <t>DIGI: Samuel Nihal Simon Added, Member No. 1200980</t>
  </si>
  <si>
    <t>O348473</t>
  </si>
  <si>
    <t>25279CBPR0266CE</t>
  </si>
  <si>
    <t>DIGI: Laura Levins Added, Member No. 1202398</t>
  </si>
  <si>
    <t>O348478</t>
  </si>
  <si>
    <t>25279CBPR0266DD</t>
  </si>
  <si>
    <t>DIGI: Julio Cesar Jesus Lopez Jimenez Added, Member No. 1201062</t>
  </si>
  <si>
    <t>O348481</t>
  </si>
  <si>
    <t>25279CBPR0266E2</t>
  </si>
  <si>
    <t>TEXT: Jordan Thompson Added, Member No. 1203286</t>
  </si>
  <si>
    <t>O348489</t>
  </si>
  <si>
    <t>25279CBPR0266ED</t>
  </si>
  <si>
    <t>TEXT: Chitra Devi Meenakshi Sundaram Added, Member No.  1201283</t>
  </si>
  <si>
    <t>O311977</t>
  </si>
  <si>
    <t>25267CBPR007036</t>
  </si>
  <si>
    <t>DIGI: Sarah Baldwin Added, Member No. 1199810</t>
  </si>
  <si>
    <t>25287CBPR03D344</t>
  </si>
  <si>
    <t>25287CBPR03E017</t>
  </si>
  <si>
    <t>x15 NEs Added</t>
  </si>
  <si>
    <t>25286CBPR03A12E</t>
  </si>
  <si>
    <t>25293CBPR04BE94</t>
  </si>
  <si>
    <t>Nutricia Irl Ltd - Deansgrange</t>
  </si>
  <si>
    <t>O350689</t>
  </si>
  <si>
    <t>25280CBPR027532</t>
  </si>
  <si>
    <t>Pier Paolo Serci</t>
  </si>
  <si>
    <t>O394111</t>
  </si>
  <si>
    <t>25293CBPR04B7F8</t>
  </si>
  <si>
    <t>C Murphy</t>
  </si>
  <si>
    <t>25269CBPR00DCFC</t>
  </si>
  <si>
    <t>Eimear Daly</t>
  </si>
  <si>
    <t>25287CBPR03E171</t>
  </si>
  <si>
    <t>Tom Clayton</t>
  </si>
  <si>
    <t>SecureShare Harmac M</t>
  </si>
  <si>
    <t>25289CBPR042EE9</t>
  </si>
  <si>
    <t>Harmac Medical Products Limited</t>
  </si>
  <si>
    <t>Employer: Harmac Medical Products :: Member N ... (see attached file for full description)</t>
  </si>
  <si>
    <t>25289CBPR042EEA</t>
  </si>
  <si>
    <t>25286CBPR039405</t>
  </si>
  <si>
    <t>25286CBPR0398AD</t>
  </si>
  <si>
    <t>Employer: Maples :: Number of Members: 1</t>
  </si>
  <si>
    <t>25291CBPR047050</t>
  </si>
  <si>
    <t>Telent (ROI) Pension Scheme</t>
  </si>
  <si>
    <t>25293CBPR04B5D2</t>
  </si>
  <si>
    <t>Nutricia Irl Ltd - Macroom</t>
  </si>
  <si>
    <t>B014</t>
  </si>
  <si>
    <t>25274CBPR016DD2</t>
  </si>
  <si>
    <t>RS60</t>
  </si>
  <si>
    <t>Unio (CCC)</t>
  </si>
  <si>
    <t>25283CBPR03608F</t>
  </si>
  <si>
    <t>Cloudera International Limited</t>
  </si>
  <si>
    <t>1 member on bulk missing PPS</t>
  </si>
  <si>
    <t>25293CBPR04B792</t>
  </si>
  <si>
    <t>Employer: N/A :: Number of Members: 9</t>
  </si>
  <si>
    <t>25273CBPR01492E</t>
  </si>
  <si>
    <t>ST Engineering IDirect (Ireland) Limited</t>
  </si>
  <si>
    <t>25283CBPR03583B</t>
  </si>
  <si>
    <t>ActiveCampaign Ireland Limited</t>
  </si>
  <si>
    <t>Employer: ActiveCampaign Ireland Lim [602238] :: Number of Members: 1</t>
  </si>
  <si>
    <t>25288CBPR03F93C</t>
  </si>
  <si>
    <t>Loreto College Junior School</t>
  </si>
  <si>
    <t>Employer: Loreto College Junior Scho [603098] :: Number of Members: 1</t>
  </si>
  <si>
    <t>25280CBPR02A161</t>
  </si>
  <si>
    <t>Employer: Cloudera International Lim :: Number of Members: 63</t>
  </si>
  <si>
    <t>25280CBPR02A5B3</t>
  </si>
  <si>
    <t>Jennings O'Donovan &amp; Partners</t>
  </si>
  <si>
    <t>Employer: Jennings O'Donovan &amp; Partn :: Number of Members: 1</t>
  </si>
  <si>
    <t>25287CBPR03E30E</t>
  </si>
  <si>
    <t>Oxford Global Resource Limited</t>
  </si>
  <si>
    <t>Employer: Oxford Global Resource Lim [603552] :: Number of Members: 3</t>
  </si>
  <si>
    <t>25280CBPR02A88A</t>
  </si>
  <si>
    <t>Castlelake Aviation Holdings (Ire Ltd)</t>
  </si>
  <si>
    <t>25287CBPR03DFD7</t>
  </si>
  <si>
    <t>Advance Systems International Limited</t>
  </si>
  <si>
    <t>2 x NE</t>
  </si>
  <si>
    <t>25281CBPR02F8B0</t>
  </si>
  <si>
    <t>Petrogas Group Limited</t>
  </si>
  <si>
    <t>Julius Majauskas</t>
  </si>
  <si>
    <t>25281CBPR02F92C</t>
  </si>
  <si>
    <t>Lina Rakauske</t>
  </si>
  <si>
    <t>25281CBPR02FC84</t>
  </si>
  <si>
    <t>Capventis Limited</t>
  </si>
  <si>
    <t>Stephen Bourke</t>
  </si>
  <si>
    <t>25290CBPR046B47</t>
  </si>
  <si>
    <t>2 x NE - Dongo &amp; Sammon</t>
  </si>
  <si>
    <t>25274CBPR016D05</t>
  </si>
  <si>
    <t>Shubhangi Pandey</t>
  </si>
  <si>
    <t>25274CBPR017900</t>
  </si>
  <si>
    <t>Alan Geraghty</t>
  </si>
  <si>
    <t>25282CBPR0328E2</t>
  </si>
  <si>
    <t>John Lamphiere</t>
  </si>
  <si>
    <t>25288CBPR040004</t>
  </si>
  <si>
    <t>Castlelake Aviation Services Limited</t>
  </si>
  <si>
    <t>Ryan Condon</t>
  </si>
  <si>
    <t>25275CBPR01A590</t>
  </si>
  <si>
    <t>Employer: ADP HR &amp; Payroll Services [606860] :: Number of Members: 1</t>
  </si>
  <si>
    <t>NJ22</t>
  </si>
  <si>
    <t>Unio Financial Services Ltd</t>
  </si>
  <si>
    <t>25275CBPR01A829</t>
  </si>
  <si>
    <t>Henry J Lyons (Architects) Ltd</t>
  </si>
  <si>
    <t>Daniel Coughlan</t>
  </si>
  <si>
    <t>SecureShare Berendse</t>
  </si>
  <si>
    <t>25293CBPR04B951</t>
  </si>
  <si>
    <t>Berendsen Ireland Limited</t>
  </si>
  <si>
    <t>2 x NE uploaded</t>
  </si>
  <si>
    <t>25289CBPR0429D7</t>
  </si>
  <si>
    <t>Hellios Technology Solutions Limited</t>
  </si>
  <si>
    <t>O331365</t>
  </si>
  <si>
    <t>25273CBPR014C66</t>
  </si>
  <si>
    <t>Cliste Springfield Limited</t>
  </si>
  <si>
    <t>AnneMarie Nulty</t>
  </si>
  <si>
    <t>O329094</t>
  </si>
  <si>
    <t>25273CBPR01389D</t>
  </si>
  <si>
    <t>Garvey's SuperValu Supermarkets</t>
  </si>
  <si>
    <t>John Power</t>
  </si>
  <si>
    <t>O329129</t>
  </si>
  <si>
    <t>25273CBPR0138DB</t>
  </si>
  <si>
    <t>Martin McGovern</t>
  </si>
  <si>
    <t>25280CBPR02ACC5</t>
  </si>
  <si>
    <t>O382171</t>
  </si>
  <si>
    <t>25288CBPR040ABF</t>
  </si>
  <si>
    <t>25279CBPR0259A6</t>
  </si>
  <si>
    <t>Advanced Laboratory Testing Limited</t>
  </si>
  <si>
    <t>O378183</t>
  </si>
  <si>
    <t>25287CBPR03E875</t>
  </si>
  <si>
    <t>Wynshop Commerce Limited</t>
  </si>
  <si>
    <t>DOMHNALL ONEILL</t>
  </si>
  <si>
    <t>O331655</t>
  </si>
  <si>
    <t>25273CBPR014E63</t>
  </si>
  <si>
    <t>Exigent Network Integration Ltd</t>
  </si>
  <si>
    <t>MICHAEL BASILE 48000</t>
  </si>
  <si>
    <t>O331622</t>
  </si>
  <si>
    <t>25273CBPR014E34</t>
  </si>
  <si>
    <t>FAITH BALUZIENE</t>
  </si>
  <si>
    <t>O329201</t>
  </si>
  <si>
    <t>25273CBPR013978</t>
  </si>
  <si>
    <t>KEVIN TUTTY</t>
  </si>
  <si>
    <t>O329514</t>
  </si>
  <si>
    <t>25273CBPR013C17</t>
  </si>
  <si>
    <t>KEVIN DOHERTY 36000</t>
  </si>
  <si>
    <t>O331650</t>
  </si>
  <si>
    <t>25273CBPR014E5C</t>
  </si>
  <si>
    <t>EOIN HORNER 68959</t>
  </si>
  <si>
    <t>25287CBPR03E858</t>
  </si>
  <si>
    <t>Aircastle Benefits Plan</t>
  </si>
  <si>
    <t>NIKITA GEOGHEGAN</t>
  </si>
  <si>
    <t>O334587</t>
  </si>
  <si>
    <t>25274CBPR017172</t>
  </si>
  <si>
    <t>Emma DUFF  1200148</t>
  </si>
  <si>
    <t>O330183</t>
  </si>
  <si>
    <t>25273CBPR01428F</t>
  </si>
  <si>
    <t>The Iveagh Trustees</t>
  </si>
  <si>
    <t>Darren finnegan  1200367</t>
  </si>
  <si>
    <t>O333513</t>
  </si>
  <si>
    <t>25274CBPR0169AA</t>
  </si>
  <si>
    <t>Doka Ireland Formwork Technologies Ltd.</t>
  </si>
  <si>
    <t>Anand Bhanawat 1200272</t>
  </si>
  <si>
    <t>SecureShare Ethos En</t>
  </si>
  <si>
    <t>25286CBPR03A98A</t>
  </si>
  <si>
    <t>Mona Brown 1202731</t>
  </si>
  <si>
    <t>25286CBPR03AC95</t>
  </si>
  <si>
    <t>Brian Mullins 1202734</t>
  </si>
  <si>
    <t>25281CBPR02F669</t>
  </si>
  <si>
    <t>Euler Hermes Services Ireland Ltd</t>
  </si>
  <si>
    <t>Sowmiya Dhamodhara 1201851</t>
  </si>
  <si>
    <t>25282CBPR033306</t>
  </si>
  <si>
    <t>Horse Sport Ireland Ltd</t>
  </si>
  <si>
    <t>Aoife Carr 1202235</t>
  </si>
  <si>
    <t>25282CBPR0343AE</t>
  </si>
  <si>
    <t>Darren Munn  (see attached file for full description)</t>
  </si>
  <si>
    <t>019133M</t>
  </si>
  <si>
    <t>25290CBPR045B84</t>
  </si>
  <si>
    <t>Niamh Fahey</t>
  </si>
  <si>
    <t>994593L</t>
  </si>
  <si>
    <t>25273CBPR013358</t>
  </si>
  <si>
    <t>Dataminr Ireland Limited</t>
  </si>
  <si>
    <t>Karla Fernanda De la Cruz Puls - added 1200135</t>
  </si>
  <si>
    <t>25290CBPR0451E7</t>
  </si>
  <si>
    <t>25286CBPR03AC68</t>
  </si>
  <si>
    <t>Carraig Donn Trading ULC</t>
  </si>
  <si>
    <t>SecureShare MeiraGTx</t>
  </si>
  <si>
    <t>25283CBPR0353A1</t>
  </si>
  <si>
    <t>MeiraGTX Ireland DAC</t>
  </si>
  <si>
    <t>Employer: MeiraGTx Ireland DAC. :: Number of Members: N/A</t>
  </si>
  <si>
    <t>25286CBPR03973F</t>
  </si>
  <si>
    <t>AOTI Ltd</t>
  </si>
  <si>
    <t>Employer: AOTI Ltd :: Number of Members: 1</t>
  </si>
  <si>
    <t>25288CBPR040003</t>
  </si>
  <si>
    <t>25286CBPR039AB8</t>
  </si>
  <si>
    <t>25288CBPR040AAB</t>
  </si>
  <si>
    <t>iNua Hillgrove General Partner Limited</t>
  </si>
  <si>
    <t>Paul Dolan Added</t>
  </si>
  <si>
    <t>25269CBPR00E653</t>
  </si>
  <si>
    <t>Justyna Leszkiewicz Added</t>
  </si>
  <si>
    <t>25276CBPR01C176</t>
  </si>
  <si>
    <t>25280CBPR02A4D6</t>
  </si>
  <si>
    <t>Broderick Bros Limited</t>
  </si>
  <si>
    <t>25280CBPR02A578</t>
  </si>
  <si>
    <t>Acia Aero Leasing (Ireland) Limited</t>
  </si>
  <si>
    <t>25289CBPR043238</t>
  </si>
  <si>
    <t>Drogheda Credit Union Ltd - DC Plan</t>
  </si>
  <si>
    <t>25283CBPR035C37</t>
  </si>
  <si>
    <t>25283CBPR035C95</t>
  </si>
  <si>
    <t>25286CBPR039133</t>
  </si>
  <si>
    <t>QIL Technologies Limited</t>
  </si>
  <si>
    <t>RN10</t>
  </si>
  <si>
    <t>Unio (L&amp;P)</t>
  </si>
  <si>
    <t>25282CBPR032857</t>
  </si>
  <si>
    <t>Presentation Brothers (Ireland)</t>
  </si>
  <si>
    <t>O331666</t>
  </si>
  <si>
    <t>25273CBPR014E79</t>
  </si>
  <si>
    <t>Masterlink Central Services Ltd</t>
  </si>
  <si>
    <t>TEXT: David Keane Added, Member No. 1200121</t>
  </si>
  <si>
    <t>25280CBPR02A10D</t>
  </si>
  <si>
    <t>25288CBPR040B8D</t>
  </si>
  <si>
    <t>25291CBPR047087</t>
  </si>
  <si>
    <t>25293CBPR04C125</t>
  </si>
  <si>
    <t>Ayvens Ireland Limited</t>
  </si>
  <si>
    <t>25293CBPR04BE91</t>
  </si>
  <si>
    <t>Colchester Global Investors (Dublin)</t>
  </si>
  <si>
    <t>25283CBPR035AF1</t>
  </si>
  <si>
    <t>25288CBPR040AC5</t>
  </si>
  <si>
    <t>SecureShare IPB Insu</t>
  </si>
  <si>
    <t>25272CBPR012872</t>
  </si>
  <si>
    <t>2 x NE - PPS incomplete for Mark O Callaghan</t>
  </si>
  <si>
    <t>External Awaiting Advices</t>
  </si>
  <si>
    <t>O358020</t>
  </si>
  <si>
    <t>25281CBPR03036E</t>
  </si>
  <si>
    <t>Tara OSullivan =  salary os</t>
  </si>
  <si>
    <t>O356569</t>
  </si>
  <si>
    <t>25281CBPR02F6CC</t>
  </si>
  <si>
    <t>Sameh Aly- Start date 01/01/26- Have to wait closer to add</t>
  </si>
  <si>
    <t>O362446</t>
  </si>
  <si>
    <t>25282CBPR03474F</t>
  </si>
  <si>
    <t>John Phelan  1202651</t>
  </si>
  <si>
    <t>A400</t>
  </si>
  <si>
    <t>DCSECSTF</t>
  </si>
  <si>
    <t>Irish Life Assurance - CB</t>
  </si>
  <si>
    <t>O380199</t>
  </si>
  <si>
    <t>25288CBPR03FA10</t>
  </si>
  <si>
    <t>Irish Life and Canada Life DC Plan</t>
  </si>
  <si>
    <t>Declan mcManus - added 1203622</t>
  </si>
  <si>
    <t>O386734</t>
  </si>
  <si>
    <t>25289CBPR043A92</t>
  </si>
  <si>
    <t>Amy Moralee - added 1203886</t>
  </si>
  <si>
    <t>O386738</t>
  </si>
  <si>
    <t>25289CBPR043A9C</t>
  </si>
  <si>
    <t>Marcia de Jesus Martins - added 1203887</t>
  </si>
  <si>
    <t>O386749</t>
  </si>
  <si>
    <t>25289CBPR043AAE</t>
  </si>
  <si>
    <t>Hariph Clarke - added 1203888</t>
  </si>
  <si>
    <t>O386756</t>
  </si>
  <si>
    <t>25289CBPR043AB9</t>
  </si>
  <si>
    <t>Holly Butler - added 1203889</t>
  </si>
  <si>
    <t>O386764</t>
  </si>
  <si>
    <t>25289CBPR043AC9</t>
  </si>
  <si>
    <t>Frankline Ibikunle - added 1203885</t>
  </si>
  <si>
    <t>SSC</t>
  </si>
  <si>
    <t>O369228</t>
  </si>
  <si>
    <t>25286CBPR03A0AC</t>
  </si>
  <si>
    <t>Ryan Sheerin - digi - added 1202546</t>
  </si>
  <si>
    <t>O388473</t>
  </si>
  <si>
    <t>25290CBPR0451B6</t>
  </si>
  <si>
    <t>C Cassidy - added 1204076</t>
  </si>
  <si>
    <t>O390975</t>
  </si>
  <si>
    <t>25290CBPR046591</t>
  </si>
  <si>
    <t>Eamonn ODonoghue - added 1204861</t>
  </si>
  <si>
    <t>DCSECURE</t>
  </si>
  <si>
    <t>25273CBPR014D91</t>
  </si>
  <si>
    <t>ILCB Hybrid TV - new joiners:  P Starrs not joining</t>
  </si>
  <si>
    <t>25279CBPR025C71</t>
  </si>
  <si>
    <t>Cornmarket GFS Ltd.</t>
  </si>
  <si>
    <t>13 NEs Cornmarket :: Number of Members: 13</t>
  </si>
  <si>
    <t>O363124</t>
  </si>
  <si>
    <t>25283CBPR03540F</t>
  </si>
  <si>
    <t>Abbi Murray - added 1202543</t>
  </si>
  <si>
    <t>O383406</t>
  </si>
  <si>
    <t>25289CBPR04214D</t>
  </si>
  <si>
    <t>Niall Aherne - 1205632</t>
  </si>
  <si>
    <t>O383631</t>
  </si>
  <si>
    <t>25289CBPR0422C2</t>
  </si>
  <si>
    <t>Unio Financial Services Ltd Staff Scheme</t>
  </si>
  <si>
    <t>Sue Sexton - added 1205371</t>
  </si>
  <si>
    <t>O383637</t>
  </si>
  <si>
    <t>25289CBPR0422CC</t>
  </si>
  <si>
    <t>Gora Wojciech - added 1205366</t>
  </si>
  <si>
    <t>O383639</t>
  </si>
  <si>
    <t>25289CBPR0422CF</t>
  </si>
  <si>
    <t>Philip Lucid - added 1205369</t>
  </si>
  <si>
    <t>O383656</t>
  </si>
  <si>
    <t>25289CBPR0422DF</t>
  </si>
  <si>
    <t>Francine Ribeiro - added 1205384</t>
  </si>
  <si>
    <t>O329780</t>
  </si>
  <si>
    <t>25273CBPR013E98</t>
  </si>
  <si>
    <t>Hugo Harty - added 1200125</t>
  </si>
  <si>
    <t>O330422</t>
  </si>
  <si>
    <t>25273CBPR0144C4</t>
  </si>
  <si>
    <t>Hazel O'Connor - added 1200127</t>
  </si>
  <si>
    <t>O332394</t>
  </si>
  <si>
    <t>25274CBPR01627A</t>
  </si>
  <si>
    <t>Cara Lewis - added 1200246</t>
  </si>
  <si>
    <t>O340185</t>
  </si>
  <si>
    <t>25275CBPR01AA27</t>
  </si>
  <si>
    <t>B Rodrigues - added 1200433</t>
  </si>
  <si>
    <t>O381989</t>
  </si>
  <si>
    <t>25288CBPR04095E</t>
  </si>
  <si>
    <t>A Dumitru - added 1203620</t>
  </si>
  <si>
    <t>O326707</t>
  </si>
  <si>
    <t>25272CBPR0123A5</t>
  </si>
  <si>
    <t>Abelo Capital Aviation Management Ltd</t>
  </si>
  <si>
    <t>DIGI: Martina O'Neill Added, Member No. 1199888 (Email Updated)</t>
  </si>
  <si>
    <t>Failed</t>
  </si>
  <si>
    <t>Data input error</t>
  </si>
  <si>
    <t>O316238</t>
  </si>
  <si>
    <t>25268CBPR00A33C</t>
  </si>
  <si>
    <t>16800 SPs (8000 &amp; 8800) Lynda Moore</t>
  </si>
  <si>
    <t>O324513</t>
  </si>
  <si>
    <t>25272CBPR011477</t>
  </si>
  <si>
    <t>Jean OConnor 1199818 member update done</t>
  </si>
  <si>
    <t>O383352</t>
  </si>
  <si>
    <t>25289CBPR0420EF</t>
  </si>
  <si>
    <t>CLARE RICE DOJ 01/06/2025</t>
  </si>
  <si>
    <t>25275CBPR018AB0</t>
  </si>
  <si>
    <t>Francesco Incarbona- DOB confirmed</t>
  </si>
  <si>
    <t>Detail entered below (5)</t>
  </si>
  <si>
    <t>O357046</t>
  </si>
  <si>
    <t>25281CBPR02FA5B</t>
  </si>
  <si>
    <t>Martina Cassidy  1200900</t>
  </si>
  <si>
    <t>25284CBPR037380</t>
  </si>
  <si>
    <t>1ne - Davide- Funds dropped</t>
  </si>
  <si>
    <t>25288CBPR040629</t>
  </si>
  <si>
    <t>Employer: Intel :: Number of Members: 4</t>
  </si>
  <si>
    <t>O333048</t>
  </si>
  <si>
    <t>25274CBPR01666D</t>
  </si>
  <si>
    <t>DIGI: Asmita Vaswani Added, Member No. 1200420 (Other Apps Copied Out)</t>
  </si>
  <si>
    <t>25290CBPR045583</t>
  </si>
  <si>
    <t>Employer: Dillon :: Number of Members: 2</t>
  </si>
  <si>
    <t>O339589</t>
  </si>
  <si>
    <t>25275CBPR01A1CD</t>
  </si>
  <si>
    <t>Patrick Egan DOJ 01/07/25</t>
  </si>
  <si>
    <t>failed</t>
  </si>
  <si>
    <t>25274CBPR016666</t>
  </si>
  <si>
    <t>SSI Schaefer Limited</t>
  </si>
  <si>
    <t>25286CBPR039879</t>
  </si>
  <si>
    <t>D488</t>
  </si>
  <si>
    <t>O'HANRAHAN &amp; ASSOCIATES</t>
  </si>
  <si>
    <t>25289CBPR04222D</t>
  </si>
  <si>
    <t>McGregor Sports &amp; Entertainment Limited</t>
  </si>
  <si>
    <t>PP04- forged stout distribution</t>
  </si>
  <si>
    <t>25289CBPR042235</t>
  </si>
  <si>
    <t>PP01- McGregor Sports</t>
  </si>
  <si>
    <t>25289CBPR04223E</t>
  </si>
  <si>
    <t>PP07- Pepper Blue</t>
  </si>
  <si>
    <t>25273CBPR013432</t>
  </si>
  <si>
    <t>Employer: Viatris :: Number of Members: 25</t>
  </si>
  <si>
    <t>25279CBPR02551F</t>
  </si>
  <si>
    <t>Employer: Viatris :: Number of Members: 5</t>
  </si>
  <si>
    <t>25280CBPR02A162</t>
  </si>
  <si>
    <t>Employer: Electronic Arts :: Number of Members: 8</t>
  </si>
  <si>
    <t>25280CBPR02A219</t>
  </si>
  <si>
    <t>IPM Potato Group Limited</t>
  </si>
  <si>
    <t>Employer: IPM Potato :: Number of Members: 1</t>
  </si>
  <si>
    <t>25280CBPR02A463</t>
  </si>
  <si>
    <t>TK Maxx Ireland</t>
  </si>
  <si>
    <t>Employer: TK Maxx :: Number of Members: 2</t>
  </si>
  <si>
    <t>25293CBPR04B352</t>
  </si>
  <si>
    <t>603505 7NE</t>
  </si>
  <si>
    <t>25289CBPR042751</t>
  </si>
  <si>
    <t>25288CBPR040744</t>
  </si>
  <si>
    <t>John Kenny</t>
  </si>
  <si>
    <t>25281CBPR02F6ED</t>
  </si>
  <si>
    <t>25274CBPR017730</t>
  </si>
  <si>
    <t>D536</t>
  </si>
  <si>
    <t>25281CBPR02C532</t>
  </si>
  <si>
    <t>USAA INTERNATIONAL SERVCO DAC</t>
  </si>
  <si>
    <t>15x NE Sept 2025</t>
  </si>
  <si>
    <t>O345990</t>
  </si>
  <si>
    <t>25279CBPR025461</t>
  </si>
  <si>
    <t>Qistina Ab Halim- PPSN confirmed</t>
  </si>
  <si>
    <t>SecureShare Murray D</t>
  </si>
  <si>
    <t>25287CBPR03E598</t>
  </si>
  <si>
    <t>Employer: Murray Design and Engineering :: Me ... (see attached file for full description)</t>
  </si>
  <si>
    <t>25273CBPR01324F</t>
  </si>
  <si>
    <t>O330240</t>
  </si>
  <si>
    <t>25273CBPR014327</t>
  </si>
  <si>
    <t>Tom Collins</t>
  </si>
  <si>
    <t>O342506</t>
  </si>
  <si>
    <t>25276CBPR01BA39</t>
  </si>
  <si>
    <t>Macquarie Aircraft Leasing Services Ltd</t>
  </si>
  <si>
    <t>O343282</t>
  </si>
  <si>
    <t>25276CBPR01C0D6</t>
  </si>
  <si>
    <t>Sarah Grealish</t>
  </si>
  <si>
    <t>O384309</t>
  </si>
  <si>
    <t>25289CBPR04276B</t>
  </si>
  <si>
    <t>Vantage Data Centers Ireland Ltd</t>
  </si>
  <si>
    <t>Mark Ryan</t>
  </si>
  <si>
    <t>O385278</t>
  </si>
  <si>
    <t>25289CBPR042F18</t>
  </si>
  <si>
    <t>O385676</t>
  </si>
  <si>
    <t>25289CBPR04329D</t>
  </si>
  <si>
    <t>United Cinemas International(Ireland)LTD</t>
  </si>
  <si>
    <t>O347610</t>
  </si>
  <si>
    <t>25279CBPR025F9F</t>
  </si>
  <si>
    <t>SecureShare Amarin</t>
  </si>
  <si>
    <t>25288CBPR040AC4</t>
  </si>
  <si>
    <t>Employer: Amarin Pharmaceuticals Ireland Ltd. ... (see attached file for full description)</t>
  </si>
  <si>
    <t>25276CBPR01C214</t>
  </si>
  <si>
    <t>Sunglass Hut Ireland Ltd</t>
  </si>
  <si>
    <t xml:space="preserve"> Niamh Greavy Missing Contibutions</t>
  </si>
  <si>
    <t>25289CBPR043644</t>
  </si>
  <si>
    <t>Kitman Labs Limited</t>
  </si>
  <si>
    <t>Employer: Kitman Labs :: Member Name:  Tymofii Antoniuk :: Date of Birth: []</t>
  </si>
  <si>
    <t>SecureShare Gaeloide</t>
  </si>
  <si>
    <t>25286CBPR039FDB</t>
  </si>
  <si>
    <t>Employer: Gaeloideachas :: Member Name:  Caroline Ní Chualáin :: Date of Birth: 17/08/1986</t>
  </si>
  <si>
    <t>SecureShare McKesson</t>
  </si>
  <si>
    <t>25281CBPR02C2B0</t>
  </si>
  <si>
    <t>Employer: McKesson :: Member Name:  Scott Fitzgerald :: Date of Birth: 25/09/1989</t>
  </si>
  <si>
    <t>25279CBPR0253EE</t>
  </si>
  <si>
    <t>25279CBPR0253EF</t>
  </si>
  <si>
    <t>25279CBPR0253F0</t>
  </si>
  <si>
    <t>25279CBPR02546C</t>
  </si>
  <si>
    <t>25279CBPR02546D</t>
  </si>
  <si>
    <t>25279CBPR02546E</t>
  </si>
  <si>
    <t>O367918</t>
  </si>
  <si>
    <t>25286CBPR0395D0</t>
  </si>
  <si>
    <t>louise warren</t>
  </si>
  <si>
    <t>O380176</t>
  </si>
  <si>
    <t>25288CBPR03F9E4</t>
  </si>
  <si>
    <t>Todd Architects Limited</t>
  </si>
  <si>
    <t>ADAM MALONEY</t>
  </si>
  <si>
    <t>O382421</t>
  </si>
  <si>
    <t>25288CBPR040CE5</t>
  </si>
  <si>
    <t>Olami E-Commerce Solutions Ireland Ltd</t>
  </si>
  <si>
    <t>ALDO AMBROSIONI</t>
  </si>
  <si>
    <t>O344145</t>
  </si>
  <si>
    <t>25276CBPR01C7B6</t>
  </si>
  <si>
    <t>mark conway 79195</t>
  </si>
  <si>
    <t>25287CBPR03E6E2</t>
  </si>
  <si>
    <t>Employer: Dosco :: Member Name: Mr Tim O'Donoghue :: Date of Birth: 31/05/1983</t>
  </si>
  <si>
    <t>SecureShare Securita</t>
  </si>
  <si>
    <t>25283CBPR0365E7</t>
  </si>
  <si>
    <t>Securitas Security Services (Ireland)Ltd</t>
  </si>
  <si>
    <t>CLAIRE BRANIGAN</t>
  </si>
  <si>
    <t>25287CBPR03DF88</t>
  </si>
  <si>
    <t>CHAITANYA KUMAR</t>
  </si>
  <si>
    <t>SecureShare True Tem</t>
  </si>
  <si>
    <t>25288CBPR03FBC5</t>
  </si>
  <si>
    <t>GABRIEL LESLIE</t>
  </si>
  <si>
    <t>O356307</t>
  </si>
  <si>
    <t>25281CBPR02F49D</t>
  </si>
  <si>
    <t>Add member Diarmaid Buckley to scheme</t>
  </si>
  <si>
    <t>O375848</t>
  </si>
  <si>
    <t>25287CBPR03D5B7</t>
  </si>
  <si>
    <t>Gerald Bryne  1202302</t>
  </si>
  <si>
    <t>O325750</t>
  </si>
  <si>
    <t>25272CBPR011CD5</t>
  </si>
  <si>
    <t>Synergy Health Ireland Limited</t>
  </si>
  <si>
    <t>Robynn Stratford 1199673</t>
  </si>
  <si>
    <t>O330189</t>
  </si>
  <si>
    <t>25273CBPR01429A</t>
  </si>
  <si>
    <t>Jonathan Maguire 1202119</t>
  </si>
  <si>
    <t>O330209</t>
  </si>
  <si>
    <t>25273CBPR0142D6</t>
  </si>
  <si>
    <t>Pawel swierszcz 1200077</t>
  </si>
  <si>
    <t>O330259</t>
  </si>
  <si>
    <t>25273CBPR014359</t>
  </si>
  <si>
    <t>Jan Oleksa 1200072</t>
  </si>
  <si>
    <t>O331032</t>
  </si>
  <si>
    <t>25273CBPR0149FD</t>
  </si>
  <si>
    <t xml:space="preserve"> Oluwafanuhan Oluyinka 1200047</t>
  </si>
  <si>
    <t>O331067</t>
  </si>
  <si>
    <t>25273CBPR014A42</t>
  </si>
  <si>
    <t>Sinead Walsh 1202161</t>
  </si>
  <si>
    <t>O331089</t>
  </si>
  <si>
    <t>25273CBPR014A68</t>
  </si>
  <si>
    <t>Fergus Kavanagh 1200058</t>
  </si>
  <si>
    <t>O331096</t>
  </si>
  <si>
    <t>25273CBPR014A75</t>
  </si>
  <si>
    <t>Dwayne Hanney 1200056</t>
  </si>
  <si>
    <t>O331169</t>
  </si>
  <si>
    <t>25273CBPR014AF9</t>
  </si>
  <si>
    <t>Phindiwe Mqakanya  1199993</t>
  </si>
  <si>
    <t>O331215</t>
  </si>
  <si>
    <t>25273CBPR014B3D</t>
  </si>
  <si>
    <t>Malgorzata Jobcynska 1202055</t>
  </si>
  <si>
    <t>O331226</t>
  </si>
  <si>
    <t>25273CBPR014B54</t>
  </si>
  <si>
    <t>Mateusz Gralak  1202175</t>
  </si>
  <si>
    <t>O331257</t>
  </si>
  <si>
    <t>25273CBPR014BA3</t>
  </si>
  <si>
    <t>Dorian Bosnjakovic  1199963</t>
  </si>
  <si>
    <t>O331277</t>
  </si>
  <si>
    <t>25273CBPR014BCB</t>
  </si>
  <si>
    <t>Devitge Venkatesh  1202176</t>
  </si>
  <si>
    <t>O349228</t>
  </si>
  <si>
    <t>25279CBPR026B8B</t>
  </si>
  <si>
    <t>EDF Renewables Ireland Limited</t>
  </si>
  <si>
    <t>Stpehn Gonoude 1201454</t>
  </si>
  <si>
    <t>O357195</t>
  </si>
  <si>
    <t>25281CBPR02FBB9</t>
  </si>
  <si>
    <t>Bruno Ostan 1201737</t>
  </si>
  <si>
    <t>O331530</t>
  </si>
  <si>
    <t>25273CBPR014D93</t>
  </si>
  <si>
    <t>Liam Creamer 1199998</t>
  </si>
  <si>
    <t>O388559</t>
  </si>
  <si>
    <t>25290CBPR045235</t>
  </si>
  <si>
    <t>Molly Scattergood 1203848</t>
  </si>
  <si>
    <t>O390366</t>
  </si>
  <si>
    <t>25290CBPR046091</t>
  </si>
  <si>
    <t>Bimeda Animal Health Ltd</t>
  </si>
  <si>
    <t>Alan Ellis 1203827</t>
  </si>
  <si>
    <t>O395432</t>
  </si>
  <si>
    <t>25293CBPR04C2A7</t>
  </si>
  <si>
    <t>Keith Flood 1204053</t>
  </si>
  <si>
    <t>O351404</t>
  </si>
  <si>
    <t>25280CBPR02A0F5</t>
  </si>
  <si>
    <t>Golden Pages DC Plan</t>
  </si>
  <si>
    <t>Sarah Flynn 1201500</t>
  </si>
  <si>
    <t>O363204</t>
  </si>
  <si>
    <t>25283CBPR0354BF</t>
  </si>
  <si>
    <t>Graham Somers 1202445</t>
  </si>
  <si>
    <t>O338289</t>
  </si>
  <si>
    <t>25275CBPR01916F</t>
  </si>
  <si>
    <t>Nomadic Dairy Limited</t>
  </si>
  <si>
    <t>Odhran Sweeny 1200382 last 2 sections of app not dated mailed to get dated</t>
  </si>
  <si>
    <t>25274CBPR01748E</t>
  </si>
  <si>
    <t xml:space="preserve">  Pawel Marciniak 1201205</t>
  </si>
  <si>
    <t>25281CBPR02FB70</t>
  </si>
  <si>
    <t>Deirbhile OCallaghan 1201798</t>
  </si>
  <si>
    <t>25282CBPR0330FC</t>
  </si>
  <si>
    <t>Lisenko Nikolla 1202232</t>
  </si>
  <si>
    <t>25287CBPR03E0C7</t>
  </si>
  <si>
    <t>Oisin Curran  1202851</t>
  </si>
  <si>
    <t>SecureShare Bimeda A</t>
  </si>
  <si>
    <t>019260M</t>
  </si>
  <si>
    <t>25290CBPR0461E7</t>
  </si>
  <si>
    <t>Teresa Duffy 1203826</t>
  </si>
  <si>
    <t>SecureShare Boxever</t>
  </si>
  <si>
    <t>25276CBPR01C175</t>
  </si>
  <si>
    <t>Sheena Davitt  1200656</t>
  </si>
  <si>
    <t>25279CBPR0266D2</t>
  </si>
  <si>
    <t>Patrick OShaughnessy  1201350</t>
  </si>
  <si>
    <t>SecureShare ChildVis</t>
  </si>
  <si>
    <t>25286CBPR03904D</t>
  </si>
  <si>
    <t>Jennifer Ryan Proctor 1202411</t>
  </si>
  <si>
    <t>SecureShare Excelsys</t>
  </si>
  <si>
    <t>25287CBPR03D440</t>
  </si>
  <si>
    <t>Pradeep Borriah Shivalingaia 1202774</t>
  </si>
  <si>
    <t>SecureShare Ingersol</t>
  </si>
  <si>
    <t>25283CBPR03556E</t>
  </si>
  <si>
    <t>Ingersoll- Rand Industrial Ire. Limited</t>
  </si>
  <si>
    <t>Barry mcDonald 1202351</t>
  </si>
  <si>
    <t>25280CBPR02AB64</t>
  </si>
  <si>
    <t>Suzanne ODriscoll  1201631</t>
  </si>
  <si>
    <t>25279CBPR026AE6</t>
  </si>
  <si>
    <t>Employer: N/A :: Michelle Corcoran 1201339</t>
  </si>
  <si>
    <t>019106M</t>
  </si>
  <si>
    <t>25290CBPR045A6B</t>
  </si>
  <si>
    <t>Lee Richardson 1204024</t>
  </si>
  <si>
    <t>O320931</t>
  </si>
  <si>
    <t>25269CBPR00D6F9</t>
  </si>
  <si>
    <t>Sheamus Breen</t>
  </si>
  <si>
    <t>O322157</t>
  </si>
  <si>
    <t>25269CBPR00E11A</t>
  </si>
  <si>
    <t>Brendan Holohan</t>
  </si>
  <si>
    <t>O340341</t>
  </si>
  <si>
    <t>25275CBPR01AAF8</t>
  </si>
  <si>
    <t>Vamsi Balijepalli</t>
  </si>
  <si>
    <t>O340342</t>
  </si>
  <si>
    <t>25275CBPR01AAF9</t>
  </si>
  <si>
    <t>Brian Dwan - docs?</t>
  </si>
  <si>
    <t>O340343</t>
  </si>
  <si>
    <t>25275CBPR01AAFB</t>
  </si>
  <si>
    <t>Surabhi Deo</t>
  </si>
  <si>
    <t>O384518</t>
  </si>
  <si>
    <t>25289CBPR0428E4</t>
  </si>
  <si>
    <t>Mila Limited</t>
  </si>
  <si>
    <t>Cassandra Avantaggiato</t>
  </si>
  <si>
    <t>DROPZONE</t>
  </si>
  <si>
    <t>O353146</t>
  </si>
  <si>
    <t>25280CBPR02B07A</t>
  </si>
  <si>
    <t>Rhoda Groves</t>
  </si>
  <si>
    <t>25281CBPR02F644</t>
  </si>
  <si>
    <t>Aztec Financial Services (Irl) Limited</t>
  </si>
  <si>
    <t>Employer: Aztec :: Member Name: Ms Rosie Allemby :: Date of Birth: 08/07/1997</t>
  </si>
  <si>
    <t>25281CBPR02F645</t>
  </si>
  <si>
    <t>Employer: Aztec :: Member Name: Miss Nivethitha Dharmaraja :: Date of Birth: 10/03/1998</t>
  </si>
  <si>
    <t>25269CBPR00D6F1</t>
  </si>
  <si>
    <t>Oliver Nsengiyumva</t>
  </si>
  <si>
    <t>25269CBPR00E19B</t>
  </si>
  <si>
    <t>Emma Stafford</t>
  </si>
  <si>
    <t>25269CBPR00E721</t>
  </si>
  <si>
    <t>Ian Campbell</t>
  </si>
  <si>
    <t>25273CBPR0145B8</t>
  </si>
  <si>
    <t>Robert Baylon (see attached file for full description)</t>
  </si>
  <si>
    <t>25274CBPR0176B3</t>
  </si>
  <si>
    <t>Erika Nelson - added 1200247</t>
  </si>
  <si>
    <t>25282CBPR032E67</t>
  </si>
  <si>
    <t>SecureShare BMW Auto</t>
  </si>
  <si>
    <t>25280CBPR02B69B</t>
  </si>
  <si>
    <t>Employer: BMW :: Number of Members: N/A</t>
  </si>
  <si>
    <t>SecureShare GoTo Tec</t>
  </si>
  <si>
    <t>25282CBPR0333FB</t>
  </si>
  <si>
    <t>Employer: GoTo Technology Ireland Unlimited Co :: Number of Members: 2</t>
  </si>
  <si>
    <t>25269CBPR00D511</t>
  </si>
  <si>
    <t>3 Ne Bulk</t>
  </si>
  <si>
    <t>25288CBPR04093C</t>
  </si>
  <si>
    <t>25269CBPR00E19C</t>
  </si>
  <si>
    <t>Meadhbh Costigan</t>
  </si>
  <si>
    <t>SecureShare Hitachi</t>
  </si>
  <si>
    <t>25287CBPR03DC3A</t>
  </si>
  <si>
    <t>25289CBPR042D2D</t>
  </si>
  <si>
    <t>Coinbase Ireland Limited</t>
  </si>
  <si>
    <t>25290CBPR0463D0</t>
  </si>
  <si>
    <t>25279CBPR0256B3</t>
  </si>
  <si>
    <t>25279CBPR025E49</t>
  </si>
  <si>
    <t>SecureShare Twitter</t>
  </si>
  <si>
    <t>25276CBPR01BD14</t>
  </si>
  <si>
    <t>X Internet Unlimited Company</t>
  </si>
  <si>
    <t>25290CBPR0457B7</t>
  </si>
  <si>
    <t>25283CBPR0360A1</t>
  </si>
  <si>
    <t>O327130</t>
  </si>
  <si>
    <t>25272CBPR0126F3</t>
  </si>
  <si>
    <t>TEXT: Sarath Kumar Manne Added, Member No. 1199849</t>
  </si>
  <si>
    <t>O325712</t>
  </si>
  <si>
    <t>25272CBPR011C87</t>
  </si>
  <si>
    <t>DIGI: Damian Pasinski Added, Member No. 1199889</t>
  </si>
  <si>
    <t>O383729</t>
  </si>
  <si>
    <t>25289CBPR042370</t>
  </si>
  <si>
    <t>DIGI: Dorota John Added, Member No. 1203671</t>
  </si>
  <si>
    <t>O384157</t>
  </si>
  <si>
    <t>25289CBPR042663</t>
  </si>
  <si>
    <t>DIGI:  Louisa Hartnett Added, Member No. 1205607</t>
  </si>
  <si>
    <t>25280CBPR02A03D</t>
  </si>
  <si>
    <t>Omnipresent Ireland Limited</t>
  </si>
  <si>
    <t>DIGI: Thiago Henrique Ferreira Santos Added, Member No. 1201687</t>
  </si>
  <si>
    <t>25280CBPR02A40B</t>
  </si>
  <si>
    <t>DIGI: Matthew Duffy Added, Member No. 1201686</t>
  </si>
  <si>
    <t>25272CBPR01271E</t>
  </si>
  <si>
    <t>DIGI: Conor Healy Added, Member No. 1199857</t>
  </si>
  <si>
    <t>25275CBPR01929C</t>
  </si>
  <si>
    <t>TEXT: Frank Flannery Added, Member No. 1200443</t>
  </si>
  <si>
    <t>SecureShare Discover</t>
  </si>
  <si>
    <t>25279CBPR025C04</t>
  </si>
  <si>
    <t>DIGI: Sandra McCoy Added, Member No. 1200904</t>
  </si>
  <si>
    <t>25272CBPR011121</t>
  </si>
  <si>
    <t>DIGI: Carol Estephanie Diaz Rosario Added, Member No. 1199855</t>
  </si>
  <si>
    <t>25272CBPR01158C</t>
  </si>
  <si>
    <t>DIGI: Christopher Quigley Added, Member No. 1199861</t>
  </si>
  <si>
    <t>25280CBPR029F93</t>
  </si>
  <si>
    <t>TEXT: Bartlomiej Matkowski Added, Member No. 1201685</t>
  </si>
  <si>
    <t>25280CBPR02A21B</t>
  </si>
  <si>
    <t>DIGI: Mehmet Akif Ustun Added, Member No. 1201692</t>
  </si>
  <si>
    <t>25280CBPR02A46E</t>
  </si>
  <si>
    <t>DIGI: Fiona Behan Added, Member No. 1201688</t>
  </si>
  <si>
    <t>O357259</t>
  </si>
  <si>
    <t>25281CBPR02FC45</t>
  </si>
  <si>
    <t>KEMEK HOLDINGS LIMITED</t>
  </si>
  <si>
    <t>TEXT: Christopher Keenan Added, Member No. 1201935</t>
  </si>
  <si>
    <t>25280CBPR029F95</t>
  </si>
  <si>
    <t>25273CBPR0140EC</t>
  </si>
  <si>
    <t>25286CBPR03A101</t>
  </si>
  <si>
    <t>25282CBPR033773</t>
  </si>
  <si>
    <t>25283CBPR03685B</t>
  </si>
  <si>
    <t>O369298</t>
  </si>
  <si>
    <t>25286CBPR03A14B</t>
  </si>
  <si>
    <t>Conor Feely</t>
  </si>
  <si>
    <t>O325114</t>
  </si>
  <si>
    <t>25272CBPR011841</t>
  </si>
  <si>
    <t>Niamh Bracken</t>
  </si>
  <si>
    <t>O330469</t>
  </si>
  <si>
    <t>25273CBPR014528</t>
  </si>
  <si>
    <t>Rodion Belicov</t>
  </si>
  <si>
    <t>O331167</t>
  </si>
  <si>
    <t>25273CBPR014AF7</t>
  </si>
  <si>
    <t>Louisa Idemudia</t>
  </si>
  <si>
    <t>O335344</t>
  </si>
  <si>
    <t>25274CBPR01777D</t>
  </si>
  <si>
    <t>Cian Collins</t>
  </si>
  <si>
    <t>O335431</t>
  </si>
  <si>
    <t>25274CBPR01782C</t>
  </si>
  <si>
    <t>Amy Hennessy</t>
  </si>
  <si>
    <t>O384826</t>
  </si>
  <si>
    <t>25289CBPR042B50</t>
  </si>
  <si>
    <t>Derek Price</t>
  </si>
  <si>
    <t>O384835</t>
  </si>
  <si>
    <t>25289CBPR042B62</t>
  </si>
  <si>
    <t>Oleksandra Chaban</t>
  </si>
  <si>
    <t>O368134</t>
  </si>
  <si>
    <t>25286CBPR039784</t>
  </si>
  <si>
    <t>Miguel Balala</t>
  </si>
  <si>
    <t>25274CBPR0175EA</t>
  </si>
  <si>
    <t>Ferrari Logistics Ireland Ltd</t>
  </si>
  <si>
    <t>Justyn Szost</t>
  </si>
  <si>
    <t>25287CBPR03DDF7</t>
  </si>
  <si>
    <t>Employer: Kitman Labs :: Member Name:  Willian Gama :: Date of Birth: []</t>
  </si>
  <si>
    <t>25287CBPR03DDF8</t>
  </si>
  <si>
    <t>Employer: Kitman Labs :: Member Name:  Anderson Goncalves :: Date of Birth: []</t>
  </si>
  <si>
    <t>25287CBPR03DDF9</t>
  </si>
  <si>
    <t>Employer: Kitman Labs :: Member Name:  Vinicius Ordobas :: Date of Birth: []</t>
  </si>
  <si>
    <t>25280CBPR02A634</t>
  </si>
  <si>
    <t>Employer: N/A :: Member Name:  Julien Littler :: Date of Birth: []</t>
  </si>
  <si>
    <t>25280CBPR02A635</t>
  </si>
  <si>
    <t>Matthew Cutler</t>
  </si>
  <si>
    <t>25280CBPR02A636</t>
  </si>
  <si>
    <t>Employer: N/A :: Member Name:  Anne Cusack :: Date of Birth: []</t>
  </si>
  <si>
    <t>25280CBPR02A694</t>
  </si>
  <si>
    <t>Employer: N/A :: Member Name:  Tadgh Kennedy King :: Date of Birth: []</t>
  </si>
  <si>
    <t>25281CBPR02C35A</t>
  </si>
  <si>
    <t>Employer: N/A :: Member Name:  Michael Bourke :: Date of Birth: []</t>
  </si>
  <si>
    <t>25281CBPR02C35C</t>
  </si>
  <si>
    <t>Employer: N/A :: Member Name:  David O'Shaughnessy :: Date of Birth: []</t>
  </si>
  <si>
    <t>25269CBPR00D8D4</t>
  </si>
  <si>
    <t>Employer: CSC Capital Markets (Ireland) Ltd : ... (see attached file for full description)</t>
  </si>
  <si>
    <t>25269CBPR00DE34</t>
  </si>
  <si>
    <t>David Busher</t>
  </si>
  <si>
    <t>25287CBPR03E4F1</t>
  </si>
  <si>
    <t>25273CBPR013250</t>
  </si>
  <si>
    <t>Vladyslave Oksentiuk</t>
  </si>
  <si>
    <t>25273CBPR014270</t>
  </si>
  <si>
    <t>David McHugh</t>
  </si>
  <si>
    <t>25273CBPR01467C</t>
  </si>
  <si>
    <t>Bharath Gunasekaran</t>
  </si>
  <si>
    <t>SecureShare Korn Fer</t>
  </si>
  <si>
    <t>25288CBPR040567</t>
  </si>
  <si>
    <t>Korn Ferry (IE) Limited</t>
  </si>
  <si>
    <t>25280CBPR02737F</t>
  </si>
  <si>
    <t>N904</t>
  </si>
  <si>
    <t>Mercer/Marsh</t>
  </si>
  <si>
    <t>O232258</t>
  </si>
  <si>
    <t>25239CBPR00770B</t>
  </si>
  <si>
    <t>M Sheridan - internal TV - requested fund choice</t>
  </si>
  <si>
    <t>O232261</t>
  </si>
  <si>
    <t>25239CBPR007716</t>
  </si>
  <si>
    <t>P Ashbrook - internal TV - fund choice requested</t>
  </si>
  <si>
    <t>25282CBPR0334F3</t>
  </si>
  <si>
    <t>Julian Van Zijl- ER details confirmed</t>
  </si>
  <si>
    <t>25282CBPR033539</t>
  </si>
  <si>
    <t>Ahmad Rizal Ahmad Nor</t>
  </si>
  <si>
    <t>25282CBPR03359D</t>
  </si>
  <si>
    <t>Karl Derwin</t>
  </si>
  <si>
    <t>O391351</t>
  </si>
  <si>
    <t>25290CBPR046852</t>
  </si>
  <si>
    <t>Plassey Campus Centre Ltd</t>
  </si>
  <si>
    <t>SecureShare Open Tex</t>
  </si>
  <si>
    <t>25288CBPR040134</t>
  </si>
  <si>
    <t>Employer: OpenText Ireland Limited :: Member  ... (see attached file for full description)</t>
  </si>
  <si>
    <t>SecureShare PHX Irel</t>
  </si>
  <si>
    <t>25281CBPR02F506</t>
  </si>
  <si>
    <t>Employer: TCP Homecare :: Member Name:  Rebekah Duffy :: Date of Birth: 12/09/1992</t>
  </si>
  <si>
    <t>25276CBPR01B329</t>
  </si>
  <si>
    <t>Employer: Tokyo Electron Europe Ltd. - Irish  ... (see attached file for full description)</t>
  </si>
  <si>
    <t>25279CBPR02523C</t>
  </si>
  <si>
    <t>25287CBPR03E89A</t>
  </si>
  <si>
    <t>CATHERINE DOYLE</t>
  </si>
  <si>
    <t>25288CBPR03FAE5</t>
  </si>
  <si>
    <t>25281CBPR02FC83</t>
  </si>
  <si>
    <t>Kieran Kelliher1201797</t>
  </si>
  <si>
    <t>25289CBPR043310</t>
  </si>
  <si>
    <t>Eoin Kelleher 1203699</t>
  </si>
  <si>
    <t>25274CBPR016AEC</t>
  </si>
  <si>
    <t>Abdelkrim Ouhab 1200270</t>
  </si>
  <si>
    <t>25287CBPR03C240</t>
  </si>
  <si>
    <t>Tracey Graham 1202773</t>
  </si>
  <si>
    <t>019941M</t>
  </si>
  <si>
    <t>25293CBPR04B242</t>
  </si>
  <si>
    <t>Alan Finn 1204301</t>
  </si>
  <si>
    <t>O321525</t>
  </si>
  <si>
    <t>25269CBPR00DB83</t>
  </si>
  <si>
    <t>Akshay Shah</t>
  </si>
  <si>
    <t>25269CBPR00E77C</t>
  </si>
  <si>
    <t>Employer: Munster Bovine :: Member Name: Mrs Gobnait Herlihy :: Date of Birth: 16/04/1990</t>
  </si>
  <si>
    <t>020061M</t>
  </si>
  <si>
    <t>25293CBPR04B953</t>
  </si>
  <si>
    <t>Trever Gaul</t>
  </si>
  <si>
    <t>25275CBPR019C66</t>
  </si>
  <si>
    <t>Michael O'Connor - added 1200436</t>
  </si>
  <si>
    <t>SecureShare Bandon V</t>
  </si>
  <si>
    <t>25290CBPR0459B7</t>
  </si>
  <si>
    <t>25276CBPR01BAAD</t>
  </si>
  <si>
    <t>TEXT: Rachel Lynch Added, Member No. 1200554</t>
  </si>
  <si>
    <t>E918</t>
  </si>
  <si>
    <t>O387087</t>
  </si>
  <si>
    <t>25289CBPR043CF5</t>
  </si>
  <si>
    <t>O387097</t>
  </si>
  <si>
    <t>25289CBPR043D05</t>
  </si>
  <si>
    <t>Paul Tansey NE digi</t>
  </si>
  <si>
    <t>O328284</t>
  </si>
  <si>
    <t>25273CBPR013356</t>
  </si>
  <si>
    <t>Colin Murtagh</t>
  </si>
  <si>
    <t>O363224</t>
  </si>
  <si>
    <t>25283CBPR0354EB</t>
  </si>
  <si>
    <t>Kerry County Council</t>
  </si>
  <si>
    <t>Margaret O'Connor DOJ 01/07/25</t>
  </si>
  <si>
    <t>O332626</t>
  </si>
  <si>
    <t>25274CBPR0179FB</t>
  </si>
  <si>
    <t>Noel Holleran SP 21000</t>
  </si>
  <si>
    <t>O322380</t>
  </si>
  <si>
    <t>25269CBPR00E30B</t>
  </si>
  <si>
    <t>T U I (Galway Mayo Institute Of Technolo</t>
  </si>
  <si>
    <t>Mary Rogers SP 46798</t>
  </si>
  <si>
    <t>O229002</t>
  </si>
  <si>
    <t>25238CBPR005B6C</t>
  </si>
  <si>
    <t xml:space="preserve"> EDEL EMERSON linked confo of fund name ) - FU 01/10</t>
  </si>
  <si>
    <t>O320272</t>
  </si>
  <si>
    <t>25269CBPR00D205</t>
  </si>
  <si>
    <t>T U I ( Institute of Technology Tralee )</t>
  </si>
  <si>
    <t>Eugene Ross SP 4300</t>
  </si>
  <si>
    <t>O329535</t>
  </si>
  <si>
    <t>25273CBPR013C46</t>
  </si>
  <si>
    <t>Jennifer Morgan</t>
  </si>
  <si>
    <t>O329551</t>
  </si>
  <si>
    <t>25273CBPR013C6B</t>
  </si>
  <si>
    <t>Gillian Cody SP 16000</t>
  </si>
  <si>
    <t>O330197</t>
  </si>
  <si>
    <t>25273CBPR0142B0</t>
  </si>
  <si>
    <t>Laura Clarke n/e app</t>
  </si>
  <si>
    <t>O330210</t>
  </si>
  <si>
    <t>25273CBPR0142DE</t>
  </si>
  <si>
    <t>Keith Kerley</t>
  </si>
  <si>
    <t>O330245</t>
  </si>
  <si>
    <t>25273CBPR01433A</t>
  </si>
  <si>
    <t>Miria O'Dowd</t>
  </si>
  <si>
    <t>O330257</t>
  </si>
  <si>
    <t>25273CBPR014353</t>
  </si>
  <si>
    <t>Brendan O'Keeffe</t>
  </si>
  <si>
    <t>O330285</t>
  </si>
  <si>
    <t>25273CBPR01438F</t>
  </si>
  <si>
    <t>Anthony Grenham</t>
  </si>
  <si>
    <t>O330323</t>
  </si>
  <si>
    <t>25273CBPR0143E9</t>
  </si>
  <si>
    <t>Yasemin Ozdemir</t>
  </si>
  <si>
    <t>O330354</t>
  </si>
  <si>
    <t>25273CBPR014436</t>
  </si>
  <si>
    <t>Mary O'Keeffe</t>
  </si>
  <si>
    <t>O330380</t>
  </si>
  <si>
    <t>25273CBPR014466</t>
  </si>
  <si>
    <t>Dean Curtin</t>
  </si>
  <si>
    <t>O330561</t>
  </si>
  <si>
    <t>25273CBPR0145F8</t>
  </si>
  <si>
    <t>Nicole Cullen  n/e app</t>
  </si>
  <si>
    <t>O330640</t>
  </si>
  <si>
    <t>25273CBPR0146AB</t>
  </si>
  <si>
    <t>Conor O'Reilly</t>
  </si>
  <si>
    <t>O330983</t>
  </si>
  <si>
    <t>25273CBPR0149A0</t>
  </si>
  <si>
    <t>Grainne Brothwood</t>
  </si>
  <si>
    <t>O331028</t>
  </si>
  <si>
    <t>25273CBPR0149F1</t>
  </si>
  <si>
    <t>Barry Corby</t>
  </si>
  <si>
    <t>O331057</t>
  </si>
  <si>
    <t>25273CBPR014A2A</t>
  </si>
  <si>
    <t>Shane Rafferty</t>
  </si>
  <si>
    <t>O331162</t>
  </si>
  <si>
    <t>25273CBPR014AEC</t>
  </si>
  <si>
    <t>Pat Doran</t>
  </si>
  <si>
    <t>O333996</t>
  </si>
  <si>
    <t>25274CBPR016D3B</t>
  </si>
  <si>
    <t>Paul McDonald n/e app</t>
  </si>
  <si>
    <t>O334261</t>
  </si>
  <si>
    <t>25274CBPR016F4F</t>
  </si>
  <si>
    <t>Catherine Mullane</t>
  </si>
  <si>
    <t>O337274</t>
  </si>
  <si>
    <t>25275CBPR0184DE</t>
  </si>
  <si>
    <t>Westmeath County Council</t>
  </si>
  <si>
    <t>Derek Gannon</t>
  </si>
  <si>
    <t>O343906</t>
  </si>
  <si>
    <t>25276CBPR01C5BE</t>
  </si>
  <si>
    <t>Sinead Masnsell n/e app- Superann confirmed</t>
  </si>
  <si>
    <t>O388831</t>
  </si>
  <si>
    <t>25290CBPR045488</t>
  </si>
  <si>
    <t>Louise O'Donovan SP 18158</t>
  </si>
  <si>
    <t>O323406</t>
  </si>
  <si>
    <t>25270CBPR00F1E3</t>
  </si>
  <si>
    <t>Ed Daly DOJ 01/07/25</t>
  </si>
  <si>
    <t>O323409</t>
  </si>
  <si>
    <t>25270CBPR00F1E5</t>
  </si>
  <si>
    <t>T U I Waterford Institute of Technology</t>
  </si>
  <si>
    <t>Eleanor Kent DOJ 01/07/25</t>
  </si>
  <si>
    <t>O323425</t>
  </si>
  <si>
    <t>25270CBPR00F200</t>
  </si>
  <si>
    <t>Helen Delargy Boyle DOJ 01/07/25</t>
  </si>
  <si>
    <t>O323437</t>
  </si>
  <si>
    <t>25270CBPR00F211</t>
  </si>
  <si>
    <t>John McGarvey DOJ 01/07/25</t>
  </si>
  <si>
    <t>O323442</t>
  </si>
  <si>
    <t>25270CBPR00F217</t>
  </si>
  <si>
    <t>Julia Knobel DOJ 01/07/25</t>
  </si>
  <si>
    <t>O323443</t>
  </si>
  <si>
    <t>25270CBPR00F219</t>
  </si>
  <si>
    <t>T U I (Limerick Institute of Technology)</t>
  </si>
  <si>
    <t>Katrina Maguire DOJ 01/07/25</t>
  </si>
  <si>
    <t>O323453</t>
  </si>
  <si>
    <t>25270CBPR00F225</t>
  </si>
  <si>
    <t>Liam O'Sullivan DOJ 01/07/25</t>
  </si>
  <si>
    <t>O323471</t>
  </si>
  <si>
    <t>25270CBPR00F23A</t>
  </si>
  <si>
    <t>T U I (Dundalk Institute of Technology)</t>
  </si>
  <si>
    <t>Orlaigh Smyth DOJ 01/07/25</t>
  </si>
  <si>
    <t>O337046</t>
  </si>
  <si>
    <t>25275CBPR018375</t>
  </si>
  <si>
    <t>Ciaran Mangan DOJ 01/07/2025</t>
  </si>
  <si>
    <t>O337050</t>
  </si>
  <si>
    <t>25275CBPR01837C</t>
  </si>
  <si>
    <t>Donegal County Council</t>
  </si>
  <si>
    <t>Ciaran McEleney DOJ 01/07/2025</t>
  </si>
  <si>
    <t>O337089</t>
  </si>
  <si>
    <t>25275CBPR0183AE</t>
  </si>
  <si>
    <t>David Loughrey DOJ 01/07/2025</t>
  </si>
  <si>
    <t>O339591</t>
  </si>
  <si>
    <t>25275CBPR01A1D0</t>
  </si>
  <si>
    <t>Paul Coffey DOJ 01/07/2025</t>
  </si>
  <si>
    <t>O339600</t>
  </si>
  <si>
    <t>25275CBPR01A1E8</t>
  </si>
  <si>
    <t>Paul Hyland DOJ 01/07/25</t>
  </si>
  <si>
    <t>O339603</t>
  </si>
  <si>
    <t>25275CBPR01A1EC</t>
  </si>
  <si>
    <t>Roisin Ambrose DOJ 01/07/25</t>
  </si>
  <si>
    <t>O339604</t>
  </si>
  <si>
    <t>25275CBPR01A1ED</t>
  </si>
  <si>
    <t>Paul Kelly DOJ 01/07/25</t>
  </si>
  <si>
    <t>O339605</t>
  </si>
  <si>
    <t>25275CBPR01A1EE</t>
  </si>
  <si>
    <t>Roisin Phelan DOJ 01/07/25</t>
  </si>
  <si>
    <t>O339614</t>
  </si>
  <si>
    <t>25275CBPR01A209</t>
  </si>
  <si>
    <t>Ronan Kelly DOJ 01/07/25</t>
  </si>
  <si>
    <t>O339613</t>
  </si>
  <si>
    <t>25275CBPR01A20A</t>
  </si>
  <si>
    <t>Rosa Flannery DOJ 01/07/25</t>
  </si>
  <si>
    <t>O339651</t>
  </si>
  <si>
    <t>25275CBPR01A27E</t>
  </si>
  <si>
    <t>Yuliya Semenova DOJ 01/07/25</t>
  </si>
  <si>
    <t>O339655</t>
  </si>
  <si>
    <t>25275CBPR01A294</t>
  </si>
  <si>
    <t>Zoe Moynihan DOJ 01/07/2025</t>
  </si>
  <si>
    <t>O360830</t>
  </si>
  <si>
    <t>25282CBPR033A08</t>
  </si>
  <si>
    <t>Irish Federation of University Teachers</t>
  </si>
  <si>
    <t>Mary Delaney DOJ 01/07/25</t>
  </si>
  <si>
    <t>O360867</t>
  </si>
  <si>
    <t>25282CBPR033A5C</t>
  </si>
  <si>
    <t>Noel Shanahan DOJ 01/07/25</t>
  </si>
  <si>
    <t>O360845</t>
  </si>
  <si>
    <t>25282CBPR033A28</t>
  </si>
  <si>
    <t>Maureen Lane DOJ 01/07/25</t>
  </si>
  <si>
    <t>O360849</t>
  </si>
  <si>
    <t>25282CBPR033A2E</t>
  </si>
  <si>
    <t>Mary Murphy DOJ 01/07/25</t>
  </si>
  <si>
    <t>O360859</t>
  </si>
  <si>
    <t>25282CBPR033A49</t>
  </si>
  <si>
    <t>Niamh McNamara DOJ 01/07/25</t>
  </si>
  <si>
    <t>O360872</t>
  </si>
  <si>
    <t>25282CBPR033A70</t>
  </si>
  <si>
    <t>Orla O'Malley DOJ 01/07/25</t>
  </si>
  <si>
    <t>O360873</t>
  </si>
  <si>
    <t>25282CBPR033A71</t>
  </si>
  <si>
    <t>Patricia Campion DOJ 01/07/25</t>
  </si>
  <si>
    <t>O360888</t>
  </si>
  <si>
    <t>25282CBPR033A9F</t>
  </si>
  <si>
    <t>Paul Redmond DOJ 01/07/25</t>
  </si>
  <si>
    <t>O360894</t>
  </si>
  <si>
    <t>25282CBPR033AB0</t>
  </si>
  <si>
    <t>Rhona O'Neill DOJ 01/07/25</t>
  </si>
  <si>
    <t>O360920</t>
  </si>
  <si>
    <t>25282CBPR033AF5</t>
  </si>
  <si>
    <t>Sean Dalton DOJ 01/07/25</t>
  </si>
  <si>
    <t>O383684</t>
  </si>
  <si>
    <t>25289CBPR043142</t>
  </si>
  <si>
    <t>54000 SPAV NE JOHN ROBINSON DCC</t>
  </si>
  <si>
    <t>O360905</t>
  </si>
  <si>
    <t>25282CBPR033AC7</t>
  </si>
  <si>
    <t>Richard Alcorn DOJ 01/07/25</t>
  </si>
  <si>
    <t>O360913</t>
  </si>
  <si>
    <t>25282CBPR033ADB</t>
  </si>
  <si>
    <t>Sam McGrath DOJ 01/07/25</t>
  </si>
  <si>
    <t>O320776</t>
  </si>
  <si>
    <t>25269CBPR00D5CF</t>
  </si>
  <si>
    <t>SP 9500</t>
  </si>
  <si>
    <t>O359634</t>
  </si>
  <si>
    <t>25282CBPR032D93</t>
  </si>
  <si>
    <t>30000 SP rcd 27.8 - n/ent John Murphy</t>
  </si>
  <si>
    <t>O355049</t>
  </si>
  <si>
    <t>25281CBPR030381</t>
  </si>
  <si>
    <t>57600 SP 8.10 f-y - n/ent Marie MacSweeney</t>
  </si>
  <si>
    <t>O388645</t>
  </si>
  <si>
    <t>25290CBPR0452C8</t>
  </si>
  <si>
    <t>Katherine EVE SP 15000</t>
  </si>
  <si>
    <t>O357370</t>
  </si>
  <si>
    <t>25281CBPR02FD07</t>
  </si>
  <si>
    <t>Laura Griffin DOJ 01/07/25</t>
  </si>
  <si>
    <t>O361616</t>
  </si>
  <si>
    <t>25282CBPR0341CB</t>
  </si>
  <si>
    <t>Joseph Gill</t>
  </si>
  <si>
    <t>O335001</t>
  </si>
  <si>
    <t>25274CBPR0174B4</t>
  </si>
  <si>
    <t>Christopher Reid</t>
  </si>
  <si>
    <t>O336877</t>
  </si>
  <si>
    <t>25275CBPR018274</t>
  </si>
  <si>
    <t>Joan Drennan</t>
  </si>
  <si>
    <t>O337023</t>
  </si>
  <si>
    <t>25275CBPR01835A</t>
  </si>
  <si>
    <t>Mark Baker</t>
  </si>
  <si>
    <t>O390105</t>
  </si>
  <si>
    <t>25290CBPR045E59</t>
  </si>
  <si>
    <t>Coillte SIPTU AVC Plan</t>
  </si>
  <si>
    <t>O324297</t>
  </si>
  <si>
    <t>25272CBPR012227</t>
  </si>
  <si>
    <t>32000  601096</t>
  </si>
  <si>
    <t>O350559</t>
  </si>
  <si>
    <t>25280CBPR02AEC9</t>
  </si>
  <si>
    <t>O350558</t>
  </si>
  <si>
    <t>25280CBPR02B26A</t>
  </si>
  <si>
    <t>SP 1251</t>
  </si>
  <si>
    <t>O379326</t>
  </si>
  <si>
    <t>25289CBPR04374C</t>
  </si>
  <si>
    <t>7000.00 CHQ NOT DATED RETURN</t>
  </si>
  <si>
    <t>O334856</t>
  </si>
  <si>
    <t>25274CBPR01739B</t>
  </si>
  <si>
    <t>O337921</t>
  </si>
  <si>
    <t>25275CBPR018BB6</t>
  </si>
  <si>
    <t>18500 SP (2 amts) - n/ent Noel Gallagher, f-y</t>
  </si>
  <si>
    <t>O340144</t>
  </si>
  <si>
    <t>25275CBPR01A9BB</t>
  </si>
  <si>
    <t>O341370</t>
  </si>
  <si>
    <t>25276CBPR01B1FE</t>
  </si>
  <si>
    <t>O343017</t>
  </si>
  <si>
    <t>25276CBPR01BE73</t>
  </si>
  <si>
    <t>O353765</t>
  </si>
  <si>
    <t>25280CBPR02B501</t>
  </si>
  <si>
    <t>O385591</t>
  </si>
  <si>
    <t>25289CBPR0431C3</t>
  </si>
  <si>
    <t>5000 SP Evan Hunt n/e app</t>
  </si>
  <si>
    <t>O337059</t>
  </si>
  <si>
    <t>25275CBPR01838A</t>
  </si>
  <si>
    <t>Darragh Gyves DOJ 01/07/2025</t>
  </si>
  <si>
    <t>O337096</t>
  </si>
  <si>
    <t>25275CBPR0183B8</t>
  </si>
  <si>
    <t>Deirdre Friel DOJ 01/07/2025</t>
  </si>
  <si>
    <t>O342654</t>
  </si>
  <si>
    <t>25276CBPR01BB72</t>
  </si>
  <si>
    <t>Nicola Wallace</t>
  </si>
  <si>
    <t>O357275</t>
  </si>
  <si>
    <t>25281CBPR02FC62</t>
  </si>
  <si>
    <t>Graham Turner DOJ 01/07/25</t>
  </si>
  <si>
    <t>O357278</t>
  </si>
  <si>
    <t>25281CBPR02FC65</t>
  </si>
  <si>
    <t>Hugh Beckett DOJ 01/07/25</t>
  </si>
  <si>
    <t>O357311</t>
  </si>
  <si>
    <t>25281CBPR02FCA7</t>
  </si>
  <si>
    <t>Jeremy Bayer DOJ 01/07/25</t>
  </si>
  <si>
    <t>O357355</t>
  </si>
  <si>
    <t>25281CBPR02FCEF</t>
  </si>
  <si>
    <t>Keith Fagan DOJ 01/07/25</t>
  </si>
  <si>
    <t>O360926</t>
  </si>
  <si>
    <t>25282CBPR033B04</t>
  </si>
  <si>
    <t>Shannon Gayson DOJ 01/07/25</t>
  </si>
  <si>
    <t>O360953</t>
  </si>
  <si>
    <t>25282CBPR033B3C</t>
  </si>
  <si>
    <t>Susan Manley DOJ 01/07/25</t>
  </si>
  <si>
    <t>O360956</t>
  </si>
  <si>
    <t>25282CBPR033B41</t>
  </si>
  <si>
    <t>Theresa Watkins DOJ 01/07/25</t>
  </si>
  <si>
    <t>O360963</t>
  </si>
  <si>
    <t>25282CBPR033B52</t>
  </si>
  <si>
    <t>Trish Clarke DOJ 01/07/25</t>
  </si>
  <si>
    <t>O360968</t>
  </si>
  <si>
    <t>25282CBPR033B60</t>
  </si>
  <si>
    <t>Ultan Sherry DOJ 01/07/25</t>
  </si>
  <si>
    <t>O360983</t>
  </si>
  <si>
    <t>25282CBPR033B76</t>
  </si>
  <si>
    <t>William Walsh DOJ 01/07/25</t>
  </si>
  <si>
    <t>O383350</t>
  </si>
  <si>
    <t>25289CBPR0420EA</t>
  </si>
  <si>
    <t>CIARAN O DONNELL DOJ 01/06/2025</t>
  </si>
  <si>
    <t>O383371</t>
  </si>
  <si>
    <t>25289CBPR042107</t>
  </si>
  <si>
    <t>FIONA TIERNAN DOJ 01/06/2025</t>
  </si>
  <si>
    <t>O332625</t>
  </si>
  <si>
    <t>25274CBPR0179F8</t>
  </si>
  <si>
    <t>ADRIAN SCANLON SP 35000</t>
  </si>
  <si>
    <t>O329193</t>
  </si>
  <si>
    <t>25273CBPR01396C</t>
  </si>
  <si>
    <t>CRAIG NAUGHTON 45900</t>
  </si>
  <si>
    <t>O329384</t>
  </si>
  <si>
    <t>25273CBPR013AF9</t>
  </si>
  <si>
    <t>MARY TOBIN SP 8290 AS26248</t>
  </si>
  <si>
    <t>O329443</t>
  </si>
  <si>
    <t>25273CBPR013B88</t>
  </si>
  <si>
    <t>ORLA NI BHRIAIN SP30000 AS 99354</t>
  </si>
  <si>
    <t>O329560</t>
  </si>
  <si>
    <t>25273CBPR013C7E</t>
  </si>
  <si>
    <t>FINIAN KELLY 42694</t>
  </si>
  <si>
    <t>O333130</t>
  </si>
  <si>
    <t>25274CBPR0166F0</t>
  </si>
  <si>
    <t>SHERELL QUINN 52000</t>
  </si>
  <si>
    <t>O333245</t>
  </si>
  <si>
    <t>25274CBPR0167C4</t>
  </si>
  <si>
    <t>NIAMH CULLINANE 66021</t>
  </si>
  <si>
    <t>O333900</t>
  </si>
  <si>
    <t>25274CBPR016C82</t>
  </si>
  <si>
    <t>Georgina Hearn, execution only, 100 fee</t>
  </si>
  <si>
    <t>O333952</t>
  </si>
  <si>
    <t>25274CBPR016CDD</t>
  </si>
  <si>
    <t>JHUN DIZON AS 54198</t>
  </si>
  <si>
    <t>O334033</t>
  </si>
  <si>
    <t>25274CBPR016D85</t>
  </si>
  <si>
    <t>MICHAEL FITZPATRICK 90000</t>
  </si>
  <si>
    <t>O334065</t>
  </si>
  <si>
    <t>25274CBPR016DC3</t>
  </si>
  <si>
    <t>SOPHIE ODONNELL 33000</t>
  </si>
  <si>
    <t>O334094</t>
  </si>
  <si>
    <t>25274CBPR016DFB</t>
  </si>
  <si>
    <t>JAMIE SMITH 35000</t>
  </si>
  <si>
    <t>O334171</t>
  </si>
  <si>
    <t>25274CBPR016EA4</t>
  </si>
  <si>
    <t>Theresa Thompson, execution only, f-100</t>
  </si>
  <si>
    <t>O343462</t>
  </si>
  <si>
    <t>25276CBPR01C256</t>
  </si>
  <si>
    <t>JOSEPH SHANKEY 41684</t>
  </si>
  <si>
    <t>O386566</t>
  </si>
  <si>
    <t>25289CBPR043970</t>
  </si>
  <si>
    <t>O352782</t>
  </si>
  <si>
    <t>25280CBPR02AD8D</t>
  </si>
  <si>
    <t>Enterprise Ire IDA &amp; Science Foundation</t>
  </si>
  <si>
    <t>SANDRA WILLIS 10000 AVC</t>
  </si>
  <si>
    <t>O337019</t>
  </si>
  <si>
    <t>25275CBPR018354</t>
  </si>
  <si>
    <t>Carmel Norman DOJ 01/07/2025 84026</t>
  </si>
  <si>
    <t>O337020</t>
  </si>
  <si>
    <t>25275CBPR018355</t>
  </si>
  <si>
    <t>Carol Quinn DOJ 01/07/2025 36030</t>
  </si>
  <si>
    <t>O337034</t>
  </si>
  <si>
    <t>25275CBPR018368</t>
  </si>
  <si>
    <t>Cecilia Avarino 72677</t>
  </si>
  <si>
    <t>O337035</t>
  </si>
  <si>
    <t>25275CBPR018369</t>
  </si>
  <si>
    <t>Charlotte De But DOJ 01/07/2025 47119</t>
  </si>
  <si>
    <t>O339615</t>
  </si>
  <si>
    <t>25275CBPR01A20B</t>
  </si>
  <si>
    <t>Ruth Farrell DOJ 01/07/25 93033</t>
  </si>
  <si>
    <t>O339622</t>
  </si>
  <si>
    <t>25275CBPR01A221</t>
  </si>
  <si>
    <t>Saoirse Looney DOJ 01/07/25 40491</t>
  </si>
  <si>
    <t>O339623</t>
  </si>
  <si>
    <t>25275CBPR01A225</t>
  </si>
  <si>
    <t>Saragh Madsen DOJ 01/07/25</t>
  </si>
  <si>
    <t>O339625</t>
  </si>
  <si>
    <t>25275CBPR01A227</t>
  </si>
  <si>
    <t>Sandra Quaid DOJ 01/07/25 85342</t>
  </si>
  <si>
    <t>O339632</t>
  </si>
  <si>
    <t>25275CBPR01A240</t>
  </si>
  <si>
    <t>Sean Lane DOJ 01/07/25 45829</t>
  </si>
  <si>
    <t>O339633</t>
  </si>
  <si>
    <t>25275CBPR01A241</t>
  </si>
  <si>
    <t>Shirley O'Connor DOJ 01/07/25 78165</t>
  </si>
  <si>
    <t>O339634</t>
  </si>
  <si>
    <t>25275CBPR01A242</t>
  </si>
  <si>
    <t>Sinead Kehoe DOJ 01/07/25 88113</t>
  </si>
  <si>
    <t>O339636</t>
  </si>
  <si>
    <t>25275CBPR01A244</t>
  </si>
  <si>
    <t>Suzanne Shanley DOJ 01/07/25 78770</t>
  </si>
  <si>
    <t>O339641</t>
  </si>
  <si>
    <t>25275CBPR01A25B</t>
  </si>
  <si>
    <t>Sylvia Dempsey DOJ 01/07/25 104559</t>
  </si>
  <si>
    <t>O339642</t>
  </si>
  <si>
    <t>25275CBPR01A25C</t>
  </si>
  <si>
    <t>Teresa McGrath DOJ 01/07/25 75905</t>
  </si>
  <si>
    <t>O339643</t>
  </si>
  <si>
    <t>25275CBPR01A25D</t>
  </si>
  <si>
    <t>Trevor Lovell DOJ 01/07/25 70797</t>
  </si>
  <si>
    <t>O339644</t>
  </si>
  <si>
    <t>25275CBPR01A25E</t>
  </si>
  <si>
    <t>Vanessa Smith DOJ 01/07/25 32533</t>
  </si>
  <si>
    <t>O339649</t>
  </si>
  <si>
    <t>25275CBPR01A27D</t>
  </si>
  <si>
    <t>Vicky Galiczne Balazs DOJ 01/07/25 52888</t>
  </si>
  <si>
    <t>O360896</t>
  </si>
  <si>
    <t>25282CBPR033AB4</t>
  </si>
  <si>
    <t>Ray McMonagle DOJ 01/07/25</t>
  </si>
  <si>
    <t>O360904</t>
  </si>
  <si>
    <t>25282CBPR033AC8</t>
  </si>
  <si>
    <t>Ronan Murphy DOJ 01/07/25</t>
  </si>
  <si>
    <t>O360916</t>
  </si>
  <si>
    <t>25282CBPR033AEC</t>
  </si>
  <si>
    <t>Sarah Lynch DOJ 01/07/25</t>
  </si>
  <si>
    <t>O360946</t>
  </si>
  <si>
    <t>25282CBPR033B2C</t>
  </si>
  <si>
    <t>Sinead Hurson DOJ 01/07/25</t>
  </si>
  <si>
    <t>O355982</t>
  </si>
  <si>
    <t>25281CBPR02F217</t>
  </si>
  <si>
    <t>Delia Nolan Kennedy 1200861</t>
  </si>
  <si>
    <t>O347961</t>
  </si>
  <si>
    <t>25279CBPR0262A4</t>
  </si>
  <si>
    <t>Stephen Mullan  SP €3800 1201629</t>
  </si>
  <si>
    <t>O378220</t>
  </si>
  <si>
    <t>25287CBPR03E8C6</t>
  </si>
  <si>
    <t>CIE GROUP</t>
  </si>
  <si>
    <t>Daniel Dunne  1203842</t>
  </si>
  <si>
    <t>O337292</t>
  </si>
  <si>
    <t>25275CBPR0184FC</t>
  </si>
  <si>
    <t>Conor Harkin 1200249</t>
  </si>
  <si>
    <t>O337617</t>
  </si>
  <si>
    <t>25275CBPR01876F</t>
  </si>
  <si>
    <t>Mary Burke Rooney 1200361 have to get andrew to amend dob to 1960 keyed for 1961 to get on</t>
  </si>
  <si>
    <t>O346077</t>
  </si>
  <si>
    <t>25279CBPR0254F7</t>
  </si>
  <si>
    <t>Linda Clarke 1200864</t>
  </si>
  <si>
    <t>O362844</t>
  </si>
  <si>
    <t>25283CBPR035239</t>
  </si>
  <si>
    <t>Martina Uniacke SP</t>
  </si>
  <si>
    <t>O375899</t>
  </si>
  <si>
    <t>25287CBPR03D612</t>
  </si>
  <si>
    <t>Cathal OShea 1203042</t>
  </si>
  <si>
    <t>O348325</t>
  </si>
  <si>
    <t>25279CBPR0265AC</t>
  </si>
  <si>
    <t>Dolores Gaffney 1201244</t>
  </si>
  <si>
    <t>O348351</t>
  </si>
  <si>
    <t>25279CBPR0265E9</t>
  </si>
  <si>
    <t>Eileen Ferguson 1201241</t>
  </si>
  <si>
    <t>O348372</t>
  </si>
  <si>
    <t>25279CBPR026619</t>
  </si>
  <si>
    <t>Emmanuel Ramiterre 1201223</t>
  </si>
  <si>
    <t>O348379</t>
  </si>
  <si>
    <t>25279CBPR026629</t>
  </si>
  <si>
    <t>Eoin McCarney 1201212</t>
  </si>
  <si>
    <t>O348420</t>
  </si>
  <si>
    <t>25279CBPR026673</t>
  </si>
  <si>
    <t>Fiona Danaher 1201211</t>
  </si>
  <si>
    <t>O357478</t>
  </si>
  <si>
    <t>25281CBPR02FE6A</t>
  </si>
  <si>
    <t>Maria Quinlan 1201660</t>
  </si>
  <si>
    <t>O357485</t>
  </si>
  <si>
    <t>25281CBPR02FE7B</t>
  </si>
  <si>
    <t>Marie Murphy1201653 (member update done for DOJ to emend to 1.7.2025</t>
  </si>
  <si>
    <t>O357486</t>
  </si>
  <si>
    <t>25281CBPR02FE7C</t>
  </si>
  <si>
    <t>Marie Flavin 1203223</t>
  </si>
  <si>
    <t>O357498</t>
  </si>
  <si>
    <t>25281CBPR02FE97</t>
  </si>
  <si>
    <t>Mark Wolfe  1201642</t>
  </si>
  <si>
    <t>O360903</t>
  </si>
  <si>
    <t>25282CBPR033AC1</t>
  </si>
  <si>
    <t>Cork County Council</t>
  </si>
  <si>
    <t>Ronan Healy 1201943</t>
  </si>
  <si>
    <t>O360928</t>
  </si>
  <si>
    <t>25282CBPR033B06</t>
  </si>
  <si>
    <t>Sean O'Sullivan  1201941</t>
  </si>
  <si>
    <t>O383314</t>
  </si>
  <si>
    <t>25289CBPR0420A9</t>
  </si>
  <si>
    <t>Abubakr SIDDIG  1203700</t>
  </si>
  <si>
    <t>O383321</t>
  </si>
  <si>
    <t>25289CBPR0420B9</t>
  </si>
  <si>
    <t>AIDEEN BRENNAN DOJ 01/04/2025 1203708</t>
  </si>
  <si>
    <t>O383322</t>
  </si>
  <si>
    <t>25289CBPR0420BA</t>
  </si>
  <si>
    <t>AINE COGHAN DOJ 01/06/2025- 1203710</t>
  </si>
  <si>
    <t>O383328</t>
  </si>
  <si>
    <t>25289CBPR0420C4</t>
  </si>
  <si>
    <t>BARBARA GAVIN DOJ 01/06/2025 1203729</t>
  </si>
  <si>
    <t>O383335</t>
  </si>
  <si>
    <t>25289CBPR0420D1</t>
  </si>
  <si>
    <t>BRIAN CAFFERY DOJ 01/06/2025   1203733</t>
  </si>
  <si>
    <t>O383336</t>
  </si>
  <si>
    <t>25289CBPR0420D2</t>
  </si>
  <si>
    <t>BRID CRUMLISH DOJ 01/06/2025 1203734</t>
  </si>
  <si>
    <t>O383338</t>
  </si>
  <si>
    <t>25289CBPR0420D6</t>
  </si>
  <si>
    <t>CAITRIONA FOX MURRAY DOJ 01/06/25 1203744</t>
  </si>
  <si>
    <t>O383340</t>
  </si>
  <si>
    <t>25289CBPR0420D8</t>
  </si>
  <si>
    <t>CARMEL BERGIN DOJ 01/06/2025 1203765</t>
  </si>
  <si>
    <t>O383358</t>
  </si>
  <si>
    <t>25289CBPR0420F8</t>
  </si>
  <si>
    <t>DEIRDE REYNOLDS DOJ 01/06/25 1203768</t>
  </si>
  <si>
    <t>O383360</t>
  </si>
  <si>
    <t>25289CBPR0420F9</t>
  </si>
  <si>
    <t>DENISE RING DOJ 01/06/2025 - 1203770</t>
  </si>
  <si>
    <t>O383366</t>
  </si>
  <si>
    <t>25289CBPR042100</t>
  </si>
  <si>
    <t>EMER O FARRELL -1203773 -  DOJ 01/06/2025</t>
  </si>
  <si>
    <t>SecureShare Enterpri</t>
  </si>
  <si>
    <t>019346M</t>
  </si>
  <si>
    <t>25290CBPR04682E</t>
  </si>
  <si>
    <t>Hannah Fitzpatrick SP 7,600 - 1204429</t>
  </si>
  <si>
    <t>O360857</t>
  </si>
  <si>
    <t>25282CBPR033A44</t>
  </si>
  <si>
    <t>Megan Roe Condon DOJ 01/07/25</t>
  </si>
  <si>
    <t>O360961</t>
  </si>
  <si>
    <t>25282CBPR033B4E</t>
  </si>
  <si>
    <t>Thomas McKenzie 1201881</t>
  </si>
  <si>
    <t>O387099</t>
  </si>
  <si>
    <t>25289CBPR043D07</t>
  </si>
  <si>
    <t>DIGI: Marie Thompson Added, Member No. 1204048</t>
  </si>
  <si>
    <t>O387100</t>
  </si>
  <si>
    <t>25289CBPR043D08</t>
  </si>
  <si>
    <t>DIGI: Jonathan Byrne Added, Member No. 1203993</t>
  </si>
  <si>
    <t>O324894</t>
  </si>
  <si>
    <t>25272CBPR011701</t>
  </si>
  <si>
    <t>TEXT: Sinead Lonergan Added, Member No. 1199905 - SP 10000</t>
  </si>
  <si>
    <t>O323253</t>
  </si>
  <si>
    <t>25270CBPR00F0A8</t>
  </si>
  <si>
    <t>DIGI: Emer McKenna Added, Member No. 1199714</t>
  </si>
  <si>
    <t>O323264</t>
  </si>
  <si>
    <t>25270CBPR00F0C1</t>
  </si>
  <si>
    <t>DIGI: Patrick McKenna Added, Member No. 1199735</t>
  </si>
  <si>
    <t>O323284</t>
  </si>
  <si>
    <t>25270CBPR00F0E0</t>
  </si>
  <si>
    <t>DIGI: Sean Colgan Added, Member No. 1199709</t>
  </si>
  <si>
    <t>O323531</t>
  </si>
  <si>
    <t>25270CBPR00F2C5</t>
  </si>
  <si>
    <t>DIGI: Jack Moriarty Added, Member No. 1199739</t>
  </si>
  <si>
    <t>O323539</t>
  </si>
  <si>
    <t>25270CBPR00F2D0</t>
  </si>
  <si>
    <t>DIGI: Hudson Muhlava Added, Member No. 1199711</t>
  </si>
  <si>
    <t>O318999</t>
  </si>
  <si>
    <t>25268CBPR00BA06</t>
  </si>
  <si>
    <t>30000 SPAV, n/ent Anne Ward, f-y</t>
  </si>
  <si>
    <t>O350437</t>
  </si>
  <si>
    <t>25280CBPR0273B2</t>
  </si>
  <si>
    <t>Andrew Seaman</t>
  </si>
  <si>
    <t>O375420</t>
  </si>
  <si>
    <t>25287CBPR03E229</t>
  </si>
  <si>
    <t>20000 SPAV NE DEREK SPAIN GRA 602299</t>
  </si>
  <si>
    <t>O379328</t>
  </si>
  <si>
    <t>25289CBPR0430A1</t>
  </si>
  <si>
    <t>18000.00 SP NE ELIZABETH HENDRICK FORSA</t>
  </si>
  <si>
    <t>O383685</t>
  </si>
  <si>
    <t>25289CBPR043158</t>
  </si>
  <si>
    <t>12000 SPAV, N/E MARY BRENNAN, 608634, fee-reg prms</t>
  </si>
  <si>
    <t>O322498</t>
  </si>
  <si>
    <t>25269CBPR00E42A</t>
  </si>
  <si>
    <t>Liam Merriman</t>
  </si>
  <si>
    <t>O367285</t>
  </si>
  <si>
    <t>25286CBPR0390F9</t>
  </si>
  <si>
    <t>Kenneth Hensey SP 10000</t>
  </si>
  <si>
    <t>O320619</t>
  </si>
  <si>
    <t>25269CBPR00D492</t>
  </si>
  <si>
    <t>Central And Regional Fisheries Board</t>
  </si>
  <si>
    <t>Tom Scanlon SP 10000</t>
  </si>
  <si>
    <t>O321774</t>
  </si>
  <si>
    <t>25269CBPR00DDAF</t>
  </si>
  <si>
    <t>Brid Tiernan</t>
  </si>
  <si>
    <t>O323257</t>
  </si>
  <si>
    <t>25270CBPR00F0B2</t>
  </si>
  <si>
    <t>Timothy Casey</t>
  </si>
  <si>
    <t>O323268</t>
  </si>
  <si>
    <t>25270CBPR00F0C9</t>
  </si>
  <si>
    <t>Fairs Indja</t>
  </si>
  <si>
    <t>O323294</t>
  </si>
  <si>
    <t>25270CBPR00F0EF</t>
  </si>
  <si>
    <t>John Walshe</t>
  </si>
  <si>
    <t>O323526</t>
  </si>
  <si>
    <t>25270CBPR00F2BC</t>
  </si>
  <si>
    <t>Shauna Higgins</t>
  </si>
  <si>
    <t>O327147</t>
  </si>
  <si>
    <t>25272CBPR01271D</t>
  </si>
  <si>
    <t>FAOLAN SWEENEY</t>
  </si>
  <si>
    <t>O327164</t>
  </si>
  <si>
    <t>25272CBPR012738</t>
  </si>
  <si>
    <t>MICHAEL KENNEDY</t>
  </si>
  <si>
    <t>O327185</t>
  </si>
  <si>
    <t>25272CBPR012756</t>
  </si>
  <si>
    <t>DERMOT BANNON</t>
  </si>
  <si>
    <t>O327196</t>
  </si>
  <si>
    <t>25272CBPR012769</t>
  </si>
  <si>
    <t>Laura Prenderville</t>
  </si>
  <si>
    <t>O327207</t>
  </si>
  <si>
    <t>25272CBPR01277D</t>
  </si>
  <si>
    <t>STEPHEN TAYLOR</t>
  </si>
  <si>
    <t>O330450</t>
  </si>
  <si>
    <t>25273CBPR01450A</t>
  </si>
  <si>
    <t>Jerome Maher</t>
  </si>
  <si>
    <t>O330478</t>
  </si>
  <si>
    <t>25273CBPR014543</t>
  </si>
  <si>
    <t>Trevor Guinan</t>
  </si>
  <si>
    <t>O330598</t>
  </si>
  <si>
    <t>25273CBPR014643</t>
  </si>
  <si>
    <t>Tristan Loftus</t>
  </si>
  <si>
    <t>O350251</t>
  </si>
  <si>
    <t>25280CBPR027281</t>
  </si>
  <si>
    <t>Julie McMahon SP 23064</t>
  </si>
  <si>
    <t>O350489</t>
  </si>
  <si>
    <t>25280CBPR02741A</t>
  </si>
  <si>
    <t>MARY REGAN SP 8000</t>
  </si>
  <si>
    <t>O361451</t>
  </si>
  <si>
    <t>25282CBPR034020</t>
  </si>
  <si>
    <t>Paul Finnegan</t>
  </si>
  <si>
    <t>O368015</t>
  </si>
  <si>
    <t>25286CBPR03968E</t>
  </si>
  <si>
    <t>Helen O'Dywer SP 8500</t>
  </si>
  <si>
    <t>O369431</t>
  </si>
  <si>
    <t>25286CBPR03A24A</t>
  </si>
  <si>
    <t>John Slattery SP 9500</t>
  </si>
  <si>
    <t>O386213</t>
  </si>
  <si>
    <t>25289CBPR0436F6</t>
  </si>
  <si>
    <t>Gerry Soden</t>
  </si>
  <si>
    <t>O389906</t>
  </si>
  <si>
    <t>25290CBPR045C8A</t>
  </si>
  <si>
    <t>Prop in June Manual Cases Shared drive folder</t>
  </si>
  <si>
    <t>O392342</t>
  </si>
  <si>
    <t>25291CBPR047116</t>
  </si>
  <si>
    <t>DAVID WHYTE</t>
  </si>
  <si>
    <t>O392349</t>
  </si>
  <si>
    <t>25291CBPR047123</t>
  </si>
  <si>
    <t>Sean Smith</t>
  </si>
  <si>
    <t>O392354</t>
  </si>
  <si>
    <t>25291CBPR04712B</t>
  </si>
  <si>
    <t>Gareth Norton</t>
  </si>
  <si>
    <t>O392371</t>
  </si>
  <si>
    <t>25291CBPR04714B</t>
  </si>
  <si>
    <t>Melissa Manzo</t>
  </si>
  <si>
    <t>O392375</t>
  </si>
  <si>
    <t>25291CBPR047158</t>
  </si>
  <si>
    <t>Michael Flannagan</t>
  </si>
  <si>
    <t>O392392</t>
  </si>
  <si>
    <t>25291CBPR047183</t>
  </si>
  <si>
    <t>Luke Smith</t>
  </si>
  <si>
    <t>O392396</t>
  </si>
  <si>
    <t>25291CBPR04718E</t>
  </si>
  <si>
    <t>RYAN CAHILL</t>
  </si>
  <si>
    <t>O392399</t>
  </si>
  <si>
    <t>25291CBPR047197</t>
  </si>
  <si>
    <t>Bernard McCabe</t>
  </si>
  <si>
    <t>O392415</t>
  </si>
  <si>
    <t>25291CBPR0471E0</t>
  </si>
  <si>
    <t>Sean Lawless</t>
  </si>
  <si>
    <t>O392420</t>
  </si>
  <si>
    <t>25291CBPR0471EE</t>
  </si>
  <si>
    <t>JULIE-ANNE BYRNE</t>
  </si>
  <si>
    <t>O392439</t>
  </si>
  <si>
    <t>25291CBPR04721B</t>
  </si>
  <si>
    <t>Joshua Manning</t>
  </si>
  <si>
    <t>O392443</t>
  </si>
  <si>
    <t>25291CBPR047222</t>
  </si>
  <si>
    <t>DAVID ROWAN</t>
  </si>
  <si>
    <t>O392446</t>
  </si>
  <si>
    <t>25291CBPR047229</t>
  </si>
  <si>
    <t>Maureen Kelly</t>
  </si>
  <si>
    <t>O392466</t>
  </si>
  <si>
    <t>25291CBPR047266</t>
  </si>
  <si>
    <t>Ruairi B</t>
  </si>
  <si>
    <t>O392470</t>
  </si>
  <si>
    <t>25291CBPR04726C</t>
  </si>
  <si>
    <t>LIAM BRENNAN</t>
  </si>
  <si>
    <t>O392478</t>
  </si>
  <si>
    <t>25291CBPR04727D</t>
  </si>
  <si>
    <t>Caitriona Murray</t>
  </si>
  <si>
    <t>O392482</t>
  </si>
  <si>
    <t>25291CBPR047283</t>
  </si>
  <si>
    <t>Tara Lee</t>
  </si>
  <si>
    <t>O392487</t>
  </si>
  <si>
    <t>25291CBPR047295</t>
  </si>
  <si>
    <t>CORMAC CORCORAN</t>
  </si>
  <si>
    <t>O392506</t>
  </si>
  <si>
    <t>25291CBPR0472DD</t>
  </si>
  <si>
    <t>James Cullinane</t>
  </si>
  <si>
    <t>O392513</t>
  </si>
  <si>
    <t>25291CBPR0472EC</t>
  </si>
  <si>
    <t>Jakub B</t>
  </si>
  <si>
    <t>O392525</t>
  </si>
  <si>
    <t>25291CBPR047304</t>
  </si>
  <si>
    <t>JAMES COSGROVE</t>
  </si>
  <si>
    <t>O392530</t>
  </si>
  <si>
    <t>25291CBPR047312</t>
  </si>
  <si>
    <t>Killian Rowley</t>
  </si>
  <si>
    <t>O392536</t>
  </si>
  <si>
    <t>25291CBPR04731C</t>
  </si>
  <si>
    <t>O392539</t>
  </si>
  <si>
    <t>25291CBPR04731F</t>
  </si>
  <si>
    <t>ARWEN HOWE</t>
  </si>
  <si>
    <t>O392542</t>
  </si>
  <si>
    <t>25291CBPR047328</t>
  </si>
  <si>
    <t>Ross Clarke</t>
  </si>
  <si>
    <t>O392563</t>
  </si>
  <si>
    <t>25291CBPR047354</t>
  </si>
  <si>
    <t>John Tynan Shine</t>
  </si>
  <si>
    <t>O392565</t>
  </si>
  <si>
    <t>25291CBPR04735C</t>
  </si>
  <si>
    <t>LORNA FLYNN</t>
  </si>
  <si>
    <t>O392571</t>
  </si>
  <si>
    <t>25291CBPR04736B</t>
  </si>
  <si>
    <t>Shane Dooner</t>
  </si>
  <si>
    <t>O392572</t>
  </si>
  <si>
    <t>25291CBPR04736F</t>
  </si>
  <si>
    <t>Christopher Mckeon</t>
  </si>
  <si>
    <t>O392574</t>
  </si>
  <si>
    <t>25291CBPR047373</t>
  </si>
  <si>
    <t>DERMOT KIERNAN</t>
  </si>
  <si>
    <t>O393950</t>
  </si>
  <si>
    <t>25293CBPR04B6B4</t>
  </si>
  <si>
    <t>12000 Noreen Cremin f-y SP</t>
  </si>
  <si>
    <t>O394222</t>
  </si>
  <si>
    <t>25293CBPR04B8F9</t>
  </si>
  <si>
    <t>Amii McKeever 23000 SP</t>
  </si>
  <si>
    <t>O323940</t>
  </si>
  <si>
    <t>25272CBPR01109B</t>
  </si>
  <si>
    <t>Patrick Flynn</t>
  </si>
  <si>
    <t>O323986</t>
  </si>
  <si>
    <t>25272CBPR0110F6</t>
  </si>
  <si>
    <t>Caroline Connolly</t>
  </si>
  <si>
    <t>O336660</t>
  </si>
  <si>
    <t>25275CBPR0180CE</t>
  </si>
  <si>
    <t>Neill Dalton</t>
  </si>
  <si>
    <t>O336664</t>
  </si>
  <si>
    <t>25275CBPR0180D5</t>
  </si>
  <si>
    <t>Eimear Nolan</t>
  </si>
  <si>
    <t>O336674</t>
  </si>
  <si>
    <t>25275CBPR0180E6</t>
  </si>
  <si>
    <t>David Fenner</t>
  </si>
  <si>
    <t>O336677</t>
  </si>
  <si>
    <t>25275CBPR0180EF</t>
  </si>
  <si>
    <t>Ita Flynn</t>
  </si>
  <si>
    <t>O336679</t>
  </si>
  <si>
    <t>25275CBPR0180F3</t>
  </si>
  <si>
    <t>Tim Forde</t>
  </si>
  <si>
    <t>O336681</t>
  </si>
  <si>
    <t>25275CBPR0180F7</t>
  </si>
  <si>
    <t>Elizabeth Croft</t>
  </si>
  <si>
    <t>O336683</t>
  </si>
  <si>
    <t>25275CBPR0180FE</t>
  </si>
  <si>
    <t>Patrick Crowe</t>
  </si>
  <si>
    <t>O336689</t>
  </si>
  <si>
    <t>25275CBPR018107</t>
  </si>
  <si>
    <t>Fionnuala Callanan</t>
  </si>
  <si>
    <t>O336690</t>
  </si>
  <si>
    <t>25275CBPR01810A</t>
  </si>
  <si>
    <t>Daniel Hitchings</t>
  </si>
  <si>
    <t>O336692</t>
  </si>
  <si>
    <t>25275CBPR018110</t>
  </si>
  <si>
    <t>Ruairi Ferrie</t>
  </si>
  <si>
    <t>O336695</t>
  </si>
  <si>
    <t>25275CBPR018116</t>
  </si>
  <si>
    <t>Mary Helene Kinsella</t>
  </si>
  <si>
    <t>O336746</t>
  </si>
  <si>
    <t>25275CBPR01817A</t>
  </si>
  <si>
    <t>Jenny Lawler</t>
  </si>
  <si>
    <t>O336749</t>
  </si>
  <si>
    <t>25275CBPR018180</t>
  </si>
  <si>
    <t>Emma Clarke</t>
  </si>
  <si>
    <t>O336750</t>
  </si>
  <si>
    <t>25275CBPR018181</t>
  </si>
  <si>
    <t>Roman-Gabriel Olar</t>
  </si>
  <si>
    <t>O336753</t>
  </si>
  <si>
    <t>25275CBPR018185</t>
  </si>
  <si>
    <t>Laurence Van Der Haegen</t>
  </si>
  <si>
    <t>O336755</t>
  </si>
  <si>
    <t>25275CBPR018187</t>
  </si>
  <si>
    <t>Encarna Moral</t>
  </si>
  <si>
    <t>O357325</t>
  </si>
  <si>
    <t>25281CBPR02FCBC</t>
  </si>
  <si>
    <t>Joan Farrell DOJ 01/07/25</t>
  </si>
  <si>
    <t>O357348</t>
  </si>
  <si>
    <t>25281CBPR02FCE5</t>
  </si>
  <si>
    <t>Karen Maher DOJ 01/07/25</t>
  </si>
  <si>
    <t>O357354</t>
  </si>
  <si>
    <t>25281CBPR02FCF0</t>
  </si>
  <si>
    <t>Karen Smith DOJ 01/07/25</t>
  </si>
  <si>
    <t>O357454</t>
  </si>
  <si>
    <t>25281CBPR02FE3F</t>
  </si>
  <si>
    <t>Maria Melia DOJ 01/07/25</t>
  </si>
  <si>
    <t>O360651</t>
  </si>
  <si>
    <t>25282CBPR033854</t>
  </si>
  <si>
    <t>Maeve Gleeson</t>
  </si>
  <si>
    <t>O360669</t>
  </si>
  <si>
    <t>25282CBPR03387E</t>
  </si>
  <si>
    <t>Tracey Priestley</t>
  </si>
  <si>
    <t>O360675</t>
  </si>
  <si>
    <t>25282CBPR03388F</t>
  </si>
  <si>
    <t>Catherine Kavanagh</t>
  </si>
  <si>
    <t>O360788</t>
  </si>
  <si>
    <t>25282CBPR0339A3</t>
  </si>
  <si>
    <t>Sarah Gore</t>
  </si>
  <si>
    <t>O360805</t>
  </si>
  <si>
    <t>25282CBPR0339C5</t>
  </si>
  <si>
    <t>Margaret Hegarty</t>
  </si>
  <si>
    <t>O360866</t>
  </si>
  <si>
    <t>25282CBPR033A5B</t>
  </si>
  <si>
    <t>Limerick City and County Council</t>
  </si>
  <si>
    <t>Orla Meaney DOJ 01/07/25</t>
  </si>
  <si>
    <t>O360876</t>
  </si>
  <si>
    <t>25282CBPR033A80</t>
  </si>
  <si>
    <t>Patrick Carty DOJ 01/07/25</t>
  </si>
  <si>
    <t>O360880</t>
  </si>
  <si>
    <t>25282CBPR033A86</t>
  </si>
  <si>
    <t>Mayo County Council</t>
  </si>
  <si>
    <t>Patricia Lland DOJ 01/07/25</t>
  </si>
  <si>
    <t>O383344</t>
  </si>
  <si>
    <t>25289CBPR0420E1</t>
  </si>
  <si>
    <t>CAROLINE FLAHERTY DOJ 01/06/2025</t>
  </si>
  <si>
    <t>O383348</t>
  </si>
  <si>
    <t>25289CBPR0420E8</t>
  </si>
  <si>
    <t>T U I ( Carlow Institute of Technology )</t>
  </si>
  <si>
    <t>CAOLINE MUPRHY DOJ 01/06/2025</t>
  </si>
  <si>
    <t>O383349</t>
  </si>
  <si>
    <t>25289CBPR0420E9</t>
  </si>
  <si>
    <t>CATRIONA COCHRANE DOJ 01/06/2025</t>
  </si>
  <si>
    <t>O383353</t>
  </si>
  <si>
    <t>25289CBPR0420F0</t>
  </si>
  <si>
    <t>CORMAC CROWE DOJ 01/06/2025</t>
  </si>
  <si>
    <t>O383354</t>
  </si>
  <si>
    <t>25289CBPR0420F1</t>
  </si>
  <si>
    <t>DEIRDRE KINNARNEY DOJ 01/06/2025</t>
  </si>
  <si>
    <t>O383370</t>
  </si>
  <si>
    <t>25289CBPR042106</t>
  </si>
  <si>
    <t>EMMA DONNELLY DOJ 01/08/2025</t>
  </si>
  <si>
    <t>O383376</t>
  </si>
  <si>
    <t>25289CBPR042110</t>
  </si>
  <si>
    <t>GERRY MCWILLIAMS DOJ 01/06/2025</t>
  </si>
  <si>
    <t>O389493</t>
  </si>
  <si>
    <t>25290CBPR04598A</t>
  </si>
  <si>
    <t>GRAINNE LENNDOJ 01/08/2025</t>
  </si>
  <si>
    <t>O389494</t>
  </si>
  <si>
    <t>25290CBPR04598B</t>
  </si>
  <si>
    <t>HELENA MCKENNA DOJ 01/8/2025</t>
  </si>
  <si>
    <t>O389502</t>
  </si>
  <si>
    <t>25290CBPR045999</t>
  </si>
  <si>
    <t>HUGHIE HARVEY DOJ 01/08/2025</t>
  </si>
  <si>
    <t>O389511</t>
  </si>
  <si>
    <t>25290CBPR0459A9</t>
  </si>
  <si>
    <t>JACKIE HEFFERNAN OJ 01/08/2025</t>
  </si>
  <si>
    <t>O389515</t>
  </si>
  <si>
    <t>25290CBPR0459AF</t>
  </si>
  <si>
    <t>JAMES RODGERS DOJ 01/08/2025</t>
  </si>
  <si>
    <t>O389522</t>
  </si>
  <si>
    <t>25290CBPR0459BC</t>
  </si>
  <si>
    <t>JOE RYAN DOJ 01/08/2025</t>
  </si>
  <si>
    <t>O389524</t>
  </si>
  <si>
    <t>25290CBPR0459C0</t>
  </si>
  <si>
    <t>JOHN MCGOWAN DOJ 01/08/2025</t>
  </si>
  <si>
    <t>O389545</t>
  </si>
  <si>
    <t>25290CBPR0459D8</t>
  </si>
  <si>
    <t>JULIA GOMES RODON DOJ 01/08/2025</t>
  </si>
  <si>
    <t>O389554</t>
  </si>
  <si>
    <t>25290CBPR0459E1</t>
  </si>
  <si>
    <t>KATIE WRIGHT DOJ 01/08/2025</t>
  </si>
  <si>
    <t>O389565</t>
  </si>
  <si>
    <t>25290CBPR0459F1</t>
  </si>
  <si>
    <t>KAY DALY SOJ 01/08/2025</t>
  </si>
  <si>
    <t>O389568</t>
  </si>
  <si>
    <t>25290CBPR0459F6</t>
  </si>
  <si>
    <t>KELLY CROSSAN DOJ 01/08/2025</t>
  </si>
  <si>
    <t>O389575</t>
  </si>
  <si>
    <t>25290CBPR045A05</t>
  </si>
  <si>
    <t>MARGARET MATUZEWSKA DOJ 01/08/2025</t>
  </si>
  <si>
    <t>O389576</t>
  </si>
  <si>
    <t>25290CBPR045A06</t>
  </si>
  <si>
    <t>KENNETH CONLON DOJ 01/08/2025</t>
  </si>
  <si>
    <t>O389581</t>
  </si>
  <si>
    <t>25290CBPR045A0B</t>
  </si>
  <si>
    <t>LEONIE READE DOJ 01/08/2025</t>
  </si>
  <si>
    <t>O389583</t>
  </si>
  <si>
    <t>25290CBPR045A0F</t>
  </si>
  <si>
    <t>LOUISE SLOAN DOJ 01/08/2025</t>
  </si>
  <si>
    <t>O389601</t>
  </si>
  <si>
    <t>25290CBPR045A28</t>
  </si>
  <si>
    <t>MAURA BRENNAN DOJ 01/08/2025</t>
  </si>
  <si>
    <t>O389613</t>
  </si>
  <si>
    <t>25290CBPR045A3C</t>
  </si>
  <si>
    <t>MICHAEL O CALLAGHAN DOJ 01/08/2025</t>
  </si>
  <si>
    <t>O389620</t>
  </si>
  <si>
    <t>25290CBPR045A4C</t>
  </si>
  <si>
    <t>T U I ( Athlone Institute of Technology)</t>
  </si>
  <si>
    <t>NICHOLAS CANNY DOJ 01/08/2025</t>
  </si>
  <si>
    <t>O389621</t>
  </si>
  <si>
    <t>25290CBPR045A4E</t>
  </si>
  <si>
    <t>NICOLA O CARROLL DOJ 01/08/2025</t>
  </si>
  <si>
    <t>O389623</t>
  </si>
  <si>
    <t>25290CBPR045A50</t>
  </si>
  <si>
    <t>NIALL CAMPBELL DOJ 01/08/2025</t>
  </si>
  <si>
    <t>O389634</t>
  </si>
  <si>
    <t>25290CBPR045A5F</t>
  </si>
  <si>
    <t>PATRICK BERMINGHAM DOJ 01/08/2025</t>
  </si>
  <si>
    <t>O389646</t>
  </si>
  <si>
    <t>25290CBPR045A76</t>
  </si>
  <si>
    <t>PEADAR WEIR DOJ 01/08/2025</t>
  </si>
  <si>
    <t>O389647</t>
  </si>
  <si>
    <t>25290CBPR045A78</t>
  </si>
  <si>
    <t>RACHEL DOLAN DOJ 01/08/2025</t>
  </si>
  <si>
    <t>O389651</t>
  </si>
  <si>
    <t>25290CBPR045A80</t>
  </si>
  <si>
    <t>SALLYANNE BETTS DOJ 01/08/2025</t>
  </si>
  <si>
    <t>O389653</t>
  </si>
  <si>
    <t>25290CBPR045A83</t>
  </si>
  <si>
    <t>RONAN HOBBS DOJ 01/08/2025</t>
  </si>
  <si>
    <t>O393115</t>
  </si>
  <si>
    <t>25293CBPR04B162</t>
  </si>
  <si>
    <t>Teresa Dillon SP 17755</t>
  </si>
  <si>
    <t>O384828</t>
  </si>
  <si>
    <t>25289CBPR042B54</t>
  </si>
  <si>
    <t>10500 - SP Elizabeth O'Donoghue</t>
  </si>
  <si>
    <t>25287CBPR03E440</t>
  </si>
  <si>
    <t>Brown Thomas Arnotts Limited</t>
  </si>
  <si>
    <t>Siobhan Hogan - see mail attached</t>
  </si>
  <si>
    <t>SecureShare Booking</t>
  </si>
  <si>
    <t>25283CBPR03556F</t>
  </si>
  <si>
    <t>Employer: OpenTable Ireland :: Number of Members: N/A</t>
  </si>
  <si>
    <t>SecureShare Brown Th</t>
  </si>
  <si>
    <t>25282CBPR03266C</t>
  </si>
  <si>
    <t>Employer: Brown Thomas Arnotts :: Number of Members: 4</t>
  </si>
  <si>
    <t>25274CBPR016966</t>
  </si>
  <si>
    <t>Louise Roe</t>
  </si>
  <si>
    <t>25288CBPR03FAE6</t>
  </si>
  <si>
    <t>SecureShare Krispy K</t>
  </si>
  <si>
    <t>25280CBPR02B09D</t>
  </si>
  <si>
    <t>Employer: Krispy Kreme Ireland Ltd :: Number of Members: 8</t>
  </si>
  <si>
    <t>SecureShare Ornua Co</t>
  </si>
  <si>
    <t>25290CBPR046A90</t>
  </si>
  <si>
    <t>Ornua Co-Operative Limited</t>
  </si>
  <si>
    <t>Employer: Ornua Coop and Kerrygold Park :: Number of Members: 7</t>
  </si>
  <si>
    <t>SecureShare Renaissa</t>
  </si>
  <si>
    <t>25279CBPR025EA6</t>
  </si>
  <si>
    <t>SecureShare Saint Go</t>
  </si>
  <si>
    <t>25274CBPR017401</t>
  </si>
  <si>
    <t>Saint Gobain Ireland</t>
  </si>
  <si>
    <t>SecureShare Slieve R</t>
  </si>
  <si>
    <t>25287CBPR03E8D7</t>
  </si>
  <si>
    <t>The Slieve Russell Hotel Property Ltd</t>
  </si>
  <si>
    <t>Employer: Slieve Russell :: Number of Members: 2</t>
  </si>
  <si>
    <t>SecureShare Vera Fin</t>
  </si>
  <si>
    <t>25273CBPR01488B</t>
  </si>
  <si>
    <t>Employer: BBPM Life dac :: Number of Members: 1</t>
  </si>
  <si>
    <t>25275CBPR0191C2</t>
  </si>
  <si>
    <t>Mark O Callaghan</t>
  </si>
  <si>
    <t>25254CBPR0260BE</t>
  </si>
  <si>
    <t>Tom Moran</t>
  </si>
  <si>
    <t>25273CBPR013430</t>
  </si>
  <si>
    <t>David Bourke</t>
  </si>
  <si>
    <t>SecureShare Expleo T</t>
  </si>
  <si>
    <t>25290CBPR04603A</t>
  </si>
  <si>
    <t>Chandan Jhingade Vijayakrishna</t>
  </si>
  <si>
    <t>SecureShare Hertz Eu</t>
  </si>
  <si>
    <t>25283CBPR0356E8</t>
  </si>
  <si>
    <t>8 x NE</t>
  </si>
  <si>
    <t>25281CBPR0301D9</t>
  </si>
  <si>
    <t>24 x NE  - Indexed World Eq Fund x 3 NE</t>
  </si>
  <si>
    <t>25280CBPR027576</t>
  </si>
  <si>
    <t>Employer: Motorola:: Number of Members: 4</t>
  </si>
  <si>
    <t>25268CBPR00AB47</t>
  </si>
  <si>
    <t>Coras Iompair Eireann DC Plan</t>
  </si>
  <si>
    <t>29 x NE CIE</t>
  </si>
  <si>
    <t>25282CBPR0338DC</t>
  </si>
  <si>
    <t>25281CBPR02ECBA</t>
  </si>
  <si>
    <t>John Prendergast</t>
  </si>
  <si>
    <t>25276CBPR01BA61</t>
  </si>
  <si>
    <t>Moloney Mortgages Pens. &amp; Investments Lt</t>
  </si>
  <si>
    <t>18 x NE</t>
  </si>
  <si>
    <t>SecureShare Opening</t>
  </si>
  <si>
    <t>25282CBPR0344A7</t>
  </si>
  <si>
    <t>Employer: HR OPENING :: Number of Members: Oisin Skinnador</t>
  </si>
  <si>
    <t>25274CBPR0177DB</t>
  </si>
  <si>
    <t>Employer: Ornua :: Number of Members: 5</t>
  </si>
  <si>
    <t>SecureShare Retail i</t>
  </si>
  <si>
    <t>25276CBPR01BDA0</t>
  </si>
  <si>
    <t>Employer: Retail inMotion :: Number of Members: 2</t>
  </si>
  <si>
    <t>SecureShare The Open</t>
  </si>
  <si>
    <t>25290CBPR045F41</t>
  </si>
  <si>
    <t>Employer: The Open University :: Number of Members: 2</t>
  </si>
  <si>
    <t>25272CBPR012317</t>
  </si>
  <si>
    <t>Employer: BBPM Life dac - Alessia Saglimbeni</t>
  </si>
  <si>
    <t>SecureShare Zendesk</t>
  </si>
  <si>
    <t>25288CBPR03F5FC</t>
  </si>
  <si>
    <t>Fernando Rodriguez</t>
  </si>
  <si>
    <t>25275CBPR019126</t>
  </si>
  <si>
    <t>3 NEs BRINKS :: Number of Members: N/A</t>
  </si>
  <si>
    <t>N180</t>
  </si>
  <si>
    <t>SecureShare FDC Grou</t>
  </si>
  <si>
    <t>FDC Financial Services Ltd (M)</t>
  </si>
  <si>
    <t>25272CBPR01256E</t>
  </si>
  <si>
    <t>4 NEs N/A :: Number of Members: N/A</t>
  </si>
  <si>
    <t>25272CBPR012570</t>
  </si>
  <si>
    <t>5 NEs: N/A :: Number of Members: N/A</t>
  </si>
  <si>
    <t>25279CBPR025EE3</t>
  </si>
  <si>
    <t>5 NEs N/A :: Number of Members: 5</t>
  </si>
  <si>
    <t>O380492</t>
  </si>
  <si>
    <t>25288CBPR03FCB6</t>
  </si>
  <si>
    <t>O384009</t>
  </si>
  <si>
    <t>25289CBPR042530</t>
  </si>
  <si>
    <t>O321768</t>
  </si>
  <si>
    <t>25269CBPR00DDA7</t>
  </si>
  <si>
    <t>O321806</t>
  </si>
  <si>
    <t>25269CBPR00DDFD</t>
  </si>
  <si>
    <t>O343732</t>
  </si>
  <si>
    <t>25276CBPR01C460</t>
  </si>
  <si>
    <t>Gia C</t>
  </si>
  <si>
    <t>25279CBPR02585B</t>
  </si>
  <si>
    <t>Employer: Chime :: Member Name: Ms. Amy McKena :: Date of Birth: 20/01/1999</t>
  </si>
  <si>
    <t>SecureShare G4S Solu</t>
  </si>
  <si>
    <t>25276CBPR01C0BD</t>
  </si>
  <si>
    <t>G4S Secure Solutions (Ire) Limited</t>
  </si>
  <si>
    <t>25279CBPR0252F7</t>
  </si>
  <si>
    <t>Employer: Liberty Information Technology :: M ... (see attached file for full description)</t>
  </si>
  <si>
    <t>25288CBPR040A19</t>
  </si>
  <si>
    <t>Employer: N/A :: Member Name: Mr Adam Handbridge :: Date of Birth: 14/11/1999</t>
  </si>
  <si>
    <t>25288CBPR040A1B</t>
  </si>
  <si>
    <t>Employer: N/A :: Member Name: Mr Robert McGuirk :: Date of Birth: 27/10/2001</t>
  </si>
  <si>
    <t>SecureShare Sport Ir</t>
  </si>
  <si>
    <t>Declan O'Hanlon</t>
  </si>
  <si>
    <t>25268CBPR00B55E</t>
  </si>
  <si>
    <t>Sport Ireland Facilities DAC</t>
  </si>
  <si>
    <t>Employer: Sport Ireland Facilities :: Member  ... (see attached file for full description)</t>
  </si>
  <si>
    <t>O395632</t>
  </si>
  <si>
    <t>25293CBPR04C440</t>
  </si>
  <si>
    <t>Jesse MacCarthy</t>
  </si>
  <si>
    <t>O357094</t>
  </si>
  <si>
    <t>25281CBPR02FAD5</t>
  </si>
  <si>
    <t>Colm Jeffers- Added and emailed on Secureshare</t>
  </si>
  <si>
    <t>O390934</t>
  </si>
  <si>
    <t>25290CBPR046539</t>
  </si>
  <si>
    <t>Daniel Kennedy</t>
  </si>
  <si>
    <t>O341306</t>
  </si>
  <si>
    <t>25276CBPR01B154</t>
  </si>
  <si>
    <t>Suzana Vugrinec</t>
  </si>
  <si>
    <t>O341320</t>
  </si>
  <si>
    <t>25276CBPR01B176</t>
  </si>
  <si>
    <t>Alan Hennessy</t>
  </si>
  <si>
    <t>O347168</t>
  </si>
  <si>
    <t>25279CBPR025C5C</t>
  </si>
  <si>
    <t>Chemco Ireland Ltd.</t>
  </si>
  <si>
    <t>Sampath Goud Karingula</t>
  </si>
  <si>
    <t>O395801</t>
  </si>
  <si>
    <t>25293CBPR04C5A6</t>
  </si>
  <si>
    <t>Mary McGillicuddy</t>
  </si>
  <si>
    <t>O352521</t>
  </si>
  <si>
    <t>25280CBPR02AB47</t>
  </si>
  <si>
    <t>Pamela Connolly</t>
  </si>
  <si>
    <t>O352563</t>
  </si>
  <si>
    <t>25280CBPR02AB9F</t>
  </si>
  <si>
    <t>Caroline Kells</t>
  </si>
  <si>
    <t>O363451</t>
  </si>
  <si>
    <t>25283CBPR0356A2</t>
  </si>
  <si>
    <t>Aoife Bourke</t>
  </si>
  <si>
    <t>O363484</t>
  </si>
  <si>
    <t>25283CBPR0356EB</t>
  </si>
  <si>
    <t>Barbara Zielke</t>
  </si>
  <si>
    <t>O363549</t>
  </si>
  <si>
    <t>25283CBPR03575E</t>
  </si>
  <si>
    <t>Erin Maher</t>
  </si>
  <si>
    <t>O329052</t>
  </si>
  <si>
    <t>25273CBPR013842</t>
  </si>
  <si>
    <t>Eoghan Clancy</t>
  </si>
  <si>
    <t>020180M</t>
  </si>
  <si>
    <t>25293CBPR04BEEF</t>
  </si>
  <si>
    <t>SecureShare Ceist Li</t>
  </si>
  <si>
    <t>25289CBPR042B47</t>
  </si>
  <si>
    <t>CEIST LIMITED</t>
  </si>
  <si>
    <t>Employer: CEIST CLG :: Member Name: Mrs Audrey Farrell :: Date of Birth: 27/04/1968</t>
  </si>
  <si>
    <t>VP49</t>
  </si>
  <si>
    <t>Lucan District Credit Union Ltd</t>
  </si>
  <si>
    <t>O366946</t>
  </si>
  <si>
    <t>25285CBPR03811D</t>
  </si>
  <si>
    <t>Lucan Credit Union</t>
  </si>
  <si>
    <t>C Kavanagh</t>
  </si>
  <si>
    <t>O385838</t>
  </si>
  <si>
    <t>25289CBPR04341E</t>
  </si>
  <si>
    <t>CB Post (Scan)</t>
  </si>
  <si>
    <t>O332797</t>
  </si>
  <si>
    <t>25274CBPR0164E1</t>
  </si>
  <si>
    <t>Brymore House Nursing Home Ltd.</t>
  </si>
  <si>
    <t>O332798</t>
  </si>
  <si>
    <t>25274CBPR0164E3</t>
  </si>
  <si>
    <t>O332800</t>
  </si>
  <si>
    <t>25274CBPR0164E5</t>
  </si>
  <si>
    <t>O332801</t>
  </si>
  <si>
    <t>25274CBPR0164E6</t>
  </si>
  <si>
    <t>O333283</t>
  </si>
  <si>
    <t>25274CBPR01680A</t>
  </si>
  <si>
    <t>O333284</t>
  </si>
  <si>
    <t>25274CBPR01680B</t>
  </si>
  <si>
    <t>O333286</t>
  </si>
  <si>
    <t>25274CBPR01680E</t>
  </si>
  <si>
    <t>O333287</t>
  </si>
  <si>
    <t>25274CBPR01680F</t>
  </si>
  <si>
    <t>O333290</t>
  </si>
  <si>
    <t>25274CBPR016812</t>
  </si>
  <si>
    <t>O333292</t>
  </si>
  <si>
    <t>25274CBPR016814</t>
  </si>
  <si>
    <t>O333293</t>
  </si>
  <si>
    <t>25274CBPR016815</t>
  </si>
  <si>
    <t>O333295</t>
  </si>
  <si>
    <t>25274CBPR016817</t>
  </si>
  <si>
    <t>O333296</t>
  </si>
  <si>
    <t>25274CBPR016818</t>
  </si>
  <si>
    <t>O333297</t>
  </si>
  <si>
    <t>25274CBPR016819</t>
  </si>
  <si>
    <t>O383231</t>
  </si>
  <si>
    <t>25289CBPR04201B</t>
  </si>
  <si>
    <t>VV04</t>
  </si>
  <si>
    <t>Future Financial Planning Ltd</t>
  </si>
  <si>
    <t>O363917</t>
  </si>
  <si>
    <t>25283CBPR035A9E</t>
  </si>
  <si>
    <t>Tizzard Holdings ULC</t>
  </si>
  <si>
    <t>O354801</t>
  </si>
  <si>
    <t>25281CBPR02C22D</t>
  </si>
  <si>
    <t>Dublin Plywood &amp; Veneer Company Ltd.</t>
  </si>
  <si>
    <t>O357463</t>
  </si>
  <si>
    <t>25281CBPR02FE54</t>
  </si>
  <si>
    <t>NE Eoin Grimes</t>
  </si>
  <si>
    <t>O358543</t>
  </si>
  <si>
    <t>25282CBPR0324FE</t>
  </si>
  <si>
    <t>O379995</t>
  </si>
  <si>
    <t>25288CBPR03F7EC</t>
  </si>
  <si>
    <t>Advanced Manufacturing Control Systems</t>
  </si>
  <si>
    <t>O381481</t>
  </si>
  <si>
    <t>25288CBPR0404C9</t>
  </si>
  <si>
    <t>O379290</t>
  </si>
  <si>
    <t>25288CBPR03F32C</t>
  </si>
  <si>
    <t>Paysafe Payment Solutions Limited</t>
  </si>
  <si>
    <t>O382747</t>
  </si>
  <si>
    <t>25288CBPR040FC2</t>
  </si>
  <si>
    <t>O359091</t>
  </si>
  <si>
    <t>25282CBPR0328F9</t>
  </si>
  <si>
    <t>V Carey</t>
  </si>
  <si>
    <t>Tara Agnew</t>
  </si>
  <si>
    <t>O380934</t>
  </si>
  <si>
    <t>25288CBPR0400A5</t>
  </si>
  <si>
    <t>Elliott Building &amp; Civil Engineering Ltd</t>
  </si>
  <si>
    <t>O381278</t>
  </si>
  <si>
    <t>25288CBPR0402E9</t>
  </si>
  <si>
    <t>Clonmel Enterprises Ltd</t>
  </si>
  <si>
    <t>011103M</t>
  </si>
  <si>
    <t>25281CBPR02FCE7</t>
  </si>
  <si>
    <t>Tony Slott</t>
  </si>
  <si>
    <t>011114M</t>
  </si>
  <si>
    <t>25281CBPR02FDD3</t>
  </si>
  <si>
    <t>NE Rachel Lafferty</t>
  </si>
  <si>
    <t>011125M</t>
  </si>
  <si>
    <t>25281CBPR02FE77</t>
  </si>
  <si>
    <t>SecureShare A C Niel</t>
  </si>
  <si>
    <t>25281CBPR02C35B</t>
  </si>
  <si>
    <t>A.C. Nielsen of Ireland Limited</t>
  </si>
  <si>
    <t>SecureShare Fold Hou</t>
  </si>
  <si>
    <t>25283CBPR035A53</t>
  </si>
  <si>
    <t>Fold Housing Association Ireland Ltd.</t>
  </si>
  <si>
    <t>Clodagh Kierans</t>
  </si>
  <si>
    <t>25275CBPR01818F</t>
  </si>
  <si>
    <t>SecureShare Mincon I</t>
  </si>
  <si>
    <t>25281CBPR02ECFA</t>
  </si>
  <si>
    <t>Employer: Mincon International Ltd :: Member  ... (see attached file for full description)</t>
  </si>
  <si>
    <t>SecureShare Represen</t>
  </si>
  <si>
    <t>25288CBPR03F412</t>
  </si>
  <si>
    <t>Representative Church Body</t>
  </si>
  <si>
    <t>Employer: The Representative Church Body :: M ... (see attached file for full description)</t>
  </si>
  <si>
    <t>David Sheahan Insurances &amp; Invest</t>
  </si>
  <si>
    <t>O355326</t>
  </si>
  <si>
    <t>25281CBPR02ECC6</t>
  </si>
  <si>
    <t>Medipharm Retail Ltd.</t>
  </si>
  <si>
    <t>PAUL JOYCE</t>
  </si>
  <si>
    <t>Deirdre Moloney</t>
  </si>
  <si>
    <t>O347228</t>
  </si>
  <si>
    <t>25279CBPR025CD5</t>
  </si>
  <si>
    <t>Greenlight RE Ireland Services Limited</t>
  </si>
  <si>
    <t>MARYAM ABDULLAHI 68000</t>
  </si>
  <si>
    <t>O347545</t>
  </si>
  <si>
    <t>25279CBPR025F2C</t>
  </si>
  <si>
    <t>Richmond Marketing Limited</t>
  </si>
  <si>
    <t>COLIN MCGANN 95000</t>
  </si>
  <si>
    <t>O352746</t>
  </si>
  <si>
    <t>25280CBPR02AD21</t>
  </si>
  <si>
    <t>ELEANOR MCKEOWN</t>
  </si>
  <si>
    <t>O353915</t>
  </si>
  <si>
    <t>25280CBPR02B637</t>
  </si>
  <si>
    <t>OLUSHOLA AKINGBAGBOHUN</t>
  </si>
  <si>
    <t>O353202</t>
  </si>
  <si>
    <t>25280CBPR02B0E4</t>
  </si>
  <si>
    <t>PRATIKSHA BIRAJDAR</t>
  </si>
  <si>
    <t>O377000</t>
  </si>
  <si>
    <t>25287CBPR03DEA7</t>
  </si>
  <si>
    <t>Phenox Ltd</t>
  </si>
  <si>
    <t>MALGORZATA BARAN</t>
  </si>
  <si>
    <t>O356177</t>
  </si>
  <si>
    <t>25281CBPR02F388</t>
  </si>
  <si>
    <t>United Metal Recycling (Ireland) Limited</t>
  </si>
  <si>
    <t>Michael Tubridy</t>
  </si>
  <si>
    <t>O332501</t>
  </si>
  <si>
    <t>25274CBPR01632F</t>
  </si>
  <si>
    <t>Shareridge Limited</t>
  </si>
  <si>
    <t>RACHEL WHITE 38000</t>
  </si>
  <si>
    <t>O345959</t>
  </si>
  <si>
    <t>25279CBPR02542D</t>
  </si>
  <si>
    <t>O380774</t>
  </si>
  <si>
    <t>25288CBPR03FEFF</t>
  </si>
  <si>
    <t>eoin grogan 35000</t>
  </si>
  <si>
    <t>SecureShare Entain G</t>
  </si>
  <si>
    <t>25288CBPR03F89D</t>
  </si>
  <si>
    <t>The Ladbroke (Ireland) Pension Scheme</t>
  </si>
  <si>
    <t>Employer: Ladbrokes Ireland Ltd :: Member Nam ... (see attached file for full description)</t>
  </si>
  <si>
    <t>25283CBPR0366CD</t>
  </si>
  <si>
    <t>LINTO JOHN</t>
  </si>
  <si>
    <t>25287CBPR03D7E7</t>
  </si>
  <si>
    <t>CORNELIUS LOGUE</t>
  </si>
  <si>
    <t>O354969</t>
  </si>
  <si>
    <t>25281CBPR02C35D</t>
  </si>
  <si>
    <t>tracy Rice  1200728</t>
  </si>
  <si>
    <t>O394019</t>
  </si>
  <si>
    <t>25293CBPR04B744</t>
  </si>
  <si>
    <t>Rachel white 1204092</t>
  </si>
  <si>
    <t>O394027</t>
  </si>
  <si>
    <t>25293CBPR04B752</t>
  </si>
  <si>
    <t>Hannah Hartnett 1204199</t>
  </si>
  <si>
    <t>O343680</t>
  </si>
  <si>
    <t>25276CBPR01C3FF</t>
  </si>
  <si>
    <t>Channel Mechanics Technologies Ltd</t>
  </si>
  <si>
    <t>fergal Riordan 1200176</t>
  </si>
  <si>
    <t>O351923</t>
  </si>
  <si>
    <t>25280CBPR02A5B4</t>
  </si>
  <si>
    <t>Cillian Cleary 1201499</t>
  </si>
  <si>
    <t>O351932</t>
  </si>
  <si>
    <t>25280CBPR02A5BF</t>
  </si>
  <si>
    <t>Brendan Walsh 1201496</t>
  </si>
  <si>
    <t>O360250</t>
  </si>
  <si>
    <t>25282CBPR03341D</t>
  </si>
  <si>
    <t>Energywise Savings Ireland Ltd</t>
  </si>
  <si>
    <t>Brian Murphy 1202043</t>
  </si>
  <si>
    <t>O339740</t>
  </si>
  <si>
    <t>25275CBPR01A431</t>
  </si>
  <si>
    <t>Stantec UK Limited Ireland Branch</t>
  </si>
  <si>
    <t>Cillian Mcnally  1200538</t>
  </si>
  <si>
    <t>O364215</t>
  </si>
  <si>
    <t>25283CBPR035D40</t>
  </si>
  <si>
    <t>Flexifi Europe Services Ltd</t>
  </si>
  <si>
    <t>Connor Jakes 1202496</t>
  </si>
  <si>
    <t>O364230</t>
  </si>
  <si>
    <t>25283CBPR035D5D</t>
  </si>
  <si>
    <t>Punett Saini 1202536</t>
  </si>
  <si>
    <t>O364236</t>
  </si>
  <si>
    <t>25283CBPR035D6A</t>
  </si>
  <si>
    <t>Khushbu Chourasia 1202538</t>
  </si>
  <si>
    <t>O364252</t>
  </si>
  <si>
    <t>25283CBPR035D88</t>
  </si>
  <si>
    <t>Sonali Gajanan Kapade 1202539</t>
  </si>
  <si>
    <t>O370588</t>
  </si>
  <si>
    <t>25286CBPR03ACE2</t>
  </si>
  <si>
    <t>Daniel gibbons  1202755</t>
  </si>
  <si>
    <t>O376800</t>
  </si>
  <si>
    <t>25287CBPR03DD2D</t>
  </si>
  <si>
    <t>Sapana Newpane 1203168</t>
  </si>
  <si>
    <t>O384055</t>
  </si>
  <si>
    <t>25289CBPR04259B</t>
  </si>
  <si>
    <t>Vivienne Byrne 1203792</t>
  </si>
  <si>
    <t>O325290</t>
  </si>
  <si>
    <t>25272CBPR011992</t>
  </si>
  <si>
    <t>Weener Plastics Ltd</t>
  </si>
  <si>
    <t>Jason Grace risk only 1200449</t>
  </si>
  <si>
    <t>O327344</t>
  </si>
  <si>
    <t>25272CBPR012876</t>
  </si>
  <si>
    <t>Charles Johnston 1199789</t>
  </si>
  <si>
    <t>O330671</t>
  </si>
  <si>
    <t>25273CBPR0146FB</t>
  </si>
  <si>
    <t>Jonatan Ramon Rivas Sierra 1200062</t>
  </si>
  <si>
    <t>O337054</t>
  </si>
  <si>
    <t>25275CBPR018382</t>
  </si>
  <si>
    <t>Shankar Satpathy 1200370</t>
  </si>
  <si>
    <t>O339830</t>
  </si>
  <si>
    <t>25275CBPR01A59B</t>
  </si>
  <si>
    <t>Stanford Woods Care Centre Ltd</t>
  </si>
  <si>
    <t>Selvin Paulraj 1200471</t>
  </si>
  <si>
    <t>O341835</t>
  </si>
  <si>
    <t>25276CBPR01B520</t>
  </si>
  <si>
    <t>rustem erdem 1200727</t>
  </si>
  <si>
    <t>O344655</t>
  </si>
  <si>
    <t>25277CBPR01D015</t>
  </si>
  <si>
    <t>Kieran Ryan  1200862</t>
  </si>
  <si>
    <t>O349077</t>
  </si>
  <si>
    <t>25279CBPR026A5B</t>
  </si>
  <si>
    <t>Joanna Wruntniak Fedek 1201174</t>
  </si>
  <si>
    <t>O357218</t>
  </si>
  <si>
    <t>25281CBPR02FBEC</t>
  </si>
  <si>
    <t>Banking &amp; Payments Federation Ireland</t>
  </si>
  <si>
    <t>Sean Ivory 1201743</t>
  </si>
  <si>
    <t>O361869</t>
  </si>
  <si>
    <t>25282CBPR034405</t>
  </si>
  <si>
    <t>Emma Jones 1202225</t>
  </si>
  <si>
    <t>O365072</t>
  </si>
  <si>
    <t>25283CBPR03639E</t>
  </si>
  <si>
    <t>Caredoc Staff Scheme</t>
  </si>
  <si>
    <t>Maeve Keighran 1203389</t>
  </si>
  <si>
    <t>O365538</t>
  </si>
  <si>
    <t>25283CBPR03678D</t>
  </si>
  <si>
    <t>Collins Aerospace Ireland Limited</t>
  </si>
  <si>
    <t>Davi Da Silva Brillhante  1202604</t>
  </si>
  <si>
    <t>O371675</t>
  </si>
  <si>
    <t>25287CBPR03C19F</t>
  </si>
  <si>
    <t>Leica Biosystems (Dublin) Limited</t>
  </si>
  <si>
    <t xml:space="preserve"> Albina Oksana Sereda 1202985</t>
  </si>
  <si>
    <t>O371697</t>
  </si>
  <si>
    <t>25287CBPR03C1D8</t>
  </si>
  <si>
    <t>Maria Isabela Valle Braga de Paula 1203018</t>
  </si>
  <si>
    <t>O381647</t>
  </si>
  <si>
    <t>25288CBPR04064A</t>
  </si>
  <si>
    <t>Lynne Browne 1203294</t>
  </si>
  <si>
    <t>O381680</t>
  </si>
  <si>
    <t>25288CBPR04068E</t>
  </si>
  <si>
    <t>Reem Saeed 1203298</t>
  </si>
  <si>
    <t>O390779</t>
  </si>
  <si>
    <t>25290CBPR0463B6</t>
  </si>
  <si>
    <t>Cordavis Limited</t>
  </si>
  <si>
    <t>Ciara Keane 1203994</t>
  </si>
  <si>
    <t>O391283</t>
  </si>
  <si>
    <t>25290CBPR0467CD</t>
  </si>
  <si>
    <t>Brendan Cox  1203837</t>
  </si>
  <si>
    <t>O391391</t>
  </si>
  <si>
    <t>25290CBPR0468A1</t>
  </si>
  <si>
    <t>Nkiru Nwambu  1204002</t>
  </si>
  <si>
    <t>O391739</t>
  </si>
  <si>
    <t>25290CBPR046B6C</t>
  </si>
  <si>
    <t>Carlyle Aviation Management Ltd</t>
  </si>
  <si>
    <t>Patricia Lee</t>
  </si>
  <si>
    <t>O391756</t>
  </si>
  <si>
    <t>25290CBPR046B9E</t>
  </si>
  <si>
    <t>Aman Ullah 1203999</t>
  </si>
  <si>
    <t>TO00</t>
  </si>
  <si>
    <t>Irish Life Brokerage Direct</t>
  </si>
  <si>
    <t>O388853</t>
  </si>
  <si>
    <t>25290CBPR0454C5</t>
  </si>
  <si>
    <t>Butler Transtest Ltd.</t>
  </si>
  <si>
    <t>Charlotte Burke 1205689</t>
  </si>
  <si>
    <t>O347556</t>
  </si>
  <si>
    <t>25279CBPR025F40</t>
  </si>
  <si>
    <t>David ONeill 1201268</t>
  </si>
  <si>
    <t>O322256</t>
  </si>
  <si>
    <t>25269CBPR00E1DD</t>
  </si>
  <si>
    <t>Serhii Kravchuk 1199661</t>
  </si>
  <si>
    <t>O339813</t>
  </si>
  <si>
    <t>25275CBPR01A55C</t>
  </si>
  <si>
    <t>Rafael Santos De Mello 1200353</t>
  </si>
  <si>
    <t>O376698</t>
  </si>
  <si>
    <t>25287CBPR03DC66</t>
  </si>
  <si>
    <t>Magdalena Magee 1203043</t>
  </si>
  <si>
    <t>O377687</t>
  </si>
  <si>
    <t>25287CBPR03E467</t>
  </si>
  <si>
    <t>Natalya Volkova 1203057</t>
  </si>
  <si>
    <t>O377813</t>
  </si>
  <si>
    <t>25287CBPR03E56B</t>
  </si>
  <si>
    <t>Lisa Anderson 1203166</t>
  </si>
  <si>
    <t>O383658</t>
  </si>
  <si>
    <t>25289CBPR0422E7</t>
  </si>
  <si>
    <t>Emma Bond 1203806</t>
  </si>
  <si>
    <t>O391205</t>
  </si>
  <si>
    <t>25290CBPR046733</t>
  </si>
  <si>
    <t>Marta Ramos Barreras 1203829</t>
  </si>
  <si>
    <t>Kenneth Fallon</t>
  </si>
  <si>
    <t>O335057</t>
  </si>
  <si>
    <t>25274CBPR017513</t>
  </si>
  <si>
    <t>mBryonics Limited</t>
  </si>
  <si>
    <t>Aron OBrien 1202045</t>
  </si>
  <si>
    <t>O367640</t>
  </si>
  <si>
    <t>25286CBPR0393C1</t>
  </si>
  <si>
    <t>Neill Justin Harrison 1202659</t>
  </si>
  <si>
    <t>O337583</t>
  </si>
  <si>
    <t>25275CBPR01871E</t>
  </si>
  <si>
    <t>Heidi Hides 1200432</t>
  </si>
  <si>
    <t>O338184</t>
  </si>
  <si>
    <t>25275CBPR018F6C</t>
  </si>
  <si>
    <t>Owens Hides 1200431</t>
  </si>
  <si>
    <t>O364881</t>
  </si>
  <si>
    <t>25283CBPR036228</t>
  </si>
  <si>
    <t>Vickneshwaran J 1202569</t>
  </si>
  <si>
    <t>O389506</t>
  </si>
  <si>
    <t>25290CBPR04599D</t>
  </si>
  <si>
    <t>Gheorghe Mitite  1204033</t>
  </si>
  <si>
    <t>O345112</t>
  </si>
  <si>
    <t>25278CBPR02404D</t>
  </si>
  <si>
    <t>Evelyn Kelly 1201641</t>
  </si>
  <si>
    <t>O356574</t>
  </si>
  <si>
    <t>25281CBPR02F6D4</t>
  </si>
  <si>
    <t>Shivam Kislay 1201771</t>
  </si>
  <si>
    <t>O347774</t>
  </si>
  <si>
    <t>25279CBPR02610C</t>
  </si>
  <si>
    <t>Alchelyst Limited</t>
  </si>
  <si>
    <t>Kamill Jaskiewicz   1201284</t>
  </si>
  <si>
    <t>O324086</t>
  </si>
  <si>
    <t>25272CBPR0111A3</t>
  </si>
  <si>
    <t>Adam Henry 1199985</t>
  </si>
  <si>
    <t>O345392</t>
  </si>
  <si>
    <t>25279CBPR0250AB</t>
  </si>
  <si>
    <t>Jezreel Ramos 1201369</t>
  </si>
  <si>
    <t>O395505</t>
  </si>
  <si>
    <t>25293CBPR04C333</t>
  </si>
  <si>
    <t>Lauren Kent 1204209</t>
  </si>
  <si>
    <t>O335362</t>
  </si>
  <si>
    <t>25274CBPR0177A7</t>
  </si>
  <si>
    <t>Julie Rabitte  1200144</t>
  </si>
  <si>
    <t>O339599</t>
  </si>
  <si>
    <t>25275CBPR01A1E7</t>
  </si>
  <si>
    <t>Russell Brennan &amp; Keane</t>
  </si>
  <si>
    <t>Tariro Talent Chigordora 1200475</t>
  </si>
  <si>
    <t>O324474</t>
  </si>
  <si>
    <t>25272CBPR011439</t>
  </si>
  <si>
    <t>Kelvin OConnor  1199741</t>
  </si>
  <si>
    <t>O334979</t>
  </si>
  <si>
    <t>25274CBPR017488</t>
  </si>
  <si>
    <t>Nicolas Ozias Da Silva 1200172</t>
  </si>
  <si>
    <t>O371833</t>
  </si>
  <si>
    <t>25287CBPR03C2EF</t>
  </si>
  <si>
    <t>Gordon Cosgrove 1203037</t>
  </si>
  <si>
    <t>O380587</t>
  </si>
  <si>
    <t>25288CBPR03FD9A</t>
  </si>
  <si>
    <t>Olivia Walsh 1203229</t>
  </si>
  <si>
    <t>RN54</t>
  </si>
  <si>
    <t>Trident Benefit Consulting Limite</t>
  </si>
  <si>
    <t>O290841</t>
  </si>
  <si>
    <t>25259CBPR02F51F</t>
  </si>
  <si>
    <t>Aoife Roberts 1200720</t>
  </si>
  <si>
    <t>E361</t>
  </si>
  <si>
    <t>Willis Towers Watson (Ireland) Lt</t>
  </si>
  <si>
    <t>O388665</t>
  </si>
  <si>
    <t>25290CBPR0452ED</t>
  </si>
  <si>
    <t>Barclays Bank Ireland</t>
  </si>
  <si>
    <t>Jospeh Connolly  1203834</t>
  </si>
  <si>
    <t>O393055</t>
  </si>
  <si>
    <t>25293CBPR04B0EE</t>
  </si>
  <si>
    <t>James Harold 1204169</t>
  </si>
  <si>
    <t>O305474</t>
  </si>
  <si>
    <t>25265CBPR002EDB</t>
  </si>
  <si>
    <t>John Burkett 1199991</t>
  </si>
  <si>
    <t>O307613</t>
  </si>
  <si>
    <t>25266CBPR00426C</t>
  </si>
  <si>
    <t>Grace Vaughan 1200000</t>
  </si>
  <si>
    <t>Mark Landers</t>
  </si>
  <si>
    <t>O375667</t>
  </si>
  <si>
    <t>25287CBPR03D4CA</t>
  </si>
  <si>
    <t>Powercomm Engineering Ltd</t>
  </si>
  <si>
    <t>Jake Behan 1203040</t>
  </si>
  <si>
    <t>O337339</t>
  </si>
  <si>
    <t>25275CBPR018554</t>
  </si>
  <si>
    <t>Doanl Tarpey 1200498</t>
  </si>
  <si>
    <t>994425L</t>
  </si>
  <si>
    <t>25272CBPR012589</t>
  </si>
  <si>
    <t>Fiona Walsh 1199712</t>
  </si>
  <si>
    <t>SecureShare First Ci</t>
  </si>
  <si>
    <t>25287CBPR03D61E</t>
  </si>
  <si>
    <t>Blanaid Kerr 1202832</t>
  </si>
  <si>
    <t>SecureShare Generali</t>
  </si>
  <si>
    <t>019931M</t>
  </si>
  <si>
    <t>25293CBPR04B166</t>
  </si>
  <si>
    <t>Generali Seguros y Reaseguros, S.A.</t>
  </si>
  <si>
    <t>Ben McDermott 1204161</t>
  </si>
  <si>
    <t>25272CBPR011952</t>
  </si>
  <si>
    <t>Aoife OHalloran 1199799</t>
  </si>
  <si>
    <t>25272CBPR01239F</t>
  </si>
  <si>
    <t>Orla McNulty  1199795</t>
  </si>
  <si>
    <t>SecureShare Lacework</t>
  </si>
  <si>
    <t>25279CBPR026BC7</t>
  </si>
  <si>
    <t>Fortinet Ireland Limited</t>
  </si>
  <si>
    <t>Laura Kirrane  1201362</t>
  </si>
  <si>
    <t>25280CBPR02A637</t>
  </si>
  <si>
    <t>Aoife Kelly  1201516</t>
  </si>
  <si>
    <t>25280CBPR02A21D</t>
  </si>
  <si>
    <t>Tadgh Keating  1201610</t>
  </si>
  <si>
    <t>SecureShare The Inst</t>
  </si>
  <si>
    <t>020147M</t>
  </si>
  <si>
    <t>25293CBPR04BDD9</t>
  </si>
  <si>
    <t>The Institute of Bankers in Ireland</t>
  </si>
  <si>
    <t>Lauren McKeown 1204154</t>
  </si>
  <si>
    <t>020155M</t>
  </si>
  <si>
    <t>25293CBPR04BDDB</t>
  </si>
  <si>
    <t>Jennifer Fearon 1204148</t>
  </si>
  <si>
    <t>NM26</t>
  </si>
  <si>
    <t>HEGARTY FINANCIAL MANAGEMENT LTD</t>
  </si>
  <si>
    <t>O335266</t>
  </si>
  <si>
    <t>25274CBPR0176CD</t>
  </si>
  <si>
    <t>Mergon International</t>
  </si>
  <si>
    <t>Vivekanand Bhatnagar</t>
  </si>
  <si>
    <t>O338088</t>
  </si>
  <si>
    <t>25275CBPR018E0B</t>
  </si>
  <si>
    <t>Sandhya Santhosh</t>
  </si>
  <si>
    <t>O338093</t>
  </si>
  <si>
    <t>25275CBPR018E1D</t>
  </si>
  <si>
    <t>Luca Sauer de Araujo</t>
  </si>
  <si>
    <t>O351125</t>
  </si>
  <si>
    <t>25280CBPR029EE9</t>
  </si>
  <si>
    <t>Rodrigo Ciliprandi de Oliveira</t>
  </si>
  <si>
    <t>O385259</t>
  </si>
  <si>
    <t>25289CBPR042EF5</t>
  </si>
  <si>
    <t>Liberty Specialty Markets Europe SARL</t>
  </si>
  <si>
    <t>Siobhan Dalton</t>
  </si>
  <si>
    <t>O388804</t>
  </si>
  <si>
    <t>25290CBPR045411</t>
  </si>
  <si>
    <t>Dax Flanagan-Riner</t>
  </si>
  <si>
    <t>O322949</t>
  </si>
  <si>
    <t>25269CBPR00E871</t>
  </si>
  <si>
    <t>Laoise Beirne</t>
  </si>
  <si>
    <t>O350165</t>
  </si>
  <si>
    <t>25280CBPR0271F6</t>
  </si>
  <si>
    <t>Biotector Analytical Systems Ltd</t>
  </si>
  <si>
    <t>Shalini Kumaravelu</t>
  </si>
  <si>
    <t>O337916</t>
  </si>
  <si>
    <t>25275CBPR018BAB</t>
  </si>
  <si>
    <t>3 New members -  Nichakorn Pongsakornsathien</t>
  </si>
  <si>
    <t>019245M</t>
  </si>
  <si>
    <t>25290CBPR046097</t>
  </si>
  <si>
    <t>Rughda Yousuf</t>
  </si>
  <si>
    <t>SecureShare IKEA Ire</t>
  </si>
  <si>
    <t>25273CBPR013F20</t>
  </si>
  <si>
    <t>IKEA Ireland Limited</t>
  </si>
  <si>
    <t>Scott Fairbairn - Email sent re Application</t>
  </si>
  <si>
    <t>25289CBPR0431BF</t>
  </si>
  <si>
    <t>Aaron Gunn - 1203809</t>
  </si>
  <si>
    <t>SecureShare Medical</t>
  </si>
  <si>
    <t>019202M</t>
  </si>
  <si>
    <t>25290CBPR045EA4</t>
  </si>
  <si>
    <t>Medical Missionaries Of Mary</t>
  </si>
  <si>
    <t>Deirdre Hughes</t>
  </si>
  <si>
    <t>019203M</t>
  </si>
  <si>
    <t>25290CBPR045EA5</t>
  </si>
  <si>
    <t>Employer: Medical Missionaries of Mary :: Sharon Wilson</t>
  </si>
  <si>
    <t>25273CBPR0145B5</t>
  </si>
  <si>
    <t>Employer: Medite Europe DAC :: Member Name: Mr. Eoin O Connor :: Date of Birth: 12/04/1993</t>
  </si>
  <si>
    <t>O337847</t>
  </si>
  <si>
    <t>25275CBPR018A8E</t>
  </si>
  <si>
    <t>Caio Semensato - Risk Only - added 1200462</t>
  </si>
  <si>
    <t>O332676</t>
  </si>
  <si>
    <t>25274CBPR01643A</t>
  </si>
  <si>
    <t>Antoinette O'Callaghan - added 1200245</t>
  </si>
  <si>
    <t>O320922</t>
  </si>
  <si>
    <t>25269CBPR00D6EC</t>
  </si>
  <si>
    <t>InTouch Control Systems Limited</t>
  </si>
  <si>
    <t>Jonathan Gardiner - added 1199636</t>
  </si>
  <si>
    <t>25275CBPR018347</t>
  </si>
  <si>
    <t>Michael Lynagh - added 1200434</t>
  </si>
  <si>
    <t>SecureShare Royal Lo</t>
  </si>
  <si>
    <t>25279CBPR025A41</t>
  </si>
  <si>
    <t>Royal London Mutual Ins. Society Ltd.</t>
  </si>
  <si>
    <t>Catherine O'Flaherty - added 1201170</t>
  </si>
  <si>
    <t>O383662</t>
  </si>
  <si>
    <t>25289CBPR0422F2</t>
  </si>
  <si>
    <t>SecureShare Abbott R</t>
  </si>
  <si>
    <t>25288CBPR040B1D</t>
  </si>
  <si>
    <t>ABBOTT RAPID DX INTL LTD</t>
  </si>
  <si>
    <t>25288CBPR040B90</t>
  </si>
  <si>
    <t>Employer: Fold Housing :: Number of Members: 2</t>
  </si>
  <si>
    <t>SecureShare Greencor</t>
  </si>
  <si>
    <t>25283CBPR035D4B</t>
  </si>
  <si>
    <t>Employer: Greencore :: Number of Members: 1</t>
  </si>
  <si>
    <t>25290CBPR045F9B</t>
  </si>
  <si>
    <t>25290CBPR04550B</t>
  </si>
  <si>
    <t>Employer: Liberty IT :: Number of Members: 5</t>
  </si>
  <si>
    <t>SecureShare O Neill</t>
  </si>
  <si>
    <t>Tom Corbett Financial Services</t>
  </si>
  <si>
    <t>25286CBPR039F0F</t>
  </si>
  <si>
    <t>O'Neill O'Malley LTD.</t>
  </si>
  <si>
    <t>Employer: O'NEILL O'MALLEY LTD. :: Number of Members: 12</t>
  </si>
  <si>
    <t>25283CBPR035803</t>
  </si>
  <si>
    <t>Employer: ‘Royal London Ireland Pension Plan :: Number of Members: N/A</t>
  </si>
  <si>
    <t>25283CBPR0367E8</t>
  </si>
  <si>
    <t>Employer: The Open University :: Number of Members: 5</t>
  </si>
  <si>
    <t>O321700</t>
  </si>
  <si>
    <t>25269CBPR00DD16</t>
  </si>
  <si>
    <t>Sanbra Fyffe Limited</t>
  </si>
  <si>
    <t>Grainne Turner</t>
  </si>
  <si>
    <t>25274CBPR0165F1</t>
  </si>
  <si>
    <t>Hermitage Clinic Limited</t>
  </si>
  <si>
    <t>25293CBPR04B6F4</t>
  </si>
  <si>
    <t>25293CBPR04B6F5</t>
  </si>
  <si>
    <t>25293CBPR04C083</t>
  </si>
  <si>
    <t>SecureShare DCC Oil</t>
  </si>
  <si>
    <t>25293CBPR04C124</t>
  </si>
  <si>
    <t>Certa Ireland Limited</t>
  </si>
  <si>
    <t>25272CBPR011D3A</t>
  </si>
  <si>
    <t>25272CBPR011F1D</t>
  </si>
  <si>
    <t>25293CBPR04C1B0</t>
  </si>
  <si>
    <t>Mason Hayes &amp; Curran Ser. Ltd members</t>
  </si>
  <si>
    <t>25280CBPR0275BE</t>
  </si>
  <si>
    <t>Employer: Proofpoint Ireland Limited :: Number of Members: N/A</t>
  </si>
  <si>
    <t>O352688</t>
  </si>
  <si>
    <t>25280CBPR02ACBE</t>
  </si>
  <si>
    <t>DIGI: Ciaran Luttrell Added, Member No. 1202725, EOW</t>
  </si>
  <si>
    <t>O352695</t>
  </si>
  <si>
    <t>25280CBPR02ACCB</t>
  </si>
  <si>
    <t>DIGI: Jaqueline Sartori da Silva Added, Member No. 1201349, EOW</t>
  </si>
  <si>
    <t>O352703</t>
  </si>
  <si>
    <t>25280CBPR02ACD9</t>
  </si>
  <si>
    <t>DIGI: Thomas Morrissey Added, Member No. 1201632, EOW</t>
  </si>
  <si>
    <t>O352710</t>
  </si>
  <si>
    <t>25280CBPR02ACE6</t>
  </si>
  <si>
    <t>DIGI: Gerard Frizzell Added, Member No. 1201654, EOW</t>
  </si>
  <si>
    <t>O352720</t>
  </si>
  <si>
    <t>25280CBPR02ACF5</t>
  </si>
  <si>
    <t>DIGI: Luke Crowley Added, Member No. 1201657, EOW</t>
  </si>
  <si>
    <t>O352728</t>
  </si>
  <si>
    <t>25280CBPR02AD03</t>
  </si>
  <si>
    <t>DIGI: Conor Crowley Added, Member No. 1201659, EOW</t>
  </si>
  <si>
    <t>O352737</t>
  </si>
  <si>
    <t>25280CBPR02AD10</t>
  </si>
  <si>
    <t>DIGI: Sean Hosford Added, Member No. 1201661, EOW</t>
  </si>
  <si>
    <t>O352750</t>
  </si>
  <si>
    <t>25280CBPR02AD2E</t>
  </si>
  <si>
    <t>DIGI: Amil Jayathilaka Added, Member No. 1201690, EOW</t>
  </si>
  <si>
    <t>O333282</t>
  </si>
  <si>
    <t>25274CBPR016809</t>
  </si>
  <si>
    <t>TEXT: Robert Malone Added, Member No. 1200364</t>
  </si>
  <si>
    <t>O333285</t>
  </si>
  <si>
    <t>25274CBPR01680C</t>
  </si>
  <si>
    <t>TEXT: Gerard Dunne Added, Member No. 1201341</t>
  </si>
  <si>
    <t>O333291</t>
  </si>
  <si>
    <t>25274CBPR016813</t>
  </si>
  <si>
    <t>TEXT: Anjali Palappillil Mony Added, Member No. 1200354</t>
  </si>
  <si>
    <t>O340226</t>
  </si>
  <si>
    <t>25275CBPR01AA65</t>
  </si>
  <si>
    <t>Henry Schein Ireland Limited</t>
  </si>
  <si>
    <t>DIGI: Colin McCarthy Added, Member No. 1202403</t>
  </si>
  <si>
    <t>O350573</t>
  </si>
  <si>
    <t>25280CBPR027491</t>
  </si>
  <si>
    <t>TEXT: Cathal McGrane Added, Member No. 1201666</t>
  </si>
  <si>
    <t>O334400</t>
  </si>
  <si>
    <t>25274CBPR017049</t>
  </si>
  <si>
    <t>PTC (SSI) Designated Activity Company</t>
  </si>
  <si>
    <t>DIGI: Pamela Hendrick Added, Member No. 1200368</t>
  </si>
  <si>
    <t>O351964</t>
  </si>
  <si>
    <t>25280CBPR02A60D</t>
  </si>
  <si>
    <t>TEXT: Mary O'Reilly Added, Member No. 1201689</t>
  </si>
  <si>
    <t>25274CBPR01701D</t>
  </si>
  <si>
    <t>Monument Insurance</t>
  </si>
  <si>
    <t>25280CBPR02AB63</t>
  </si>
  <si>
    <t>25283CBPR03546B</t>
  </si>
  <si>
    <t>x26 NEs Added</t>
  </si>
  <si>
    <t>SecureShare Veolia U</t>
  </si>
  <si>
    <t>25281CBPR030170</t>
  </si>
  <si>
    <t>Veolia Energy Ser Ireland Ltd</t>
  </si>
  <si>
    <t>Employer: Veolia :: Number of Members: N/A</t>
  </si>
  <si>
    <t>25287CBPR03C13A</t>
  </si>
  <si>
    <t>SecureShare BearingP</t>
  </si>
  <si>
    <t>25282CBPR033CB4</t>
  </si>
  <si>
    <t>Employer: BearingPoint :: Number of Members: 40</t>
  </si>
  <si>
    <t>25289CBPR04282E</t>
  </si>
  <si>
    <t>Sarah o Dea</t>
  </si>
  <si>
    <t>O307764</t>
  </si>
  <si>
    <t>25266CBPR00437F</t>
  </si>
  <si>
    <t>Patrick Teahan</t>
  </si>
  <si>
    <t>O383795</t>
  </si>
  <si>
    <t>25289CBPR0423D9</t>
  </si>
  <si>
    <t>Jonathan White</t>
  </si>
  <si>
    <t>O384380</t>
  </si>
  <si>
    <t>25289CBPR0427EC</t>
  </si>
  <si>
    <t>Diarmuid Flemming</t>
  </si>
  <si>
    <t>O362611</t>
  </si>
  <si>
    <t>25283CBPR035093</t>
  </si>
  <si>
    <t>Sean O'Malley</t>
  </si>
  <si>
    <t>O324210</t>
  </si>
  <si>
    <t>25272CBPR0112AC</t>
  </si>
  <si>
    <t>Louise Cooke</t>
  </si>
  <si>
    <t>O322610</t>
  </si>
  <si>
    <t>25269CBPR00E528</t>
  </si>
  <si>
    <t>Staffline Recruitment (ROI) Ltd</t>
  </si>
  <si>
    <t>Kimberly de Ruiter</t>
  </si>
  <si>
    <t>O324693</t>
  </si>
  <si>
    <t>25272CBPR011582</t>
  </si>
  <si>
    <t>Hair Restoration Limited</t>
  </si>
  <si>
    <t>Zoe Hughes</t>
  </si>
  <si>
    <t>O334081</t>
  </si>
  <si>
    <t>25274CBPR016DDF</t>
  </si>
  <si>
    <t>O368618</t>
  </si>
  <si>
    <t>25286CBPR039B7C</t>
  </si>
  <si>
    <t>Daire Cullivan</t>
  </si>
  <si>
    <t>O368819</t>
  </si>
  <si>
    <t>25286CBPR039D00</t>
  </si>
  <si>
    <t>Walfrid Private Limited</t>
  </si>
  <si>
    <t>Simon Spendlove</t>
  </si>
  <si>
    <t>O383305</t>
  </si>
  <si>
    <t>25289CBPR042099</t>
  </si>
  <si>
    <t>SD Worx Ireland Limited</t>
  </si>
  <si>
    <t>melissa Duggan</t>
  </si>
  <si>
    <t>O384664</t>
  </si>
  <si>
    <t>25289CBPR042A06</t>
  </si>
  <si>
    <t>Cathal McQuaid</t>
  </si>
  <si>
    <t>O387066</t>
  </si>
  <si>
    <t>25289CBPR043CD4</t>
  </si>
  <si>
    <t>O393944</t>
  </si>
  <si>
    <t>25293CBPR04B6AC</t>
  </si>
  <si>
    <t>Timoney Dynamic Solutions Limited</t>
  </si>
  <si>
    <t>Khaled Atamnia</t>
  </si>
  <si>
    <t>John Butler</t>
  </si>
  <si>
    <t>O356686</t>
  </si>
  <si>
    <t>25281CBPR02F7A3</t>
  </si>
  <si>
    <t>Mullinahone Co-operative Dairy Society</t>
  </si>
  <si>
    <t>Sarah Cooke Already Added</t>
  </si>
  <si>
    <t>O356739</t>
  </si>
  <si>
    <t>25281CBPR02F7FD</t>
  </si>
  <si>
    <t>Sinead Butler Already Added</t>
  </si>
  <si>
    <t>O395766</t>
  </si>
  <si>
    <t>25293CBPR04C55A</t>
  </si>
  <si>
    <t>Europ Assistance S.A</t>
  </si>
  <si>
    <t>Anastasia Okolnlkova</t>
  </si>
  <si>
    <t>O365676</t>
  </si>
  <si>
    <t>25283CBPR0368B3</t>
  </si>
  <si>
    <t>Sonya Etova</t>
  </si>
  <si>
    <t>O365728</t>
  </si>
  <si>
    <t>25283CBPR03690E</t>
  </si>
  <si>
    <t>Jennifer Fitzpatrick</t>
  </si>
  <si>
    <t>O383925</t>
  </si>
  <si>
    <t>25289CBPR04248C</t>
  </si>
  <si>
    <t>David Buliga</t>
  </si>
  <si>
    <t>O393143</t>
  </si>
  <si>
    <t>25293CBPR04B19B</t>
  </si>
  <si>
    <t>Ovidijus Mesiuvian</t>
  </si>
  <si>
    <t>O393808</t>
  </si>
  <si>
    <t>25293CBPR04B5BA</t>
  </si>
  <si>
    <t>Arturas Dambrauskas</t>
  </si>
  <si>
    <t>O395117</t>
  </si>
  <si>
    <t>25293CBPR04C00C</t>
  </si>
  <si>
    <t>Liam Connolly</t>
  </si>
  <si>
    <t>O350191</t>
  </si>
  <si>
    <t>25280CBPR02721F</t>
  </si>
  <si>
    <t>Louise Bothma</t>
  </si>
  <si>
    <t>O389569</t>
  </si>
  <si>
    <t>25290CBPR0459F8</t>
  </si>
  <si>
    <t>Raymond Gillick</t>
  </si>
  <si>
    <t>O361001</t>
  </si>
  <si>
    <t>25282CBPR033BA1</t>
  </si>
  <si>
    <t>Elena Tordova</t>
  </si>
  <si>
    <t>O393138</t>
  </si>
  <si>
    <t>25293CBPR04B192</t>
  </si>
  <si>
    <t>Nataliia Potlova</t>
  </si>
  <si>
    <t>011110M</t>
  </si>
  <si>
    <t>25281CBPR02FD91</t>
  </si>
  <si>
    <t>Nicole Bermingham</t>
  </si>
  <si>
    <t>O384911</t>
  </si>
  <si>
    <t>25289CBPR042BF1</t>
  </si>
  <si>
    <t>Janice O Leary</t>
  </si>
  <si>
    <t>25287CBPR03DE71</t>
  </si>
  <si>
    <t>Employer: N/A :: Member Name: Mrs Una Bannon :: Date of Birth: 10/12/1981</t>
  </si>
  <si>
    <t>25287CBPR03DF82</t>
  </si>
  <si>
    <t>Employer: N/A :: Member Name: Ms Catriona Brady :: Date of Birth: 28/01/1986</t>
  </si>
  <si>
    <t>25287CBPR03E1F1</t>
  </si>
  <si>
    <t>Employer: N/A :: Member Name: Mrs Annette Glennon :: Date of Birth: 25/09/1982</t>
  </si>
  <si>
    <t>25287CBPR03E30D</t>
  </si>
  <si>
    <t>Employer: N/A :: Member Name: Mr Connor Simms :: Date of Birth: 26/12/1995</t>
  </si>
  <si>
    <t>25287CBPR03E599</t>
  </si>
  <si>
    <t>Employer: N/A :: Member Name: Mrs Mary-Louise Quinn :: Date of Birth: 11/11/1973</t>
  </si>
  <si>
    <t>25287CBPR03E605</t>
  </si>
  <si>
    <t>Employer: N/A :: Member Name: Mr Ciarán Rooney :: Date of Birth: 30/09/1995</t>
  </si>
  <si>
    <t>25288CBPR03FAE2</t>
  </si>
  <si>
    <t>Employer: Helsinn Birex Pharmaceuticals Ltd : ... (see attached file for full description)</t>
  </si>
  <si>
    <t>SecureShare Maxol Li</t>
  </si>
  <si>
    <t>988635L</t>
  </si>
  <si>
    <t>25258CBPR02C426</t>
  </si>
  <si>
    <t>Maxol Limited</t>
  </si>
  <si>
    <t>Lorraine Brophy</t>
  </si>
  <si>
    <t>25280CBPR02B183</t>
  </si>
  <si>
    <t>Nessa O Mahony</t>
  </si>
  <si>
    <t>25280CBPR02B214</t>
  </si>
  <si>
    <t>Catherine Jeffares</t>
  </si>
  <si>
    <t>25280CBPR02B4CE</t>
  </si>
  <si>
    <t>Bernadette Quinn</t>
  </si>
  <si>
    <t>25290CBPR045F9A</t>
  </si>
  <si>
    <t>25287CBPR03C138</t>
  </si>
  <si>
    <t>CCG Aonad Slainte do Mhic Leinn Teo</t>
  </si>
  <si>
    <t>25291CBPR04704F</t>
  </si>
  <si>
    <t>SecureShare Rangelan</t>
  </si>
  <si>
    <t>25288CBPR0408A2</t>
  </si>
  <si>
    <t>Employer: Rangeland Foods Ltd :: Number of Members: N/A</t>
  </si>
  <si>
    <t>25286CBPR03AD67</t>
  </si>
  <si>
    <t>25288CBPR03FD7A</t>
  </si>
  <si>
    <t>25290CBPR046A91</t>
  </si>
  <si>
    <t>25280CBPR02A160</t>
  </si>
  <si>
    <t>Employer: Cheshire Ireland :: Number of Members: N/A</t>
  </si>
  <si>
    <t>25272CBPR0121C3</t>
  </si>
  <si>
    <t>25288CBPR03F93D</t>
  </si>
  <si>
    <t>25293CBPR04B78B</t>
  </si>
  <si>
    <t>Yonder Technology Limited</t>
  </si>
  <si>
    <t>25293CBPR04B78C</t>
  </si>
  <si>
    <t>Killbiller Ltd</t>
  </si>
  <si>
    <t>Employer: N/A :: Number of Members: 4</t>
  </si>
  <si>
    <t>25293CBPR04B78F</t>
  </si>
  <si>
    <t>Cloudsmith Ltd</t>
  </si>
  <si>
    <t>SecureShare Joseph G</t>
  </si>
  <si>
    <t>25274CBPR0163CD</t>
  </si>
  <si>
    <t>ABM Ireland</t>
  </si>
  <si>
    <t>Employer: ABM Ireland :: Number of Members: N/A</t>
  </si>
  <si>
    <t>25289CBPR043956</t>
  </si>
  <si>
    <t>HLB Ireland</t>
  </si>
  <si>
    <t>Employer: HLB :: Number of Members: 1</t>
  </si>
  <si>
    <t>25290CBPR04550A</t>
  </si>
  <si>
    <t>SecureShare Rippling</t>
  </si>
  <si>
    <t>25279CBPR026E60</t>
  </si>
  <si>
    <t>Employer: Rippling Ireland Limited :: Number of Members: 17</t>
  </si>
  <si>
    <t>SecureShare Savills</t>
  </si>
  <si>
    <t>25288CBPR03FBC3</t>
  </si>
  <si>
    <t>Savills Directors</t>
  </si>
  <si>
    <t>Employer: Savills :: Number of Members: 50</t>
  </si>
  <si>
    <t>VW22</t>
  </si>
  <si>
    <t>Hastings Life &amp; Pensions Ltd</t>
  </si>
  <si>
    <t>25282CBPR03298A</t>
  </si>
  <si>
    <t>Kverneland Group Ireland Limited</t>
  </si>
  <si>
    <t>member has been added 1200050</t>
  </si>
  <si>
    <t>SecureShare American</t>
  </si>
  <si>
    <t>25290CBPR046334</t>
  </si>
  <si>
    <t>Orla Corbett</t>
  </si>
  <si>
    <t>SecureShare Brett Br</t>
  </si>
  <si>
    <t>25273CBPR0145B6</t>
  </si>
  <si>
    <t>Employer: Brett Brothers Limited :: Eugene Cassin</t>
  </si>
  <si>
    <t>VN53</t>
  </si>
  <si>
    <t>SecureShare Cara Par</t>
  </si>
  <si>
    <t>25276CBPR01B1A7</t>
  </si>
  <si>
    <t>Employer: Cara Partners :: Number of Members: 2</t>
  </si>
  <si>
    <t>25275CBPR01A446</t>
  </si>
  <si>
    <t>Cuna Mutual Group Services (Ireland) Ltd</t>
  </si>
  <si>
    <t>Employer: Cuna Mutual :: Vincent Kennedy</t>
  </si>
  <si>
    <t>25276CBPR01BD15</t>
  </si>
  <si>
    <t>Employer: Kepak :: Number of Members: 1</t>
  </si>
  <si>
    <t>SecureShare East Cor</t>
  </si>
  <si>
    <t>25274CBPR01783A</t>
  </si>
  <si>
    <t>East Cork Oil Company Unlimited Company</t>
  </si>
  <si>
    <t>Thomas Kenny (11 others already on scheme)</t>
  </si>
  <si>
    <t>25283CBPR03648E</t>
  </si>
  <si>
    <t>3 x NE</t>
  </si>
  <si>
    <t>SecureShare ING Bank</t>
  </si>
  <si>
    <t>25287CBPR03D3A2</t>
  </si>
  <si>
    <t>ING Bank N.V. Dublin Branch</t>
  </si>
  <si>
    <t>2 x NE &amp; update for Austin Ryan</t>
  </si>
  <si>
    <t>25276CBPR01C083</t>
  </si>
  <si>
    <t>Lake Region Medical Limited</t>
  </si>
  <si>
    <t>25276CBPR01C6A4</t>
  </si>
  <si>
    <t>Employer: N/A :: Number of Members: 11</t>
  </si>
  <si>
    <t>25276CBPR01C75E</t>
  </si>
  <si>
    <t>Employer: N/A :: Number of Members: 7</t>
  </si>
  <si>
    <t>25276CBPR01B654</t>
  </si>
  <si>
    <t>Kelvin Chatten</t>
  </si>
  <si>
    <t>25275CBPR019BD5</t>
  </si>
  <si>
    <t>Waterford Credit Union Ltd</t>
  </si>
  <si>
    <t>21 x NE - 19 uploaded</t>
  </si>
  <si>
    <t>25289CBPR0429DA</t>
  </si>
  <si>
    <t>2 x NE - Louisa &amp; Daniel</t>
  </si>
  <si>
    <t>25288CBPR03FBC4</t>
  </si>
  <si>
    <t>Jason Burford Risk Only</t>
  </si>
  <si>
    <t>25288CBPR03FC8C</t>
  </si>
  <si>
    <t>MSL Healthcare Ltd</t>
  </si>
  <si>
    <t>Danish Azmat</t>
  </si>
  <si>
    <t>25281CBPR02F4B7</t>
  </si>
  <si>
    <t>Belvedere College SJ</t>
  </si>
  <si>
    <t>Molly O'Hare</t>
  </si>
  <si>
    <t>25283CBPR0354DF</t>
  </si>
  <si>
    <t>Magnet Networks Limited</t>
  </si>
  <si>
    <t>Magdalen Hepes</t>
  </si>
  <si>
    <t>25289CBPR04381C</t>
  </si>
  <si>
    <t>Burlington Engineering Ltd</t>
  </si>
  <si>
    <t>Shane Taaffe</t>
  </si>
  <si>
    <t>25289CBPR043236</t>
  </si>
  <si>
    <t>Eva Gaffney - PPI won't accept Midas#</t>
  </si>
  <si>
    <t>VV69</t>
  </si>
  <si>
    <t>Gallivan Financial Ltd (FJ Hanly</t>
  </si>
  <si>
    <t>25273CBPR013158</t>
  </si>
  <si>
    <t>Smart Electronics Limited</t>
  </si>
  <si>
    <t>2 NEs to be setup  on NE data tab</t>
  </si>
  <si>
    <t>25280CBPR02A040</t>
  </si>
  <si>
    <t>Univar Ireland Limited</t>
  </si>
  <si>
    <t>5 NEs Univar :: Number of Members: 7</t>
  </si>
  <si>
    <t>25260CBPR030A22</t>
  </si>
  <si>
    <t>Hospitality Growth Services Limited</t>
  </si>
  <si>
    <t>Sean Ryan AW Salary</t>
  </si>
  <si>
    <t>25287CBPR03DCC5</t>
  </si>
  <si>
    <t>SecureShare WTW</t>
  </si>
  <si>
    <t>25281CBPR02FE22</t>
  </si>
  <si>
    <t>Netgear International Limited</t>
  </si>
  <si>
    <t>Employer: Net gear :: Number of Members: 1</t>
  </si>
  <si>
    <t>25282CBPR033D10</t>
  </si>
  <si>
    <t>Palo Alto Security Limited</t>
  </si>
  <si>
    <t>Employer: Palo Alto :: Number of Members: 2</t>
  </si>
  <si>
    <t>O361363</t>
  </si>
  <si>
    <t>25286CBPR039438</t>
  </si>
  <si>
    <t>Immedis Ltd</t>
  </si>
  <si>
    <t>Stephen Keague Application Form</t>
  </si>
  <si>
    <t>O352762</t>
  </si>
  <si>
    <t>25280CBPR02AD4E</t>
  </si>
  <si>
    <t>Thermo King Ireland Limited</t>
  </si>
  <si>
    <t>Ronan Walsh</t>
  </si>
  <si>
    <t>O350926</t>
  </si>
  <si>
    <t>25280CBPR029DD8</t>
  </si>
  <si>
    <t>Manjunath Sanjiv Kulkarni</t>
  </si>
  <si>
    <t>O350984</t>
  </si>
  <si>
    <t>25280CBPR029E1E</t>
  </si>
  <si>
    <t>Ronan McMullen</t>
  </si>
  <si>
    <t>O351020</t>
  </si>
  <si>
    <t>25280CBPR029E4B</t>
  </si>
  <si>
    <t>Daniel Porabik</t>
  </si>
  <si>
    <t>RD03</t>
  </si>
  <si>
    <t>FDC Financial Services Ltd</t>
  </si>
  <si>
    <t>O389141</t>
  </si>
  <si>
    <t>25290CBPR0456B8</t>
  </si>
  <si>
    <t>Keohane Readymix Limited</t>
  </si>
  <si>
    <t>Adam Fahy</t>
  </si>
  <si>
    <t>O356807</t>
  </si>
  <si>
    <t>25281CBPR02F879</t>
  </si>
  <si>
    <t>Santiago Eloy Capdevilla</t>
  </si>
  <si>
    <t>O383844</t>
  </si>
  <si>
    <t>25289CBPR04241A</t>
  </si>
  <si>
    <t>Daniel Sharpe</t>
  </si>
  <si>
    <t>D772</t>
  </si>
  <si>
    <t>Marine &amp; General Insurances Ltd</t>
  </si>
  <si>
    <t>O386804</t>
  </si>
  <si>
    <t>25289CBPR043B0F</t>
  </si>
  <si>
    <t>Irish Manufacturing Research CLG</t>
  </si>
  <si>
    <t>Niamh O'Sullivan</t>
  </si>
  <si>
    <t>O326839</t>
  </si>
  <si>
    <t>25272CBPR0124C5</t>
  </si>
  <si>
    <t>Stephanie Faller</t>
  </si>
  <si>
    <t>O346081</t>
  </si>
  <si>
    <t>25279CBPR0254FD</t>
  </si>
  <si>
    <t>25280CBPR0273BB</t>
  </si>
  <si>
    <t>Employer: ING dublin :: Member Name: Mr Austin Ryan :: Date of Birth: 27/07/1976</t>
  </si>
  <si>
    <t>O341921</t>
  </si>
  <si>
    <t>25276CBPR01B5C1</t>
  </si>
  <si>
    <t>O370320</t>
  </si>
  <si>
    <t>25286CBPR03A9F2</t>
  </si>
  <si>
    <t>Akeem Olaleye</t>
  </si>
  <si>
    <t>O370323</t>
  </si>
  <si>
    <t>25286CBPR03A9FF</t>
  </si>
  <si>
    <t>Patrick O’Donnell</t>
  </si>
  <si>
    <t>O370335</t>
  </si>
  <si>
    <t>25286CBPR03AA23</t>
  </si>
  <si>
    <t>Padraig Cody</t>
  </si>
  <si>
    <t>O368284</t>
  </si>
  <si>
    <t>25286CBPR0398CD</t>
  </si>
  <si>
    <t>Stanly Yan Seng Ling</t>
  </si>
  <si>
    <t>RA51</t>
  </si>
  <si>
    <t>Allen Retirement &amp; Finance Ltd (a</t>
  </si>
  <si>
    <t>013083M</t>
  </si>
  <si>
    <t>25286CBPR039E25</t>
  </si>
  <si>
    <t>Union of the Sisters of the Presentation</t>
  </si>
  <si>
    <t>25283CBPR036065</t>
  </si>
  <si>
    <t>Employer: Magnet :: Member Name: Ms Helena McManus :: Date of Birth: 05/06/1981</t>
  </si>
  <si>
    <t>25281CBPR02C27D</t>
  </si>
  <si>
    <t>Anart Restaurants Limited</t>
  </si>
  <si>
    <t>Employer: Anart :: Member Name: Mrs Andreea Paul :: Date of Birth: 14/03/1991</t>
  </si>
  <si>
    <t>RQ15</t>
  </si>
  <si>
    <t>SecureShare Rite Fin</t>
  </si>
  <si>
    <t>Annemarie McGeehan Ltd T/A RITE F</t>
  </si>
  <si>
    <t>25288CBPR03F1A1</t>
  </si>
  <si>
    <t>Meath Womens Refuge And Support Services</t>
  </si>
  <si>
    <t>Employer: Meath womens Refuge and support ser ... (see attached file for full description)</t>
  </si>
  <si>
    <t>O345335</t>
  </si>
  <si>
    <t>25279CBPR025023</t>
  </si>
  <si>
    <t>aoife clarke</t>
  </si>
  <si>
    <t>RF34</t>
  </si>
  <si>
    <t>Godfrey Shaw</t>
  </si>
  <si>
    <t>O355060</t>
  </si>
  <si>
    <t>25281CBPR02C3EA</t>
  </si>
  <si>
    <t>Stonehouse Marketing Limited</t>
  </si>
  <si>
    <t>O329141</t>
  </si>
  <si>
    <t>25273CBPR0138F3</t>
  </si>
  <si>
    <t>FSW Coatings Limited</t>
  </si>
  <si>
    <t>AISLING GILSENAN</t>
  </si>
  <si>
    <t>O332379</t>
  </si>
  <si>
    <t>25274CBPR01625D</t>
  </si>
  <si>
    <t>NIALL HICKEY 70000</t>
  </si>
  <si>
    <t>O381741</t>
  </si>
  <si>
    <t>25288CBPR040726</t>
  </si>
  <si>
    <t>GEREMIAS JUAN EK</t>
  </si>
  <si>
    <t>O377977</t>
  </si>
  <si>
    <t>25287CBPR03E6AC</t>
  </si>
  <si>
    <t>ANASTASIYA TERESHCHENKA</t>
  </si>
  <si>
    <t>O365070</t>
  </si>
  <si>
    <t>25283CBPR03639A</t>
  </si>
  <si>
    <t>Thermo King Ireland</t>
  </si>
  <si>
    <t>WAYNE DONNELLAN 25000 AVC</t>
  </si>
  <si>
    <t>994625L</t>
  </si>
  <si>
    <t>25273CBPR013565</t>
  </si>
  <si>
    <t>Diligent Governance Ireland Limited</t>
  </si>
  <si>
    <t>SHANE EGAN</t>
  </si>
  <si>
    <t>NQ49</t>
  </si>
  <si>
    <t>997698L</t>
  </si>
  <si>
    <t>25280CBPR02AF46</t>
  </si>
  <si>
    <t>Storm Technology Ltd</t>
  </si>
  <si>
    <t>STEPHEN SHANNON</t>
  </si>
  <si>
    <t>O369508</t>
  </si>
  <si>
    <t>25286CBPR03A2E5</t>
  </si>
  <si>
    <t>Anne Eaton 1201949</t>
  </si>
  <si>
    <t>O369512</t>
  </si>
  <si>
    <t>25286CBPR03A2EA</t>
  </si>
  <si>
    <t>Orla Patton 1202409</t>
  </si>
  <si>
    <t>O369521</t>
  </si>
  <si>
    <t>25286CBPR03A2F8</t>
  </si>
  <si>
    <t>Marianna Borges 1201962</t>
  </si>
  <si>
    <t>O369524</t>
  </si>
  <si>
    <t>25286CBPR03A304</t>
  </si>
  <si>
    <t>Van Tham 1202000</t>
  </si>
  <si>
    <t>O369527</t>
  </si>
  <si>
    <t>25286CBPR03A30D</t>
  </si>
  <si>
    <t>Catriona Sinnott 1202033</t>
  </si>
  <si>
    <t>O388350</t>
  </si>
  <si>
    <t>25290CBPR045081</t>
  </si>
  <si>
    <t>Erica Bitencourt 1203039</t>
  </si>
  <si>
    <t>O305111</t>
  </si>
  <si>
    <t>25265CBPR002BF0</t>
  </si>
  <si>
    <t>Kingfisher Ireland Limited</t>
  </si>
  <si>
    <t>Glen Smith 1199656</t>
  </si>
  <si>
    <t>O341106</t>
  </si>
  <si>
    <t>25276CBPR01B00A</t>
  </si>
  <si>
    <t>Helen Chaill 1200234</t>
  </si>
  <si>
    <t>O341108</t>
  </si>
  <si>
    <t>25276CBPR01B00C</t>
  </si>
  <si>
    <t xml:space="preserve"> Abigale Gartland  1200232</t>
  </si>
  <si>
    <t>O345340</t>
  </si>
  <si>
    <t>25279CBPR025028</t>
  </si>
  <si>
    <t>Leah ORourke - 1200818</t>
  </si>
  <si>
    <t>O337995</t>
  </si>
  <si>
    <t>25275CBPR018CD7</t>
  </si>
  <si>
    <t>NVD Trading Ltd</t>
  </si>
  <si>
    <t>Peter McMahon 1200430</t>
  </si>
  <si>
    <t>O338313</t>
  </si>
  <si>
    <t>25275CBPR0191EA</t>
  </si>
  <si>
    <t>Baringa Ireland Limited</t>
  </si>
  <si>
    <t>Rebecca Denton 1201747</t>
  </si>
  <si>
    <t>O341585</t>
  </si>
  <si>
    <t>25276CBPR01B388</t>
  </si>
  <si>
    <t>Mario Andre Tristao Gusman 1200741</t>
  </si>
  <si>
    <t>O341752</t>
  </si>
  <si>
    <t>25276CBPR01B49E</t>
  </si>
  <si>
    <t>Raj Kumar Radhakrishnan 1200798</t>
  </si>
  <si>
    <t>O360358</t>
  </si>
  <si>
    <t>25282CBPR033577</t>
  </si>
  <si>
    <t>Dane OConnor 1201947</t>
  </si>
  <si>
    <t>O334924</t>
  </si>
  <si>
    <t>25274CBPR01741D</t>
  </si>
  <si>
    <t>Nathan OShea 1200271</t>
  </si>
  <si>
    <t>O335196</t>
  </si>
  <si>
    <t>25274CBPR017640</t>
  </si>
  <si>
    <t>Lauren Drohan Power 1200252</t>
  </si>
  <si>
    <t>O394994</t>
  </si>
  <si>
    <t>25293CBPR04BF01</t>
  </si>
  <si>
    <t>Abel Bermudez Roman 1204096</t>
  </si>
  <si>
    <t>O351890</t>
  </si>
  <si>
    <t>25280CBPR02A564</t>
  </si>
  <si>
    <t>McKechnie Cleaning Services</t>
  </si>
  <si>
    <t>Laura Tyrrell 1201488</t>
  </si>
  <si>
    <t>O356883</t>
  </si>
  <si>
    <t>25281CBPR02F914</t>
  </si>
  <si>
    <t>Beta Grazyna Gdaniec 1201748</t>
  </si>
  <si>
    <t>O359887</t>
  </si>
  <si>
    <t>25282CBPR032FDD</t>
  </si>
  <si>
    <t>Linda Austin - 1202408</t>
  </si>
  <si>
    <t>O395119</t>
  </si>
  <si>
    <t>25293CBPR04C015</t>
  </si>
  <si>
    <t>Sarah Walters 1204280</t>
  </si>
  <si>
    <t>VQ78</t>
  </si>
  <si>
    <t>Gilmore Insurance &amp; Financial Ser</t>
  </si>
  <si>
    <t>O338528</t>
  </si>
  <si>
    <t>25275CBPR01961A</t>
  </si>
  <si>
    <t>Byrne Looby Partners Limited</t>
  </si>
  <si>
    <t>Yan Ren 1200366</t>
  </si>
  <si>
    <t>E319</t>
  </si>
  <si>
    <t>O365514</t>
  </si>
  <si>
    <t>25283CBPR036764</t>
  </si>
  <si>
    <t>Aut O'Mattic Ltd</t>
  </si>
  <si>
    <t>Andrew Spittle 1202597</t>
  </si>
  <si>
    <t>VW48</t>
  </si>
  <si>
    <t>Howden Insurance (Ireland) Ltd (K</t>
  </si>
  <si>
    <t>O337807</t>
  </si>
  <si>
    <t>25275CBPR0189E8</t>
  </si>
  <si>
    <t>McKinsey and Co Inc Ireland</t>
  </si>
  <si>
    <t>philippa Griffin 1200441</t>
  </si>
  <si>
    <t>O365623</t>
  </si>
  <si>
    <t>25283CBPR036847</t>
  </si>
  <si>
    <t>Cumann Camogaiochta</t>
  </si>
  <si>
    <t>Tracey Williams 1202610</t>
  </si>
  <si>
    <t>O391633</t>
  </si>
  <si>
    <t>25290CBPR046AB6</t>
  </si>
  <si>
    <t>Blackrock Healthcare Group Unlimited</t>
  </si>
  <si>
    <t>Michael McCormack  1203846</t>
  </si>
  <si>
    <t>O329570</t>
  </si>
  <si>
    <t>25273CBPR013C94</t>
  </si>
  <si>
    <t>Roisin OSullivan 1200082</t>
  </si>
  <si>
    <t>O367907</t>
  </si>
  <si>
    <t>25286CBPR0395BC</t>
  </si>
  <si>
    <t>Jessica Mahon 1202691</t>
  </si>
  <si>
    <t>O382064</t>
  </si>
  <si>
    <t>25288CBPR0409E8</t>
  </si>
  <si>
    <t>Arthur Meoni 1203387</t>
  </si>
  <si>
    <t>O382080</t>
  </si>
  <si>
    <t>25288CBPR040A0C</t>
  </si>
  <si>
    <t>Oscar Selfa 1203401</t>
  </si>
  <si>
    <t>O304511</t>
  </si>
  <si>
    <t>25265CBPR0026EF</t>
  </si>
  <si>
    <t>Experian</t>
  </si>
  <si>
    <t>Daniel Gillespie 1201348</t>
  </si>
  <si>
    <t>O333278</t>
  </si>
  <si>
    <t>25274CBPR016800</t>
  </si>
  <si>
    <t>Irish Mainport Holdings</t>
  </si>
  <si>
    <t>Denis Burke 1200721</t>
  </si>
  <si>
    <t>O341521</t>
  </si>
  <si>
    <t>25276CBPR01B31B</t>
  </si>
  <si>
    <t>Rebecca Victoria Duke 1200725</t>
  </si>
  <si>
    <t>O372141</t>
  </si>
  <si>
    <t>25287CBPR03C54F</t>
  </si>
  <si>
    <t>Petr Sulc 1203038</t>
  </si>
  <si>
    <t>VK43</t>
  </si>
  <si>
    <t>MMPI Ltd (BHP)</t>
  </si>
  <si>
    <t>O395215</t>
  </si>
  <si>
    <t>25293CBPR04C0DF</t>
  </si>
  <si>
    <t>Slaintecare Logic Limited</t>
  </si>
  <si>
    <t>Raymond Cahill 1204340</t>
  </si>
  <si>
    <t>TW83</t>
  </si>
  <si>
    <t>Nelson Life Ltd.</t>
  </si>
  <si>
    <t>O359605</t>
  </si>
  <si>
    <t>25282CBPR032D4B</t>
  </si>
  <si>
    <t>Lisk Ireland Limited</t>
  </si>
  <si>
    <t>AM Cooke1202304</t>
  </si>
  <si>
    <t>O366974</t>
  </si>
  <si>
    <t>25285CBPR038165</t>
  </si>
  <si>
    <t>david Ronan 1202776</t>
  </si>
  <si>
    <t>VQ56</t>
  </si>
  <si>
    <t>O335222</t>
  </si>
  <si>
    <t>25274CBPR017676</t>
  </si>
  <si>
    <t>Bird &amp; Bird (Ireland) LLP</t>
  </si>
  <si>
    <t>Laura McManus 1200255</t>
  </si>
  <si>
    <t>O339684</t>
  </si>
  <si>
    <t>25275CBPR01A320</t>
  </si>
  <si>
    <t>Irish Holstein Friesian Association</t>
  </si>
  <si>
    <t>Georgia Greenan 1200233</t>
  </si>
  <si>
    <t>O342864</t>
  </si>
  <si>
    <t>25276CBPR01BD3A</t>
  </si>
  <si>
    <t>Carcharger EV Ltd</t>
  </si>
  <si>
    <t>Brian Coffey 1200558</t>
  </si>
  <si>
    <t>VR75</t>
  </si>
  <si>
    <t>O342974</t>
  </si>
  <si>
    <t>25276CBPR01BE09</t>
  </si>
  <si>
    <t>Asana Software Ireland Limited</t>
  </si>
  <si>
    <t>Nikill Khandelwal 1200731</t>
  </si>
  <si>
    <t>O359746</t>
  </si>
  <si>
    <t>25282CBPR032E90</t>
  </si>
  <si>
    <t>Victor Daros 1202213</t>
  </si>
  <si>
    <t>O363754</t>
  </si>
  <si>
    <t>25283CBPR03590D</t>
  </si>
  <si>
    <t>Alex Graham 1202537</t>
  </si>
  <si>
    <t>O377876</t>
  </si>
  <si>
    <t>25287CBPR03E5DD</t>
  </si>
  <si>
    <t>Dan Hogarty 1203174</t>
  </si>
  <si>
    <t>O330989</t>
  </si>
  <si>
    <t>25273CBPR0149AA</t>
  </si>
  <si>
    <t>Alan Casey 1200001</t>
  </si>
  <si>
    <t>O382463</t>
  </si>
  <si>
    <t>25288CBPR040D42</t>
  </si>
  <si>
    <t>Gorta T/A Self Help Africa</t>
  </si>
  <si>
    <t>Susan Andrea Cabezas Cartes  1203404</t>
  </si>
  <si>
    <t>O392797</t>
  </si>
  <si>
    <t>25292CBPR04A0A4</t>
  </si>
  <si>
    <t>Gerard Murphy 1203825</t>
  </si>
  <si>
    <t>O330294</t>
  </si>
  <si>
    <t>25273CBPR0143AA</t>
  </si>
  <si>
    <t>ambrose Hickey 1199999</t>
  </si>
  <si>
    <t>O357047</t>
  </si>
  <si>
    <t>25281CBPR02FA5C</t>
  </si>
  <si>
    <t>Firecomms Ltd</t>
  </si>
  <si>
    <t>Andrew Lehane 1201745</t>
  </si>
  <si>
    <t>O394204</t>
  </si>
  <si>
    <t>25293CBPR04B8CF</t>
  </si>
  <si>
    <t>Brendan Buckley 1204042</t>
  </si>
  <si>
    <t>O394221</t>
  </si>
  <si>
    <t>25293CBPR04B8F5</t>
  </si>
  <si>
    <t>DJ Curtin 1204046</t>
  </si>
  <si>
    <t>O329627</t>
  </si>
  <si>
    <t>25273CBPR013D08</t>
  </si>
  <si>
    <t>Sinead Reily  1200115</t>
  </si>
  <si>
    <t>O333976</t>
  </si>
  <si>
    <t>25274CBPR016D1C</t>
  </si>
  <si>
    <t>Cross Hire Limited</t>
  </si>
  <si>
    <t>April Martin 1200461</t>
  </si>
  <si>
    <t>O337387</t>
  </si>
  <si>
    <t>25275CBPR0185A0</t>
  </si>
  <si>
    <t>Aerlytix Ltd</t>
  </si>
  <si>
    <t>Anna McCoy  1200486</t>
  </si>
  <si>
    <t>E745</t>
  </si>
  <si>
    <t>Gateway Insurance &amp; Investments</t>
  </si>
  <si>
    <t>017249M</t>
  </si>
  <si>
    <t>25287CBPR03E1D0</t>
  </si>
  <si>
    <t>Utah Medical Products Limited</t>
  </si>
  <si>
    <t>Breda Casey 1202909</t>
  </si>
  <si>
    <t>017251M</t>
  </si>
  <si>
    <t>25287CBPR03E1E4</t>
  </si>
  <si>
    <t>Laura Narmontiene  1202918</t>
  </si>
  <si>
    <t>017255M</t>
  </si>
  <si>
    <t>25287CBPR03E214</t>
  </si>
  <si>
    <t>Glinska Wieslawa</t>
  </si>
  <si>
    <t>017260M</t>
  </si>
  <si>
    <t>25287CBPR03E250</t>
  </si>
  <si>
    <t>Dorta Grzanka  1202978</t>
  </si>
  <si>
    <t>020270M</t>
  </si>
  <si>
    <t>25293CBPR04C200</t>
  </si>
  <si>
    <t>Specialised Sterile Environments Limited</t>
  </si>
  <si>
    <t>Mathew Hannigan 1204317</t>
  </si>
  <si>
    <t>SecureShare Carl Zei</t>
  </si>
  <si>
    <t>25276CBPR01C0BC</t>
  </si>
  <si>
    <t>Callum Hayes 12007023</t>
  </si>
  <si>
    <t>SecureShare Datalec</t>
  </si>
  <si>
    <t>25281CBPR0302C9</t>
  </si>
  <si>
    <t>Joseph Iribhogbe 1204206</t>
  </si>
  <si>
    <t>25282CBPR0342F3</t>
  </si>
  <si>
    <t>Michael Deloughry 1202246</t>
  </si>
  <si>
    <t>25283CBPR03671D</t>
  </si>
  <si>
    <t>Alan Condon  1202410</t>
  </si>
  <si>
    <t>25265CBPR002C46</t>
  </si>
  <si>
    <t>Yvonne Fitsimons 1200244</t>
  </si>
  <si>
    <t>25279CBPR0266D1</t>
  </si>
  <si>
    <t>Gaurav Rajpal  1201352</t>
  </si>
  <si>
    <t>25289CBPR0425EE</t>
  </si>
  <si>
    <t>MS Society of Ireland</t>
  </si>
  <si>
    <t>Katie McAvinue 1203697</t>
  </si>
  <si>
    <t>019036M</t>
  </si>
  <si>
    <t>25290CBPR045698</t>
  </si>
  <si>
    <t>Eimer Rogers 1203862</t>
  </si>
  <si>
    <t>019250M</t>
  </si>
  <si>
    <t>25290CBPR0460F5</t>
  </si>
  <si>
    <t>Wayne Curley 1203991</t>
  </si>
  <si>
    <t>020100M</t>
  </si>
  <si>
    <t>25293CBPR04BAEF</t>
  </si>
  <si>
    <t>: Ms Fiona Murphy 1204197</t>
  </si>
  <si>
    <t>O349943</t>
  </si>
  <si>
    <t>25280CBPR0270B4</t>
  </si>
  <si>
    <t>Dillan Myburgh</t>
  </si>
  <si>
    <t>O320948</t>
  </si>
  <si>
    <t>25269CBPR00D713</t>
  </si>
  <si>
    <t>Rory Ryan</t>
  </si>
  <si>
    <t>O352182</t>
  </si>
  <si>
    <t>25280CBPR02A837</t>
  </si>
  <si>
    <t>Tanita Dawn De Bruyn</t>
  </si>
  <si>
    <t>O350067</t>
  </si>
  <si>
    <t>25280CBPR027183</t>
  </si>
  <si>
    <t>John Dolan</t>
  </si>
  <si>
    <t>O390864</t>
  </si>
  <si>
    <t>25290CBPR046475</t>
  </si>
  <si>
    <t>Noonan Services Group Ltd</t>
  </si>
  <si>
    <t>EDEL BOYLE</t>
  </si>
  <si>
    <t>O328411</t>
  </si>
  <si>
    <t>25273CBPR01343A</t>
  </si>
  <si>
    <t>Patrick Hopkins</t>
  </si>
  <si>
    <t>25280CBPR02752F</t>
  </si>
  <si>
    <t>Employer: Anart :: Member Name: Ms Aisling Canny :: Date of Birth: 25/11/1991</t>
  </si>
  <si>
    <t>25280CBPR02AA70</t>
  </si>
  <si>
    <t>Mr Harry Blennerhassett :: Date of Birth: 13/04/1999</t>
  </si>
  <si>
    <t>019155M</t>
  </si>
  <si>
    <t>25290CBPR045C6C</t>
  </si>
  <si>
    <t>Aileen Flood</t>
  </si>
  <si>
    <t>O322452</t>
  </si>
  <si>
    <t>25269CBPR00E3BB</t>
  </si>
  <si>
    <t>Finning (Ireland) Limited</t>
  </si>
  <si>
    <t>Alastair Coalter - added 1199644</t>
  </si>
  <si>
    <t>VS51</t>
  </si>
  <si>
    <t>Liath Financial Limited</t>
  </si>
  <si>
    <t>O321645</t>
  </si>
  <si>
    <t>25269CBPR00DC90</t>
  </si>
  <si>
    <t>Hays Specialist Recruitment (IRL) Ltd</t>
  </si>
  <si>
    <t>Paula Marcos Llarch - added 1199629</t>
  </si>
  <si>
    <t>O321564</t>
  </si>
  <si>
    <t>25269CBPR00DBD6</t>
  </si>
  <si>
    <t>Patrick O'Reilly - added 1199627</t>
  </si>
  <si>
    <t>O364593</t>
  </si>
  <si>
    <t>25283CBPR03601F</t>
  </si>
  <si>
    <t>25274CBPR01634F</t>
  </si>
  <si>
    <t>Irving Oil Ireland Limited</t>
  </si>
  <si>
    <t>Stephen o'Shea</t>
  </si>
  <si>
    <t>25286CBPR039E2D</t>
  </si>
  <si>
    <t>Barclay Chemicals Manufacturing Limited</t>
  </si>
  <si>
    <t>Employer: Barclay Chemicals :: Number of Members: 1</t>
  </si>
  <si>
    <t>25288CBPR03FF3E</t>
  </si>
  <si>
    <t>25286CBPR03AD8A</t>
  </si>
  <si>
    <t>25287CBPR03D61F</t>
  </si>
  <si>
    <t>Dolby International AB</t>
  </si>
  <si>
    <t>SecureShare McDonald</t>
  </si>
  <si>
    <t>25286CBPR03A93D</t>
  </si>
  <si>
    <t>25290CBPR046798</t>
  </si>
  <si>
    <t>SECURITAS TECHNOLOGY IRELAND LIMITED</t>
  </si>
  <si>
    <t>SecureShare Techrete</t>
  </si>
  <si>
    <t>25293CBPR04C085</t>
  </si>
  <si>
    <t>Techrete (Ireland) Limited</t>
  </si>
  <si>
    <t>25290CBPR04523C</t>
  </si>
  <si>
    <t>SecureShare Paddy De</t>
  </si>
  <si>
    <t>25281CBPR02FDA3</t>
  </si>
  <si>
    <t>Employer: paddy denby engineering ltd :: Number of Members: 6</t>
  </si>
  <si>
    <t>O325729</t>
  </si>
  <si>
    <t>25272CBPR011CB3</t>
  </si>
  <si>
    <t>DIGI: Andrew McClintock Added, Member No. 1199989</t>
  </si>
  <si>
    <t>O329628</t>
  </si>
  <si>
    <t>25273CBPR013D0A</t>
  </si>
  <si>
    <t>DIGI: Pierce O'Neill Added, Member No. 1200086</t>
  </si>
  <si>
    <t>O341567</t>
  </si>
  <si>
    <t>25276CBPR01B370</t>
  </si>
  <si>
    <t>DIGI: Suzanna Barber Added, Member No. 1200555</t>
  </si>
  <si>
    <t>O383652</t>
  </si>
  <si>
    <t>25289CBPR0422DC</t>
  </si>
  <si>
    <t>TEXT: Oisin Doyle Added, Member No. 1203804</t>
  </si>
  <si>
    <t>O388690</t>
  </si>
  <si>
    <t>25290CBPR04531B</t>
  </si>
  <si>
    <t>DIGI: Sarah Fathima Added, Member No. 1204953</t>
  </si>
  <si>
    <t>O388700</t>
  </si>
  <si>
    <t>25290CBPR045330</t>
  </si>
  <si>
    <t>DIGI: Gaurav Negi Added, Member No. 1204034</t>
  </si>
  <si>
    <t>O289152</t>
  </si>
  <si>
    <t>25259CBPR02E7D5</t>
  </si>
  <si>
    <t>TEXT: Philip Connor Added, Member No. 1200080</t>
  </si>
  <si>
    <t>O344011</t>
  </si>
  <si>
    <t>25276CBPR01C6A9</t>
  </si>
  <si>
    <t>DIGI: Alexander Guard Added, Member No. 1200867, EOW</t>
  </si>
  <si>
    <t>NT57</t>
  </si>
  <si>
    <t>Paul Ryan Financial Advisors Ltd</t>
  </si>
  <si>
    <t>O325331</t>
  </si>
  <si>
    <t>25272CBPR0119D2</t>
  </si>
  <si>
    <t>Independent Star Limited</t>
  </si>
  <si>
    <t>DIGI: Jacob Polden Added, Member No. 1199986</t>
  </si>
  <si>
    <t>25286CBPR03A8F8</t>
  </si>
  <si>
    <t>x14 NEs Added</t>
  </si>
  <si>
    <t>25282CBPR032A55</t>
  </si>
  <si>
    <t>Stauntons Pharmacy Limited</t>
  </si>
  <si>
    <t>25282CBPR032EEA</t>
  </si>
  <si>
    <t>25287CBPR03D66D</t>
  </si>
  <si>
    <t>Coca-Cola HBC Ireland Limited</t>
  </si>
  <si>
    <t>25293CBPR04C33E</t>
  </si>
  <si>
    <t>25293CBPR04C549</t>
  </si>
  <si>
    <t>Retrograde Technologies Limited</t>
  </si>
  <si>
    <t>25286CBPR039CA8</t>
  </si>
  <si>
    <t>25282CBPR0343C6</t>
  </si>
  <si>
    <t>Employer: East Cork Oil :: Number of Members: 1</t>
  </si>
  <si>
    <t>25262CBPR0369FC</t>
  </si>
  <si>
    <t>25287CBPR03C585</t>
  </si>
  <si>
    <t>Mifinity Payments Limited</t>
  </si>
  <si>
    <t>25283CBPR03648D</t>
  </si>
  <si>
    <t>25288CBPR03FAE4</t>
  </si>
  <si>
    <t>CBRE GWS Limited</t>
  </si>
  <si>
    <t>25287CBPR03DC39</t>
  </si>
  <si>
    <t>25287CBPR03E43C</t>
  </si>
  <si>
    <t>25287CBPR03E746</t>
  </si>
  <si>
    <t>SecureShare McKechni</t>
  </si>
  <si>
    <t>25293CBPR04B955</t>
  </si>
  <si>
    <t>Employer: McKechnie Cleaning Services Ltd :: Number of Members: 4</t>
  </si>
  <si>
    <t>25287CBPR03E1ED</t>
  </si>
  <si>
    <t>Employer: Burlington Engineering :: Number of Members: 1</t>
  </si>
  <si>
    <t>O383577</t>
  </si>
  <si>
    <t>25289CBPR042264</t>
  </si>
  <si>
    <t>Keith Farrell</t>
  </si>
  <si>
    <t>O383585</t>
  </si>
  <si>
    <t>25289CBPR042274</t>
  </si>
  <si>
    <t>Dinesh Kumar Thanga Durai</t>
  </si>
  <si>
    <t>O393850</t>
  </si>
  <si>
    <t>25293CBPR04B603</t>
  </si>
  <si>
    <t>Stephen Enright</t>
  </si>
  <si>
    <t>O393894</t>
  </si>
  <si>
    <t>25293CBPR04B659</t>
  </si>
  <si>
    <t>Katie O'Sullivan</t>
  </si>
  <si>
    <t>O395494</t>
  </si>
  <si>
    <t>25293CBPR04C317</t>
  </si>
  <si>
    <t>Aleksandra Zyrun</t>
  </si>
  <si>
    <t>O385583</t>
  </si>
  <si>
    <t>25289CBPR0431AC</t>
  </si>
  <si>
    <t>Ben Harrington</t>
  </si>
  <si>
    <t>O393294</t>
  </si>
  <si>
    <t>25293CBPR04B2A4</t>
  </si>
  <si>
    <t>Cecilia Cheuk</t>
  </si>
  <si>
    <t>O378186</t>
  </si>
  <si>
    <t>25287CBPR03E87A</t>
  </si>
  <si>
    <t>Philip Brennan</t>
  </si>
  <si>
    <t>O381693</t>
  </si>
  <si>
    <t>25288CBPR0406B1</t>
  </si>
  <si>
    <t>Lauren Stanley</t>
  </si>
  <si>
    <t>O395674</t>
  </si>
  <si>
    <t>25293CBPR04C49F</t>
  </si>
  <si>
    <t>Sinead Fitzgibbon</t>
  </si>
  <si>
    <t>O393854</t>
  </si>
  <si>
    <t>25293CBPR04B60E</t>
  </si>
  <si>
    <t>Eoin O'Loughlan</t>
  </si>
  <si>
    <t>012209M</t>
  </si>
  <si>
    <t>25283CBPR036392</t>
  </si>
  <si>
    <t xml:space="preserve"> Armand Cronje</t>
  </si>
  <si>
    <t>SecureShare AMBU Lim</t>
  </si>
  <si>
    <t>25288CBPR040133</t>
  </si>
  <si>
    <t>Employer: Ambu Ltd :: Member Name: Mr Edward Mitchell :: Date of Birth: 11/08/1973</t>
  </si>
  <si>
    <t>O381653</t>
  </si>
  <si>
    <t>25288CBPR040658</t>
  </si>
  <si>
    <t>Laura English</t>
  </si>
  <si>
    <t>O359089</t>
  </si>
  <si>
    <t>25282CBPR0328F7</t>
  </si>
  <si>
    <t>PRB 0.24% AMC</t>
  </si>
  <si>
    <t>Batch 2 Data Submission - W&amp;A issued 09/10</t>
  </si>
  <si>
    <t>F017</t>
  </si>
  <si>
    <t>O356185</t>
  </si>
  <si>
    <t>25281CBPR02F397</t>
  </si>
  <si>
    <t>PRB Canada Life no trail</t>
  </si>
  <si>
    <t>McDonald David</t>
  </si>
  <si>
    <t>O260856</t>
  </si>
  <si>
    <t>25251CBPR01E419</t>
  </si>
  <si>
    <t>Brehhova Margarita - CBTV Issd 13/10</t>
  </si>
  <si>
    <t>25279CBPR0251E4</t>
  </si>
  <si>
    <t>Riot Games Limited</t>
  </si>
  <si>
    <t>submitted to ss, please archive</t>
  </si>
  <si>
    <t>SecureShare Chubb Ir</t>
  </si>
  <si>
    <t>25290CBPR04657B</t>
  </si>
  <si>
    <t>Chubb Ireland Ltd</t>
  </si>
  <si>
    <t>25292CBPR04A084</t>
  </si>
  <si>
    <t>SecureShare Toasttab</t>
  </si>
  <si>
    <t>25282CBPR033AF4</t>
  </si>
  <si>
    <t>SecureShare Gowan Gr</t>
  </si>
  <si>
    <t>25283CBPR03536E</t>
  </si>
  <si>
    <t>all members added</t>
  </si>
  <si>
    <t>25275CBPR01A9EB</t>
  </si>
  <si>
    <t>Hannah Dowling</t>
  </si>
  <si>
    <t>25288CBPR03F411</t>
  </si>
  <si>
    <t>Szperling Barbara</t>
  </si>
  <si>
    <t>SecureShare Etrawler</t>
  </si>
  <si>
    <t>25280CBPR02B601</t>
  </si>
  <si>
    <t>13 x NE</t>
  </si>
  <si>
    <t>25290CBPR045FEC</t>
  </si>
  <si>
    <t>9 x NE</t>
  </si>
  <si>
    <t>25275CBPR019404</t>
  </si>
  <si>
    <t>Inizio Healthcare Limited</t>
  </si>
  <si>
    <t>D Kilgannon &amp; K Brooks - see note re Continuous Service</t>
  </si>
  <si>
    <t>SecureShare Turner a</t>
  </si>
  <si>
    <t>25280CBPR02B463</t>
  </si>
  <si>
    <t>Turner &amp; Townsend Limited</t>
  </si>
  <si>
    <t>25274CBPR017253</t>
  </si>
  <si>
    <t>Clogrennane Lime Ltd</t>
  </si>
  <si>
    <t>SecureShare Zara Gro</t>
  </si>
  <si>
    <t>25269CBPR00E21B</t>
  </si>
  <si>
    <t>Employer: ITX IRELAND LTD :: Member Name: MS  ... (see attached file for full description)</t>
  </si>
  <si>
    <t>O379520</t>
  </si>
  <si>
    <t>25288CBPR03F47D</t>
  </si>
  <si>
    <t>Sandvik Mining &amp; Construction Logistics</t>
  </si>
  <si>
    <t>SecureShare RKD Arch</t>
  </si>
  <si>
    <t>25283CBPR03620B</t>
  </si>
  <si>
    <t>25286CBPR03998E</t>
  </si>
  <si>
    <t>O352763</t>
  </si>
  <si>
    <t>25280CBPR02AD50</t>
  </si>
  <si>
    <t>Helen Beecher  1200722</t>
  </si>
  <si>
    <t>O279036</t>
  </si>
  <si>
    <t>25254CBPR0273DC</t>
  </si>
  <si>
    <t>Maeve Colleran 1200162</t>
  </si>
  <si>
    <t>O332966</t>
  </si>
  <si>
    <t>25274CBPR0165ED</t>
  </si>
  <si>
    <t>Orsted Onshore Ireland Holdings Limited</t>
  </si>
  <si>
    <t>Gerard Hobbins 1200269</t>
  </si>
  <si>
    <t>O385060</t>
  </si>
  <si>
    <t>25289CBPR042D32</t>
  </si>
  <si>
    <t>Amanda Faherty</t>
  </si>
  <si>
    <t>25283CBPR0365AD</t>
  </si>
  <si>
    <t>Intercom R&amp;D Unlimited Company</t>
  </si>
  <si>
    <t>25288CBPR040B91</t>
  </si>
  <si>
    <t>SecureShare Beacon H</t>
  </si>
  <si>
    <t>25282CBPR0325AE</t>
  </si>
  <si>
    <t>Beacon Hospital</t>
  </si>
  <si>
    <t>SecureShare Mars Foo</t>
  </si>
  <si>
    <t>25288CBPR040B8E</t>
  </si>
  <si>
    <t>Employer: Primrose Hill :: Number of Members: 4</t>
  </si>
  <si>
    <t>SecureShare RSA Insu</t>
  </si>
  <si>
    <t>25290CBPR0452DF</t>
  </si>
  <si>
    <t>Intact Insurance Ireland DAC</t>
  </si>
  <si>
    <t>Employer: RSA :: Number of Members: 12</t>
  </si>
  <si>
    <t>O325046</t>
  </si>
  <si>
    <t>25272CBPR0117D8</t>
  </si>
  <si>
    <t>Sheehy Motors</t>
  </si>
  <si>
    <t>DIGI: Darran Campbell Added, Member No. 1200901</t>
  </si>
  <si>
    <t>SecureShare Roadston</t>
  </si>
  <si>
    <t>25272CBPR01256C</t>
  </si>
  <si>
    <t>TEXT: Conor Buckley Added, Member No. 1199859</t>
  </si>
  <si>
    <t>25280CBPR02A5F7</t>
  </si>
  <si>
    <t>x25 NEs Added</t>
  </si>
  <si>
    <t>25289CBPR043413</t>
  </si>
  <si>
    <t>Eleanor Murdock</t>
  </si>
  <si>
    <t>25287CBPR03DEE5</t>
  </si>
  <si>
    <t>25282CBPR032989</t>
  </si>
  <si>
    <t>Employer: Roadstone Ltd :: Member Name: Mr Joshua McAnaspie :: Date of Birth: 28/10/1998</t>
  </si>
  <si>
    <t>VP72</t>
  </si>
  <si>
    <t>DBOT Financial Planning Ltd</t>
  </si>
  <si>
    <t>O393587</t>
  </si>
  <si>
    <t>25293CBPR04B464</t>
  </si>
  <si>
    <t>MATER PRIVATE CORK LTD</t>
  </si>
  <si>
    <t>Member Already Added</t>
  </si>
  <si>
    <t>O393761</t>
  </si>
  <si>
    <t>25293CBPR04B563</t>
  </si>
  <si>
    <t>Lindiwe Mereta</t>
  </si>
  <si>
    <t>O389267</t>
  </si>
  <si>
    <t>25290CBPR0457A4</t>
  </si>
  <si>
    <t>TD Global Finance UC</t>
  </si>
  <si>
    <t>Belen Davila Mora</t>
  </si>
  <si>
    <t>O389719</t>
  </si>
  <si>
    <t>25290CBPR045AFD</t>
  </si>
  <si>
    <t>Shravan Jha</t>
  </si>
  <si>
    <t>O394893</t>
  </si>
  <si>
    <t>25293CBPR04BE18</t>
  </si>
  <si>
    <t>Síne Doheny</t>
  </si>
  <si>
    <t>O395116</t>
  </si>
  <si>
    <t>25293CBPR04C00B</t>
  </si>
  <si>
    <t>Sebastiano Riva</t>
  </si>
  <si>
    <t>O395381</t>
  </si>
  <si>
    <t>25293CBPR04C243</t>
  </si>
  <si>
    <t>Richard Vambeck</t>
  </si>
  <si>
    <t>James Harford</t>
  </si>
  <si>
    <t>O379120</t>
  </si>
  <si>
    <t>25288CBPR03F1EC</t>
  </si>
  <si>
    <t>Flipdish Limited</t>
  </si>
  <si>
    <t>Paulo Francis Da Silva</t>
  </si>
  <si>
    <t>O394112</t>
  </si>
  <si>
    <t>25293CBPR04B7F9</t>
  </si>
  <si>
    <t>Mariuszm Marchel</t>
  </si>
  <si>
    <t>O394590</t>
  </si>
  <si>
    <t>25293CBPR04BBBB</t>
  </si>
  <si>
    <t>Cuirithir Ó Brannagáin</t>
  </si>
  <si>
    <t>O395787</t>
  </si>
  <si>
    <t>25293CBPR04C581</t>
  </si>
  <si>
    <t>Christopher Fitzgerald</t>
  </si>
  <si>
    <t>O389556</t>
  </si>
  <si>
    <t>25290CBPR0459E3</t>
  </si>
  <si>
    <t>Boots Hearingcare</t>
  </si>
  <si>
    <t>Chadakulath Linnet</t>
  </si>
  <si>
    <t>John Kearney</t>
  </si>
  <si>
    <t>O389697</t>
  </si>
  <si>
    <t>25290CBPR045AD9</t>
  </si>
  <si>
    <t>Our Lady's Manor Inc</t>
  </si>
  <si>
    <t>Ritzie Yap</t>
  </si>
  <si>
    <t>O389706</t>
  </si>
  <si>
    <t>25290CBPR045AE6</t>
  </si>
  <si>
    <t>Susan Kearney</t>
  </si>
  <si>
    <t>O389724</t>
  </si>
  <si>
    <t>25290CBPR045B0E</t>
  </si>
  <si>
    <t>Vincent Villaneuva</t>
  </si>
  <si>
    <t>O389731</t>
  </si>
  <si>
    <t>25290CBPR045B1D</t>
  </si>
  <si>
    <t>Marie Mar Jamias</t>
  </si>
  <si>
    <t>O389746</t>
  </si>
  <si>
    <t>25290CBPR045B39</t>
  </si>
  <si>
    <t>Amrutha Subran</t>
  </si>
  <si>
    <t>O389773</t>
  </si>
  <si>
    <t>25290CBPR045B70</t>
  </si>
  <si>
    <t>Rafal Wojcik</t>
  </si>
  <si>
    <t>O361686</t>
  </si>
  <si>
    <t>25282CBPR034274</t>
  </si>
  <si>
    <t>Schuh Limited</t>
  </si>
  <si>
    <t>Niall Coffey AW FF</t>
  </si>
  <si>
    <t>Martin Roche</t>
  </si>
  <si>
    <t>O298645</t>
  </si>
  <si>
    <t>25261CBPR035539</t>
  </si>
  <si>
    <t>CPL Solutions Ltd</t>
  </si>
  <si>
    <t>Alina Pal</t>
  </si>
  <si>
    <t>O341445</t>
  </si>
  <si>
    <t>25276CBPR01B280</t>
  </si>
  <si>
    <t>O354933</t>
  </si>
  <si>
    <t>25281CBPR02C2FB</t>
  </si>
  <si>
    <t>O342599</t>
  </si>
  <si>
    <t>25276CBPR01BB14</t>
  </si>
  <si>
    <t>O368787</t>
  </si>
  <si>
    <t>25286CBPR039CB7</t>
  </si>
  <si>
    <t>Smartbox Group Limited</t>
  </si>
  <si>
    <t>Waiting for factfind</t>
  </si>
  <si>
    <t>O382416</t>
  </si>
  <si>
    <t>25288CBPR040CDD</t>
  </si>
  <si>
    <t>AMCOR FLEXIBLES SLIGO LIMITED</t>
  </si>
  <si>
    <t>Nicola Keogh</t>
  </si>
  <si>
    <t>O382536</t>
  </si>
  <si>
    <t>25288CBPR040DEF</t>
  </si>
  <si>
    <t>Charter Medical Private Hospital</t>
  </si>
  <si>
    <t>O293618</t>
  </si>
  <si>
    <t>25260CBPR03132C</t>
  </si>
  <si>
    <t>HCL Technologies Ireland Dublin Branch</t>
  </si>
  <si>
    <t>25288CBPR03F823</t>
  </si>
  <si>
    <t>Mathworks Limited</t>
  </si>
  <si>
    <t>Employer: Mathworks :: Member Name:  Rebecca Orazi :: Date of Birth: []</t>
  </si>
  <si>
    <t>O378191</t>
  </si>
  <si>
    <t>25287CBPR03E88D</t>
  </si>
  <si>
    <t>pierre-hippolyte devergne</t>
  </si>
  <si>
    <t>A500</t>
  </si>
  <si>
    <t>O379692</t>
  </si>
  <si>
    <t>25288CBPR03F5DF</t>
  </si>
  <si>
    <t>WBA Digital &amp; IT Solutions (Ireland) Ltd</t>
  </si>
  <si>
    <t>O377615</t>
  </si>
  <si>
    <t>25287CBPR03E3DB</t>
  </si>
  <si>
    <t>CONALL FITZGERALD</t>
  </si>
  <si>
    <t>O358915</t>
  </si>
  <si>
    <t>25282CBPR03275D</t>
  </si>
  <si>
    <t>Blockdaemon Limited</t>
  </si>
  <si>
    <t>DLO BAGARI</t>
  </si>
  <si>
    <t>E096</t>
  </si>
  <si>
    <t>O352694</t>
  </si>
  <si>
    <t>25280CBPR02ACCA</t>
  </si>
  <si>
    <t>VERTEX PHARMACEUTICALS (UK) LIMITED</t>
  </si>
  <si>
    <t>BRIAN GLEESON 128000</t>
  </si>
  <si>
    <t>25274CBPR0170B5</t>
  </si>
  <si>
    <t>Rachel Reidy - added 1200248</t>
  </si>
  <si>
    <t>Martin Crowley</t>
  </si>
  <si>
    <t>O363009</t>
  </si>
  <si>
    <t>25283CBPR03533E</t>
  </si>
  <si>
    <t>NeoDyne Limited</t>
  </si>
  <si>
    <t>Adrian Leahy</t>
  </si>
  <si>
    <t>O377200</t>
  </si>
  <si>
    <t>25287CBPR03E09D</t>
  </si>
  <si>
    <t>Rachel O'Hanlon</t>
  </si>
  <si>
    <t>O377268</t>
  </si>
  <si>
    <t>25287CBPR03E127</t>
  </si>
  <si>
    <t>Tara O'Leary</t>
  </si>
  <si>
    <t>O361682</t>
  </si>
  <si>
    <t>25282CBPR03426B</t>
  </si>
  <si>
    <t>Destiny Jeames</t>
  </si>
  <si>
    <t>TN52</t>
  </si>
  <si>
    <t>Eolas Money Management Ltd</t>
  </si>
  <si>
    <t>O383522</t>
  </si>
  <si>
    <t>25289CBPR042207</t>
  </si>
  <si>
    <t>Dita Eyewear Europe Limited</t>
  </si>
  <si>
    <t>Georgia Oyinloye</t>
  </si>
  <si>
    <t>O386563</t>
  </si>
  <si>
    <t>25289CBPR04396B</t>
  </si>
  <si>
    <t>Georgina Mugan</t>
  </si>
  <si>
    <t>O361828</t>
  </si>
  <si>
    <t>25282CBPR0343CD</t>
  </si>
  <si>
    <t>A &amp; L Goodbody Solicitors</t>
  </si>
  <si>
    <t>Aoife Kinch</t>
  </si>
  <si>
    <t>O369499</t>
  </si>
  <si>
    <t>25286CBPR03A2CD</t>
  </si>
  <si>
    <t>Amy Caulfield</t>
  </si>
  <si>
    <t>Gary Alder</t>
  </si>
  <si>
    <t>O387131</t>
  </si>
  <si>
    <t>25289CBPR043D4C</t>
  </si>
  <si>
    <t>Errigal Contracts Limited</t>
  </si>
  <si>
    <t xml:space="preserve"> Nichola McBride</t>
  </si>
  <si>
    <t>O327297</t>
  </si>
  <si>
    <t>25272CBPR012832</t>
  </si>
  <si>
    <t>David Lloyd Riverview Ltd</t>
  </si>
  <si>
    <t>Carlos Martine Morales</t>
  </si>
  <si>
    <t>O350239</t>
  </si>
  <si>
    <t>25280CBPR02726A</t>
  </si>
  <si>
    <t>Royal Irish Academy of Music</t>
  </si>
  <si>
    <t>Oran Halligan</t>
  </si>
  <si>
    <t>O384493</t>
  </si>
  <si>
    <t>25289CBPR0428B3</t>
  </si>
  <si>
    <t>Antonio Reggio</t>
  </si>
  <si>
    <t>O375388</t>
  </si>
  <si>
    <t>25287CBPR03D2F3</t>
  </si>
  <si>
    <t>Boots Ireland Retail Limited</t>
  </si>
  <si>
    <t>Emma O'Sullivan Carroll</t>
  </si>
  <si>
    <t>O376253</t>
  </si>
  <si>
    <t>25287CBPR03D8DF</t>
  </si>
  <si>
    <t>Aurelija Rocyte</t>
  </si>
  <si>
    <t>O380469</t>
  </si>
  <si>
    <t>25288CBPR03FC75</t>
  </si>
  <si>
    <t>Michelle Brady</t>
  </si>
  <si>
    <t>O381602</t>
  </si>
  <si>
    <t>25288CBPR0405DF</t>
  </si>
  <si>
    <t>Kelly McGrath</t>
  </si>
  <si>
    <t>O381841</t>
  </si>
  <si>
    <t>25288CBPR040813</t>
  </si>
  <si>
    <t>O382745</t>
  </si>
  <si>
    <t>25288CBPR040FB4</t>
  </si>
  <si>
    <t>Michelle Hickey</t>
  </si>
  <si>
    <t>O379839</t>
  </si>
  <si>
    <t>25288CBPR03F6F0</t>
  </si>
  <si>
    <t>Suerin Edwards</t>
  </si>
  <si>
    <t>O379869</t>
  </si>
  <si>
    <t>25288CBPR03F72E</t>
  </si>
  <si>
    <t>Keith Kelly</t>
  </si>
  <si>
    <t>O380795</t>
  </si>
  <si>
    <t>25288CBPR03FF2A</t>
  </si>
  <si>
    <t>Colette Kennelly</t>
  </si>
  <si>
    <t>O381642</t>
  </si>
  <si>
    <t>25288CBPR04063D</t>
  </si>
  <si>
    <t>Nathan O'Brien</t>
  </si>
  <si>
    <t>O383489</t>
  </si>
  <si>
    <t>25289CBPR0421CE</t>
  </si>
  <si>
    <t>Derek Kavanagh</t>
  </si>
  <si>
    <t>O385399</t>
  </si>
  <si>
    <t>25289CBPR043063</t>
  </si>
  <si>
    <t>Mikhail Medvedev</t>
  </si>
  <si>
    <t>O385436</t>
  </si>
  <si>
    <t>25289CBPR04309E</t>
  </si>
  <si>
    <t>Norman Arbar</t>
  </si>
  <si>
    <t>O386498</t>
  </si>
  <si>
    <t>25289CBPR0438E4</t>
  </si>
  <si>
    <t xml:space="preserve"> Marc O'Morain</t>
  </si>
  <si>
    <t>O387103</t>
  </si>
  <si>
    <t>25289CBPR043D0E</t>
  </si>
  <si>
    <t>Raghavendar Ravi</t>
  </si>
  <si>
    <t>O347530</t>
  </si>
  <si>
    <t>25279CBPR025F09</t>
  </si>
  <si>
    <t>Active Pharma</t>
  </si>
  <si>
    <t>Shane Walsh</t>
  </si>
  <si>
    <t>O385208</t>
  </si>
  <si>
    <t>25289CBPR042E89</t>
  </si>
  <si>
    <t>Antony Linto</t>
  </si>
  <si>
    <t>O393410</t>
  </si>
  <si>
    <t>25293CBPR04B358</t>
  </si>
  <si>
    <t>Diversey Ireland Ltd</t>
  </si>
  <si>
    <t>Mihael Svaric</t>
  </si>
  <si>
    <t>O394897</t>
  </si>
  <si>
    <t>25293CBPR04BE1F</t>
  </si>
  <si>
    <t>Datametica UK Limited</t>
  </si>
  <si>
    <t>Damon Rogers</t>
  </si>
  <si>
    <t>O387028</t>
  </si>
  <si>
    <t>25289CBPR043C9C</t>
  </si>
  <si>
    <t>Sylvia Dowling</t>
  </si>
  <si>
    <t>Ricky Gill</t>
  </si>
  <si>
    <t>O358545</t>
  </si>
  <si>
    <t>25282CBPR032500</t>
  </si>
  <si>
    <t>BEC CONSULTANTS</t>
  </si>
  <si>
    <t>Kate McNutt</t>
  </si>
  <si>
    <t>O394635</t>
  </si>
  <si>
    <t>25293CBPR04BC09</t>
  </si>
  <si>
    <t>Loreto On the Green</t>
  </si>
  <si>
    <t xml:space="preserve"> Louise Corr</t>
  </si>
  <si>
    <t>O369790</t>
  </si>
  <si>
    <t>25286CBPR03A55D</t>
  </si>
  <si>
    <t>Square International Limited</t>
  </si>
  <si>
    <t>Florian Thuillier</t>
  </si>
  <si>
    <t>O371683</t>
  </si>
  <si>
    <t>25287CBPR03C1B8</t>
  </si>
  <si>
    <t>Sharon Cullen</t>
  </si>
  <si>
    <t>021020M</t>
  </si>
  <si>
    <t>25294CBPR04EC02</t>
  </si>
  <si>
    <t>DIGI: Nicole Alfaro Added, Member No. 1204595</t>
  </si>
  <si>
    <t>025268M</t>
  </si>
  <si>
    <t>25303CBPR0623AB</t>
  </si>
  <si>
    <t>25296CBPR05485B</t>
  </si>
  <si>
    <t>Juspay Europe Ltd</t>
  </si>
  <si>
    <t>25297CBPR0578FE</t>
  </si>
  <si>
    <t>Protex AI Limited</t>
  </si>
  <si>
    <t>SecureShare Kingfish</t>
  </si>
  <si>
    <t>25295CBPR050ED3</t>
  </si>
  <si>
    <t>x32 NEs Added</t>
  </si>
  <si>
    <t>25295CBPR051304</t>
  </si>
  <si>
    <t>EisnerAmperMKO Limited</t>
  </si>
  <si>
    <t>Employer: EisnerAmper MKO :: Number of Members: 1</t>
  </si>
  <si>
    <t>SecureShare Elms Mar</t>
  </si>
  <si>
    <t>25295CBPR051B10</t>
  </si>
  <si>
    <t>Elms Marketing Ireland Limited</t>
  </si>
  <si>
    <t>Employer: Elms Marketing Ireland Ltd :: Number of Members: 5</t>
  </si>
  <si>
    <t>O404624</t>
  </si>
  <si>
    <t>25295CBPR0513C8</t>
  </si>
  <si>
    <t>Oisin O Carroll</t>
  </si>
  <si>
    <t>O404632</t>
  </si>
  <si>
    <t>25295CBPR0513D8</t>
  </si>
  <si>
    <t>jessica Kenny</t>
  </si>
  <si>
    <t>O404633</t>
  </si>
  <si>
    <t>25295CBPR0513D9</t>
  </si>
  <si>
    <t>Emily O'Regan</t>
  </si>
  <si>
    <t>O404839</t>
  </si>
  <si>
    <t>25295CBPR051572</t>
  </si>
  <si>
    <t>Liam O'Shea-Keane</t>
  </si>
  <si>
    <t>O404883</t>
  </si>
  <si>
    <t>25295CBPR0515D1</t>
  </si>
  <si>
    <t>Damien Connolly</t>
  </si>
  <si>
    <t>O408905</t>
  </si>
  <si>
    <t>25296CBPR0542C1</t>
  </si>
  <si>
    <t>Hayley Connors</t>
  </si>
  <si>
    <t>O416084</t>
  </si>
  <si>
    <t>25301CBPR05B0C9</t>
  </si>
  <si>
    <t>Michael Nolan</t>
  </si>
  <si>
    <t>O416472</t>
  </si>
  <si>
    <t>25301CBPR05B2C8</t>
  </si>
  <si>
    <t>Kinga McGrath</t>
  </si>
  <si>
    <t>O398279</t>
  </si>
  <si>
    <t>25294CBPR04D74B</t>
  </si>
  <si>
    <t>Amrita Misra</t>
  </si>
  <si>
    <t>O406456</t>
  </si>
  <si>
    <t>25296CBPR05309F</t>
  </si>
  <si>
    <t>Eamonn Doherty</t>
  </si>
  <si>
    <t>O402365</t>
  </si>
  <si>
    <t>25295CBPR0502A9</t>
  </si>
  <si>
    <t>Stepheanie Olevira</t>
  </si>
  <si>
    <t>TA11</t>
  </si>
  <si>
    <t>Farrell Mortgage &amp; Financial Serv</t>
  </si>
  <si>
    <t>021346M</t>
  </si>
  <si>
    <t>25295CBPR0507C7</t>
  </si>
  <si>
    <t>Ensor O'Connor Solicitors</t>
  </si>
  <si>
    <t>Aisling Quigley</t>
  </si>
  <si>
    <t>021349M</t>
  </si>
  <si>
    <t>25295CBPR0507EB</t>
  </si>
  <si>
    <t>SecureShare Fannin L</t>
  </si>
  <si>
    <t>25295CBPR051611</t>
  </si>
  <si>
    <t>Fannin Limited</t>
  </si>
  <si>
    <t>Employer: Fannin :: Number of Members: 3</t>
  </si>
  <si>
    <t>25295CBPR050A0B</t>
  </si>
  <si>
    <t>Futurerange Unlimited Company</t>
  </si>
  <si>
    <t>Employer: Future Range :: Number of Members: 1</t>
  </si>
  <si>
    <t>O415536</t>
  </si>
  <si>
    <t>25300CBPR05A053</t>
  </si>
  <si>
    <t>Universal Investment Ireland</t>
  </si>
  <si>
    <t>SecureShare Thomson</t>
  </si>
  <si>
    <t>020392M</t>
  </si>
  <si>
    <t>25293CBPR04C998</t>
  </si>
  <si>
    <t>Thomson Reuters (Professional) Ireland</t>
  </si>
  <si>
    <t>Fiona Doyle  1204336</t>
  </si>
  <si>
    <t>25297CBPR05693B</t>
  </si>
  <si>
    <t>25296CBPR053D05</t>
  </si>
  <si>
    <t>x12 NEs Added</t>
  </si>
  <si>
    <t>O396656</t>
  </si>
  <si>
    <t>25293CBPR04CC4B</t>
  </si>
  <si>
    <t>Jenny McCarthy</t>
  </si>
  <si>
    <t>O396384</t>
  </si>
  <si>
    <t>25293CBPR04CA6F</t>
  </si>
  <si>
    <t>Hasley Kluba</t>
  </si>
  <si>
    <t>O396401</t>
  </si>
  <si>
    <t>25293CBPR04CA8E</t>
  </si>
  <si>
    <t>Wen-Li Ho</t>
  </si>
  <si>
    <t>O403903</t>
  </si>
  <si>
    <t>25295CBPR050D65</t>
  </si>
  <si>
    <t>James O'Rourke - DC member 00809214 - passed NRA so joining PRSA scheme</t>
  </si>
  <si>
    <t>O401359</t>
  </si>
  <si>
    <t>25294CBPR04F127</t>
  </si>
  <si>
    <t>Lewis Silkin Ireland LLP</t>
  </si>
  <si>
    <t>Declan Groarke</t>
  </si>
  <si>
    <t>O411708</t>
  </si>
  <si>
    <t>25297CBPR0564E9</t>
  </si>
  <si>
    <t>Yi Huang</t>
  </si>
  <si>
    <t>O412528</t>
  </si>
  <si>
    <t>25297CBPR056B6F</t>
  </si>
  <si>
    <t>Richard Murphy</t>
  </si>
  <si>
    <t>O413226</t>
  </si>
  <si>
    <t>25297CBPR057202</t>
  </si>
  <si>
    <t>Revathy Krishnamoorthy</t>
  </si>
  <si>
    <t>O403092</t>
  </si>
  <si>
    <t>25295CBPR050728</t>
  </si>
  <si>
    <t>Mihrican Ozturk Yusel</t>
  </si>
  <si>
    <t>VP35</t>
  </si>
  <si>
    <t>Fortitude Financial Planning Ltd</t>
  </si>
  <si>
    <t>O400825</t>
  </si>
  <si>
    <t>25294CBPR04ECBA</t>
  </si>
  <si>
    <t>Philip P McCormack Plant Hire</t>
  </si>
  <si>
    <t>EVAN HEARY</t>
  </si>
  <si>
    <t>O402704</t>
  </si>
  <si>
    <t>25295CBPR05049A</t>
  </si>
  <si>
    <t>Patrick McKenna</t>
  </si>
  <si>
    <t>O413652</t>
  </si>
  <si>
    <t>25297CBPR057593</t>
  </si>
  <si>
    <t>Trevor Glavey</t>
  </si>
  <si>
    <t>O421988</t>
  </si>
  <si>
    <t>25302CBPR05E909</t>
  </si>
  <si>
    <t>Orla Donovan</t>
  </si>
  <si>
    <t>O403675</t>
  </si>
  <si>
    <t>25295CBPR050BBB</t>
  </si>
  <si>
    <t>Hemang Acharya</t>
  </si>
  <si>
    <t>O415336</t>
  </si>
  <si>
    <t>25299CBPR05903C</t>
  </si>
  <si>
    <t>Centre for Effective Services</t>
  </si>
  <si>
    <t>Heloise Falmme</t>
  </si>
  <si>
    <t>O398278</t>
  </si>
  <si>
    <t>25294CBPR04D74A</t>
  </si>
  <si>
    <t>Emma Sgubin</t>
  </si>
  <si>
    <t>O399054</t>
  </si>
  <si>
    <t>25294CBPR04DD82</t>
  </si>
  <si>
    <t>Natalja Burke</t>
  </si>
  <si>
    <t>O409123</t>
  </si>
  <si>
    <t>25296CBPR05449C</t>
  </si>
  <si>
    <t>George Linehan</t>
  </si>
  <si>
    <t>O403000</t>
  </si>
  <si>
    <t>25295CBPR05069A</t>
  </si>
  <si>
    <t>Tadhg Shinkwin</t>
  </si>
  <si>
    <t>O403367</t>
  </si>
  <si>
    <t>25295CBPR050947</t>
  </si>
  <si>
    <t>O409976</t>
  </si>
  <si>
    <t>25296CBPR054B19</t>
  </si>
  <si>
    <t>Massimo Pacini</t>
  </si>
  <si>
    <t>O413305</t>
  </si>
  <si>
    <t>25297CBPR0572AF</t>
  </si>
  <si>
    <t>Kailash Kumar</t>
  </si>
  <si>
    <t>WK18</t>
  </si>
  <si>
    <t>Lisa Coghlan</t>
  </si>
  <si>
    <t>O413793</t>
  </si>
  <si>
    <t>25297CBPR0576FF</t>
  </si>
  <si>
    <t>Swan Youth Services</t>
  </si>
  <si>
    <t>Lorraine Elliot</t>
  </si>
  <si>
    <t>O396731</t>
  </si>
  <si>
    <t>25293CBPR04CCF3</t>
  </si>
  <si>
    <t>Fabiana Aparecida Alves de Oliveira</t>
  </si>
  <si>
    <t>O402102</t>
  </si>
  <si>
    <t>25295CBPR05001F</t>
  </si>
  <si>
    <t>Klaudiusz Nowakowski</t>
  </si>
  <si>
    <t>O410166</t>
  </si>
  <si>
    <t>25296CBPR054C6C</t>
  </si>
  <si>
    <t>Panagiotis Nikolaos Zacharias</t>
  </si>
  <si>
    <t>O415522</t>
  </si>
  <si>
    <t>25300CBPR05A020</t>
  </si>
  <si>
    <t>Susana Gomez</t>
  </si>
  <si>
    <t>O414125</t>
  </si>
  <si>
    <t>25297CBPR057A0E</t>
  </si>
  <si>
    <t>Baring International Fund Managers</t>
  </si>
  <si>
    <t>Teresa Joyce</t>
  </si>
  <si>
    <t>O400887</t>
  </si>
  <si>
    <t>25294CBPR04ED51</t>
  </si>
  <si>
    <t>Spencer Stuart International B.V.</t>
  </si>
  <si>
    <t>David Mulligan</t>
  </si>
  <si>
    <t>O400959</t>
  </si>
  <si>
    <t>25294CBPR04EDF4</t>
  </si>
  <si>
    <t>Conor O'Regan</t>
  </si>
  <si>
    <t>O405136</t>
  </si>
  <si>
    <t>25295CBPR0517A5</t>
  </si>
  <si>
    <t>Harrison Creagh</t>
  </si>
  <si>
    <t>O413732</t>
  </si>
  <si>
    <t>25297CBPR05764F</t>
  </si>
  <si>
    <t>Intergraph PPM Ireland Ltd</t>
  </si>
  <si>
    <t>Chris Morrisons</t>
  </si>
  <si>
    <t>O417240</t>
  </si>
  <si>
    <t>25301CBPR05B82F</t>
  </si>
  <si>
    <t>Grainne Madden</t>
  </si>
  <si>
    <t>O411706</t>
  </si>
  <si>
    <t>25297CBPR0564E1</t>
  </si>
  <si>
    <t>Storyful Ltd.</t>
  </si>
  <si>
    <t>Catherine Mcgarry</t>
  </si>
  <si>
    <t>O412714</t>
  </si>
  <si>
    <t>25297CBPR056D30</t>
  </si>
  <si>
    <t>Anne Downes</t>
  </si>
  <si>
    <t>O411636</t>
  </si>
  <si>
    <t>25297CBPR05644F</t>
  </si>
  <si>
    <t>Add Xingchen Yang</t>
  </si>
  <si>
    <t>O412493</t>
  </si>
  <si>
    <t>25297CBPR056B19</t>
  </si>
  <si>
    <t>Galaxy Ire OPCO Ltd T/A Vialto Partners</t>
  </si>
  <si>
    <t>SEIBAH TIPPLE 70000</t>
  </si>
  <si>
    <t>VQ73</t>
  </si>
  <si>
    <t>SecureShare Rathdown</t>
  </si>
  <si>
    <t>020901M</t>
  </si>
  <si>
    <t>25294CBPR04E2E8</t>
  </si>
  <si>
    <t>Kathy McIveney  1204577</t>
  </si>
  <si>
    <t>25294CBPR04E9C4</t>
  </si>
  <si>
    <t>Cognizant Technology Solutions Ireland</t>
  </si>
  <si>
    <t>25301CBPR05C5E0</t>
  </si>
  <si>
    <t>SecureShare BOC Gase</t>
  </si>
  <si>
    <t>25294CBPR04F00A</t>
  </si>
  <si>
    <t xml:space="preserve">Maria de Jesus Balderas Hernandez - 1 x NE	</t>
  </si>
  <si>
    <t>O415555</t>
  </si>
  <si>
    <t>25300CBPR05A078</t>
  </si>
  <si>
    <t>Triangle Computer Services Ltd</t>
  </si>
  <si>
    <t>VC56</t>
  </si>
  <si>
    <t>First Ireland Risk Management Ltd</t>
  </si>
  <si>
    <t>O403692</t>
  </si>
  <si>
    <t>25295CBPR050BDA</t>
  </si>
  <si>
    <t>Overstock Ireland Limited</t>
  </si>
  <si>
    <t>Emma Dukes 1204611</t>
  </si>
  <si>
    <t>O411811</t>
  </si>
  <si>
    <t>25297CBPR0565A2</t>
  </si>
  <si>
    <t>Graham Lyons</t>
  </si>
  <si>
    <t>O411828</t>
  </si>
  <si>
    <t>25297CBPR0565B9</t>
  </si>
  <si>
    <t>Helen Wehrheim - Opt out section 7</t>
  </si>
  <si>
    <t>O411838</t>
  </si>
  <si>
    <t>25297CBPR0565CB</t>
  </si>
  <si>
    <t>Quentin Quaile</t>
  </si>
  <si>
    <t>021491M</t>
  </si>
  <si>
    <t>25295CBPR051129</t>
  </si>
  <si>
    <t>Denise duarte De Costa 1204632</t>
  </si>
  <si>
    <t>NH05</t>
  </si>
  <si>
    <t>SecureShare Moneywis</t>
  </si>
  <si>
    <t>020738M</t>
  </si>
  <si>
    <t>25294CBPR04D61A</t>
  </si>
  <si>
    <t>Vistamed Limited</t>
  </si>
  <si>
    <t>Employer: Vistamed :: Member Name:  Benjamin Flethcer :: Date of Birth: 18/11/1987</t>
  </si>
  <si>
    <t>O422632</t>
  </si>
  <si>
    <t>25302CBPR05EE4B</t>
  </si>
  <si>
    <t>Graepel Perforators &amp; Weavers Ltd</t>
  </si>
  <si>
    <t>TEXT: Alan Szczyrbowski Added, Member No. 1205951</t>
  </si>
  <si>
    <t>O422636</t>
  </si>
  <si>
    <t>25302CBPR05EE5A</t>
  </si>
  <si>
    <t>TEXT: Barry Twomey Added, Member No. 1205953</t>
  </si>
  <si>
    <t>O407819</t>
  </si>
  <si>
    <t>25296CBPR0539FF</t>
  </si>
  <si>
    <t>TEXT: Darren O'Driscoll Added, Member No. 1205537</t>
  </si>
  <si>
    <t>O398386</t>
  </si>
  <si>
    <t>25294CBPR04D817</t>
  </si>
  <si>
    <t>Ian Towey</t>
  </si>
  <si>
    <t>O400816</t>
  </si>
  <si>
    <t>25294CBPR04ECAC</t>
  </si>
  <si>
    <t>Guilherme Rodrigues</t>
  </si>
  <si>
    <t>O400570</t>
  </si>
  <si>
    <t>25294CBPR04EA64</t>
  </si>
  <si>
    <t>Add member Jack Ronayne</t>
  </si>
  <si>
    <t>O400572</t>
  </si>
  <si>
    <t>25294CBPR04EA6E</t>
  </si>
  <si>
    <t>Add member Catherine Delaney</t>
  </si>
  <si>
    <t>O397948</t>
  </si>
  <si>
    <t>25294CBPR04D52E</t>
  </si>
  <si>
    <t>Emma Cooney - was not added - 1203725</t>
  </si>
  <si>
    <t>25302CBPR05E672</t>
  </si>
  <si>
    <t>x29 NEs Added</t>
  </si>
  <si>
    <t>021005M</t>
  </si>
  <si>
    <t>25294CBPR04EB5A</t>
  </si>
  <si>
    <t>Employer: Allianz Re Dublin dac :: Member Nam ... (see attached file for full description)</t>
  </si>
  <si>
    <t>020757M</t>
  </si>
  <si>
    <t>25294CBPR04D71E</t>
  </si>
  <si>
    <t>Nidhin Joseph- Salary conf</t>
  </si>
  <si>
    <t>020760M</t>
  </si>
  <si>
    <t>25294CBPR04D722</t>
  </si>
  <si>
    <t>Ronan Hayes</t>
  </si>
  <si>
    <t>25303CBPR061570</t>
  </si>
  <si>
    <t>SecureShare Bord na</t>
  </si>
  <si>
    <t>25296CBPR053EF1</t>
  </si>
  <si>
    <t>3 x NE - PPI won't accept Midas#</t>
  </si>
  <si>
    <t>25294CBPR04DE17</t>
  </si>
  <si>
    <t>Julie Murphy</t>
  </si>
  <si>
    <t>25295CBPR050702</t>
  </si>
  <si>
    <t>59 x NE -  (135 - Sept 74 &amp; Oct 61)</t>
  </si>
  <si>
    <t>25297CBPR0564B2</t>
  </si>
  <si>
    <t>Molly Sheridan</t>
  </si>
  <si>
    <t>25297CBPR056582</t>
  </si>
  <si>
    <t>Charles Meenan</t>
  </si>
  <si>
    <t>25299CBPR059038</t>
  </si>
  <si>
    <t>Sonal Singh</t>
  </si>
  <si>
    <t>25302CBPR05FD0D</t>
  </si>
  <si>
    <t>Hostelworld.com Ltd</t>
  </si>
  <si>
    <t>SecureShare Merchant</t>
  </si>
  <si>
    <t>25296CBPR0538CF</t>
  </si>
  <si>
    <t>Merchants Quay Ireland</t>
  </si>
  <si>
    <t>Employer: Merchants Quay Ireland CLG :: Number of Members: 2</t>
  </si>
  <si>
    <t>O414879</t>
  </si>
  <si>
    <t>25298CBPR0580C0</t>
  </si>
  <si>
    <t>Smithwood Limited</t>
  </si>
  <si>
    <t>Adrienne McDermott salary date hoining sch &amp; company need end point on funds</t>
  </si>
  <si>
    <t>O399166</t>
  </si>
  <si>
    <t>25294CBPR04DE67</t>
  </si>
  <si>
    <t>O399439</t>
  </si>
  <si>
    <t>25294CBPR04E10B</t>
  </si>
  <si>
    <t>aureliu mirza</t>
  </si>
  <si>
    <t>O399462</t>
  </si>
  <si>
    <t>25294CBPR04E12F</t>
  </si>
  <si>
    <t>Mohamed Kayed</t>
  </si>
  <si>
    <t>O399479</t>
  </si>
  <si>
    <t>25294CBPR04E14E</t>
  </si>
  <si>
    <t>O400203</t>
  </si>
  <si>
    <t>25294CBPR04E7A3</t>
  </si>
  <si>
    <t>Hima Suneeth</t>
  </si>
  <si>
    <t>O400224</t>
  </si>
  <si>
    <t>25294CBPR04E7C7</t>
  </si>
  <si>
    <t>O405688</t>
  </si>
  <si>
    <t>25295CBPR051C24</t>
  </si>
  <si>
    <t>Kathryn Curry  1204612</t>
  </si>
  <si>
    <t>25293CBPR04C747</t>
  </si>
  <si>
    <t>25297CBPR0561BF</t>
  </si>
  <si>
    <t>4 x ne</t>
  </si>
  <si>
    <t>25301CBPR05BD75</t>
  </si>
  <si>
    <t>O403494</t>
  </si>
  <si>
    <t>25295CBPR050A67</t>
  </si>
  <si>
    <t>Tat Wai Lam</t>
  </si>
  <si>
    <t>25294CBPR04E587</t>
  </si>
  <si>
    <t>25294CBPR04D6B9</t>
  </si>
  <si>
    <t>25296CBPR053D84</t>
  </si>
  <si>
    <t>Abbeyleix House &amp; Farm</t>
  </si>
  <si>
    <t>25294CBPR04EF83</t>
  </si>
  <si>
    <t>Korber Pharma Software GMBH</t>
  </si>
  <si>
    <t>Sophia Frances</t>
  </si>
  <si>
    <t>25296CBPR0537BC</t>
  </si>
  <si>
    <t>Anne Sullivan Centre Ltd</t>
  </si>
  <si>
    <t>Larissa De Jesus</t>
  </si>
  <si>
    <t>022575M</t>
  </si>
  <si>
    <t>25297CBPR056A8A</t>
  </si>
  <si>
    <t>CAITLN MONTGOMERY 49810.80</t>
  </si>
  <si>
    <t>023540M</t>
  </si>
  <si>
    <t>25301CBPR05B781</t>
  </si>
  <si>
    <t>Delaval Limited</t>
  </si>
  <si>
    <t>Meabh Byrne</t>
  </si>
  <si>
    <t>021003M</t>
  </si>
  <si>
    <t>25294CBPR04EACB</t>
  </si>
  <si>
    <t>Nicholaas Brits 1204420</t>
  </si>
  <si>
    <t>25301CBPR05C19E</t>
  </si>
  <si>
    <t>25302CBPR05ED79</t>
  </si>
  <si>
    <t>25294CBPR04E193</t>
  </si>
  <si>
    <t>SIKA Ireland Limited</t>
  </si>
  <si>
    <t>Employer: SIKA Ireland Limited [602637] :: Number of Members: 5</t>
  </si>
  <si>
    <t>25301CBPR05CACE</t>
  </si>
  <si>
    <t>Cliste Consultants Limited</t>
  </si>
  <si>
    <t>025225M</t>
  </si>
  <si>
    <t>25303CBPR06219A</t>
  </si>
  <si>
    <t>25294CBPR04EC7C</t>
  </si>
  <si>
    <t>25297CBPR05729B</t>
  </si>
  <si>
    <t>Empowertheuser Ltd</t>
  </si>
  <si>
    <t>25301CBPR05B62E</t>
  </si>
  <si>
    <t>25301CBPR05BB14</t>
  </si>
  <si>
    <t>Merchandising Technologies Ireland Ltd</t>
  </si>
  <si>
    <t>25294CBPR04EC7D</t>
  </si>
  <si>
    <t>Dermot Casey Tree Care Ltd</t>
  </si>
  <si>
    <t>025311M</t>
  </si>
  <si>
    <t>25303CBPR062610</t>
  </si>
  <si>
    <t>25301CBPR05C67E</t>
  </si>
  <si>
    <t>International Warehousing Transport Ltd</t>
  </si>
  <si>
    <t>25296CBPR0549EF</t>
  </si>
  <si>
    <t>25295CBPR050248</t>
  </si>
  <si>
    <t>October new entrants - 28 CZ45</t>
  </si>
  <si>
    <t>O399617</t>
  </si>
  <si>
    <t>25294CBPR04E261</t>
  </si>
  <si>
    <t>Eadaoin Galligan - added 1204870</t>
  </si>
  <si>
    <t>O402388</t>
  </si>
  <si>
    <t>25295CBPR0502CB</t>
  </si>
  <si>
    <t>Joe Clare - added 1204877</t>
  </si>
  <si>
    <t>25301CBPR05C018</t>
  </si>
  <si>
    <t>6 NEs ILAC (30 CZ45 &amp; 6 CL90) :: Number of Members: 36</t>
  </si>
  <si>
    <t>O405631</t>
  </si>
  <si>
    <t>25295CBPR051BCB</t>
  </si>
  <si>
    <t>Irish Life AVC Scheme</t>
  </si>
  <si>
    <t>Jeremy Leonard - added 1204887</t>
  </si>
  <si>
    <t>O405639</t>
  </si>
  <si>
    <t>25295CBPR051BD7</t>
  </si>
  <si>
    <t>Richard Dennehy - added 1204888</t>
  </si>
  <si>
    <t>25295CBPR051637</t>
  </si>
  <si>
    <t>1NE</t>
  </si>
  <si>
    <t>passe</t>
  </si>
  <si>
    <t>SecureShare Digicert</t>
  </si>
  <si>
    <t>25297CBPR056A40</t>
  </si>
  <si>
    <t>Employer: Digicert Ireland :: Number of Members: 8</t>
  </si>
  <si>
    <t>25302CBPR05E233</t>
  </si>
  <si>
    <t>25297CBPR056637</t>
  </si>
  <si>
    <t>Employer: Enet :: Number of Members: 4</t>
  </si>
  <si>
    <t>25296CBPR053C61</t>
  </si>
  <si>
    <t>Employer: OLH :: Number of Members: 1</t>
  </si>
  <si>
    <t>25296CBPR05397E</t>
  </si>
  <si>
    <t>Employer: BSH Home Appliance :: Number of Members: 5</t>
  </si>
  <si>
    <t>25296CBPR054AED</t>
  </si>
  <si>
    <t>25301CBPR05B41B</t>
  </si>
  <si>
    <t>021299M</t>
  </si>
  <si>
    <t>25295CBPR050448</t>
  </si>
  <si>
    <t>Employer: Excelsys Technologies Ltd. :: Membe ... (see attached file for full description)</t>
  </si>
  <si>
    <t>O407647</t>
  </si>
  <si>
    <t>25296CBPR0538B5</t>
  </si>
  <si>
    <t>20010 SP Deirdre Kirwan</t>
  </si>
  <si>
    <t>25296CBPR053979</t>
  </si>
  <si>
    <t>Employer: Flexifi :: Number of Members: 5</t>
  </si>
  <si>
    <t>25295CBPR0501AA</t>
  </si>
  <si>
    <t>Employer: Mondelez :: Number of Members: 4</t>
  </si>
  <si>
    <t>SecureShare Monument</t>
  </si>
  <si>
    <t>25295CBPR050EA7</t>
  </si>
  <si>
    <t>Employer: Monument :: Number of Members: 6</t>
  </si>
  <si>
    <t>25295CBPR051201</t>
  </si>
  <si>
    <t>Employer: The Open University :: Number of Members: 1</t>
  </si>
  <si>
    <t>O402579</t>
  </si>
  <si>
    <t>25295CBPR0503D0</t>
  </si>
  <si>
    <t>Adelina Farcas 1204111</t>
  </si>
  <si>
    <t>SecureShare Guerbet</t>
  </si>
  <si>
    <t>022174M</t>
  </si>
  <si>
    <t>25296CBPR0547DB</t>
  </si>
  <si>
    <t>Guerbet Ireland ulc</t>
  </si>
  <si>
    <t>TEXT: Jack Murphy Added, Member No. 1205551</t>
  </si>
  <si>
    <t>25301CBPR05B19F</t>
  </si>
  <si>
    <t>O406820</t>
  </si>
  <si>
    <t>25296CBPR053305</t>
  </si>
  <si>
    <t>Top Form Limited</t>
  </si>
  <si>
    <t>Frederik Van Assel</t>
  </si>
  <si>
    <t>O411055</t>
  </si>
  <si>
    <t>25297CBPR05601C</t>
  </si>
  <si>
    <t>25302CBPR05E484</t>
  </si>
  <si>
    <t>Ramp Swaps Ireland Limited</t>
  </si>
  <si>
    <t>N219</t>
  </si>
  <si>
    <t>CSL Financial (CSL I&amp;I Ltd)</t>
  </si>
  <si>
    <t>25295CBPR050D85</t>
  </si>
  <si>
    <t>Sophia Housing Association Co. Limited</t>
  </si>
  <si>
    <t>Magdalena Lozano</t>
  </si>
  <si>
    <t>25297CBPR056638</t>
  </si>
  <si>
    <t>Employer: Magnet :: Number of Members: 2</t>
  </si>
  <si>
    <t>25296CBPR053833</t>
  </si>
  <si>
    <t>Employer: Smart Electronics :: Number of Members: 2</t>
  </si>
  <si>
    <t>RJ67</t>
  </si>
  <si>
    <t>SecureShare Nomadic</t>
  </si>
  <si>
    <t>Advice First Financial</t>
  </si>
  <si>
    <t>25295CBPR051A29</t>
  </si>
  <si>
    <t>Employer: Nomadic :: Number of Members: 2</t>
  </si>
  <si>
    <t>25295CBPR050B5F</t>
  </si>
  <si>
    <t>O404029</t>
  </si>
  <si>
    <t>25295CBPR050E87</t>
  </si>
  <si>
    <t>Rafal Ferrarini</t>
  </si>
  <si>
    <t>25302CBPR05F7BD</t>
  </si>
  <si>
    <t>Carton</t>
  </si>
  <si>
    <t>25296CBPR05445E</t>
  </si>
  <si>
    <t>25294CBPR04D3E1</t>
  </si>
  <si>
    <t>SecureShare Stryker</t>
  </si>
  <si>
    <t>25297CBPR056E9A</t>
  </si>
  <si>
    <t>Stryker Orthopaedics Pension Hourly</t>
  </si>
  <si>
    <t>25301CBPR05B47E</t>
  </si>
  <si>
    <t>Apple</t>
  </si>
  <si>
    <t>AOEM 1NE</t>
  </si>
  <si>
    <t>25301CBPR05CC29</t>
  </si>
  <si>
    <t>25301CBPR05C851</t>
  </si>
  <si>
    <t>for Adam</t>
  </si>
  <si>
    <t>25296CBPR054599</t>
  </si>
  <si>
    <t>Employer: Apple :: Number of Members: 7</t>
  </si>
  <si>
    <t>25301CBPR05BB10</t>
  </si>
  <si>
    <t>Employer: Apple :: Number of Members: N/A</t>
  </si>
  <si>
    <t>25301CBPR05BB11</t>
  </si>
  <si>
    <t>Employer: Apple :: Number of Members: 4</t>
  </si>
  <si>
    <t>25302CBPR05F33B</t>
  </si>
  <si>
    <t>Employer: Apple :: Number of Members: 1</t>
  </si>
  <si>
    <t>SecureShare The Chil</t>
  </si>
  <si>
    <t>25296CBPR05365F</t>
  </si>
  <si>
    <t>NFVSP The Children's Sunshine Home</t>
  </si>
  <si>
    <t>Employer: LauraLynn, Ireland's Children's Hospice :: Number of Members: N/A</t>
  </si>
  <si>
    <t>SecureShare Western</t>
  </si>
  <si>
    <t>25301CBPR05C19C</t>
  </si>
  <si>
    <t>NFVSP Western Care Association</t>
  </si>
  <si>
    <t>Employer: Western Care Association :: Number of Members: 4</t>
  </si>
  <si>
    <t>SecureShare NFVSP Su</t>
  </si>
  <si>
    <t>021602M</t>
  </si>
  <si>
    <t>25295CBPR0519A2</t>
  </si>
  <si>
    <t>NFVSP National Federation of Voluntary</t>
  </si>
  <si>
    <t>Alan Byrne</t>
  </si>
  <si>
    <t>25295CBPR050427</t>
  </si>
  <si>
    <t>LIMERICK- 3 members already added</t>
  </si>
  <si>
    <t>25295CBPR050429</t>
  </si>
  <si>
    <t>Galway</t>
  </si>
  <si>
    <t>25295CBPR05042D</t>
  </si>
  <si>
    <t>Care Village Ne- 2 added already</t>
  </si>
  <si>
    <t>25295CBPR050433</t>
  </si>
  <si>
    <t>Tralee ENTRANTS- 2 already added</t>
  </si>
  <si>
    <t>25296CBPR0531CF</t>
  </si>
  <si>
    <t>Fiona Murphy - Cork Bons - DJC 20/10/2025 - for Andrew</t>
  </si>
  <si>
    <t>25296CBPR0531D8</t>
  </si>
  <si>
    <t>Riju Rajan - Dublin Bons - DJC 20/10/2025 - for Andrew</t>
  </si>
  <si>
    <t>25301CBPR05C0D5</t>
  </si>
  <si>
    <t>Employer: Three :: Number of Members: N/A</t>
  </si>
  <si>
    <t>25299CBPR059134</t>
  </si>
  <si>
    <t>74 x NE - Sept (2 x dob incorrect)</t>
  </si>
  <si>
    <t>25294CBPR04E504</t>
  </si>
  <si>
    <t>Employer: Ayvens :: Number of Members: 1</t>
  </si>
  <si>
    <t>25297CBPR05697B</t>
  </si>
  <si>
    <t>SecureShare Open Sky</t>
  </si>
  <si>
    <t>25297CBPR057194</t>
  </si>
  <si>
    <t>25297CBPR057A10</t>
  </si>
  <si>
    <t>Graham Brereton</t>
  </si>
  <si>
    <t>25295CBPR050701</t>
  </si>
  <si>
    <t>25295CBPR051A80</t>
  </si>
  <si>
    <t>25296CBPR05382F</t>
  </si>
  <si>
    <t>Employer: StepStone :: Number of Members: 3</t>
  </si>
  <si>
    <t>25294CBPR04D723</t>
  </si>
  <si>
    <t>Employer: Murray Design :: Number of Members: 1</t>
  </si>
  <si>
    <t>O398996</t>
  </si>
  <si>
    <t>25294CBPR04DD10</t>
  </si>
  <si>
    <t>DYMPHNA KELLY 1204566 pls check funds are correct</t>
  </si>
  <si>
    <t>O397325</t>
  </si>
  <si>
    <t>25294CBPR04D0D2</t>
  </si>
  <si>
    <t>SHAUNA O NEILL DOJ 01/08/2025</t>
  </si>
  <si>
    <t>SecureShare Barclays</t>
  </si>
  <si>
    <t>25294CBPR04EA4B</t>
  </si>
  <si>
    <t>Employer: Barclays Bank Ireland :: Number of Members: 2</t>
  </si>
  <si>
    <t>O395918</t>
  </si>
  <si>
    <t>25293CBPR04C6AE</t>
  </si>
  <si>
    <t>Sean Mowlds</t>
  </si>
  <si>
    <t>25295CBPR050006</t>
  </si>
  <si>
    <t>** For Adam</t>
  </si>
  <si>
    <t>25294CBPR04E718</t>
  </si>
  <si>
    <t>25297CBPR056DC6</t>
  </si>
  <si>
    <t>25297CBPR056E9B</t>
  </si>
  <si>
    <t>Employer: Ornua :: Number of Members: 3</t>
  </si>
  <si>
    <t>25297CBPR05793C</t>
  </si>
  <si>
    <t>25297CBPR0567D3</t>
  </si>
  <si>
    <t>SecureShare Dublin C</t>
  </si>
  <si>
    <t>25300CBPR05A3DF</t>
  </si>
  <si>
    <t>Employer: Dublin Central Mission CLG :: Number of Members: 14</t>
  </si>
  <si>
    <t>25297CBPR056CAE</t>
  </si>
  <si>
    <t>Employer: Car Charger EV ltd :: Number of Members: 1</t>
  </si>
  <si>
    <t>25294CBPR04D45F</t>
  </si>
  <si>
    <t>Employer: Burlington Engineering :: Number of Members: 3</t>
  </si>
  <si>
    <t>SecureShare Ellucian</t>
  </si>
  <si>
    <t>25297CBPR056E9C</t>
  </si>
  <si>
    <t>Ellucian Ireland Limited Pension Plan</t>
  </si>
  <si>
    <t>O399193</t>
  </si>
  <si>
    <t>25294CBPR04DE93</t>
  </si>
  <si>
    <t>JCDecaux Ireland Ltd.</t>
  </si>
  <si>
    <t>Thomas Whelan</t>
  </si>
  <si>
    <t>O397574</t>
  </si>
  <si>
    <t>25294CBPR04D282</t>
  </si>
  <si>
    <t>UCD Campus Companies</t>
  </si>
  <si>
    <t>Dinesh Ramsundar</t>
  </si>
  <si>
    <t>SecureShare Aldi Sto</t>
  </si>
  <si>
    <t>25295CBPR05062D</t>
  </si>
  <si>
    <t>Aldi Stores (Ireland) Limited</t>
  </si>
  <si>
    <t>25295CBPR051366</t>
  </si>
  <si>
    <t>25295CBPR051368</t>
  </si>
  <si>
    <t>Employer: Google :: Number of Members: 36</t>
  </si>
  <si>
    <t>024629M</t>
  </si>
  <si>
    <t>25302CBPR05F666</t>
  </si>
  <si>
    <t>25297CBPR056E6D</t>
  </si>
  <si>
    <t>Stryker Ireland DC Pension Plan</t>
  </si>
  <si>
    <t>25301CBPR05B7C0</t>
  </si>
  <si>
    <t>Cork 608029</t>
  </si>
  <si>
    <t>25301CBPR05B7C2</t>
  </si>
  <si>
    <t>Galway 608029</t>
  </si>
  <si>
    <t>O413315</t>
  </si>
  <si>
    <t>25297CBPR0572CB</t>
  </si>
  <si>
    <t>Beata Adamska - please set up</t>
  </si>
  <si>
    <t>25301CBPR05BAC6</t>
  </si>
  <si>
    <t>Employer: Petrogas :: Number of Members: 1</t>
  </si>
  <si>
    <t>25301CBPR05BAC7</t>
  </si>
  <si>
    <t>Sender Technologies Europe Ltd</t>
  </si>
  <si>
    <t>Employer: Sender Technologies :: Number of Members: 1</t>
  </si>
  <si>
    <t>O397996</t>
  </si>
  <si>
    <t>25294CBPR04D582</t>
  </si>
  <si>
    <t>CAROL WALSH SP 12,500 1204447</t>
  </si>
  <si>
    <t>021247M</t>
  </si>
  <si>
    <t>25295CBPR050007</t>
  </si>
  <si>
    <t>DIGI: Michelle Concannon Added, Member No. 1204594</t>
  </si>
  <si>
    <t>O415583</t>
  </si>
  <si>
    <t>25300CBPR05A0D4</t>
  </si>
  <si>
    <t>Gate Gourmet</t>
  </si>
  <si>
    <t>Oksana Sohata</t>
  </si>
  <si>
    <t>Y</t>
  </si>
  <si>
    <t>O396559</t>
  </si>
  <si>
    <t>25293CBPR04CBAB</t>
  </si>
  <si>
    <t>Tefal Ireland Ltd.</t>
  </si>
  <si>
    <t>Mackenzie Mullins</t>
  </si>
  <si>
    <t>O408672</t>
  </si>
  <si>
    <t>25296CBPR054114</t>
  </si>
  <si>
    <t>J. J. Rhatigan &amp; Co.</t>
  </si>
  <si>
    <t>jack kelly 1204252</t>
  </si>
  <si>
    <t>UN05</t>
  </si>
  <si>
    <t>Unio Ltd</t>
  </si>
  <si>
    <t>25293CBPR04C6B0</t>
  </si>
  <si>
    <t>BNP Paribas Real Estate Ireland Limited</t>
  </si>
  <si>
    <t>James Kearney</t>
  </si>
  <si>
    <t>25293CBPR04C74A</t>
  </si>
  <si>
    <t>Ronan McCarthy</t>
  </si>
  <si>
    <t>25293CBPR04CB48</t>
  </si>
  <si>
    <t>Urban Monks</t>
  </si>
  <si>
    <t>O401314</t>
  </si>
  <si>
    <t>25294CBPR04F0E5</t>
  </si>
  <si>
    <t>Loe Lennox 1204584</t>
  </si>
  <si>
    <t>O406662</t>
  </si>
  <si>
    <t>25296CBPR0531DF</t>
  </si>
  <si>
    <t>Amy Connolly</t>
  </si>
  <si>
    <t>SecureShare eircom</t>
  </si>
  <si>
    <t>25297CBPR056C2D</t>
  </si>
  <si>
    <t>Employer: Eircom Limited :: Number of Members: 14</t>
  </si>
  <si>
    <t>O349051</t>
  </si>
  <si>
    <t>25279CBPR026A2C</t>
  </si>
  <si>
    <t>David O'Mahony</t>
  </si>
  <si>
    <t>O323446</t>
  </si>
  <si>
    <t>25270CBPR00F21C</t>
  </si>
  <si>
    <t>Kayleigh O'Brien DOJ 01/07/25</t>
  </si>
  <si>
    <t>O348340</t>
  </si>
  <si>
    <t>25279CBPR0265CE</t>
  </si>
  <si>
    <t>Eamonn Morris 1201235</t>
  </si>
  <si>
    <t>O348388</t>
  </si>
  <si>
    <t>25279CBPR02663A</t>
  </si>
  <si>
    <t>Eoin Tunstead  1201210</t>
  </si>
  <si>
    <t>O348441</t>
  </si>
  <si>
    <t>25279CBPR026697</t>
  </si>
  <si>
    <t>Gayle McGlynn 1201208</t>
  </si>
  <si>
    <t>O348451</t>
  </si>
  <si>
    <t>25279CBPR0266A5</t>
  </si>
  <si>
    <t>Geraldine Campbell 1201206</t>
  </si>
  <si>
    <t>O348452</t>
  </si>
  <si>
    <t>25279CBPR0266A6</t>
  </si>
  <si>
    <t>Genevieve O'Connor 1201207</t>
  </si>
  <si>
    <t>O348463</t>
  </si>
  <si>
    <t>25279CBPR0266BA</t>
  </si>
  <si>
    <t>Gloria Helen 1200910</t>
  </si>
  <si>
    <t>O349045</t>
  </si>
  <si>
    <t>25279CBPR026A24</t>
  </si>
  <si>
    <t>Deirdre Moore 1200878</t>
  </si>
  <si>
    <t>O383326</t>
  </si>
  <si>
    <t>25289CBPR0420C1</t>
  </si>
  <si>
    <t>ANIKO LONERGAN DOJ 01/06/2025 1203772</t>
  </si>
  <si>
    <t>O383339</t>
  </si>
  <si>
    <t>25289CBPR0420D7</t>
  </si>
  <si>
    <t>CAOIMHE KILFEATHER DOJ 01/06/2025 - 1203764</t>
  </si>
  <si>
    <t>O334178</t>
  </si>
  <si>
    <t>25274CBPR016EB0</t>
  </si>
  <si>
    <t>Fearghal OGrady  1199705</t>
  </si>
  <si>
    <t>O334800</t>
  </si>
  <si>
    <t>25274CBPR017337</t>
  </si>
  <si>
    <t>Teagasc</t>
  </si>
  <si>
    <t>Niall Treanor 1200230</t>
  </si>
  <si>
    <t>O365380</t>
  </si>
  <si>
    <t>25283CBPR036636</t>
  </si>
  <si>
    <t>Jenny Tobin 1201684</t>
  </si>
  <si>
    <t>O379327</t>
  </si>
  <si>
    <t>25289CBPR043092</t>
  </si>
  <si>
    <t>14000.00 SP  DAVID KAVANAGH 1203228</t>
  </si>
  <si>
    <t>O347978</t>
  </si>
  <si>
    <t>25279CBPR0262C6</t>
  </si>
  <si>
    <t>Catherine Kennedy 10K SP  1201256</t>
  </si>
  <si>
    <t>O324668</t>
  </si>
  <si>
    <t>25272CBPR011560</t>
  </si>
  <si>
    <t>Shane OReilly  1199860</t>
  </si>
  <si>
    <t>O327212</t>
  </si>
  <si>
    <t>25272CBPR012784</t>
  </si>
  <si>
    <t>Colette Walsh 1199878</t>
  </si>
  <si>
    <t>O347613</t>
  </si>
  <si>
    <t>25279CBPR025FA7</t>
  </si>
  <si>
    <t>Cillian Hurley 1200819</t>
  </si>
  <si>
    <t>O394581</t>
  </si>
  <si>
    <t>25293CBPR04BBAB</t>
  </si>
  <si>
    <t>Frances McNelis 1204208 13k eft</t>
  </si>
  <si>
    <t>O323972</t>
  </si>
  <si>
    <t>25272CBPR0110DE</t>
  </si>
  <si>
    <t>Environmental Protection Agency</t>
  </si>
  <si>
    <t>Elanor Ryan 1199809</t>
  </si>
  <si>
    <t>O388799</t>
  </si>
  <si>
    <t>25290CBPR0453FD</t>
  </si>
  <si>
    <t>9000 SP n/ent Noel Murphy f-y - Cornmarket</t>
  </si>
  <si>
    <t>O363050</t>
  </si>
  <si>
    <t>25283CBPR035387</t>
  </si>
  <si>
    <t>Martin Barrett  1202444  SP €1000</t>
  </si>
  <si>
    <t>O323525</t>
  </si>
  <si>
    <t>25270CBPR00F2B7</t>
  </si>
  <si>
    <t>DIGI: Edward Doyle Added, Member No. 1199736</t>
  </si>
  <si>
    <t>O367886</t>
  </si>
  <si>
    <t>25286CBPR03958A</t>
  </si>
  <si>
    <t>William Harrington SP 16000</t>
  </si>
  <si>
    <t>O330410</t>
  </si>
  <si>
    <t>25273CBPR0144AC</t>
  </si>
  <si>
    <t>Emmett Cronin</t>
  </si>
  <si>
    <t>O355785</t>
  </si>
  <si>
    <t>25281CBPR02F060</t>
  </si>
  <si>
    <t>Virgila Killigrew SP 10000</t>
  </si>
  <si>
    <t>25280CBPR02A056</t>
  </si>
  <si>
    <t>Pierre-Antoine Garnier</t>
  </si>
  <si>
    <t>25280CBPR02A097</t>
  </si>
  <si>
    <t>Employer: IT Alliance Group :: Number of Members: 1</t>
  </si>
  <si>
    <t>25267CBPR007B98</t>
  </si>
  <si>
    <t>Bulk 9ne- Rec PPSN for members</t>
  </si>
  <si>
    <t>25273CBPR013431</t>
  </si>
  <si>
    <t>25293CBPR04B9FC</t>
  </si>
  <si>
    <t>25274CBPR016794</t>
  </si>
  <si>
    <t>25282CBPR032A14</t>
  </si>
  <si>
    <t>Employer: Motorola Solutions UK :: Number of Members: 8</t>
  </si>
  <si>
    <t>25270CBPR00F15D</t>
  </si>
  <si>
    <t>Repligen Ireland Ltd</t>
  </si>
  <si>
    <t>Roisin Keane- Need dates and % DJC 21/10/24 &amp; DJS 21/04/2025 (O314670)</t>
  </si>
  <si>
    <t>SecureShare Dulux Pa</t>
  </si>
  <si>
    <t>25286CBPR039F0E</t>
  </si>
  <si>
    <t>Simon Philips 1203035</t>
  </si>
  <si>
    <t>O330152</t>
  </si>
  <si>
    <t>25273CBPR01423E</t>
  </si>
  <si>
    <t>Chloe Bradley</t>
  </si>
  <si>
    <t>011106M</t>
  </si>
  <si>
    <t>25281CBPR02FD14</t>
  </si>
  <si>
    <t>Caroline Barry</t>
  </si>
  <si>
    <t>VN73</t>
  </si>
  <si>
    <t>SecureShare Aramex I</t>
  </si>
  <si>
    <t>Derradda Financial Services Ltd</t>
  </si>
  <si>
    <t>25274CBPR016014</t>
  </si>
  <si>
    <t>Employer: Aramex :: Number of Members: N/A</t>
  </si>
  <si>
    <t>25279CBPR0262E4</t>
  </si>
  <si>
    <t>Thera Pharmaceuticals Ltd</t>
  </si>
  <si>
    <t>25288CBPR04022C</t>
  </si>
  <si>
    <t>2ne were never added</t>
  </si>
  <si>
    <t>25293CBPR04B85D</t>
  </si>
  <si>
    <t>Truelayer (Ireland) Limited</t>
  </si>
  <si>
    <t>25289CBPR0427F3</t>
  </si>
  <si>
    <t>Employer: McDonald's Restaurants of Ireland :: Number of Members: N/A</t>
  </si>
  <si>
    <t>25293CBPR04B790</t>
  </si>
  <si>
    <t>Fulcrum Digital Platform Services Ltd</t>
  </si>
  <si>
    <t>N847</t>
  </si>
  <si>
    <t>SecureShare Cathedra</t>
  </si>
  <si>
    <t>Cathedral Financial Consultants L</t>
  </si>
  <si>
    <t>25281CBPR0302BD</t>
  </si>
  <si>
    <t>Employer: Vow Europe Ltd :: Number of Members: 17</t>
  </si>
  <si>
    <t>25282CBPR032AA0</t>
  </si>
  <si>
    <t>Employer: MSL Healthcare :: Number of Members: 1</t>
  </si>
  <si>
    <t>25270CBPR00F138</t>
  </si>
  <si>
    <t>Natures Best Limited</t>
  </si>
  <si>
    <t>1NE- Uploaded and rec Conf</t>
  </si>
  <si>
    <t>25270CBPR00F0E9</t>
  </si>
  <si>
    <t>Employer: Mongo :: Number of Members: 1</t>
  </si>
  <si>
    <t>E461</t>
  </si>
  <si>
    <t>PCS Financial Services Kerry Ltd</t>
  </si>
  <si>
    <t>25270CBPR00F111</t>
  </si>
  <si>
    <t>Cara Credit Union</t>
  </si>
  <si>
    <t>Employer: Cara Credit Union :: Number of Members: 4</t>
  </si>
  <si>
    <t>O369224</t>
  </si>
  <si>
    <t>25286CBPR03A0A7</t>
  </si>
  <si>
    <t>Gareth Meredith</t>
  </si>
  <si>
    <t>25282CBPR03359E</t>
  </si>
  <si>
    <t>Frances Haddane</t>
  </si>
  <si>
    <t>25286CBPR03AAB0</t>
  </si>
  <si>
    <t>O316673</t>
  </si>
  <si>
    <t>25268CBPR00A688</t>
  </si>
  <si>
    <t>Arlo Technologies International Limited</t>
  </si>
  <si>
    <t>Gary Keane-RNE 01/10</t>
  </si>
  <si>
    <t>O330147</t>
  </si>
  <si>
    <t>25273CBPR014234</t>
  </si>
  <si>
    <t>Oxygen-Care Limited</t>
  </si>
  <si>
    <t>Andria Parsons</t>
  </si>
  <si>
    <t>O385033</t>
  </si>
  <si>
    <t>25289CBPR042CF5</t>
  </si>
  <si>
    <t>Alyssa Franks</t>
  </si>
  <si>
    <t>25288CBPR040B1C</t>
  </si>
  <si>
    <t>Ehizemoya Kenneth Iyobhebhe</t>
  </si>
  <si>
    <t>O293295</t>
  </si>
  <si>
    <t>25260CBPR030EE1</t>
  </si>
  <si>
    <t>Hennessy Adrian W&amp;A sent to Retail &amp; Sllr copied 24/09</t>
  </si>
  <si>
    <t>M160</t>
  </si>
  <si>
    <t>O255180</t>
  </si>
  <si>
    <t>25247CBPR0184C2</t>
  </si>
  <si>
    <t>Feehan Tara - W&amp;A &amp; O/S Ttee Auth - AM - 05/09</t>
  </si>
  <si>
    <t>O274248</t>
  </si>
  <si>
    <t>25253CBPR024A9C</t>
  </si>
  <si>
    <t>Vendramin Enrico</t>
  </si>
  <si>
    <t>O376409</t>
  </si>
  <si>
    <t>25287CBPR03DA0F</t>
  </si>
  <si>
    <t>Andrew Dunne</t>
  </si>
  <si>
    <t>O376972</t>
  </si>
  <si>
    <t>25287CBPR03DE62</t>
  </si>
  <si>
    <t>Christopher Musitongo</t>
  </si>
  <si>
    <t>O377730</t>
  </si>
  <si>
    <t>25287CBPR03E4BF</t>
  </si>
  <si>
    <t>Melusine Perez</t>
  </si>
  <si>
    <t>O322287</t>
  </si>
  <si>
    <t>25269CBPR00E216</t>
  </si>
  <si>
    <t>John Clancy - to be added as member of 604455</t>
  </si>
  <si>
    <t>O365680</t>
  </si>
  <si>
    <t>25283CBPR0368BA</t>
  </si>
  <si>
    <t>Daria Pieczynska</t>
  </si>
  <si>
    <t>O365804</t>
  </si>
  <si>
    <t>25283CBPR0369C0</t>
  </si>
  <si>
    <t>Ruth Cashell</t>
  </si>
  <si>
    <t>O321060</t>
  </si>
  <si>
    <t>25269CBPR00D7EE</t>
  </si>
  <si>
    <t>Eabha Coleman</t>
  </si>
  <si>
    <t>O280230</t>
  </si>
  <si>
    <t>25255CBPR028099</t>
  </si>
  <si>
    <t>XSellco Software Limited</t>
  </si>
  <si>
    <t>Ekaterina Nikolaeva</t>
  </si>
  <si>
    <t>O278451</t>
  </si>
  <si>
    <t>25254CBPR026F14</t>
  </si>
  <si>
    <t>BDP</t>
  </si>
  <si>
    <t>Diarmuid Reynolds</t>
  </si>
  <si>
    <t>O320183</t>
  </si>
  <si>
    <t>25269CBPR00D142</t>
  </si>
  <si>
    <t>Mark Gallagher</t>
  </si>
  <si>
    <t>O321340</t>
  </si>
  <si>
    <t>25269CBPR00DA22</t>
  </si>
  <si>
    <t>Keith McDermott</t>
  </si>
  <si>
    <t>O322529</t>
  </si>
  <si>
    <t>25269CBPR00E466</t>
  </si>
  <si>
    <t>Alexander Mordaunt</t>
  </si>
  <si>
    <t>O322543</t>
  </si>
  <si>
    <t>25269CBPR00E483</t>
  </si>
  <si>
    <t>Joseph Keohane</t>
  </si>
  <si>
    <t>O323887</t>
  </si>
  <si>
    <t>25272CBPR011031</t>
  </si>
  <si>
    <t>Alan Taaffe</t>
  </si>
  <si>
    <t>O321598</t>
  </si>
  <si>
    <t>25269CBPR00DC18</t>
  </si>
  <si>
    <t>Meili Travel Technology Ltd</t>
  </si>
  <si>
    <t>Ciaran O'Dwyer</t>
  </si>
  <si>
    <t>O377083</t>
  </si>
  <si>
    <t>25287CBPR03DFAE</t>
  </si>
  <si>
    <t>Eilish Butler</t>
  </si>
  <si>
    <t>O376208</t>
  </si>
  <si>
    <t>25287CBPR03D883</t>
  </si>
  <si>
    <t>Khadja Mohammed Ali-application in linked wi</t>
  </si>
  <si>
    <t>O363008</t>
  </si>
  <si>
    <t>25283CBPR03533B</t>
  </si>
  <si>
    <t>Ussama Nabeel</t>
  </si>
  <si>
    <t>O383967</t>
  </si>
  <si>
    <t>25289CBPR0424EA</t>
  </si>
  <si>
    <t>Orlaith Martin</t>
  </si>
  <si>
    <t>25280CBPR02AD2B</t>
  </si>
  <si>
    <t>Employer: Autodesk :: Number of Members: 4</t>
  </si>
  <si>
    <t>25279CBPR02505C</t>
  </si>
  <si>
    <t>O389159</t>
  </si>
  <si>
    <t>25290CBPR0456D7</t>
  </si>
  <si>
    <t>DIGI: Mark McCullagh Added, Member No. 1204037</t>
  </si>
  <si>
    <t>25281CBPR02ED41</t>
  </si>
  <si>
    <t>Western People 2NE</t>
  </si>
  <si>
    <t>25281CBPR02ED46</t>
  </si>
  <si>
    <t>Roscommon 1NE</t>
  </si>
  <si>
    <t>25281CBPR02ED52</t>
  </si>
  <si>
    <t>wATERFORD 1ne</t>
  </si>
  <si>
    <t>SecureShare An Breac</t>
  </si>
  <si>
    <t>25280CBPR02A862</t>
  </si>
  <si>
    <t>NFVSP An Breacadh Nua</t>
  </si>
  <si>
    <t>Employer: Ard Aoibhinn Services :: Number of Members: 3</t>
  </si>
  <si>
    <t>SecureShare Sappho G</t>
  </si>
  <si>
    <t>25280CBPR02AC7D</t>
  </si>
  <si>
    <t>25287CBPR03C525</t>
  </si>
  <si>
    <t>AOEW 1NE</t>
  </si>
  <si>
    <t>25287CBPR03C455</t>
  </si>
  <si>
    <t>25287CBPR03DB5D</t>
  </si>
  <si>
    <t>Meta Platforms Ireland Ltd</t>
  </si>
  <si>
    <t>30 NEs Meta :: Number of Members: 32</t>
  </si>
  <si>
    <t>25269CBPR00DB95</t>
  </si>
  <si>
    <t>2 NEs: N/A :: Number of Members: N/A</t>
  </si>
  <si>
    <t>25281CBPR02F147</t>
  </si>
  <si>
    <t>For AC</t>
  </si>
  <si>
    <t>SecureShare Prameric</t>
  </si>
  <si>
    <t>25283CBPR0365E5</t>
  </si>
  <si>
    <t>PGIM Ltd</t>
  </si>
  <si>
    <t>Employer: PGIM Ireland :: Number of Members: 10</t>
  </si>
  <si>
    <t>25287CBPR03C454</t>
  </si>
  <si>
    <t>2 ne- 1 ALREADY ADDED</t>
  </si>
  <si>
    <t>25281CBPR02F85B</t>
  </si>
  <si>
    <t>Employer: Google :: Number of Members: 1</t>
  </si>
  <si>
    <t>25283CBPR03661A</t>
  </si>
  <si>
    <t>Employer: Google :: Number of Members: 99</t>
  </si>
  <si>
    <t>25282CBPR033877</t>
  </si>
  <si>
    <t>Employer: Apple (13 ADIM 5 AOEW) :: Number of Members: 18</t>
  </si>
  <si>
    <t>25275CBPR018742</t>
  </si>
  <si>
    <t>3 NEs Western Care Association :: Number of Members: 3</t>
  </si>
  <si>
    <t>C399</t>
  </si>
  <si>
    <t>O323240</t>
  </si>
  <si>
    <t>25270CBPR00F078</t>
  </si>
  <si>
    <t>FAO RR only - add mbr for SPS-</t>
  </si>
  <si>
    <t>25273CBPR013162</t>
  </si>
  <si>
    <t>25276CBPR01B8FA</t>
  </si>
  <si>
    <t>1 NE AWP :: Number of Members: 2</t>
  </si>
  <si>
    <t>25280CBPR02A099</t>
  </si>
  <si>
    <t>Employer: Philip Lee :: Number of Members: 1</t>
  </si>
  <si>
    <t>25289CBPR0429D8</t>
  </si>
  <si>
    <t>25293CBPR04C2AF</t>
  </si>
  <si>
    <t>Employer: Portmarnock GC :: Number of Members: 1</t>
  </si>
  <si>
    <t>SecureShare Killarne</t>
  </si>
  <si>
    <t>25282CBPR03437A</t>
  </si>
  <si>
    <t>Employer: Killarney Hotels Ltd. :: Number of Members: 1</t>
  </si>
  <si>
    <t>25259CBPR02F9AD</t>
  </si>
  <si>
    <t>Sarah Turcanu</t>
  </si>
  <si>
    <t>25280CBPR02A03F</t>
  </si>
  <si>
    <t>2NE - CLodagh already on scheme</t>
  </si>
  <si>
    <t>O369211</t>
  </si>
  <si>
    <t>25286CBPR03A08C</t>
  </si>
  <si>
    <t>Nikita Jakhete</t>
  </si>
  <si>
    <t>O326252</t>
  </si>
  <si>
    <t>25272CBPR012048</t>
  </si>
  <si>
    <t>Grace K</t>
  </si>
  <si>
    <t>O318394</t>
  </si>
  <si>
    <t>25268CBPR00B4D4</t>
  </si>
  <si>
    <t>25286CBPR03910A</t>
  </si>
  <si>
    <t>25280CBPR02A861</t>
  </si>
  <si>
    <t>O350709</t>
  </si>
  <si>
    <t>25280CBPR02754D</t>
  </si>
  <si>
    <t>Wenhan Yang</t>
  </si>
  <si>
    <t>25269CBPR00DCFB</t>
  </si>
  <si>
    <t>Mark Conway</t>
  </si>
  <si>
    <t>25280CBPR02AE10</t>
  </si>
  <si>
    <t>3ne</t>
  </si>
  <si>
    <t>25276CBPR01C0BB</t>
  </si>
  <si>
    <t>Employer: Wynshop :: Number of Members: 1</t>
  </si>
  <si>
    <t>25273CBPR013954</t>
  </si>
  <si>
    <t>Employer: Aimware Ltd :: Number of Members: 2</t>
  </si>
  <si>
    <t>25289CBPR0429D5</t>
  </si>
  <si>
    <t>Liebherr-Construction Equipment Ire Ltd</t>
  </si>
  <si>
    <t>25274CBPR016DD1</t>
  </si>
  <si>
    <t>25279CBPR0253ED</t>
  </si>
  <si>
    <t>Jennifer Toomey</t>
  </si>
  <si>
    <t>O341790</t>
  </si>
  <si>
    <t>25276CBPR01B4E2</t>
  </si>
  <si>
    <t>O257628</t>
  </si>
  <si>
    <t>25248CBPR01A7AE</t>
  </si>
  <si>
    <t>Ava Moran 1200543</t>
  </si>
  <si>
    <t>O357048</t>
  </si>
  <si>
    <t>25281CBPR02FA60</t>
  </si>
  <si>
    <t>Raquel Quizzagain 1200908</t>
  </si>
  <si>
    <t>25282CBPR033D0F</t>
  </si>
  <si>
    <t>5 members already active, added : Naicker Esaivani</t>
  </si>
  <si>
    <t>25282CBPR033329</t>
  </si>
  <si>
    <t>Defeyene Legal Solutions Limited</t>
  </si>
  <si>
    <t>O392383</t>
  </si>
  <si>
    <t>25291CBPR047166</t>
  </si>
  <si>
    <t>Sean Daly</t>
  </si>
  <si>
    <t>O395735</t>
  </si>
  <si>
    <t>25293CBPR04C525</t>
  </si>
  <si>
    <t>Sarah Dunne</t>
  </si>
  <si>
    <t>O389635</t>
  </si>
  <si>
    <t>25290CBPR045A60</t>
  </si>
  <si>
    <t>PATRICK MCGRATH DOJ 01/08/2025</t>
  </si>
  <si>
    <t>020149M</t>
  </si>
  <si>
    <t>25293CBPR04BDDA</t>
  </si>
  <si>
    <t>Sinead OReilly 1204103</t>
  </si>
  <si>
    <t>25293CBPR04B6B2</t>
  </si>
  <si>
    <t>Linneaus 3ne</t>
  </si>
  <si>
    <t>25292CBPR04A0F2</t>
  </si>
  <si>
    <t>25292CBPR04A0F4</t>
  </si>
  <si>
    <t>25293CBPR04BF40</t>
  </si>
  <si>
    <t>Employer: Ability West :: Number of Members: N/A</t>
  </si>
  <si>
    <t>25288CBPR0404CA</t>
  </si>
  <si>
    <t>Employer: Apple :: Number of Members: 9 ADIM</t>
  </si>
  <si>
    <t>25293CBPR04BEEE</t>
  </si>
  <si>
    <t>Cork upload</t>
  </si>
  <si>
    <t>25290CBPR045239</t>
  </si>
  <si>
    <t>Employer: Apleona Ireland Ltd :: Number of Members: 1</t>
  </si>
  <si>
    <t>25238CBPR004747</t>
  </si>
  <si>
    <t>5x NE - Risk to be added to scheme- 603199?</t>
  </si>
  <si>
    <t>25283CBPR0361C9</t>
  </si>
  <si>
    <t>Employer: Enet :: Number of Members: 2</t>
  </si>
  <si>
    <t>O363998</t>
  </si>
  <si>
    <t>25283CBPR035B46</t>
  </si>
  <si>
    <t>Stephen ORourke SP €22760.- 1202484</t>
  </si>
  <si>
    <t>O366469</t>
  </si>
  <si>
    <t>25284CBPR0371E9</t>
  </si>
  <si>
    <t>Joseph Devaney  1202647  SP €850</t>
  </si>
  <si>
    <t>O392358</t>
  </si>
  <si>
    <t>25291CBPR047132</t>
  </si>
  <si>
    <t>PAUL FITZPATRICK</t>
  </si>
  <si>
    <t>O390869</t>
  </si>
  <si>
    <t>25290CBPR04647C</t>
  </si>
  <si>
    <t>Magdalena Kaliszewska</t>
  </si>
  <si>
    <t>25286CBPR039D9C</t>
  </si>
  <si>
    <t>RN60</t>
  </si>
  <si>
    <t>Money Plus Financial Brokers Ltd</t>
  </si>
  <si>
    <t>25293CBPR04BBA2</t>
  </si>
  <si>
    <t>Plan International Ireland</t>
  </si>
  <si>
    <t>Only 2ne Added- One member already on scheme</t>
  </si>
  <si>
    <t>25293CBPR04B6A3</t>
  </si>
  <si>
    <t>Firhouose 8ne</t>
  </si>
  <si>
    <t>25293CBPR04B6AD</t>
  </si>
  <si>
    <t>Hermitage 19ne</t>
  </si>
  <si>
    <t>SecureShare Demonwar</t>
  </si>
  <si>
    <t>25287CBPR03D999</t>
  </si>
  <si>
    <t>Employer: Demonware :: Number of Members: 3</t>
  </si>
  <si>
    <t>O379284</t>
  </si>
  <si>
    <t>25288CBPR03F31F</t>
  </si>
  <si>
    <t>Jack Mallon</t>
  </si>
  <si>
    <t>O365691</t>
  </si>
  <si>
    <t>25283CBPR0368CD</t>
  </si>
  <si>
    <t>John McMahon</t>
  </si>
  <si>
    <t>SecureShare Mercer (</t>
  </si>
  <si>
    <t>25288CBPR040B8F</t>
  </si>
  <si>
    <t>Reddit Ireland</t>
  </si>
  <si>
    <t>Derya Balyan</t>
  </si>
  <si>
    <t>25289CBPR042718</t>
  </si>
  <si>
    <t>Deirdre AOEM</t>
  </si>
  <si>
    <t>25289CBPR043A36</t>
  </si>
  <si>
    <t>Please add J Morgan, M Jeenamol, N O'Donoghue, E McEnteggart &amp; R Mangan</t>
  </si>
  <si>
    <t>25290CBPR0456E5</t>
  </si>
  <si>
    <t>5NE- A new WI was opened as last closed itself</t>
  </si>
  <si>
    <t>25287CBPR03DF83</t>
  </si>
  <si>
    <t>Alexion Pharma Int. Operations Ltd</t>
  </si>
  <si>
    <t>Employer: Alexion Pharma :: Number of Members: 23</t>
  </si>
  <si>
    <t>25286CBPR03A685</t>
  </si>
  <si>
    <t>25290CBPR0457B4</t>
  </si>
  <si>
    <t>Employer: KPFA :: Number of Members: N/A</t>
  </si>
  <si>
    <t>25290CBPR045F40</t>
  </si>
  <si>
    <t>25290CBPR046098</t>
  </si>
  <si>
    <t>25293CBPR04C087</t>
  </si>
  <si>
    <t>Appleby Jewellers Limited</t>
  </si>
  <si>
    <t>Employer: Appleby Jewellers :: Number of Members: 1</t>
  </si>
  <si>
    <t>25288CBPR03F562</t>
  </si>
  <si>
    <t>Employer: Brickiln :: Number of Members: 2- Mbr put DOB in start date FU</t>
  </si>
  <si>
    <t>25287CBPR03DF8A</t>
  </si>
  <si>
    <t>Employer: Matheson :: Number of Members: 109</t>
  </si>
  <si>
    <t>25290CBPR0466E8</t>
  </si>
  <si>
    <t>19NE ADIM</t>
  </si>
  <si>
    <t>25293CBPR04C5E3</t>
  </si>
  <si>
    <t>Employer: Apple :: Number of Members: 8</t>
  </si>
  <si>
    <t>25289CBPR04345F</t>
  </si>
  <si>
    <t>25286CBPR03A6E1</t>
  </si>
  <si>
    <t>O335549</t>
  </si>
  <si>
    <t>25274CBPR017902</t>
  </si>
  <si>
    <t>Joe Kiely</t>
  </si>
  <si>
    <t>O357288</t>
  </si>
  <si>
    <t>25281CBPR02FC77</t>
  </si>
  <si>
    <t>Tipperary County Council</t>
  </si>
  <si>
    <t>Jacqueline Saunders DOJ 01/07/25</t>
  </si>
  <si>
    <t>O360868</t>
  </si>
  <si>
    <t>25282CBPR033A5D</t>
  </si>
  <si>
    <t>Olivia Quinn DOJ 01/07/25</t>
  </si>
  <si>
    <t>O348320</t>
  </si>
  <si>
    <t>25279CBPR0265A5</t>
  </si>
  <si>
    <t>Deirdre Lennon 1200875</t>
  </si>
  <si>
    <t>O348421</t>
  </si>
  <si>
    <t>25279CBPR026674</t>
  </si>
  <si>
    <t>Fiona Ryan 1201209</t>
  </si>
  <si>
    <t>O348457</t>
  </si>
  <si>
    <t>25279CBPR0266AF</t>
  </si>
  <si>
    <t>Gerard Brady 1201089</t>
  </si>
  <si>
    <t>O357387</t>
  </si>
  <si>
    <t>25281CBPR02FD37</t>
  </si>
  <si>
    <t>Lee Anothony Sabatino 1201663</t>
  </si>
  <si>
    <t>O329431</t>
  </si>
  <si>
    <t>25273CBPR013B68</t>
  </si>
  <si>
    <t>PRSA - Octavian Duma</t>
  </si>
  <si>
    <t>O361412</t>
  </si>
  <si>
    <t>25282CBPR033FB1</t>
  </si>
  <si>
    <t>Ruben Iriso Etayo</t>
  </si>
  <si>
    <t>O378316</t>
  </si>
  <si>
    <t>25287CBPR03E9BD</t>
  </si>
  <si>
    <t>Romina Arrua</t>
  </si>
  <si>
    <t>F271</t>
  </si>
  <si>
    <t>O381097</t>
  </si>
  <si>
    <t>25288CBPR040208</t>
  </si>
  <si>
    <t>Stewart Ryan</t>
  </si>
  <si>
    <t>BROKER</t>
  </si>
  <si>
    <t>O359318</t>
  </si>
  <si>
    <t>25282CBPR032AEC</t>
  </si>
  <si>
    <t>John Kelliher</t>
  </si>
  <si>
    <t>Tony O'Reilly</t>
  </si>
  <si>
    <t>O391256</t>
  </si>
  <si>
    <t>25290CBPR04679D</t>
  </si>
  <si>
    <t>Fresenius Kabi</t>
  </si>
  <si>
    <t>O393466</t>
  </si>
  <si>
    <t>25293CBPR04B3A9</t>
  </si>
  <si>
    <t>Orona Midwestern Lifts  Ltd.</t>
  </si>
  <si>
    <t>copied out general query</t>
  </si>
  <si>
    <t>N291</t>
  </si>
  <si>
    <t>MELVIN LIFE &amp; PENSIONS LTD t/a Me</t>
  </si>
  <si>
    <t>O350721</t>
  </si>
  <si>
    <t>25280CBPR02755C</t>
  </si>
  <si>
    <t>Ballina Transport</t>
  </si>
  <si>
    <t>Emailed for more info - NE or SS?</t>
  </si>
  <si>
    <t>O388490</t>
  </si>
  <si>
    <t>25290CBPR0451D4</t>
  </si>
  <si>
    <t>Johnston Mooney &amp; O'Brien Bakeries Ltd</t>
  </si>
  <si>
    <t>Patryk Wojcik incorrect scheme should be 602666 copied out</t>
  </si>
  <si>
    <t>C162</t>
  </si>
  <si>
    <t>Invesco</t>
  </si>
  <si>
    <t>018358M</t>
  </si>
  <si>
    <t>25289CBPR04294B</t>
  </si>
  <si>
    <t>Gordon Low</t>
  </si>
  <si>
    <t>O328562</t>
  </si>
  <si>
    <t>25273CBPR01352B</t>
  </si>
  <si>
    <t>Endress + Hauser (Ireland) Limited</t>
  </si>
  <si>
    <t>ELENA BROWN 46000</t>
  </si>
  <si>
    <t>O388827</t>
  </si>
  <si>
    <t>25290CBPR04547B</t>
  </si>
  <si>
    <t>Ashish Sinha  1204004</t>
  </si>
  <si>
    <t>O383875</t>
  </si>
  <si>
    <t>25289CBPR042445</t>
  </si>
  <si>
    <t>Sandeep Kumar Tanguturi</t>
  </si>
  <si>
    <t>O383877</t>
  </si>
  <si>
    <t>25289CBPR042447</t>
  </si>
  <si>
    <t>Ashmita Chowdhury</t>
  </si>
  <si>
    <t>O364453</t>
  </si>
  <si>
    <t>25283CBPR035F25</t>
  </si>
  <si>
    <t>HSB Engineering Insurance Services Ltd</t>
  </si>
  <si>
    <t>O380655</t>
  </si>
  <si>
    <t>25288CBPR03FE42</t>
  </si>
  <si>
    <t>United Language Group Ltd</t>
  </si>
  <si>
    <t>O291218</t>
  </si>
  <si>
    <t>25259CBPR02F7B6</t>
  </si>
  <si>
    <t>Marina Bernardes  1199637</t>
  </si>
  <si>
    <t>O347661</t>
  </si>
  <si>
    <t>25279CBPR02601C</t>
  </si>
  <si>
    <t>Helene Arrow  1201338</t>
  </si>
  <si>
    <t>O324518</t>
  </si>
  <si>
    <t>25272CBPR01147A</t>
  </si>
  <si>
    <t>Elodie Tierney</t>
  </si>
  <si>
    <t>O362637</t>
  </si>
  <si>
    <t>25283CBPR0350CB</t>
  </si>
  <si>
    <t>Darren Horgan</t>
  </si>
  <si>
    <t>O393788</t>
  </si>
  <si>
    <t>25293CBPR04B595</t>
  </si>
  <si>
    <t>Arigna Fuels</t>
  </si>
  <si>
    <t>Dympna Wynne</t>
  </si>
  <si>
    <t>O322783</t>
  </si>
  <si>
    <t>25269CBPR00E6F9</t>
  </si>
  <si>
    <t>A Touch Of Ireland Staff Scheme</t>
  </si>
  <si>
    <t>O384585</t>
  </si>
  <si>
    <t>25289CBPR04295C</t>
  </si>
  <si>
    <t>Irish Coursing Club Pension Scheme</t>
  </si>
  <si>
    <t>O395489</t>
  </si>
  <si>
    <t>25293CBPR04C309</t>
  </si>
  <si>
    <t>Conor Dunne 1205407</t>
  </si>
  <si>
    <t>O365256</t>
  </si>
  <si>
    <t>25283CBPR03650E</t>
  </si>
  <si>
    <t>Remco Ltd</t>
  </si>
  <si>
    <t>TEXT: Kezia Adanza Added, Member No. 1202599</t>
  </si>
  <si>
    <t>O351219</t>
  </si>
  <si>
    <t>25280CBPR029F8E</t>
  </si>
  <si>
    <t>TEXT: Ray O'Connor Added, Member No. 1201682</t>
  </si>
  <si>
    <t>TX05</t>
  </si>
  <si>
    <t>25290CBPR046AED</t>
  </si>
  <si>
    <t>Coolmore Castlehyde &amp; Assoc. Stud Farms</t>
  </si>
  <si>
    <t>Employer: Coolmore :: Number of Members: 2</t>
  </si>
  <si>
    <t>25276CBPR01C1DC</t>
  </si>
  <si>
    <t>TV member from 602359 - for Andrew</t>
  </si>
  <si>
    <t>25269CBPR00E80B</t>
  </si>
  <si>
    <t>16 NEs Eircom Limited :: Number of Members: 18</t>
  </si>
  <si>
    <t>25279CBPR025076</t>
  </si>
  <si>
    <t>6 NEs Eircom Limited :: Number of Members: 6</t>
  </si>
  <si>
    <t>25286CBPR03B025</t>
  </si>
  <si>
    <t>Robert Ayton - added 1202729</t>
  </si>
  <si>
    <t>25290CBPR046796</t>
  </si>
  <si>
    <t>25293CBPR04B952</t>
  </si>
  <si>
    <t>Ivor Ashe</t>
  </si>
  <si>
    <t>25293CBPR04B9F8</t>
  </si>
  <si>
    <t>Fergal Barrett</t>
  </si>
  <si>
    <t>25293CBPR04B9FE</t>
  </si>
  <si>
    <t>Mairead Sheridan</t>
  </si>
  <si>
    <t>996837L</t>
  </si>
  <si>
    <t>25279CBPR025447</t>
  </si>
  <si>
    <t>Sean Higgins</t>
  </si>
  <si>
    <t>25293CBPR04BBA1</t>
  </si>
  <si>
    <t>25293CBPR04BBA3</t>
  </si>
  <si>
    <t>25293CBPR04BBA5</t>
  </si>
  <si>
    <t>O381737</t>
  </si>
  <si>
    <t>25288CBPR040715</t>
  </si>
  <si>
    <t>Rosemary O'Donnell</t>
  </si>
  <si>
    <t>O390229</t>
  </si>
  <si>
    <t>25290CBPR045F6F</t>
  </si>
  <si>
    <t>Joanne Kehoe</t>
  </si>
  <si>
    <t>O390231</t>
  </si>
  <si>
    <t>25290CBPR045F75</t>
  </si>
  <si>
    <t>Erin Norris</t>
  </si>
  <si>
    <t>25283CBPR036935</t>
  </si>
  <si>
    <t>Daniel Cotter</t>
  </si>
  <si>
    <t>25293CBPR04B85E</t>
  </si>
  <si>
    <t>Employer: Retrieving data. Wait a few seconds ... (see attached file for full description)</t>
  </si>
  <si>
    <t>O320876</t>
  </si>
  <si>
    <t>25269CBPR00D682</t>
  </si>
  <si>
    <t>Invalid midas no</t>
  </si>
  <si>
    <t>O386747</t>
  </si>
  <si>
    <t>25289CBPR043AA9</t>
  </si>
  <si>
    <t>Cian OToole - ROPE needed under 1175417</t>
  </si>
  <si>
    <t>O388480</t>
  </si>
  <si>
    <t>25290CBPR0451C1</t>
  </si>
  <si>
    <t>BLIZEL RODRIGUES - already added 1200433</t>
  </si>
  <si>
    <t>O361634</t>
  </si>
  <si>
    <t>25282CBPR0341EB</t>
  </si>
  <si>
    <t>NE form Martin O'keeffe ( staff no 45327)</t>
  </si>
  <si>
    <t>25281CBPR030080</t>
  </si>
  <si>
    <t>25283CBPR035F13</t>
  </si>
  <si>
    <t>Employer: Brickiln :: Number of Members: 2</t>
  </si>
  <si>
    <t>O386278</t>
  </si>
  <si>
    <t>25289CBPR04375D</t>
  </si>
  <si>
    <t>not enough info to add ne's</t>
  </si>
  <si>
    <t>O391602</t>
  </si>
  <si>
    <t>25290CBPR046A7E</t>
  </si>
  <si>
    <t>application is blank</t>
  </si>
  <si>
    <t>Michael Kelly</t>
  </si>
  <si>
    <t>O338091</t>
  </si>
  <si>
    <t>25275CBPR018E0F</t>
  </si>
  <si>
    <t>Dansko Foods Limited</t>
  </si>
  <si>
    <t>Copied out updates</t>
  </si>
  <si>
    <t>O317502</t>
  </si>
  <si>
    <t>25268CBPR00ACB4</t>
  </si>
  <si>
    <t>Setanta Sports Broadcasting Limited</t>
  </si>
  <si>
    <t>Changed paypoint</t>
  </si>
  <si>
    <t>O368611</t>
  </si>
  <si>
    <t>25286CBPR039B64</t>
  </si>
  <si>
    <t>Graebel Global Client Services Ltd</t>
  </si>
  <si>
    <t>Employer: Graebel Global Client Services Ltd :: Number of Members: 48</t>
  </si>
  <si>
    <t>O252510</t>
  </si>
  <si>
    <t>25246CBPR015FA9</t>
  </si>
  <si>
    <t>Walsh Ann To - COMP sign off rec'd 19/09</t>
  </si>
  <si>
    <t>s516</t>
  </si>
  <si>
    <t>O241997</t>
  </si>
  <si>
    <t>25244CBPR00F93A</t>
  </si>
  <si>
    <t>Large Diameter Drilling Ltd</t>
  </si>
  <si>
    <t>Not doing Bulk for PRSA?</t>
  </si>
  <si>
    <t>O385924</t>
  </si>
  <si>
    <t>25289CBPR0434D2</t>
  </si>
  <si>
    <t>Pure Power Systems</t>
  </si>
  <si>
    <t>I059</t>
  </si>
  <si>
    <t>Cornmarket</t>
  </si>
  <si>
    <t>O312983</t>
  </si>
  <si>
    <t>25268CBPR00A34C</t>
  </si>
  <si>
    <t>Nicholas O'Dwyer Limited</t>
  </si>
  <si>
    <t>1 x NE - sent NE Template</t>
  </si>
  <si>
    <t>25280CBPR02AD87</t>
  </si>
  <si>
    <t>Everyone is set up by Singles- Note added</t>
  </si>
  <si>
    <t>O358503</t>
  </si>
  <si>
    <t>25282CBPR0310A1</t>
  </si>
  <si>
    <t>5 AOEW NEs</t>
  </si>
  <si>
    <t>25282CBPR032AA1</t>
  </si>
  <si>
    <t>Employer: Apple :: Number of Members: 6</t>
  </si>
  <si>
    <t>O394178</t>
  </si>
  <si>
    <t>25293CBPR04B892</t>
  </si>
  <si>
    <t>Scott Lynch</t>
  </si>
  <si>
    <t>O394215</t>
  </si>
  <si>
    <t>25293CBPR04B8EA</t>
  </si>
  <si>
    <t>Aparesh Chatterjee</t>
  </si>
  <si>
    <t>25289CBPR0427F2</t>
  </si>
  <si>
    <t>Inderjeet Kaur Kainth</t>
  </si>
  <si>
    <t>25289CBPR04359B</t>
  </si>
  <si>
    <t>Employer: KOHLER Uninterruptible Power (Irela ... (see attached file for full description)</t>
  </si>
  <si>
    <t>O377953</t>
  </si>
  <si>
    <t>25287CBPR03E66E</t>
  </si>
  <si>
    <t>Dylan Gregan</t>
  </si>
  <si>
    <t>25281CBPR02EFE2</t>
  </si>
  <si>
    <t>Employer: Vestas Ireland LTD :: Number of Members: 1</t>
  </si>
  <si>
    <t>25291CBPR047051</t>
  </si>
  <si>
    <t>SecureShare Nordson</t>
  </si>
  <si>
    <t>25293CBPR04B9FD</t>
  </si>
  <si>
    <t>Nordson Medical Ireland Limited</t>
  </si>
  <si>
    <t>Employer: Nordson Medical Ireland Ltd :: Number of Members: 13</t>
  </si>
  <si>
    <t>25293CBPR04C5E4</t>
  </si>
  <si>
    <t>Employer: Nordson Medical Ireland Ltd :: Number of Members: 5</t>
  </si>
  <si>
    <t>25288CBPR03F413</t>
  </si>
  <si>
    <t>Graham Leahy</t>
  </si>
  <si>
    <t>25288CBPR03FE11</t>
  </si>
  <si>
    <t>Kevin Bohan</t>
  </si>
  <si>
    <t>25288CBPR03FE16</t>
  </si>
  <si>
    <t>Eva Melly</t>
  </si>
  <si>
    <t>SecureShare Campbell</t>
  </si>
  <si>
    <t>988632L</t>
  </si>
  <si>
    <t>25258CBPR02C3F5</t>
  </si>
  <si>
    <t>Aramark Ireland</t>
  </si>
  <si>
    <t>Ellen Canaparro 1203717</t>
  </si>
  <si>
    <t>25288CBPR03FD7B</t>
  </si>
  <si>
    <t>gerry Farrell  1204204</t>
  </si>
  <si>
    <t>25288CBPR03FE12</t>
  </si>
  <si>
    <t>Angela Bruen need er Name</t>
  </si>
  <si>
    <t>25293CBPR04C128</t>
  </si>
  <si>
    <t>Colaiste Na Rinne</t>
  </si>
  <si>
    <t>25287CBPR03C453</t>
  </si>
  <si>
    <t>SecureShare Galaxy I</t>
  </si>
  <si>
    <t>25289CBPR043FFB</t>
  </si>
  <si>
    <t>Employer: N/A :: Member Name:  Justina Adeyemo :: Date of Birth: 04/06/2001</t>
  </si>
  <si>
    <t>25280CBPR02A57A</t>
  </si>
  <si>
    <t>25283CBPR03669B</t>
  </si>
  <si>
    <t>Duplicate - Sasa Stanisavljevic 1198194</t>
  </si>
  <si>
    <t>25293CBPR04B663</t>
  </si>
  <si>
    <t>ByrneWallace RS Plan</t>
  </si>
  <si>
    <t>Amber Barnwell</t>
  </si>
  <si>
    <t>O320103</t>
  </si>
  <si>
    <t>25269CBPR00D08C</t>
  </si>
  <si>
    <t>25282CBPR033EB0</t>
  </si>
  <si>
    <t>Employer: ByrneWallace :: Member Name:  Sinead Egan :: Date of Birth: 30/11/1985</t>
  </si>
  <si>
    <t>25279CBPR025DFC</t>
  </si>
  <si>
    <t>Employer: ByrneWallace :: Member Name:  Laura Ryan  :: Date of Birth: N/A</t>
  </si>
  <si>
    <t>O379235</t>
  </si>
  <si>
    <t>25288CBPR03F2B5</t>
  </si>
  <si>
    <t>O368562</t>
  </si>
  <si>
    <t>25286CBPR039AF4</t>
  </si>
  <si>
    <t>O343504</t>
  </si>
  <si>
    <t>25276CBPR01C2AD</t>
  </si>
  <si>
    <t>O377913</t>
  </si>
  <si>
    <t>25287CBPR03E61D</t>
  </si>
  <si>
    <t>DAVID BUCKLEY</t>
  </si>
  <si>
    <t>O376200</t>
  </si>
  <si>
    <t>25287CBPR03D878</t>
  </si>
  <si>
    <t>Exchange House Tribli Ltd</t>
  </si>
  <si>
    <t>MICHAEL CAWLEY</t>
  </si>
  <si>
    <t>O377378</t>
  </si>
  <si>
    <t>25287CBPR03E223</t>
  </si>
  <si>
    <t>SOPHIE SCANLAN</t>
  </si>
  <si>
    <t>997704L</t>
  </si>
  <si>
    <t>25280CBPR02AFC0</t>
  </si>
  <si>
    <t>Reagecon Diagnostics Limited</t>
  </si>
  <si>
    <t>012202M</t>
  </si>
  <si>
    <t>25283CBPR036309</t>
  </si>
  <si>
    <t>Telegael Teoranta</t>
  </si>
  <si>
    <t>LEE DAVITT</t>
  </si>
  <si>
    <t>25283CBPR0362F4</t>
  </si>
  <si>
    <t>Specialist Technical Engineering Serv.</t>
  </si>
  <si>
    <t>WESLEY RYAN</t>
  </si>
  <si>
    <t>O333409</t>
  </si>
  <si>
    <t>25274CBPR0168E4</t>
  </si>
  <si>
    <t>Nikola Wenta 1199769</t>
  </si>
  <si>
    <t>O371796</t>
  </si>
  <si>
    <t>25287CBPR03C2AF</t>
  </si>
  <si>
    <t>Nathan Graepel 1203036</t>
  </si>
  <si>
    <t>O337756</t>
  </si>
  <si>
    <t>25275CBPR018939</t>
  </si>
  <si>
    <t>Louise Fitzgerald  1200231</t>
  </si>
  <si>
    <t>N212</t>
  </si>
  <si>
    <t>Grant Thornton Financial Counsell</t>
  </si>
  <si>
    <t>O334009</t>
  </si>
  <si>
    <t>25274CBPR016D56</t>
  </si>
  <si>
    <t>Farrell Brothers (Ardee) Limited</t>
  </si>
  <si>
    <t>Fionn OReilly 1200155</t>
  </si>
  <si>
    <t>O332362</t>
  </si>
  <si>
    <t>25274CBPR016247</t>
  </si>
  <si>
    <t>Dylan Mulqueen 1200260</t>
  </si>
  <si>
    <t>O361881</t>
  </si>
  <si>
    <t>25282CBPR034413</t>
  </si>
  <si>
    <t>Vishnu Kalathil 1201852</t>
  </si>
  <si>
    <t>O388538</t>
  </si>
  <si>
    <t>25290CBPR04521A</t>
  </si>
  <si>
    <t>Paul Flavin 1204017</t>
  </si>
  <si>
    <t>O360171</t>
  </si>
  <si>
    <t>25282CBPR033334</t>
  </si>
  <si>
    <t>Maebh Fitzpatrick 1202177</t>
  </si>
  <si>
    <t>25266CBPR005139</t>
  </si>
  <si>
    <t>Jewel  Varghesmenachery 1200259</t>
  </si>
  <si>
    <t>25280CBPR027531</t>
  </si>
  <si>
    <t>Fieldmaster Limited</t>
  </si>
  <si>
    <t>Daisy Goodman 1202312</t>
  </si>
  <si>
    <t>25281CBPR0301A2</t>
  </si>
  <si>
    <t>Veronic McMahon 1201790</t>
  </si>
  <si>
    <t>25280CBPR02ABED</t>
  </si>
  <si>
    <t>Harcourt Street Office Services</t>
  </si>
  <si>
    <t>annmarie ryan 1201505</t>
  </si>
  <si>
    <t>020009M</t>
  </si>
  <si>
    <t>25293CBPR04B6F3</t>
  </si>
  <si>
    <t xml:space="preserve">  Nicholas Eustace 1205766</t>
  </si>
  <si>
    <t>O342627</t>
  </si>
  <si>
    <t>25276CBPR01BB46</t>
  </si>
  <si>
    <t>Rafael Pecoits</t>
  </si>
  <si>
    <t>995355L</t>
  </si>
  <si>
    <t>25274CBPR017652</t>
  </si>
  <si>
    <t>Wood Group Kenny Ireland Ltd</t>
  </si>
  <si>
    <t>Paul Purcell</t>
  </si>
  <si>
    <t>995357L</t>
  </si>
  <si>
    <t>25274CBPR01766C</t>
  </si>
  <si>
    <t>Luke Foley</t>
  </si>
  <si>
    <t>25276CBPR01B96C</t>
  </si>
  <si>
    <t>Employer: ByrneWallace :: Member Name:  Stephanie Villanueva :: Date of Birth: 16/08/1994</t>
  </si>
  <si>
    <t>O352119</t>
  </si>
  <si>
    <t>25280CBPR02A7A3</t>
  </si>
  <si>
    <t>TEXT: Carmel Brady Added, Member No. 1201691</t>
  </si>
  <si>
    <t>O389176</t>
  </si>
  <si>
    <t>25290CBPR0456F2</t>
  </si>
  <si>
    <t>DIGI: Alexandru Rosca Added, Member No. 1204040</t>
  </si>
  <si>
    <t>O390734</t>
  </si>
  <si>
    <t>25290CBPR04635C</t>
  </si>
  <si>
    <t>DIGI: Joseph Stenson Added, Member No. 1204019</t>
  </si>
  <si>
    <t>O395016</t>
  </si>
  <si>
    <t>25293CBPR04BF2B</t>
  </si>
  <si>
    <t>DIGI: Raymond Connolly Added, Member No. 1204316</t>
  </si>
  <si>
    <t>O307707</t>
  </si>
  <si>
    <t>25266CBPR004305</t>
  </si>
  <si>
    <t>Carten Controls Ltd</t>
  </si>
  <si>
    <t>TEXT: Michael Daykin Added, Member No.  1199672</t>
  </si>
  <si>
    <t>O339311</t>
  </si>
  <si>
    <t>25275CBPR019EB8</t>
  </si>
  <si>
    <t>WEronika</t>
  </si>
  <si>
    <t>25288CBPR04062A</t>
  </si>
  <si>
    <t>25288CBPR0406BD</t>
  </si>
  <si>
    <t>25274CBPR016007</t>
  </si>
  <si>
    <t>1 AOEM NE</t>
  </si>
  <si>
    <t>25272CBPR011E3A</t>
  </si>
  <si>
    <t>Patricia Farrell - DOB confirmed</t>
  </si>
  <si>
    <t>25275CBPR018BDE</t>
  </si>
  <si>
    <t>FN20 - 2 mbrs o/s salaries received</t>
  </si>
  <si>
    <t>25276CBPR01B5F1</t>
  </si>
  <si>
    <t>NFVSP Peacehaven Trust CLG</t>
  </si>
  <si>
    <t>Add L Power - others already added</t>
  </si>
  <si>
    <t>25284CBPR0371F5</t>
  </si>
  <si>
    <t>NFVSP St Hilda's Services CLG</t>
  </si>
  <si>
    <t>8 Sept 2025 NEs</t>
  </si>
  <si>
    <t>25282CBPR03252E</t>
  </si>
  <si>
    <t>41 NEs - apps sent in individually through Secure Share</t>
  </si>
  <si>
    <t>25273CBPR01477D</t>
  </si>
  <si>
    <t>eircom Limited AVC Scheme</t>
  </si>
  <si>
    <t>Dermot O'Sullivan</t>
  </si>
  <si>
    <t>25275CBPR01A84C</t>
  </si>
  <si>
    <t>NFVSP Gatehouse Day Services Drogheda</t>
  </si>
  <si>
    <t>4 NEs - apps received</t>
  </si>
  <si>
    <t>25287CBPR03C542</t>
  </si>
  <si>
    <t>14 NEs Ability West :: Number of Members: N/A</t>
  </si>
  <si>
    <t>25266CBPR0059F4</t>
  </si>
  <si>
    <t>Employer: Eircom Limited :: Member Name: Mr Patrick Goldrick :: Date of Birth: 08/05/1962</t>
  </si>
  <si>
    <t>25268CBPR00AC52</t>
  </si>
  <si>
    <t>AA salary details Employer: Eircom Limited :: Member Name: Mr James? Bradley</t>
  </si>
  <si>
    <t>25273CBPR013910</t>
  </si>
  <si>
    <t>Employer: Eircom Ltd. :: Member Name: Mr Coleman Morgan? Folan :: Date of Birth: []</t>
  </si>
  <si>
    <t>25273CBPR01414A</t>
  </si>
  <si>
    <t>Employer: Eircom Ltd. :: Member Name: Mr James Delaney :: Date of Birth: 26/05/1961</t>
  </si>
  <si>
    <t>25286CBPR03AFB7</t>
  </si>
  <si>
    <t>25273CBPR013307</t>
  </si>
  <si>
    <t>Employer: Apple (ADIM) :: Number of Members: 3</t>
  </si>
  <si>
    <t>25274CBPR0165F2</t>
  </si>
  <si>
    <t>Employer: Apple (ADIM) :: Number of Members: 2</t>
  </si>
  <si>
    <t>25274CBPR0165F3</t>
  </si>
  <si>
    <t>Employer: Apple (AOEW) :: Number of Members: 2</t>
  </si>
  <si>
    <t>25276CBPR01B85B</t>
  </si>
  <si>
    <t>54 NEs Apple (55 ADIM 1 AOEM) :: Number of Members: 56</t>
  </si>
  <si>
    <t>25269CBPR00D26E</t>
  </si>
  <si>
    <t>13 NEs Google :: Number of Members: 14</t>
  </si>
  <si>
    <t>25279CBPR025C70</t>
  </si>
  <si>
    <t>Employer: Google :: Number of Members: 16</t>
  </si>
  <si>
    <t>25287CBPR03D707</t>
  </si>
  <si>
    <t>Diageo Ireland</t>
  </si>
  <si>
    <t>65 NEs Diageo :: Number of Members: 68</t>
  </si>
  <si>
    <t>25287CBPR03D70A</t>
  </si>
  <si>
    <t>7 NEs R&amp;A Bailey :: Number of Members: 7</t>
  </si>
  <si>
    <t>25287CBPR03D70B</t>
  </si>
  <si>
    <t>Employer: Guinness Storehouse :: Number of Members: 51</t>
  </si>
  <si>
    <t>25281CBPR02F032</t>
  </si>
  <si>
    <t>27 NEs N/A :: Number of Members: N/A</t>
  </si>
  <si>
    <t>25281CBPR02F551</t>
  </si>
  <si>
    <t>50 NEs -  Kerry Group Services Ltd :: Number of Members: N/A</t>
  </si>
  <si>
    <t>SecureShare Prosper</t>
  </si>
  <si>
    <t>25276CBPR01C279</t>
  </si>
  <si>
    <t>NFVSP Prosper Fingal</t>
  </si>
  <si>
    <t>2 NEs N/A :: Number of Members: N/A</t>
  </si>
  <si>
    <t>25276CBPR01C324</t>
  </si>
  <si>
    <t>NFVSP Prosper Meath CLG</t>
  </si>
  <si>
    <t>1 NE N/A :: Number of Members: N/A</t>
  </si>
  <si>
    <t>SecureShare St Cathe</t>
  </si>
  <si>
    <t>25272CBPR011B44</t>
  </si>
  <si>
    <t>NFVSP St Catherine's Association CLG</t>
  </si>
  <si>
    <t>1 NE St. Catherines Association :: Number of Members: 1</t>
  </si>
  <si>
    <t>SecureShare St Chris</t>
  </si>
  <si>
    <t>25283CBPR035572</t>
  </si>
  <si>
    <t>NFVSP St Christopher's Services CLG</t>
  </si>
  <si>
    <t>SecureShare St Josep</t>
  </si>
  <si>
    <t>25275CBPR018C2F</t>
  </si>
  <si>
    <t>NFVSP St Joseph's Foundation</t>
  </si>
  <si>
    <t>8 NEs ST JOSEPHS FOUNDATION :: Number of Members: 8</t>
  </si>
  <si>
    <t>25275CBPR018C30</t>
  </si>
  <si>
    <t>9 Nes ST JOSEPHS FOUNDATION :: Number of Members: 9</t>
  </si>
  <si>
    <t>25269CBPR00DB94</t>
  </si>
  <si>
    <t>1NE N/A :: Number of Members: N/A</t>
  </si>
  <si>
    <t>25276CBPR01BC63</t>
  </si>
  <si>
    <t>25281CBPR02F4B8</t>
  </si>
  <si>
    <t>66 NEs N/A :: Number of Members: N/A</t>
  </si>
  <si>
    <t>25281CBPR02F4ED</t>
  </si>
  <si>
    <t>Stryker Ireland Limited Pension Scheme</t>
  </si>
  <si>
    <t>25283CBPR035729</t>
  </si>
  <si>
    <t>SecureShare Sunbeam</t>
  </si>
  <si>
    <t>25283CBPR035DAA</t>
  </si>
  <si>
    <t>NFVSP Sunbeam House Services CLG</t>
  </si>
  <si>
    <t>5 Nes Sunbeam House Service :: Number of Members: 5</t>
  </si>
  <si>
    <t>TN48</t>
  </si>
  <si>
    <t>SecureShare Tata Con</t>
  </si>
  <si>
    <t>Finance One Ltd</t>
  </si>
  <si>
    <t>25276CBPR01B2FB</t>
  </si>
  <si>
    <t>4 NEs Tata Consultancy Services :: Number of Members: 4</t>
  </si>
  <si>
    <t>25276CBPR01BE71</t>
  </si>
  <si>
    <t>2 NEs LauraLynn Ireland's Children's Hospice :: Number of Members: N/A</t>
  </si>
  <si>
    <t>SecureShare The Iris</t>
  </si>
  <si>
    <t>25272CBPR01288A</t>
  </si>
  <si>
    <t>The Irish Times DAC</t>
  </si>
  <si>
    <t>1 NE N/A :: Number of Members: 1</t>
  </si>
  <si>
    <t>SecureShare Waterfor</t>
  </si>
  <si>
    <t>25283CBPR0351FF</t>
  </si>
  <si>
    <t>NFVSP Waterford Intellectual Disability</t>
  </si>
  <si>
    <t>25286CBPR0399D9</t>
  </si>
  <si>
    <t>6NEs Western Care Association :: Number of Members: N/A</t>
  </si>
  <si>
    <t>25274CBPR016DF1</t>
  </si>
  <si>
    <t>27 NEs: AERLINGUS :: Number of Members: N/A</t>
  </si>
  <si>
    <t>25288CBPR03F1A2</t>
  </si>
  <si>
    <t>Employer: Eircom Limited :: Member Name: Mr Patrick Martin :: Date of Birth: 21/03/1962</t>
  </si>
  <si>
    <t>25289CBPR043B54</t>
  </si>
  <si>
    <t>Queen Austin</t>
  </si>
  <si>
    <t>25280CBPR02AFDD</t>
  </si>
  <si>
    <t>Carolyn Ahern</t>
  </si>
  <si>
    <t>25280CBPR02AFDF</t>
  </si>
  <si>
    <t>Paula Meyer</t>
  </si>
  <si>
    <t>O362586</t>
  </si>
  <si>
    <t>25283CBPR035065</t>
  </si>
  <si>
    <t>Set up L Power - added 1202186</t>
  </si>
  <si>
    <t>O337241</t>
  </si>
  <si>
    <t>25275CBPR01849A</t>
  </si>
  <si>
    <t>Jennie Kennedy - just open AVC - added 1201942</t>
  </si>
  <si>
    <t>O375324</t>
  </si>
  <si>
    <t>25287CBPR03D296</t>
  </si>
  <si>
    <t>Siobhan Kennedy - added 1202732</t>
  </si>
  <si>
    <t>25282CBPR032775</t>
  </si>
  <si>
    <t>Maura Spring - added 1202252</t>
  </si>
  <si>
    <t>25282CBPR033CB3</t>
  </si>
  <si>
    <t>Ann Maria Tom - added 1202292</t>
  </si>
  <si>
    <t>25283CBPR0355B7</t>
  </si>
  <si>
    <t>Anwar Paul Thomas - added 1202446</t>
  </si>
  <si>
    <t>25286CBPR0393B9</t>
  </si>
  <si>
    <t>Analiza Ascano - added 1202557</t>
  </si>
  <si>
    <t>25286CBPR0393BA</t>
  </si>
  <si>
    <t>James Lawless - added 1202586</t>
  </si>
  <si>
    <t>25286CBPR03AC90</t>
  </si>
  <si>
    <t>Barry Bailey - added 1202594</t>
  </si>
  <si>
    <t>25286CBPR03AC92</t>
  </si>
  <si>
    <t>Maria Luisa De Guzman - added 1202595</t>
  </si>
  <si>
    <t>25286CBPR03AC94</t>
  </si>
  <si>
    <t>Lourdu Metilda Santhappa - added 1202596</t>
  </si>
  <si>
    <t>25281CBPR02EF52</t>
  </si>
  <si>
    <t>John Fitzgerald - added 1201945</t>
  </si>
  <si>
    <t>25286CBPR03A87C</t>
  </si>
  <si>
    <t>Pawel Maciag - added 1202234</t>
  </si>
  <si>
    <t>25290CBPR0467CE</t>
  </si>
  <si>
    <t>25290CBPR04669E</t>
  </si>
  <si>
    <t>25293CBPR04BE93</t>
  </si>
  <si>
    <t>25288CBPR0401B0</t>
  </si>
  <si>
    <t>x42 NEs Added</t>
  </si>
  <si>
    <t>O407198</t>
  </si>
  <si>
    <t>25296CBPR05359F</t>
  </si>
  <si>
    <t>Jack O'Sullivan</t>
  </si>
  <si>
    <t>O396252</t>
  </si>
  <si>
    <t>25293CBPR04C96F</t>
  </si>
  <si>
    <t>Whoop Limited</t>
  </si>
  <si>
    <t>PPI acces query copied out</t>
  </si>
  <si>
    <t>O405582</t>
  </si>
  <si>
    <t>25295CBPR051B7F</t>
  </si>
  <si>
    <t>O396218</t>
  </si>
  <si>
    <t>25293CBPR04C924</t>
  </si>
  <si>
    <t>John Bannon</t>
  </si>
  <si>
    <t>O415551</t>
  </si>
  <si>
    <t>25300CBPR05A071</t>
  </si>
  <si>
    <t>Ciena Limited</t>
  </si>
  <si>
    <t>Blank Template</t>
  </si>
  <si>
    <t>SecureShare Cognizan</t>
  </si>
  <si>
    <t>023203M</t>
  </si>
  <si>
    <t>25300CBPR05A0EF</t>
  </si>
  <si>
    <t>Applicants Already Added</t>
  </si>
  <si>
    <t>O401058</t>
  </si>
  <si>
    <t>25294CBPR04EF24</t>
  </si>
  <si>
    <t>PW Autodesk.IRE.123- copied out</t>
  </si>
  <si>
    <t>O401065</t>
  </si>
  <si>
    <t>25294CBPR04EF43</t>
  </si>
  <si>
    <t>BULK Excel s/sheet- copied out &amp; archieved</t>
  </si>
  <si>
    <t>O406976</t>
  </si>
  <si>
    <t>25296CBPR053406</t>
  </si>
  <si>
    <t>ellen Woodward cannot add as not on excel s/sheet</t>
  </si>
  <si>
    <t>SecureShare Irish Bu</t>
  </si>
  <si>
    <t>020840M</t>
  </si>
  <si>
    <t>25294CBPR04DFF7</t>
  </si>
  <si>
    <t>Irish Business &amp; Employers Confederation</t>
  </si>
  <si>
    <t>Member 1176603- Not archiving as will show cancelled</t>
  </si>
  <si>
    <t>020844M</t>
  </si>
  <si>
    <t>25294CBPR04DFF8</t>
  </si>
  <si>
    <t>Member 1145857- Not archiving as will show cancelled</t>
  </si>
  <si>
    <t>O397213</t>
  </si>
  <si>
    <t>25294CBPR04D002</t>
  </si>
  <si>
    <t>Blank NE file</t>
  </si>
  <si>
    <t>021010M</t>
  </si>
  <si>
    <t>25294CBPR04EB5C</t>
  </si>
  <si>
    <t>Not archiving as would show cancelled- Member added 1202301</t>
  </si>
  <si>
    <t>O413657</t>
  </si>
  <si>
    <t>25297CBPR05759E</t>
  </si>
  <si>
    <t>submitted to SS</t>
  </si>
  <si>
    <t>O399384</t>
  </si>
  <si>
    <t>25294CBPR04E098</t>
  </si>
  <si>
    <t>already on plan, please archive</t>
  </si>
  <si>
    <t>O401087</t>
  </si>
  <si>
    <t>25294CBPR04EF79</t>
  </si>
  <si>
    <t>claims copied out</t>
  </si>
  <si>
    <t>O384776</t>
  </si>
  <si>
    <t>25289CBPR042AE7</t>
  </si>
  <si>
    <t>O379910</t>
  </si>
  <si>
    <t>25288CBPR03F76D</t>
  </si>
  <si>
    <t>O379934</t>
  </si>
  <si>
    <t>25288CBPR03F78E</t>
  </si>
  <si>
    <t>O379951</t>
  </si>
  <si>
    <t>25288CBPR03F7AB</t>
  </si>
  <si>
    <t>O379959</t>
  </si>
  <si>
    <t>25288CBPR03F7B4</t>
  </si>
  <si>
    <t>O380004</t>
  </si>
  <si>
    <t>25288CBPR03F82A</t>
  </si>
  <si>
    <t>O385389</t>
  </si>
  <si>
    <t>25289CBPR043052</t>
  </si>
  <si>
    <t>O370415</t>
  </si>
  <si>
    <t>25286CBPR03AB16</t>
  </si>
  <si>
    <t>submittedto secure share, please archive</t>
  </si>
  <si>
    <t>25286CBPR03AC96</t>
  </si>
  <si>
    <t>020013M</t>
  </si>
  <si>
    <t>25293CBPR04B789</t>
  </si>
  <si>
    <t>E608</t>
  </si>
  <si>
    <t>O337699</t>
  </si>
  <si>
    <t>25275CBPR01888B</t>
  </si>
  <si>
    <t>Slalom Technology &amp; Management Solutions</t>
  </si>
  <si>
    <t>O283566</t>
  </si>
  <si>
    <t>25256CBPR02A1B9</t>
  </si>
  <si>
    <t>Alliance Packaging Ltd</t>
  </si>
  <si>
    <t>correspondence</t>
  </si>
  <si>
    <t>O384869</t>
  </si>
  <si>
    <t>25289CBPR042BA3</t>
  </si>
  <si>
    <t>O385076</t>
  </si>
  <si>
    <t>25289CBPR042D51</t>
  </si>
  <si>
    <t>IAT Management Limited</t>
  </si>
  <si>
    <t>O385112</t>
  </si>
  <si>
    <t>25289CBPR042D94</t>
  </si>
  <si>
    <t>Imvizar Ltd</t>
  </si>
  <si>
    <t>O379971</t>
  </si>
  <si>
    <t>25288CBPR03F7C3</t>
  </si>
  <si>
    <t>Coroflo Limited</t>
  </si>
  <si>
    <t>O325264</t>
  </si>
  <si>
    <t>25272CBPR01195B</t>
  </si>
  <si>
    <t>Oluwasey Akinkuotu 1198560 already keyed  22.9.2025</t>
  </si>
  <si>
    <t>O326997</t>
  </si>
  <si>
    <t>25272CBPR0125FB</t>
  </si>
  <si>
    <t>copied out bulk</t>
  </si>
  <si>
    <t>O335487</t>
  </si>
  <si>
    <t>25274CBPR017894</t>
  </si>
  <si>
    <t>Duplicate NE x 11</t>
  </si>
  <si>
    <t>O335495</t>
  </si>
  <si>
    <t>25274CBPR01789D</t>
  </si>
  <si>
    <t>Duplicate - See 996382L</t>
  </si>
  <si>
    <t>O334460</t>
  </si>
  <si>
    <t>25274CBPR0170A1</t>
  </si>
  <si>
    <t>Blank zipped file</t>
  </si>
  <si>
    <t>994624L</t>
  </si>
  <si>
    <t>25273CBPR013559</t>
  </si>
  <si>
    <t>Duplicate - Shane Egan 1199944</t>
  </si>
  <si>
    <t>SecureShare SanDisk</t>
  </si>
  <si>
    <t>25269CBPR00E743</t>
  </si>
  <si>
    <t>Duplicate - 1200860 Ana Maria Ghitulescu</t>
  </si>
  <si>
    <t>O355226</t>
  </si>
  <si>
    <t>25281CBPR02C4D7</t>
  </si>
  <si>
    <t>O355279</t>
  </si>
  <si>
    <t>25281CBPR02C52F</t>
  </si>
  <si>
    <t>O355336</t>
  </si>
  <si>
    <t>25281CBPR02ECD5</t>
  </si>
  <si>
    <t>O355564</t>
  </si>
  <si>
    <t>25281CBPR02EE78</t>
  </si>
  <si>
    <t>VM23</t>
  </si>
  <si>
    <t>Declan Maher Financial Service</t>
  </si>
  <si>
    <t>O391512</t>
  </si>
  <si>
    <t>25290CBPR0469BA</t>
  </si>
  <si>
    <t>Glass Lewis Europe Ltd</t>
  </si>
  <si>
    <t>rope case set up - 0965415</t>
  </si>
  <si>
    <t>O342421</t>
  </si>
  <si>
    <t>25276CBPR01B990</t>
  </si>
  <si>
    <t>already added - 1200050</t>
  </si>
  <si>
    <t>O322088</t>
  </si>
  <si>
    <t>25269CBPR00E077</t>
  </si>
  <si>
    <t>bulk set up</t>
  </si>
  <si>
    <t>O383657</t>
  </si>
  <si>
    <t>25289CBPR0422E6</t>
  </si>
  <si>
    <t>O385120</t>
  </si>
  <si>
    <t>25289CBPR042DB3</t>
  </si>
  <si>
    <t>O386553</t>
  </si>
  <si>
    <t>25289CBPR04394C</t>
  </si>
  <si>
    <t>O383516</t>
  </si>
  <si>
    <t>25289CBPR0421FC</t>
  </si>
  <si>
    <t>Pawel Jurkiewicz</t>
  </si>
  <si>
    <t>O346987</t>
  </si>
  <si>
    <t>25279CBPR025ACF</t>
  </si>
  <si>
    <t>Confirmed to ER mbr set up</t>
  </si>
  <si>
    <t>O330024</t>
  </si>
  <si>
    <t>25273CBPR0140ED</t>
  </si>
  <si>
    <t>James Lynch  PPS</t>
  </si>
  <si>
    <t>O343381</t>
  </si>
  <si>
    <t>25276CBPR01C1BC</t>
  </si>
  <si>
    <t>Members Added</t>
  </si>
  <si>
    <t>O346763</t>
  </si>
  <si>
    <t>25279CBPR02593D</t>
  </si>
  <si>
    <t>Hospital Accounting Services Ltd</t>
  </si>
  <si>
    <t>RUTA ZRIELSKIENE 53000</t>
  </si>
  <si>
    <t>O323951</t>
  </si>
  <si>
    <t>25272CBPR0110B0</t>
  </si>
  <si>
    <t>BOC Gases Ireland Limited - AVC Scheme</t>
  </si>
  <si>
    <t>copied out generl query</t>
  </si>
  <si>
    <t>O338602</t>
  </si>
  <si>
    <t>25275CBPR019721</t>
  </si>
  <si>
    <t>Mairin Ni Aonghusa 1168883 already keyed member update copied out</t>
  </si>
  <si>
    <t>O338606</t>
  </si>
  <si>
    <t>25275CBPR019737</t>
  </si>
  <si>
    <t>Kelly Anne Toland 1199419 already keyed member update copied out</t>
  </si>
  <si>
    <t>O338611</t>
  </si>
  <si>
    <t>25275CBPR019744</t>
  </si>
  <si>
    <t>criodan omurchu 1199418 already keyed member update copied out</t>
  </si>
  <si>
    <t>O363011</t>
  </si>
  <si>
    <t>25283CBPR035340</t>
  </si>
  <si>
    <t>Annmarie Cooke 1202304 already keyed 14.10.2025</t>
  </si>
  <si>
    <t>O379482</t>
  </si>
  <si>
    <t>25288CBPR03F44A</t>
  </si>
  <si>
    <t>David Ronan 1202776 already keyed 16.10.2025</t>
  </si>
  <si>
    <t>O379483</t>
  </si>
  <si>
    <t>25288CBPR03F44B</t>
  </si>
  <si>
    <t>Annemarie Cook 1202304 already keyed 14/10/2025</t>
  </si>
  <si>
    <t>O329754</t>
  </si>
  <si>
    <t>25273CBPR013E58</t>
  </si>
  <si>
    <t>Continent 8 Technologies Ireland Limited</t>
  </si>
  <si>
    <t>copied out general</t>
  </si>
  <si>
    <t>O341569</t>
  </si>
  <si>
    <t>25276CBPR01B372</t>
  </si>
  <si>
    <t>Raj Kumar Radhakrishnan 200798 already keyed 8.10.2055 dup case of O341752</t>
  </si>
  <si>
    <t>O341572</t>
  </si>
  <si>
    <t>25276CBPR01B377</t>
  </si>
  <si>
    <t>Andre Gusman dup 1200741 keyed 8.10.2025</t>
  </si>
  <si>
    <t>O341573</t>
  </si>
  <si>
    <t>25276CBPR01B378</t>
  </si>
  <si>
    <t>Suzanna Barber 1200555 keyed 7.10.2025 DUP case</t>
  </si>
  <si>
    <t>O349968</t>
  </si>
  <si>
    <t>25280CBPR0270DB</t>
  </si>
  <si>
    <t>mail ref 1200430 to say they have been added code was copied in error</t>
  </si>
  <si>
    <t>O337752</t>
  </si>
  <si>
    <t>25275CBPR01892E</t>
  </si>
  <si>
    <t>pw  HOWD3N25!! copied out</t>
  </si>
  <si>
    <t>O377402</t>
  </si>
  <si>
    <t>25287CBPR03E24D</t>
  </si>
  <si>
    <t>Niall Carville 1195416 already keyed member update copied out</t>
  </si>
  <si>
    <t>O377587</t>
  </si>
  <si>
    <t>25287CBPR03E3AE</t>
  </si>
  <si>
    <t>Niall carville 1195416 already keyed memeber update</t>
  </si>
  <si>
    <t>O367026</t>
  </si>
  <si>
    <t>25285CBPR0381E6</t>
  </si>
  <si>
    <t>Nicholas ODwyer cancel 11342004 copied out</t>
  </si>
  <si>
    <t>O334082</t>
  </si>
  <si>
    <t>25274CBPR016DE1</t>
  </si>
  <si>
    <t>Total ICT Services Ltd</t>
  </si>
  <si>
    <t>copy out to claims query</t>
  </si>
  <si>
    <t>O389221</t>
  </si>
  <si>
    <t>25290CBPR045742</t>
  </si>
  <si>
    <t>Shane Taaffe 1203692 member update copied out</t>
  </si>
  <si>
    <t>O357187</t>
  </si>
  <si>
    <t>25281CBPR02FBA9</t>
  </si>
  <si>
    <t>Yvonne Woods 1146684 already keyed member update copied out</t>
  </si>
  <si>
    <t>O367488</t>
  </si>
  <si>
    <t>25286CBPR039274</t>
  </si>
  <si>
    <t>Debbie Thomas 1181878 already keyed member update copied out</t>
  </si>
  <si>
    <t>O376570</t>
  </si>
  <si>
    <t>25287CBPR03DB64</t>
  </si>
  <si>
    <t>Domia Phiri 1099627 already keyed member update copied out</t>
  </si>
  <si>
    <t>O369352</t>
  </si>
  <si>
    <t>25286CBPR03A1C0</t>
  </si>
  <si>
    <t>Patrick OReilly 1196627 already keyed 1.10/25</t>
  </si>
  <si>
    <t>O331477</t>
  </si>
  <si>
    <t>25273CBPR014D34</t>
  </si>
  <si>
    <t>Shirley McDonald 116622 already keyed member update copied out</t>
  </si>
  <si>
    <t>O332053</t>
  </si>
  <si>
    <t>25273CBPR0150B8</t>
  </si>
  <si>
    <t>options letter copied out</t>
  </si>
  <si>
    <t>O332435</t>
  </si>
  <si>
    <t>25274CBPR0162B8</t>
  </si>
  <si>
    <t>Sinead Reilly 1200115 already keyed 3/10/2025</t>
  </si>
  <si>
    <t>O385992</t>
  </si>
  <si>
    <t>25289CBPR04355C</t>
  </si>
  <si>
    <t>copied out scheme update new mandate not for us</t>
  </si>
  <si>
    <t>012014M</t>
  </si>
  <si>
    <t>25283CBPR035695</t>
  </si>
  <si>
    <t>Mairead Loughnane 1050849 already keyed member update copied out</t>
  </si>
  <si>
    <t>25265CBPR002C47</t>
  </si>
  <si>
    <t>Gaurav Rajpal 1201352</t>
  </si>
  <si>
    <t>SecureShare Signode</t>
  </si>
  <si>
    <t>25279CBPR02650A</t>
  </si>
  <si>
    <t>Patrick Brennan 1145656  already keyed 5/6/2024</t>
  </si>
  <si>
    <t>O342293</t>
  </si>
  <si>
    <t>25276CBPR01B861</t>
  </si>
  <si>
    <t>Expel Cybersecurity (Ireland) Ltd</t>
  </si>
  <si>
    <t>Duplicate - David Youster 1198615</t>
  </si>
  <si>
    <t>O331424</t>
  </si>
  <si>
    <t>25273CBPR014CE0</t>
  </si>
  <si>
    <t>Duplicate - Alan Casey 1200001</t>
  </si>
  <si>
    <t>O319339</t>
  </si>
  <si>
    <t>25268CBPR00BC9E</t>
  </si>
  <si>
    <t>Aaron Doran - scheme 602429</t>
  </si>
  <si>
    <t>O369122</t>
  </si>
  <si>
    <t>25286CBPR039FC9</t>
  </si>
  <si>
    <t>PRB EXECUTION ONLY MIN .75% AMC</t>
  </si>
  <si>
    <t>Needham Frances , Exec Only PRB Forms issd</t>
  </si>
  <si>
    <t>O375326</t>
  </si>
  <si>
    <t>25287CBPR03D298</t>
  </si>
  <si>
    <t>25289CBPR0434F8</t>
  </si>
  <si>
    <t>O368510</t>
  </si>
  <si>
    <t>25286CBPR039A90</t>
  </si>
  <si>
    <t>Cash not bulk- ne bulk recieved see 011341m</t>
  </si>
  <si>
    <t>O324694</t>
  </si>
  <si>
    <t>25272CBPR011580</t>
  </si>
  <si>
    <t>Add D Kilgallon &amp; K Brooks to the scheme  - SS 995733L</t>
  </si>
  <si>
    <t>O337315</t>
  </si>
  <si>
    <t>25275CBPR01852E</t>
  </si>
  <si>
    <t>Not NE - W&amp;A query</t>
  </si>
  <si>
    <t>SecureShare Comhluch</t>
  </si>
  <si>
    <t>25274CBPR016448</t>
  </si>
  <si>
    <t>Mbr already added - completing so does not show as Cancelled on ER SecureShare</t>
  </si>
  <si>
    <t>O345974</t>
  </si>
  <si>
    <t>25279CBPR025446</t>
  </si>
  <si>
    <t>O330080</t>
  </si>
  <si>
    <t>25273CBPR01417A</t>
  </si>
  <si>
    <t>copied out as general</t>
  </si>
  <si>
    <t>O368515</t>
  </si>
  <si>
    <t>25286CBPR039A95</t>
  </si>
  <si>
    <t>Endo Operations Limited</t>
  </si>
  <si>
    <t>Anthony Cummins 1196011 alrleady keyed member update copied out</t>
  </si>
  <si>
    <t>SecureShare Dunnhumb</t>
  </si>
  <si>
    <t>25275CBPR018822</t>
  </si>
  <si>
    <t>Helen Beecher add, pps, payroll no - needs to be resent in closing off case</t>
  </si>
  <si>
    <t>25286CBPR03921A</t>
  </si>
  <si>
    <t>rope copied out</t>
  </si>
  <si>
    <t>L887</t>
  </si>
  <si>
    <t>O356264</t>
  </si>
  <si>
    <t>25281CBPR02F424</t>
  </si>
  <si>
    <t>O390308</t>
  </si>
  <si>
    <t>25290CBPR04601E</t>
  </si>
  <si>
    <t>NE Antonio Francisco</t>
  </si>
  <si>
    <t>O413932</t>
  </si>
  <si>
    <t>25297CBPR05782E</t>
  </si>
  <si>
    <t>O413939</t>
  </si>
  <si>
    <t>25297CBPR05783E</t>
  </si>
  <si>
    <t>O413942</t>
  </si>
  <si>
    <t>25297CBPR057846</t>
  </si>
  <si>
    <t>O411298</t>
  </si>
  <si>
    <t>25297CBPR056259</t>
  </si>
  <si>
    <t>Duplicate - Tjeerd de Vries - 1184190</t>
  </si>
  <si>
    <t>022700M</t>
  </si>
  <si>
    <t>25297CBPR05729F</t>
  </si>
  <si>
    <t>021390M</t>
  </si>
  <si>
    <t>25295CBPR0509F6</t>
  </si>
  <si>
    <t>021853M</t>
  </si>
  <si>
    <t>25296CBPR05333C</t>
  </si>
  <si>
    <t>022422M</t>
  </si>
  <si>
    <t>25297CBPR0561AC</t>
  </si>
  <si>
    <t>022428M</t>
  </si>
  <si>
    <t>25297CBPR0561DD</t>
  </si>
  <si>
    <t>025408M</t>
  </si>
  <si>
    <t>25303CBPR062AEB</t>
  </si>
  <si>
    <t>Duplicate - 1184190 Tjeerd de Vries</t>
  </si>
  <si>
    <t>020854M</t>
  </si>
  <si>
    <t>25294CBPR04DF44</t>
  </si>
  <si>
    <t>BULK excel s/sheet copied out &amp; archieved</t>
  </si>
  <si>
    <t>021388M</t>
  </si>
  <si>
    <t>25295CBPR050A5D</t>
  </si>
  <si>
    <t>O407850</t>
  </si>
  <si>
    <t>25296CBPR053A37</t>
  </si>
  <si>
    <t>Not NE - Mail from Mercer to VWFS</t>
  </si>
  <si>
    <t>O408398</t>
  </si>
  <si>
    <t>25296CBPR053ED2</t>
  </si>
  <si>
    <t>Mail fromVolkswagen to Mercer - NE Zanda Lecite</t>
  </si>
  <si>
    <t>O410141</t>
  </si>
  <si>
    <t>25296CBPR054C37</t>
  </si>
  <si>
    <t>Mail from Mercer to VWFS</t>
  </si>
  <si>
    <t>021553M</t>
  </si>
  <si>
    <t>25295CBPR051610</t>
  </si>
  <si>
    <t>Rope copied out</t>
  </si>
  <si>
    <t>021285M</t>
  </si>
  <si>
    <t>25295CBPR0503CA</t>
  </si>
  <si>
    <t>Employer: Riverty Services Ireland :: Member  ... (see attached file for full description)</t>
  </si>
  <si>
    <t>O411308</t>
  </si>
  <si>
    <t>25297CBPR05626B</t>
  </si>
  <si>
    <t>PW Autosdesk.IRE.123</t>
  </si>
  <si>
    <t>C870</t>
  </si>
  <si>
    <t>023533M</t>
  </si>
  <si>
    <t>25301CBPR05B7C3</t>
  </si>
  <si>
    <t>Leaver file- Copied out</t>
  </si>
  <si>
    <t>25295CBPR050423</t>
  </si>
  <si>
    <t>Dublin- 8ne Dublin 2 already added</t>
  </si>
  <si>
    <t>O413758</t>
  </si>
  <si>
    <t>25297CBPR05769F</t>
  </si>
  <si>
    <t>BULK Excel  s/sheet</t>
  </si>
  <si>
    <t>O398552</t>
  </si>
  <si>
    <t>25294CBPR04D938</t>
  </si>
  <si>
    <t>Emailed funds to ER</t>
  </si>
  <si>
    <t>022580M</t>
  </si>
  <si>
    <t>25297CBPR056B53</t>
  </si>
  <si>
    <t>Member is already added 1205413- Not archiving as SS</t>
  </si>
  <si>
    <t>022645M</t>
  </si>
  <si>
    <t>25297CBPR056F08</t>
  </si>
  <si>
    <t>Everyone already been added- Not archiving as SS</t>
  </si>
  <si>
    <t>O415162</t>
  </si>
  <si>
    <t>25298CBPR058302</t>
  </si>
  <si>
    <t>2 x NE (Already added) &amp; 3 Leavers - Requested DOL</t>
  </si>
  <si>
    <t>O408249</t>
  </si>
  <si>
    <t>25296CBPR053D77</t>
  </si>
  <si>
    <t>O405340</t>
  </si>
  <si>
    <t>25295CBPR051950</t>
  </si>
  <si>
    <t>kinga Szabat incorrect scheme no should be 602666 copied out</t>
  </si>
  <si>
    <t>O397245</t>
  </si>
  <si>
    <t>25294CBPR04D037</t>
  </si>
  <si>
    <t>Sandra Coughlan incorrect scheme should be 602666 copied out</t>
  </si>
  <si>
    <t>O397257</t>
  </si>
  <si>
    <t>25294CBPR04D047</t>
  </si>
  <si>
    <t>Kinga Szabat dup O405359 closed joining scheme is 2026</t>
  </si>
  <si>
    <t>O191559</t>
  </si>
  <si>
    <t>25224CBPR037F1E</t>
  </si>
  <si>
    <t>ACG Aircraft Leasing Ireland Limited</t>
  </si>
  <si>
    <t>Perry Whitworth- Salary confirmed</t>
  </si>
  <si>
    <t>O192777</t>
  </si>
  <si>
    <t>25225CBPR039469</t>
  </si>
  <si>
    <t>Jade Dyer DOB</t>
  </si>
  <si>
    <t>O175803</t>
  </si>
  <si>
    <t>25219CBPR02D475</t>
  </si>
  <si>
    <t>Paloma Pentony</t>
  </si>
  <si>
    <t>O196345</t>
  </si>
  <si>
    <t>25226CBPR03D3E8</t>
  </si>
  <si>
    <t>Louise  Fitzgerald</t>
  </si>
  <si>
    <t>O158808</t>
  </si>
  <si>
    <t>25212CBPR020A57</t>
  </si>
  <si>
    <t>James Shanahan</t>
  </si>
  <si>
    <t>O159388</t>
  </si>
  <si>
    <t>25212CBPR0210C0</t>
  </si>
  <si>
    <t>Brian Giblin</t>
  </si>
  <si>
    <t>O140836</t>
  </si>
  <si>
    <t>25205CBPR009544</t>
  </si>
  <si>
    <t>Aldo Selvi</t>
  </si>
  <si>
    <t>O119741</t>
  </si>
  <si>
    <t>25198CBPR03BB98</t>
  </si>
  <si>
    <t>The TUI AVC Plan</t>
  </si>
  <si>
    <t>Sinead Holland DOJ 01/05/25</t>
  </si>
  <si>
    <t>O186943</t>
  </si>
  <si>
    <t>25224CBPR036A40</t>
  </si>
  <si>
    <t>O'Callaghan Stephen  - CBTV Issd 14/10</t>
  </si>
  <si>
    <t>O128824</t>
  </si>
  <si>
    <t>25202CBPR0032D2</t>
  </si>
  <si>
    <t>Daly Grainne-CBTV 15/09</t>
  </si>
  <si>
    <t>O203589</t>
  </si>
  <si>
    <t>25230CBPR04A087</t>
  </si>
  <si>
    <t>Mirdha Rita Stam- CBTV Issd 13/10</t>
  </si>
  <si>
    <t>O212107</t>
  </si>
  <si>
    <t>25232CBPR04EBD8</t>
  </si>
  <si>
    <t>Kavanagh Louise - CBTV Issd 14/10</t>
  </si>
  <si>
    <t>O203130</t>
  </si>
  <si>
    <t>25228CBPR0483AD</t>
  </si>
  <si>
    <t>Batuhan Kahraman</t>
  </si>
  <si>
    <t>O187091</t>
  </si>
  <si>
    <t>25224CBPR036B49</t>
  </si>
  <si>
    <t>Irish Wheelchair Association</t>
  </si>
  <si>
    <t>AVC over limit RNE done</t>
  </si>
  <si>
    <t>O212896</t>
  </si>
  <si>
    <t>25232CBPR04F4C1</t>
  </si>
  <si>
    <t>Quinn Cian - CBTV issd 01/10  AM</t>
  </si>
  <si>
    <t>O100790</t>
  </si>
  <si>
    <t>25192CBPR02A332</t>
  </si>
  <si>
    <t>Murray Christopher - AM</t>
  </si>
  <si>
    <t>020281M</t>
  </si>
  <si>
    <t>25293CBPR04C2F5</t>
  </si>
  <si>
    <t>994589L</t>
  </si>
  <si>
    <t>25273CBPR0132FF</t>
  </si>
  <si>
    <t>O337680</t>
  </si>
  <si>
    <t>25275CBPR018839</t>
  </si>
  <si>
    <t>Christian Brother European Province</t>
  </si>
  <si>
    <t>O364003</t>
  </si>
  <si>
    <t>25283CBPR035B51</t>
  </si>
  <si>
    <t>O343171</t>
  </si>
  <si>
    <t>25276CBPR01BFE1</t>
  </si>
  <si>
    <t>O345869</t>
  </si>
  <si>
    <t>25279CBPR025388</t>
  </si>
  <si>
    <t>Paul Dolan BULK</t>
  </si>
  <si>
    <t>996857L</t>
  </si>
  <si>
    <t>25279CBPR025609</t>
  </si>
  <si>
    <t>Clare MacDougald Bulk</t>
  </si>
  <si>
    <t>996862L</t>
  </si>
  <si>
    <t>25279CBPR025647</t>
  </si>
  <si>
    <t>Carmel Carroll Bulk</t>
  </si>
  <si>
    <t>996923L</t>
  </si>
  <si>
    <t>25279CBPR02598D</t>
  </si>
  <si>
    <t>The National Dairy Council</t>
  </si>
  <si>
    <t>Aoife Burns Bulk</t>
  </si>
  <si>
    <t>996969L</t>
  </si>
  <si>
    <t>25279CBPR025C17</t>
  </si>
  <si>
    <t>O392488</t>
  </si>
  <si>
    <t>25291CBPR047296</t>
  </si>
  <si>
    <t>Domhnall O’Neill ER &amp; EE cons</t>
  </si>
  <si>
    <t>25269CBPR00E654</t>
  </si>
  <si>
    <t>Justyna Leszkiewicz  - 1200485</t>
  </si>
  <si>
    <t>O347740</t>
  </si>
  <si>
    <t>25279CBPR0260C1</t>
  </si>
  <si>
    <t>Confirmed mbrs set up</t>
  </si>
  <si>
    <t>O346837</t>
  </si>
  <si>
    <t>25279CBPR0259B9</t>
  </si>
  <si>
    <t>Copied out work item</t>
  </si>
  <si>
    <t>O329349</t>
  </si>
  <si>
    <t>25273CBPR013AA8</t>
  </si>
  <si>
    <t>O381011</t>
  </si>
  <si>
    <t>25288CBPR040155</t>
  </si>
  <si>
    <t>linked with O381016</t>
  </si>
  <si>
    <t>O390758</t>
  </si>
  <si>
    <t>25290CBPR046394</t>
  </si>
  <si>
    <t>Creditsafe Services Limited</t>
  </si>
  <si>
    <t>BULK Excek s/sheet copied out</t>
  </si>
  <si>
    <t>O343446</t>
  </si>
  <si>
    <t>25276CBPR01C235</t>
  </si>
  <si>
    <t>Darren Finnegan 1200367 already added</t>
  </si>
  <si>
    <t>O386850</t>
  </si>
  <si>
    <t>25289CBPR043B74</t>
  </si>
  <si>
    <t>Kristy Lenehan 1203712 - member update copied out for marital status</t>
  </si>
  <si>
    <t>O389736</t>
  </si>
  <si>
    <t>25290CBPR045B2A</t>
  </si>
  <si>
    <t>Vanessa Braga Fernandes 1203609 member update copied out</t>
  </si>
  <si>
    <t>994336L</t>
  </si>
  <si>
    <t>25272CBPR011F2D</t>
  </si>
  <si>
    <t>O349945</t>
  </si>
  <si>
    <t>25280CBPR0270B7</t>
  </si>
  <si>
    <t>Duplicate - John Heenan 1199566</t>
  </si>
  <si>
    <t>O375416</t>
  </si>
  <si>
    <t>25287CBPR03E269</t>
  </si>
  <si>
    <t>15000 SPAV NE MARTINA UNIACKE copied out general for 1202425</t>
  </si>
  <si>
    <t>O346734</t>
  </si>
  <si>
    <t>25279CBPR0258FC</t>
  </si>
  <si>
    <t>tax cert copied out general</t>
  </si>
  <si>
    <t>O391220</t>
  </si>
  <si>
    <t>25290CBPR04674F</t>
  </si>
  <si>
    <t>1201256 copied out ref payment €10k</t>
  </si>
  <si>
    <t>O346728</t>
  </si>
  <si>
    <t>25279CBPR0258F3</t>
  </si>
  <si>
    <t>looking for avc cert copied out as general</t>
  </si>
  <si>
    <t>O347266</t>
  </si>
  <si>
    <t>25279CBPR025D20</t>
  </si>
  <si>
    <t>Eoin Henneghan 1040470 already keyed member update auto  copied out</t>
  </si>
  <si>
    <t>O347590</t>
  </si>
  <si>
    <t>25279CBPR025F74</t>
  </si>
  <si>
    <t>Delia Nolan Kenendy midas no coming up incorrect copied out</t>
  </si>
  <si>
    <t>O348109</t>
  </si>
  <si>
    <t>25279CBPR0263DB</t>
  </si>
  <si>
    <t>Noel Holleran  1200495 already keyed 7.10.2025 duo case</t>
  </si>
  <si>
    <t>O359484</t>
  </si>
  <si>
    <t>25282CBPR032C4C</t>
  </si>
  <si>
    <t>Trish Clarke - 1201729 already keyed member update ref mail start date</t>
  </si>
  <si>
    <t>O323923</t>
  </si>
  <si>
    <t>25272CBPR011066</t>
  </si>
  <si>
    <t>Dean OSulivan 1184126 already keyed 30.5.2025 member update copied out</t>
  </si>
  <si>
    <t>O323956</t>
  </si>
  <si>
    <t>25272CBPR0110BA</t>
  </si>
  <si>
    <t>Padraig Mccormack 1197866 alraedy keyed memmber update copied out</t>
  </si>
  <si>
    <t>O348356</t>
  </si>
  <si>
    <t>25279CBPR0265F4</t>
  </si>
  <si>
    <t>Eimear Nolan 1199798 already keyed 2./10/2025</t>
  </si>
  <si>
    <t>O348364</t>
  </si>
  <si>
    <t>25279CBPR026609</t>
  </si>
  <si>
    <t>Elizabeth Croft 1199933 already keyed 2.10.2025</t>
  </si>
  <si>
    <t>O348430</t>
  </si>
  <si>
    <t>25279CBPR02667E</t>
  </si>
  <si>
    <t>Fionnuala Callanan 1199793 already keyed 2.10.2025</t>
  </si>
  <si>
    <t>O349042</t>
  </si>
  <si>
    <t>25279CBPR026A19</t>
  </si>
  <si>
    <t>Delia Kennedy 1200861 already keeyd 8.10.2025</t>
  </si>
  <si>
    <t>O349057</t>
  </si>
  <si>
    <t>25279CBPR026A3C</t>
  </si>
  <si>
    <t>Andrew Seaman 1201240 already added 9/10/2025</t>
  </si>
  <si>
    <t>O349067</t>
  </si>
  <si>
    <t>25279CBPR026A4B</t>
  </si>
  <si>
    <t>Anthony Farrell 1185964 already keyed member update copied out</t>
  </si>
  <si>
    <t>O357487</t>
  </si>
  <si>
    <t>25281CBPR02FE7D</t>
  </si>
  <si>
    <t>Mark O'Brien 1087885 already keyed member upcdate copied out</t>
  </si>
  <si>
    <t>O360938</t>
  </si>
  <si>
    <t>25282CBPR033B1B</t>
  </si>
  <si>
    <t>Sinead Mansell 1201937 already keyed 13.10.2025</t>
  </si>
  <si>
    <t>O383319</t>
  </si>
  <si>
    <t>25289CBPR0420B0</t>
  </si>
  <si>
    <t>T U I (Tallaght Institute of Technology)</t>
  </si>
  <si>
    <t>ADRIENNE FLEMING DOJ 01/04/2025scheme incorrect copied out to 608630</t>
  </si>
  <si>
    <t>O383359</t>
  </si>
  <si>
    <t>25289CBPR0420FA</t>
  </si>
  <si>
    <t>DOMINIC MCLARNON DOJ 01/06/2025 - 1187142 already keyed member update copied out</t>
  </si>
  <si>
    <t>019088M</t>
  </si>
  <si>
    <t>25290CBPR0458FA</t>
  </si>
  <si>
    <t>payroll deduction form copied out</t>
  </si>
  <si>
    <t>019095M</t>
  </si>
  <si>
    <t>25290CBPR0459B5</t>
  </si>
  <si>
    <t>O350343</t>
  </si>
  <si>
    <t>25280CBPR027314</t>
  </si>
  <si>
    <t>Sandra Sexton SP 12000</t>
  </si>
  <si>
    <t>O361446</t>
  </si>
  <si>
    <t>25282CBPR03401B</t>
  </si>
  <si>
    <t>Ruth Mcdermott</t>
  </si>
  <si>
    <t>O385238</t>
  </si>
  <si>
    <t>25289CBPR042EC7</t>
  </si>
  <si>
    <t>1195291 Paul Cullen added</t>
  </si>
  <si>
    <t>O153725</t>
  </si>
  <si>
    <t>25211CBPR01A742</t>
  </si>
  <si>
    <t>Sales Entrants x 9</t>
  </si>
  <si>
    <t>O164168</t>
  </si>
  <si>
    <t>25216CBPR0270DE</t>
  </si>
  <si>
    <t>Sales - Mathilde Moron</t>
  </si>
  <si>
    <t>O204591</t>
  </si>
  <si>
    <t>25230CBPR04A745</t>
  </si>
  <si>
    <t>Sales - NE Alan Ayling</t>
  </si>
  <si>
    <t>O222780</t>
  </si>
  <si>
    <t>25237CBPR00269C</t>
  </si>
  <si>
    <t>Sales - NE Gerardine Costello</t>
  </si>
  <si>
    <t>N988597</t>
  </si>
  <si>
    <t>25155CBPR0221BC</t>
  </si>
  <si>
    <t>Chaney Philip - W&amp;A issd 06/10</t>
  </si>
  <si>
    <t>N968148</t>
  </si>
  <si>
    <t>25148CBPR00A6F2</t>
  </si>
  <si>
    <t>Fitzgerald Alex - W&amp;A to Retail 12/08</t>
  </si>
  <si>
    <t>O029043</t>
  </si>
  <si>
    <t>25168CBPR04F42D</t>
  </si>
  <si>
    <t>McNally Bernice - W&amp;A to Retail 08/08-</t>
  </si>
  <si>
    <t>N998394</t>
  </si>
  <si>
    <t>25160CBPR0309D7</t>
  </si>
  <si>
    <t>Kelly Grainne - AM - W&amp;A IL Retail 28/08</t>
  </si>
  <si>
    <t>N914970</t>
  </si>
  <si>
    <t>25129CBPR0479E4</t>
  </si>
  <si>
    <t>Shields Noel - W&amp;A Issd to Zurich 30/09</t>
  </si>
  <si>
    <t>N949129</t>
  </si>
  <si>
    <t>25141CBPR064995</t>
  </si>
  <si>
    <t>MacNally Michael - W&amp;A to Retail 18/08, reminder 20/10</t>
  </si>
  <si>
    <t>Comments</t>
  </si>
  <si>
    <t xml:space="preserve"> </t>
  </si>
  <si>
    <t>Bulk or Single WI</t>
  </si>
  <si>
    <t>Nothing loaded</t>
  </si>
  <si>
    <t>hard to follow from Midas what happened - Multiple Bulk Items created</t>
  </si>
  <si>
    <t>errors found</t>
  </si>
  <si>
    <t>On Tableau</t>
  </si>
  <si>
    <t>completed in Nov</t>
  </si>
  <si>
    <t>Archived</t>
  </si>
  <si>
    <t>Just closed and created another bulk</t>
  </si>
  <si>
    <t>Bulk Numbers Loaded</t>
  </si>
  <si>
    <t xml:space="preserve">  </t>
  </si>
  <si>
    <t>Row Labels</t>
  </si>
  <si>
    <t>#N/A</t>
  </si>
  <si>
    <t>(blank)</t>
  </si>
  <si>
    <t>Grand Total</t>
  </si>
  <si>
    <t>Count of Bulk Numbers Loaded</t>
  </si>
  <si>
    <t>Tableau Single &amp; Bulk</t>
  </si>
  <si>
    <t>This is just a downloaded of New Entrant Single and Bulk Workitems completed on Midas</t>
  </si>
  <si>
    <t>I then do a look up of the Midas completed workitems (see Tableau single and bulk) to determine if it was single or bulk update</t>
  </si>
  <si>
    <t>I also do a check to determine the number of members loaded via PPI by checking the midas number v the Export Sheet (sharpload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</si>
</sst>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sz val="11"/>
      <name val="Dialog"/>
    </font>
    <font>
      <sz val="11"/>
      <color rgb="FF00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2" fontId="0" fillId="0" borderId="0" xfId="0" applyNumberFormat="1"/>
    <xf numFmtId="2" fontId="3" fillId="0" borderId="0" xfId="0" applyNumberFormat="1" applyFont="1"/>
    <xf numFmtId="2" fontId="2" fillId="0" borderId="0" xfId="0" applyNumberFormat="1" applyFont="1"/>
    <xf numFmtId="22" fontId="0" fillId="0" borderId="0" xfId="0" applyNumberFormat="1"/>
    <xf numFmtId="14" fontId="0" fillId="0" borderId="0" xfId="0" applyNumberFormat="1"/>
    <xf numFmtId="14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ston, Sean" refreshedDate="45966.589592245371" createdVersion="8" refreshedVersion="8" minRefreshableVersion="3" recordCount="530" xr:uid="{A67164F3-DB75-42C5-B660-C4F4836814AA}">
  <cacheSource type="worksheet">
    <worksheetSource ref="A1:M1048576" sheet="IP_Org_Usecase_Submission_Statu"/>
  </cacheSource>
  <cacheFields count="13">
    <cacheField name="MIDAS_NO" numFmtId="2">
      <sharedItems containsBlank="1"/>
    </cacheField>
    <cacheField name="Organization Name" numFmtId="0">
      <sharedItems containsBlank="1"/>
    </cacheField>
    <cacheField name="Use Case Name" numFmtId="0">
      <sharedItems containsBlank="1"/>
    </cacheField>
    <cacheField name="Submission Date and Time (UTC)" numFmtId="0">
      <sharedItems containsBlank="1"/>
    </cacheField>
    <cacheField name="Reference Number" numFmtId="0">
      <sharedItems containsBlank="1"/>
    </cacheField>
    <cacheField name="Submission Status" numFmtId="0">
      <sharedItems containsBlank="1"/>
    </cacheField>
    <cacheField name="Organization Status" numFmtId="0">
      <sharedItems containsBlank="1"/>
    </cacheField>
    <cacheField name="Bulk Numbers Loaded" numFmtId="0">
      <sharedItems containsBlank="1" containsMixedTypes="1" containsNumber="1" containsInteger="1" minValue="1" maxValue="144" count="42">
        <e v="#N/A"/>
        <n v="1"/>
        <n v="27"/>
        <n v="66"/>
        <n v="2"/>
        <n v="50"/>
        <n v="29"/>
        <n v="6"/>
        <n v="9"/>
        <n v="24"/>
        <n v="17"/>
        <n v="22"/>
        <n v="5"/>
        <n v="4"/>
        <n v="7"/>
        <n v="3"/>
        <n v="61"/>
        <n v="18"/>
        <n v="40"/>
        <n v="13"/>
        <n v="31"/>
        <n v="8"/>
        <n v="11"/>
        <n v="10"/>
        <n v="99"/>
        <n v="12"/>
        <n v="15"/>
        <n v="37"/>
        <n v="14"/>
        <n v="65"/>
        <n v="51"/>
        <n v="52"/>
        <n v="25"/>
        <n v="28"/>
        <n v="72"/>
        <n v="21"/>
        <n v="144"/>
        <n v="55"/>
        <n v="16"/>
        <n v="63"/>
        <m/>
        <s v=" "/>
      </sharedItems>
    </cacheField>
    <cacheField name="Bulk or Single WI" numFmtId="0">
      <sharedItems containsBlank="1" count="5">
        <s v="NESAUTO"/>
        <s v="NEBAUTO"/>
        <e v="#N/A"/>
        <m/>
        <s v=" "/>
      </sharedItems>
    </cacheField>
    <cacheField name="Comments" numFmtId="0">
      <sharedItems containsNonDate="0" containsString="0" containsBlank="1"/>
    </cacheField>
    <cacheField name="Completed" numFmtId="14">
      <sharedItems containsDate="1" containsBlank="1" containsMixedTypes="1" minDate="2025-10-01T08:48:23" maxDate="2025-10-16T16:54:11"/>
    </cacheField>
    <cacheField name="Scheme Number" numFmtId="0">
      <sharedItems containsBlank="1" containsMixedTypes="1" containsNumber="1" containsInteger="1" minValue="601054" maxValue="609984"/>
    </cacheField>
    <cacheField name="Scheme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0">
  <r>
    <s v="010921M"/>
    <s v="eircom"/>
    <s v="Add Members"/>
    <s v="2025-10-13 13:14:11.903000Z"/>
    <s v="010921M"/>
    <s v="Completed"/>
    <s v="Active"/>
    <x v="0"/>
    <x v="0"/>
    <m/>
    <d v="2025-10-13T14:14:04"/>
    <n v="603757"/>
    <s v="eircom Limited AVC Scheme"/>
  </r>
  <r>
    <s v="010928M"/>
    <s v="Vestas Ireland Limited"/>
    <s v="Add Members"/>
    <s v="2025-10-13 14:26:34.155000Z"/>
    <s v="010928M"/>
    <s v="Completed"/>
    <s v="Active"/>
    <x v="1"/>
    <x v="1"/>
    <m/>
    <d v="2025-10-13T15:26:28"/>
    <n v="603026"/>
    <s v="Vestas Ireland Limited"/>
  </r>
  <r>
    <s v="010931M"/>
    <s v="Kerry Group Plc"/>
    <s v="Add Members"/>
    <s v="2025-10-13 11:20:00.790000Z"/>
    <s v="010931M"/>
    <s v="Completed"/>
    <s v="Active"/>
    <x v="2"/>
    <x v="1"/>
    <m/>
    <d v="2025-10-13T12:19:50"/>
    <n v="605376"/>
    <s v="Kerry Dairy Holdings (Ireland) Limited"/>
  </r>
  <r>
    <s v="010991M"/>
    <s v="Joseph G Byrne and Sons Consulting Actuaries"/>
    <s v="Add Members"/>
    <s v="2025-10-10 14:44:33.244000Z"/>
    <s v="010991M"/>
    <s v="Completed"/>
    <s v="Active"/>
    <x v="1"/>
    <x v="1"/>
    <m/>
    <d v="2025-10-10T15:44:28"/>
    <n v="609763"/>
    <s v="Belvedere College SJ"/>
  </r>
  <r>
    <s v="010996M"/>
    <s v="Stryker Ireland"/>
    <s v="Add Members"/>
    <s v="2025-10-13 14:08:22.973000Z"/>
    <s v="010996M"/>
    <s v="Completed"/>
    <s v="Active"/>
    <x v="3"/>
    <x v="1"/>
    <m/>
    <d v="2025-10-13T15:08:17"/>
    <n v="603990"/>
    <s v="Stryker Ireland DC Pension Plan"/>
  </r>
  <r>
    <s v="010998M"/>
    <s v="Stryker Ireland"/>
    <s v="Add Members"/>
    <s v="2025-10-13 10:53:45.084000Z"/>
    <s v="010998M"/>
    <s v="Completed"/>
    <s v="Active"/>
    <x v="4"/>
    <x v="1"/>
    <m/>
    <d v="2025-10-13T11:53:39"/>
    <n v="602167"/>
    <s v="Stryker Ireland Limited Pension Scheme"/>
  </r>
  <r>
    <s v="011003M"/>
    <s v="PHX Ireland Group Limited"/>
    <s v="Add Members"/>
    <s v="2025-10-09 19:52:22.884000Z"/>
    <s v="011003M"/>
    <s v="Completed"/>
    <s v="Active"/>
    <x v="0"/>
    <x v="0"/>
    <m/>
    <d v="2025-10-09T20:52:16"/>
    <n v="609838"/>
    <s v="PHX Ireland Group Limited"/>
  </r>
  <r>
    <s v="011007M"/>
    <s v="Kerry Group Plc"/>
    <s v="Add Members"/>
    <s v="2025-10-13 11:53:50.392000Z"/>
    <s v="011007M"/>
    <s v="Completed"/>
    <s v="Active"/>
    <x v="5"/>
    <x v="1"/>
    <m/>
    <d v="2025-10-13T12:53:43"/>
    <n v="603888"/>
    <s v="Kerry Group Plc"/>
  </r>
  <r>
    <s v="011018M"/>
    <s v="Aon"/>
    <s v="Add Members"/>
    <s v="2025-10-10 16:28:04.193000Z"/>
    <s v="011018M"/>
    <s v="Completed"/>
    <s v="Active"/>
    <x v="0"/>
    <x v="0"/>
    <m/>
    <d v="2025-10-10T17:27:57"/>
    <n v="609805"/>
    <s v="Aztec Financial Services (Irl) Limited"/>
  </r>
  <r>
    <s v="011019M"/>
    <s v="Aon"/>
    <s v="Add Members"/>
    <s v="2025-10-13 08:54:47.413000Z"/>
    <s v="011019M"/>
    <s v="Completed"/>
    <s v="Active"/>
    <x v="0"/>
    <x v="0"/>
    <m/>
    <d v="2025-10-13T09:54:38"/>
    <n v="609805"/>
    <s v="Aztec Financial Services (Irl) Limited"/>
  </r>
  <r>
    <s v="011021M"/>
    <s v="Unio Employee Benefits"/>
    <s v="Add Members"/>
    <s v="2025-10-13 11:01:28.096000Z"/>
    <s v="011021M"/>
    <s v="Completed"/>
    <s v="Active"/>
    <x v="0"/>
    <x v="0"/>
    <m/>
    <d v="2025-10-13T12:01:20"/>
    <n v="603261"/>
    <s v="Euler Hermes Services Ireland Ltd"/>
  </r>
  <r>
    <s v="011040M"/>
    <s v="Irish Life"/>
    <s v="Add Members"/>
    <s v="2025-10-13 14:56:26.403000Z"/>
    <s v="011040M"/>
    <s v="Completed"/>
    <s v="Active"/>
    <x v="1"/>
    <x v="1"/>
    <m/>
    <d v="2025-10-13T15:56:20"/>
    <n v="603616"/>
    <s v="Google Ireland Limited"/>
  </r>
  <r>
    <s v="011045M"/>
    <s v="Irish Life"/>
    <s v="Add Members"/>
    <s v="2025-10-08 13:58:50.820000Z"/>
    <s v="011045M"/>
    <s v="Completed"/>
    <s v="Active"/>
    <x v="1"/>
    <x v="1"/>
    <m/>
    <d v="2025-10-08T14:58:45"/>
    <n v="603640"/>
    <s v="Petrogas Group Limited"/>
  </r>
  <r>
    <s v="011049M"/>
    <s v="Irish Life"/>
    <s v="Add Members"/>
    <s v="2025-10-10 09:34:21.060000Z"/>
    <s v="011049M"/>
    <s v="Completed"/>
    <s v="Active"/>
    <x v="0"/>
    <x v="1"/>
    <m/>
    <d v="2025-10-10T10:34:13"/>
    <n v="608020"/>
    <s v="Renaissance Services of Europe Limited"/>
  </r>
  <r>
    <s v="011053M"/>
    <s v="Irish Life"/>
    <s v="Add Members"/>
    <s v="2025-10-08 14:02:42.025000Z"/>
    <s v="011053M"/>
    <s v="Completed"/>
    <s v="Active"/>
    <x v="1"/>
    <x v="1"/>
    <m/>
    <d v="2025-10-08T15:02:34"/>
    <n v="603640"/>
    <s v="Petrogas Group Limited"/>
  </r>
  <r>
    <s v="011054M"/>
    <s v="Irish Life"/>
    <s v="Add Members"/>
    <s v="2025-10-10 11:03:47.641000Z"/>
    <s v="011054M"/>
    <s v="Completed"/>
    <s v="Active"/>
    <x v="6"/>
    <x v="1"/>
    <m/>
    <d v="2025-10-10T12:03:43"/>
    <n v="609862"/>
    <s v="Dunnes Stores Unlimited Company"/>
  </r>
  <r>
    <s v="011071M"/>
    <s v="Aon"/>
    <s v="Add Members"/>
    <s v="2025-10-13 10:48:52.266000Z"/>
    <s v="011071M"/>
    <s v="Completed"/>
    <s v="Active"/>
    <x v="0"/>
    <x v="0"/>
    <m/>
    <d v="2025-10-13T11:48:46"/>
    <n v="609844"/>
    <s v="Kitman Labs Limited"/>
  </r>
  <r>
    <s v="011072M"/>
    <s v="Coupa Operations Inc"/>
    <s v="Add Members"/>
    <s v="2025-10-10 16:18:16.800000Z"/>
    <s v="011072M"/>
    <s v="Completed"/>
    <s v="Active"/>
    <x v="1"/>
    <x v="1"/>
    <m/>
    <d v="2025-10-10T17:18:05"/>
    <n v="603485"/>
    <s v="Coupa Operations Inc."/>
  </r>
  <r>
    <s v="011088M"/>
    <s v="Munster Cattle Breeding Group Ltd"/>
    <s v="Add Members"/>
    <s v="2025-10-13 10:40:24.006000Z"/>
    <s v="011088M"/>
    <s v="Completed"/>
    <s v="Active"/>
    <x v="0"/>
    <x v="0"/>
    <m/>
    <d v="2025-10-13T11:40:19"/>
    <n v="602712"/>
    <s v="MUNSTER CATTLE BREEDING GROUP LTD"/>
  </r>
  <r>
    <s v="011093M"/>
    <s v="Irish Life"/>
    <s v="Add Members"/>
    <s v="2025-10-08 14:42:15.155000Z"/>
    <s v="011093M"/>
    <s v="Completed"/>
    <s v="Active"/>
    <x v="1"/>
    <x v="1"/>
    <m/>
    <d v="2025-10-08T15:42:09"/>
    <n v="603914"/>
    <s v="Capventis Limited"/>
  </r>
  <r>
    <s v="011105M"/>
    <s v="Paddy Denby Engineering Ltd"/>
    <s v="Add Members"/>
    <s v="2025-10-16 13:31:31.639000Z"/>
    <s v="011105M"/>
    <s v="Completed"/>
    <s v="Active"/>
    <x v="7"/>
    <x v="1"/>
    <m/>
    <d v="2025-10-16T14:31:24"/>
    <n v="601157"/>
    <s v="Paddy Denby Engineering Ltd"/>
  </r>
  <r>
    <s v="011109M"/>
    <s v="WTW"/>
    <s v="Add Members"/>
    <s v="2025-10-10 09:55:27.962000Z"/>
    <s v="011109M"/>
    <s v="Completed"/>
    <s v="Active"/>
    <x v="1"/>
    <x v="1"/>
    <m/>
    <d v="2025-10-10T10:55:20"/>
    <n v="602420"/>
    <s v="Netgear International Limited"/>
  </r>
  <r>
    <s v="011140M"/>
    <s v="Irish Life"/>
    <s v="Add Members"/>
    <s v="2025-10-13 14:00:06.147000Z"/>
    <s v="011140M"/>
    <s v="Completed"/>
    <s v="Active"/>
    <x v="0"/>
    <x v="1"/>
    <m/>
    <d v="2025-10-13T15:00:02"/>
    <n v="603524"/>
    <s v="Riot Games Limited"/>
  </r>
  <r>
    <s v="011154M"/>
    <s v="Veolia UK and Ireland"/>
    <s v="Add Members"/>
    <s v="2025-10-10 10:50:01.254000Z"/>
    <s v="011154M"/>
    <s v="Completed"/>
    <s v="Active"/>
    <x v="8"/>
    <x v="1"/>
    <m/>
    <d v="2025-10-10T11:49:53"/>
    <n v="602377"/>
    <s v="Veolia Energy Ser Ireland Ltd"/>
  </r>
  <r>
    <s v="011155M"/>
    <s v="Lockton Employee Benefits Ireland"/>
    <s v="Add Members"/>
    <s v="2025-10-13 10:24:20.642000Z"/>
    <s v="011155M"/>
    <s v="Completed"/>
    <s v="Active"/>
    <x v="0"/>
    <x v="0"/>
    <m/>
    <d v="2025-10-13T11:24:15"/>
    <n v="603651"/>
    <s v="Specialist Technical Engineering Serv."/>
  </r>
  <r>
    <s v="011159M"/>
    <s v="Irish Life"/>
    <s v="Add Members"/>
    <s v="2025-10-08 17:22:23.724000Z"/>
    <s v="011159M"/>
    <s v="Completed"/>
    <s v="Active"/>
    <x v="9"/>
    <x v="1"/>
    <m/>
    <d v="2025-10-08T18:22:15"/>
    <n v="603358"/>
    <s v="Arachas Corporate Brokers Ltd"/>
  </r>
  <r>
    <s v="011192M"/>
    <s v="Cathedral Financial Consultants Ltd"/>
    <s v="Add Members"/>
    <s v="2025-10-13 15:10:47.193000Z"/>
    <s v="011192M"/>
    <s v="Completed"/>
    <s v="Active"/>
    <x v="10"/>
    <x v="1"/>
    <m/>
    <d v="2025-10-13T16:10:40"/>
    <n v="603578"/>
    <s v="Vow Europe Limited"/>
  </r>
  <r>
    <s v="011335M"/>
    <s v="Castlehitt Limited"/>
    <s v="Add Members"/>
    <s v="2025-10-13 14:19:32.375000Z"/>
    <s v="011335M"/>
    <s v="Completed"/>
    <s v="Active"/>
    <x v="0"/>
    <x v="0"/>
    <m/>
    <d v="2025-10-13T15:19:23"/>
    <n v="605381"/>
    <s v="Castlehitt Limited"/>
  </r>
  <r>
    <s v="011341M"/>
    <s v="Beacon Hospital Sandyford Limited"/>
    <s v="Add Members"/>
    <s v="2025-10-14 11:23:32.269000Z"/>
    <s v="011341M"/>
    <s v="Completed"/>
    <s v="Active"/>
    <x v="11"/>
    <x v="1"/>
    <m/>
    <d v="2025-10-14T12:23:28"/>
    <n v="602375"/>
    <s v="Beacon Hospital"/>
  </r>
  <r>
    <s v="011352M"/>
    <s v="Brown Thomas and Co Limited"/>
    <s v="Add Members"/>
    <s v="2025-10-14 14:43:18.308000Z"/>
    <s v="011352M"/>
    <s v="Completed"/>
    <s v="Active"/>
    <x v="12"/>
    <x v="1"/>
    <m/>
    <d v="2025-10-14T15:43:11"/>
    <n v="602903"/>
    <s v="Brown Thomas Arnotts Limited"/>
  </r>
  <r>
    <s v="011355M"/>
    <s v="Patrick J Tobin Ltd"/>
    <s v="Add Members"/>
    <s v="2025-10-11 10:21:39.372000Z"/>
    <s v="011355M"/>
    <s v="Completed"/>
    <s v="Active"/>
    <x v="0"/>
    <x v="0"/>
    <m/>
    <d v="2025-10-11T11:21:34"/>
    <n v="602944"/>
    <s v="PATRICK J TOBIN LTD"/>
  </r>
  <r>
    <s v="011356M"/>
    <s v="Patrick J Tobin Ltd"/>
    <s v="Add Members"/>
    <s v="2025-10-11 10:17:43.024000Z"/>
    <s v="011356M"/>
    <s v="Completed"/>
    <s v="Active"/>
    <x v="0"/>
    <x v="0"/>
    <m/>
    <d v="2025-10-11T11:17:35"/>
    <n v="602944"/>
    <s v="PATRICK J TOBIN LTD"/>
  </r>
  <r>
    <s v="011357M"/>
    <s v="Patrick J Tobin Ltd"/>
    <s v="Add Members"/>
    <s v="2025-10-11 10:20:48.880000Z"/>
    <s v="011357M"/>
    <s v="Completed"/>
    <s v="Active"/>
    <x v="0"/>
    <x v="0"/>
    <m/>
    <d v="2025-10-11T11:20:43"/>
    <n v="602944"/>
    <s v="PATRICK J TOBIN LTD"/>
  </r>
  <r>
    <s v="011358M"/>
    <s v="Patrick J Tobin Ltd"/>
    <s v="Add Members"/>
    <s v="2025-10-11 09:42:59.881000Z"/>
    <s v="011358M"/>
    <s v="Completed"/>
    <s v="Active"/>
    <x v="0"/>
    <x v="0"/>
    <m/>
    <d v="2025-10-11T10:42:52"/>
    <n v="602944"/>
    <s v="PATRICK J TOBIN LTD"/>
  </r>
  <r>
    <s v="011359M"/>
    <s v="Apleona Ireland Limited"/>
    <s v="Add Members"/>
    <s v="2025-10-13 10:52:44.481000Z"/>
    <s v="011359M"/>
    <s v="Completed"/>
    <s v="Active"/>
    <x v="1"/>
    <x v="1"/>
    <m/>
    <d v="2025-10-13T11:52:39"/>
    <n v="606934"/>
    <s v="Apleona Ireland Limited"/>
  </r>
  <r>
    <s v="011362M"/>
    <s v="Blackrock Health"/>
    <s v="Add Members"/>
    <s v="2025-10-14 09:19:08.954000Z"/>
    <s v="011362M"/>
    <s v="Completed"/>
    <s v="Active"/>
    <x v="0"/>
    <x v="0"/>
    <m/>
    <d v="2025-10-14T10:19:01"/>
    <n v="609841"/>
    <s v="Galway Clinic Doughiska Unltd Co"/>
  </r>
  <r>
    <s v="011383M"/>
    <s v="Irish Life"/>
    <s v="Add Members"/>
    <s v="2025-10-09 10:51:57.973000Z"/>
    <s v="011383M"/>
    <s v="Completed"/>
    <s v="Active"/>
    <x v="1"/>
    <x v="1"/>
    <m/>
    <d v="2025-10-09T11:51:53"/>
    <n v="602032"/>
    <s v="Presentation Brothers (Ireland)"/>
  </r>
  <r>
    <s v="011388M"/>
    <s v="Irish Life"/>
    <s v="Add Members"/>
    <s v="2025-10-09 10:31:52.840000Z"/>
    <s v="011388M"/>
    <s v="Completed"/>
    <s v="Active"/>
    <x v="1"/>
    <x v="1"/>
    <m/>
    <d v="2025-10-09T11:31:46"/>
    <n v="602408"/>
    <s v="Aimware Limited"/>
  </r>
  <r>
    <s v="011390M"/>
    <s v="Project Management Limited"/>
    <s v="Add Members"/>
    <s v="2025-10-14 09:06:56.335000Z"/>
    <s v="011390M"/>
    <s v="Completed"/>
    <s v="Active"/>
    <x v="13"/>
    <x v="1"/>
    <m/>
    <d v="2025-10-14T10:06:47"/>
    <n v="605268"/>
    <s v="Project Management Limited"/>
  </r>
  <r>
    <s v="011391M"/>
    <s v="Roadstone Limited"/>
    <s v="Add Members"/>
    <s v="2025-10-13 09:42:16.436000Z"/>
    <s v="011391M"/>
    <s v="Completed"/>
    <s v="Active"/>
    <x v="0"/>
    <x v="0"/>
    <m/>
    <d v="2025-10-13T10:42:12"/>
    <n v="602719"/>
    <s v="Roadstone Limited"/>
  </r>
  <r>
    <s v="011392M"/>
    <s v="Irish Life"/>
    <s v="Add Members"/>
    <s v="2025-10-14 09:35:08.886000Z"/>
    <s v="011392M"/>
    <s v="Completed"/>
    <s v="Active"/>
    <x v="0"/>
    <x v="1"/>
    <m/>
    <d v="2025-10-14T10:34:59"/>
    <n v="603783"/>
    <s v="Kverneland Group Ireland Limited"/>
  </r>
  <r>
    <s v="011396M"/>
    <s v="Irish Life"/>
    <s v="Add Members"/>
    <s v="2025-10-15 08:18:04.397000Z"/>
    <s v="011396M"/>
    <s v="Completed"/>
    <s v="Active"/>
    <x v="14"/>
    <x v="1"/>
    <m/>
    <d v="2025-10-15T09:17:54"/>
    <n v="609743"/>
    <s v="Motorola Solutions UK Ltd (Irl Branch)"/>
  </r>
  <r>
    <s v="011400M"/>
    <s v="Irish Life"/>
    <s v="Add Members"/>
    <s v="2025-10-09 10:10:19.998000Z"/>
    <s v="011400M"/>
    <s v="Completed"/>
    <s v="Active"/>
    <x v="15"/>
    <x v="1"/>
    <m/>
    <d v="2025-10-09T11:10:14"/>
    <n v="603612"/>
    <s v="Stauntons Pharmacy Limited"/>
  </r>
  <r>
    <s v="011406M"/>
    <s v="Irish Life"/>
    <s v="Add Members"/>
    <s v="2025-10-15 08:18:40.037000Z"/>
    <s v="011406M"/>
    <s v="Completed"/>
    <s v="Active"/>
    <x v="1"/>
    <x v="1"/>
    <m/>
    <d v="2025-10-15T09:18:36"/>
    <n v="609755"/>
    <s v="MSL Healthcare Ltd"/>
  </r>
  <r>
    <s v="011407M"/>
    <s v="Irish Life"/>
    <s v="Add Members"/>
    <s v="2025-10-10 10:53:48.643000Z"/>
    <s v="011407M"/>
    <s v="Completed"/>
    <s v="Active"/>
    <x v="0"/>
    <x v="1"/>
    <m/>
    <d v="2025-10-10T11:53:41"/>
    <n v="608028"/>
    <s v="Apple"/>
  </r>
  <r>
    <s v="011436M"/>
    <s v="Arctera International Limited"/>
    <s v="Add Members"/>
    <s v="2025-10-14 09:17:23.277000Z"/>
    <s v="011436M"/>
    <s v="Completed"/>
    <s v="Active"/>
    <x v="13"/>
    <x v="1"/>
    <m/>
    <d v="2025-10-14T10:17:14"/>
    <n v="605239"/>
    <s v="Arctera International Limited"/>
  </r>
  <r>
    <s v="011443M"/>
    <s v="Irish Life"/>
    <s v="Add Members"/>
    <s v="2025-10-09 11:09:26.968000Z"/>
    <s v="011443M"/>
    <s v="Completed"/>
    <s v="Active"/>
    <x v="0"/>
    <x v="1"/>
    <m/>
    <d v="2025-10-09T12:09:19"/>
    <n v="605064"/>
    <s v="Bristow Ireland Limited"/>
  </r>
  <r>
    <s v="011470M"/>
    <s v="Aon"/>
    <s v="Add Members"/>
    <s v="2025-10-14 08:53:16.044000Z"/>
    <s v="011470M"/>
    <s v="Completed"/>
    <s v="Active"/>
    <x v="0"/>
    <x v="0"/>
    <m/>
    <d v="2025-10-14T09:53:08"/>
    <n v="606951"/>
    <s v="Boxever Limited"/>
  </r>
  <r>
    <s v="011491M"/>
    <s v="Aon"/>
    <s v="Add Members"/>
    <s v="2025-10-14 09:55:49.876000Z"/>
    <s v="011491M"/>
    <s v="Completed"/>
    <s v="Active"/>
    <x v="0"/>
    <x v="1"/>
    <m/>
    <d v="2025-10-14T10:55:44"/>
    <n v="609839"/>
    <s v="Viatris Pension Plan"/>
  </r>
  <r>
    <s v="011492M"/>
    <s v="Irish Life"/>
    <s v="Add Members"/>
    <s v="2025-10-09 11:45:40.397000Z"/>
    <s v="011492M"/>
    <s v="Completed"/>
    <s v="Active"/>
    <x v="1"/>
    <x v="1"/>
    <m/>
    <d v="2025-10-09T12:45:33"/>
    <n v="606850"/>
    <s v="Tente Limited Employee Benefits Plan"/>
  </r>
  <r>
    <s v="011493M"/>
    <s v="Unio Employee Benefits"/>
    <s v="Add Members"/>
    <s v="2025-10-14 09:00:54.302000Z"/>
    <s v="011493M"/>
    <s v="Completed"/>
    <s v="Active"/>
    <x v="0"/>
    <x v="0"/>
    <m/>
    <d v="2025-10-14T10:00:47"/>
    <n v="602656"/>
    <s v="Horse Sport Ireland Ltd"/>
  </r>
  <r>
    <s v="011510M"/>
    <s v="GoTo Technologies Ireland Unlimited Co"/>
    <s v="Add Members"/>
    <s v="2025-10-14 09:27:37.145000Z"/>
    <s v="011510M"/>
    <s v="Completed"/>
    <s v="Active"/>
    <x v="4"/>
    <x v="1"/>
    <m/>
    <d v="2025-10-14T10:27:29"/>
    <n v="603754"/>
    <s v="GoTo Technologies Ireland Unlimited Co."/>
  </r>
  <r>
    <s v="011531M"/>
    <s v="Tokyo Electron Europe Ltd"/>
    <s v="Add Members"/>
    <s v="2025-10-11 09:36:13.763000Z"/>
    <s v="011531M"/>
    <s v="Completed"/>
    <s v="Active"/>
    <x v="0"/>
    <x v="0"/>
    <m/>
    <d v="2025-10-11T10:36:09"/>
    <n v="601397"/>
    <s v="Tokyo Electron Europe Ltd"/>
  </r>
  <r>
    <s v="011534M"/>
    <s v="Irish Life"/>
    <s v="Add Members"/>
    <s v="2025-10-13 14:42:51.439000Z"/>
    <s v="011534M"/>
    <s v="Completed"/>
    <s v="Active"/>
    <x v="1"/>
    <x v="1"/>
    <m/>
    <d v="2025-10-13T15:42:43"/>
    <n v="603768"/>
    <s v="Natures Best Limited"/>
  </r>
  <r>
    <s v="011536M"/>
    <s v="Tokyo Electron Europe Ltd"/>
    <s v="Add Members"/>
    <s v="2025-10-11 09:33:17.969000Z"/>
    <s v="011536M"/>
    <s v="Completed"/>
    <s v="Active"/>
    <x v="0"/>
    <x v="0"/>
    <m/>
    <d v="2025-10-11T10:33:12"/>
    <n v="601397"/>
    <s v="Tokyo Electron Europe Ltd"/>
  </r>
  <r>
    <s v="011560M"/>
    <s v="Irish Life"/>
    <s v="Add Members"/>
    <s v="2025-10-09 15:04:15.052000Z"/>
    <s v="011560M"/>
    <s v="Completed"/>
    <s v="Active"/>
    <x v="16"/>
    <x v="1"/>
    <m/>
    <d v="2025-10-09T16:04:07"/>
    <n v="606821"/>
    <s v="Siemens Energy Ireland Limited"/>
  </r>
  <r>
    <s v="011575M"/>
    <s v="Irish Life"/>
    <s v="Add Members"/>
    <s v="2025-10-14 13:10:53.107000Z"/>
    <s v="011575M"/>
    <s v="Completed"/>
    <s v="Active"/>
    <x v="17"/>
    <x v="1"/>
    <m/>
    <d v="2025-10-14T14:10:46"/>
    <n v="608028"/>
    <s v="Apple"/>
  </r>
  <r>
    <s v="011580M"/>
    <s v="Irish Life"/>
    <s v="Add Members"/>
    <s v="2025-10-14 13:52:53.350000Z"/>
    <s v="011580M"/>
    <s v="Completed"/>
    <s v="Active"/>
    <x v="4"/>
    <x v="1"/>
    <m/>
    <d v="2025-10-14T14:52:48"/>
    <n v="603525"/>
    <s v="National Advocacy Service"/>
  </r>
  <r>
    <s v="011597M"/>
    <s v="Toasttab Ireland Limited"/>
    <s v="Add Members"/>
    <s v="2025-10-14 12:53:37.374000Z"/>
    <s v="011597M"/>
    <s v="Completed"/>
    <s v="Active"/>
    <x v="14"/>
    <x v="1"/>
    <m/>
    <d v="2025-10-14T13:53:32"/>
    <n v="603965"/>
    <s v="Toasttab Ireland Limited"/>
  </r>
  <r>
    <s v="011615M"/>
    <s v="BearingPoint Ireland Limited"/>
    <s v="Add Members"/>
    <s v="2025-10-14 13:28:08.440000Z"/>
    <s v="011615M"/>
    <s v="Completed"/>
    <s v="Active"/>
    <x v="18"/>
    <x v="1"/>
    <m/>
    <d v="2025-10-14T14:28:00"/>
    <n v="609970"/>
    <s v="BearingPoint Ireland Limited"/>
  </r>
  <r>
    <s v="011617M"/>
    <s v="Blackrock Health"/>
    <s v="Add Members"/>
    <s v="2025-10-14 09:40:45.169000Z"/>
    <s v="011617M"/>
    <s v="Completed"/>
    <s v="Active"/>
    <x v="0"/>
    <x v="0"/>
    <m/>
    <d v="2025-10-14T10:40:40"/>
    <n v="609841"/>
    <s v="Galway Clinic Doughiska Unltd Co"/>
  </r>
  <r>
    <s v="011619M"/>
    <s v="WTW"/>
    <s v="Add Members"/>
    <s v="2025-10-10 15:19:39.423000Z"/>
    <s v="011619M"/>
    <s v="Completed"/>
    <s v="Active"/>
    <x v="0"/>
    <x v="1"/>
    <m/>
    <d v="2025-10-10T16:19:35"/>
    <n v="603691"/>
    <s v="Palo Alto Security Limited"/>
  </r>
  <r>
    <s v="011621M"/>
    <s v="Patrick J Tobin Ltd"/>
    <s v="Add Members"/>
    <s v="2025-10-15 09:34:45.943000Z"/>
    <s v="011621M"/>
    <s v="Completed"/>
    <s v="Active"/>
    <x v="1"/>
    <x v="1"/>
    <m/>
    <d v="2025-10-15T10:34:33"/>
    <n v="602944"/>
    <s v="PATRICK J TOBIN LTD"/>
  </r>
  <r>
    <s v="011645M"/>
    <s v="Moneywise Financial Planning Ltd"/>
    <s v="Add Members"/>
    <s v="2025-10-14 12:59:55.282000Z"/>
    <s v="011645M"/>
    <s v="Completed"/>
    <s v="Active"/>
    <x v="0"/>
    <x v="0"/>
    <m/>
    <d v="2025-10-14T13:59:47"/>
    <n v="601479"/>
    <s v="ByrneWallace RS Plan"/>
  </r>
  <r>
    <s v="011683M"/>
    <s v="IHI Group"/>
    <s v="Add Members"/>
    <s v="2025-10-14 09:15:06.134000Z"/>
    <s v="011683M"/>
    <s v="Completed"/>
    <s v="Active"/>
    <x v="0"/>
    <x v="0"/>
    <m/>
    <d v="2025-10-14T10:15:00"/>
    <n v="603833"/>
    <s v="Keeper Security EMEA Limited"/>
  </r>
  <r>
    <s v="011697M"/>
    <s v="Killarney Hotels Limited"/>
    <s v="Add Members"/>
    <s v="2025-10-15 08:17:57.992000Z"/>
    <s v="011697M"/>
    <s v="Completed"/>
    <s v="Active"/>
    <x v="1"/>
    <x v="1"/>
    <m/>
    <d v="2025-10-15T09:17:49"/>
    <n v="606901"/>
    <s v="Killarney Hotels Limited"/>
  </r>
  <r>
    <s v="011702M"/>
    <s v="Ethos Engineering Limited"/>
    <s v="Add Members"/>
    <s v="2025-10-14 15:33:11.389000Z"/>
    <s v="011702M"/>
    <s v="Completed"/>
    <s v="Active"/>
    <x v="0"/>
    <x v="0"/>
    <m/>
    <d v="2025-10-14T16:33:05"/>
    <n v="603165"/>
    <s v="Ethos Engineering Limited"/>
  </r>
  <r>
    <s v="011703M"/>
    <s v="East Cork Oil Company"/>
    <s v="Add Members"/>
    <s v="2025-10-14 12:25:57.602000Z"/>
    <s v="011703M"/>
    <s v="Completed"/>
    <s v="Active"/>
    <x v="19"/>
    <x v="1"/>
    <m/>
    <d v="2025-10-14T13:25:52"/>
    <n v="602254"/>
    <s v="East Cork Oil Company Unlimited Company"/>
  </r>
  <r>
    <s v="011722M"/>
    <s v="Opening HR Limited"/>
    <s v="Add Members"/>
    <s v="2025-10-14 13:36:52.337000Z"/>
    <s v="011722M"/>
    <s v="Completed"/>
    <s v="Active"/>
    <x v="1"/>
    <x v="1"/>
    <m/>
    <d v="2025-10-14T14:36:48"/>
    <n v="606859"/>
    <s v="Opening HR Limited"/>
  </r>
  <r>
    <s v="011902M"/>
    <s v="Smartply Europe Limited"/>
    <s v="Add Members"/>
    <s v="2025-10-10 10:30:34.770000Z"/>
    <s v="011902M"/>
    <s v="Completed"/>
    <s v="Active"/>
    <x v="0"/>
    <x v="1"/>
    <m/>
    <d v="2025-10-10T11:30:30"/>
    <n v="603658"/>
    <s v="Smartply Europe DAC"/>
  </r>
  <r>
    <s v="011920M"/>
    <s v="Waterford Intellectual Disability Association CLG"/>
    <s v="Add Members"/>
    <s v="2025-10-14 08:14:52.395000Z"/>
    <s v="011920M"/>
    <s v="Completed"/>
    <s v="Active"/>
    <x v="1"/>
    <x v="1"/>
    <m/>
    <d v="2025-10-14T09:14:43"/>
    <n v="609707"/>
    <s v="NFVSP Waterford Intellectual Disability"/>
  </r>
  <r>
    <s v="011928M"/>
    <s v="St Vincents Healthcare Group"/>
    <s v="Add Members"/>
    <s v="2025-10-15 10:46:13.366000Z"/>
    <s v="011928M"/>
    <s v="Completed"/>
    <s v="Active"/>
    <x v="20"/>
    <x v="1"/>
    <m/>
    <d v="2025-10-15T11:46:08"/>
    <n v="602166"/>
    <s v="St Vincent's Private Hospital"/>
  </r>
  <r>
    <s v="011946M"/>
    <s v="MeiraGTx Ireland DAC"/>
    <s v="Add Members"/>
    <s v="2025-10-15 09:28:24.671000Z"/>
    <s v="011946M"/>
    <s v="Completed"/>
    <s v="Active"/>
    <x v="13"/>
    <x v="1"/>
    <m/>
    <d v="2025-10-15T10:28:16"/>
    <n v="606866"/>
    <s v="MeiraGTX Ireland DAC"/>
  </r>
  <r>
    <s v="011956M"/>
    <s v="Irish Life"/>
    <s v="Add Members"/>
    <s v="2025-10-10 11:38:13.742000Z"/>
    <s v="011956M"/>
    <s v="Completed"/>
    <s v="Active"/>
    <x v="15"/>
    <x v="1"/>
    <m/>
    <d v="2025-10-10T12:38:07"/>
    <n v="609914"/>
    <s v="Agri Health DC Pension Scheme"/>
  </r>
  <r>
    <s v="011958M"/>
    <s v="Ornua Co Operative Limited"/>
    <s v="Add Members"/>
    <s v="2025-10-15 12:18:47.551000Z"/>
    <s v="011958M"/>
    <s v="Completed"/>
    <s v="Active"/>
    <x v="2"/>
    <x v="1"/>
    <m/>
    <d v="2025-10-15T13:18:20"/>
    <n v="602833"/>
    <s v="Ornua Co-Operative Limited"/>
  </r>
  <r>
    <s v="011966M"/>
    <s v="Thermo Fisher Scientific"/>
    <s v="Add Members"/>
    <s v="2025-10-14 07:28:10.093000Z"/>
    <s v="011966M"/>
    <s v="Completed"/>
    <s v="Active"/>
    <x v="0"/>
    <x v="1"/>
    <m/>
    <d v="2025-10-14T08:28:04"/>
    <n v="601299"/>
    <s v="Thermo Fisher Scientific Cork Limited"/>
  </r>
  <r>
    <s v="011972M"/>
    <s v="Magnet Networks Ltd"/>
    <s v="Add Members"/>
    <s v="2025-10-15 09:38:57.666000Z"/>
    <s v="011972M"/>
    <s v="Completed"/>
    <s v="Active"/>
    <x v="1"/>
    <x v="1"/>
    <m/>
    <d v="2025-10-15T10:38:49"/>
    <n v="603409"/>
    <s v="Magnet Networks Limited"/>
  </r>
  <r>
    <s v="011982M"/>
    <s v="Ingersoll Rand Industrial Ire Limited"/>
    <s v="Add Members"/>
    <s v="2025-10-14 13:17:46.846000Z"/>
    <s v="011982M"/>
    <s v="Completed"/>
    <s v="Active"/>
    <x v="0"/>
    <x v="0"/>
    <m/>
    <d v="2025-10-14T14:17:37"/>
    <n v="606872"/>
    <s v="Ingersoll- Rand Industrial Ire. Limited"/>
  </r>
  <r>
    <s v="011988M"/>
    <s v="Booking Holdings Financial Services Intl Ltd"/>
    <s v="Add Members"/>
    <s v="2025-10-15 14:36:56.664000Z"/>
    <s v="011988M"/>
    <s v="Completed"/>
    <s v="Active"/>
    <x v="14"/>
    <x v="1"/>
    <m/>
    <d v="2025-10-15T15:36:47"/>
    <n v="606840"/>
    <s v="Booking Holdings Fin. Serv. Intl Ltd"/>
  </r>
  <r>
    <s v="011991M"/>
    <s v="St Christophers Services CLG"/>
    <s v="Add Members"/>
    <s v="2025-10-14 08:25:03.892000Z"/>
    <s v="011991M"/>
    <s v="Completed"/>
    <s v="Active"/>
    <x v="1"/>
    <x v="1"/>
    <m/>
    <d v="2025-10-14T09:24:56"/>
    <n v="609702"/>
    <s v="NFVSP St Christopher's Services CLG"/>
  </r>
  <r>
    <s v="011994M"/>
    <s v="Blackrock Health"/>
    <s v="Add Members"/>
    <s v="2025-10-15 09:51:25.622000Z"/>
    <s v="011994M"/>
    <s v="Completed"/>
    <s v="Active"/>
    <x v="0"/>
    <x v="0"/>
    <m/>
    <d v="2025-10-15T10:51:19"/>
    <n v="609841"/>
    <s v="Galway Clinic Doughiska Unltd Co"/>
  </r>
  <r>
    <s v="011999M"/>
    <s v="Magnet Networks Ltd"/>
    <s v="Add Members"/>
    <s v="2025-10-15 09:23:11.048000Z"/>
    <s v="011999M"/>
    <s v="Completed"/>
    <s v="Active"/>
    <x v="1"/>
    <x v="1"/>
    <m/>
    <d v="2025-10-15T10:23:06"/>
    <n v="609819"/>
    <s v="Enet Defined Contribution Plan"/>
  </r>
  <r>
    <s v="012015M"/>
    <s v="Hertz Europe Service Centre Limited"/>
    <s v="Add Members"/>
    <s v="2025-10-15 08:49:19.111000Z"/>
    <s v="012015M"/>
    <s v="Completed"/>
    <s v="Active"/>
    <x v="21"/>
    <x v="1"/>
    <m/>
    <d v="2025-10-15T09:49:11"/>
    <n v="609621"/>
    <s v="Hertz Europe Service Centre Limited"/>
  </r>
  <r>
    <s v="012020M"/>
    <s v="Stryker Ireland"/>
    <s v="Add Members"/>
    <s v="2025-10-15 13:05:46.704000Z"/>
    <s v="012020M"/>
    <s v="Completed"/>
    <s v="Active"/>
    <x v="4"/>
    <x v="1"/>
    <m/>
    <d v="2025-10-15T14:05:42"/>
    <n v="603990"/>
    <s v="Stryker Ireland DC Pension Plan"/>
  </r>
  <r>
    <s v="012033M"/>
    <s v="Royal London"/>
    <s v="Add Members"/>
    <s v="2025-10-13 10:39:17.217000Z"/>
    <s v="012033M"/>
    <s v="Completed"/>
    <s v="Active"/>
    <x v="15"/>
    <x v="1"/>
    <m/>
    <d v="2025-10-13T11:39:08"/>
    <n v="603549"/>
    <s v="Royal London Mutual Ins. Society Ltd."/>
  </r>
  <r>
    <s v="012035M"/>
    <s v="Unio Employee Benefits"/>
    <s v="Add Members"/>
    <s v="2025-10-15 15:29:21.230000Z"/>
    <s v="012035M"/>
    <s v="Completed"/>
    <s v="Active"/>
    <x v="1"/>
    <x v="1"/>
    <m/>
    <d v="2025-10-15T16:29:14"/>
    <n v="602238"/>
    <s v="ActiveCampaign Ireland Limited"/>
  </r>
  <r>
    <s v="012047M"/>
    <s v="Society of Saint Vincent De Paul"/>
    <s v="Add Members"/>
    <s v="2025-10-15 09:46:33.757000Z"/>
    <s v="012047M"/>
    <s v="Completed"/>
    <s v="Active"/>
    <x v="0"/>
    <x v="0"/>
    <m/>
    <d v="2025-10-15T10:46:19"/>
    <n v="602631"/>
    <s v="Society of Saint Vincent De Paul"/>
  </r>
  <r>
    <s v="012060M"/>
    <s v="Fold Housing Association Company IRL Ltd"/>
    <s v="Add Members"/>
    <s v="2025-10-13 14:01:13.469000Z"/>
    <s v="012060M"/>
    <s v="Completed"/>
    <s v="Active"/>
    <x v="0"/>
    <x v="0"/>
    <m/>
    <d v="2025-10-13T15:01:03"/>
    <n v="603473"/>
    <s v="Fold Housing Association Ireland Ltd."/>
  </r>
  <r>
    <s v="012061M"/>
    <s v="Unio Employee Benefits"/>
    <s v="Add Members"/>
    <s v="2025-10-14 13:27:32.781000Z"/>
    <s v="012061M"/>
    <s v="Completed"/>
    <s v="Active"/>
    <x v="1"/>
    <x v="1"/>
    <m/>
    <d v="2025-10-14T14:27:28"/>
    <n v="606860"/>
    <s v="ADP HR &amp; Payroll Services Ireland Ltd"/>
  </r>
  <r>
    <s v="012087M"/>
    <s v="Unio Employee Benefits"/>
    <s v="Add Members"/>
    <s v="2025-10-15 14:27:29.275000Z"/>
    <s v="012087M"/>
    <s v="Completed"/>
    <s v="Active"/>
    <x v="1"/>
    <x v="1"/>
    <m/>
    <d v="2025-10-15T15:27:22"/>
    <n v="605521"/>
    <s v="Henry J Lyons (Architects) Ltd"/>
  </r>
  <r>
    <s v="012099M"/>
    <s v="Unio Employee Benefits"/>
    <s v="Add Members"/>
    <s v="2025-10-15 14:39:07.720000Z"/>
    <s v="012099M"/>
    <s v="Completed"/>
    <s v="Active"/>
    <x v="1"/>
    <x v="1"/>
    <m/>
    <d v="2025-10-15T15:39:03"/>
    <n v="605521"/>
    <s v="Henry J Lyons (Architects) Ltd"/>
  </r>
  <r>
    <s v="012113M"/>
    <s v="Greencore Group Plc"/>
    <s v="Add Members"/>
    <s v="2025-10-14 15:25:33.268000Z"/>
    <s v="012113M"/>
    <s v="Completed"/>
    <s v="Active"/>
    <x v="1"/>
    <x v="1"/>
    <m/>
    <d v="2025-10-14T16:25:22"/>
    <n v="602039"/>
    <s v="Greencore Group Plc"/>
  </r>
  <r>
    <s v="012116M"/>
    <s v="Coupa Operations Inc"/>
    <s v="Add Members"/>
    <s v="2025-10-14 13:37:47.694000Z"/>
    <s v="012116M"/>
    <s v="Completed"/>
    <s v="Active"/>
    <x v="0"/>
    <x v="0"/>
    <m/>
    <d v="2025-10-14T14:37:43"/>
    <n v="603485"/>
    <s v="Coupa Operations Inc."/>
  </r>
  <r>
    <s v="012121M"/>
    <s v="Sunbeam House Services CLG"/>
    <s v="Add Members"/>
    <s v="2025-10-14 08:36:20.162000Z"/>
    <s v="012121M"/>
    <s v="Completed"/>
    <s v="Active"/>
    <x v="12"/>
    <x v="1"/>
    <m/>
    <d v="2025-10-14T09:36:12"/>
    <n v="609700"/>
    <s v="NFVSP Sunbeam House Services CLG"/>
  </r>
  <r>
    <s v="012128M"/>
    <s v="Coupa Operations Inc"/>
    <s v="Add Members"/>
    <s v="2025-10-14 13:51:52.697000Z"/>
    <s v="012128M"/>
    <s v="Completed"/>
    <s v="Active"/>
    <x v="0"/>
    <x v="0"/>
    <m/>
    <d v="2025-10-14T14:51:43"/>
    <n v="603485"/>
    <s v="Coupa Operations Inc."/>
  </r>
  <r>
    <s v="012146M"/>
    <s v="Irish Life"/>
    <s v="Add Members"/>
    <s v="2025-10-15 14:39:33.435000Z"/>
    <s v="012146M"/>
    <s v="Completed"/>
    <s v="Active"/>
    <x v="0"/>
    <x v="1"/>
    <m/>
    <d v="2025-10-15T15:39:25"/>
    <n v="609069"/>
    <s v="Brickiln Limited"/>
  </r>
  <r>
    <s v="012162M"/>
    <s v="Magnet Networks Ltd"/>
    <s v="Add Members"/>
    <s v="2025-10-12 12:14:17.129000Z"/>
    <s v="012162M"/>
    <s v="Completed"/>
    <s v="Active"/>
    <x v="0"/>
    <x v="0"/>
    <m/>
    <d v="2025-10-12T13:14:09"/>
    <n v="603409"/>
    <s v="Magnet Networks Limited"/>
  </r>
  <r>
    <s v="012164M"/>
    <s v="Patrick J Tobin Ltd"/>
    <s v="Add Members"/>
    <s v="2025-10-14 10:57:31.219000Z"/>
    <s v="012164M"/>
    <s v="Completed"/>
    <s v="Active"/>
    <x v="4"/>
    <x v="1"/>
    <m/>
    <d v="2025-10-14T11:57:20"/>
    <n v="602944"/>
    <s v="PATRICK J TOBIN LTD"/>
  </r>
  <r>
    <s v="012166M"/>
    <s v="AWP Health and Life SA"/>
    <s v="Add Members"/>
    <s v="2025-10-15 10:02:10.023000Z"/>
    <s v="012166M"/>
    <s v="Completed"/>
    <s v="Active"/>
    <x v="0"/>
    <x v="2"/>
    <m/>
    <e v="#N/A"/>
    <e v="#N/A"/>
    <e v="#N/A"/>
  </r>
  <r>
    <s v="012169M"/>
    <s v="AWP Health and Life SA"/>
    <s v="Add Members"/>
    <s v="2025-10-15 10:00:59.385000Z"/>
    <s v="012169M"/>
    <s v="Completed"/>
    <s v="Active"/>
    <x v="0"/>
    <x v="2"/>
    <m/>
    <e v="#N/A"/>
    <e v="#N/A"/>
    <e v="#N/A"/>
  </r>
  <r>
    <s v="012170M"/>
    <s v="AWP Health and Life SA"/>
    <s v="Add Members"/>
    <s v="2025-10-15 09:56:16.725000Z"/>
    <s v="012170M"/>
    <s v="Completed"/>
    <s v="Active"/>
    <x v="0"/>
    <x v="2"/>
    <m/>
    <e v="#N/A"/>
    <e v="#N/A"/>
    <e v="#N/A"/>
  </r>
  <r>
    <s v="012171M"/>
    <s v="AWP Health and Life SA"/>
    <s v="Add Members"/>
    <s v="2025-10-15 10:05:01.005000Z"/>
    <s v="012171M"/>
    <s v="Completed"/>
    <s v="Active"/>
    <x v="0"/>
    <x v="2"/>
    <m/>
    <e v="#N/A"/>
    <e v="#N/A"/>
    <e v="#N/A"/>
  </r>
  <r>
    <s v="012172M"/>
    <s v="AWP Health and Life SA"/>
    <s v="Add Members"/>
    <s v="2025-10-15 10:07:22.331000Z"/>
    <s v="012172M"/>
    <s v="Completed"/>
    <s v="Active"/>
    <x v="0"/>
    <x v="2"/>
    <m/>
    <e v="#N/A"/>
    <e v="#N/A"/>
    <e v="#N/A"/>
  </r>
  <r>
    <s v="012173M"/>
    <s v="AWP Health and Life SA"/>
    <s v="Add Members"/>
    <s v="2025-10-15 10:00:08.782000Z"/>
    <s v="012173M"/>
    <s v="Completed"/>
    <s v="Active"/>
    <x v="0"/>
    <x v="2"/>
    <m/>
    <e v="#N/A"/>
    <e v="#N/A"/>
    <e v="#N/A"/>
  </r>
  <r>
    <s v="012181M"/>
    <s v="Project Management Limited"/>
    <s v="Add Members"/>
    <s v="2025-10-15 11:12:46.152000Z"/>
    <s v="012181M"/>
    <s v="Completed"/>
    <s v="Active"/>
    <x v="22"/>
    <x v="1"/>
    <m/>
    <d v="2025-10-15T12:12:34"/>
    <n v="605268"/>
    <s v="Project Management Limited"/>
  </r>
  <r>
    <s v="012183M"/>
    <s v="RKD Architects"/>
    <s v="Add Members"/>
    <s v="2025-10-12 12:08:24.986000Z"/>
    <s v="012183M"/>
    <s v="Completed"/>
    <s v="Active"/>
    <x v="0"/>
    <x v="0"/>
    <m/>
    <d v="2025-10-12T13:08:17"/>
    <n v="602042"/>
    <s v="RKD Architects"/>
  </r>
  <r>
    <s v="012195M"/>
    <s v="Dropbox Group DC Pension Scheme"/>
    <s v="Add Members"/>
    <s v="2025-10-15 14:43:18.982000Z"/>
    <s v="012195M"/>
    <s v="Completed"/>
    <s v="Active"/>
    <x v="1"/>
    <x v="1"/>
    <m/>
    <d v="2025-10-15T15:43:13"/>
    <n v="609904"/>
    <s v="Dropbox Group DC Pension Scheme"/>
  </r>
  <r>
    <s v="012200M"/>
    <s v="Lockton Employee Benefits Ireland"/>
    <s v="Add Members"/>
    <s v="2025-10-13 17:15:05.798000Z"/>
    <s v="012200M"/>
    <s v="Completed"/>
    <s v="Active"/>
    <x v="0"/>
    <x v="0"/>
    <m/>
    <d v="2025-10-13T18:14:59"/>
    <n v="603651"/>
    <s v="Specialist Technical Engineering Serv."/>
  </r>
  <r>
    <s v="012214M"/>
    <s v="Glennon Employee Benefits"/>
    <s v="Add Members"/>
    <s v="2025-10-14 08:29:16.074000Z"/>
    <s v="012214M"/>
    <s v="Completed"/>
    <s v="Active"/>
    <x v="10"/>
    <x v="1"/>
    <m/>
    <d v="2025-10-14T09:29:09"/>
    <n v="603714"/>
    <s v="Quest Software International Ltd"/>
  </r>
  <r>
    <s v="012217M"/>
    <s v="Glennon Employee Benefits"/>
    <s v="Add Members"/>
    <s v="2025-10-15 11:39:38.387000Z"/>
    <s v="012217M"/>
    <s v="Completed"/>
    <s v="Active"/>
    <x v="15"/>
    <x v="1"/>
    <m/>
    <d v="2025-10-15T12:39:31"/>
    <n v="605117"/>
    <s v="One Identity Software International DAC"/>
  </r>
  <r>
    <s v="012221M"/>
    <s v="Aon"/>
    <s v="Add Members"/>
    <s v="2025-10-16 10:52:39.500000Z"/>
    <s v="012221M"/>
    <s v="Completed"/>
    <s v="Active"/>
    <x v="13"/>
    <x v="1"/>
    <m/>
    <d v="2025-10-16T11:52:33"/>
    <n v="609347"/>
    <s v="Intercom R&amp;D Unlimited Company"/>
  </r>
  <r>
    <s v="012226M"/>
    <s v="Pramerica Systems Ireland Ltd"/>
    <s v="Add Members"/>
    <s v="2025-10-15 09:57:07.512000Z"/>
    <s v="012226M"/>
    <s v="Completed"/>
    <s v="Active"/>
    <x v="23"/>
    <x v="1"/>
    <m/>
    <d v="2025-10-15T10:57:00"/>
    <n v="606911"/>
    <s v="PGIM Ltd"/>
  </r>
  <r>
    <s v="012228M"/>
    <s v="Securitas Security Services Ireland Ltd"/>
    <s v="Add Members"/>
    <s v="2025-10-13 15:37:31.907000Z"/>
    <s v="012228M"/>
    <s v="Completed"/>
    <s v="Active"/>
    <x v="0"/>
    <x v="0"/>
    <m/>
    <d v="2025-10-13T16:37:22"/>
    <n v="601991"/>
    <s v="Securitas Security Services (Ireland)Ltd"/>
  </r>
  <r>
    <s v="012233M"/>
    <s v="Irish Life"/>
    <s v="Add Members"/>
    <s v="2025-10-15 09:09:26.528000Z"/>
    <s v="012233M"/>
    <s v="Completed"/>
    <s v="Active"/>
    <x v="24"/>
    <x v="1"/>
    <m/>
    <d v="2025-10-15T10:09:21"/>
    <n v="603616"/>
    <s v="Google Ireland Limited"/>
  </r>
  <r>
    <s v="012240M"/>
    <s v="Irish Life"/>
    <s v="Add Members"/>
    <s v="2025-10-10 15:46:06.697000Z"/>
    <s v="012240M"/>
    <s v="Completed"/>
    <s v="Active"/>
    <x v="0"/>
    <x v="1"/>
    <m/>
    <d v="2025-10-10T16:46:00"/>
    <n v="602429"/>
    <s v="BOC Gases Ireland Limited"/>
  </r>
  <r>
    <s v="012242M"/>
    <s v="Representative Church Body Retirement Solution Plan"/>
    <s v="Add Members"/>
    <s v="2025-10-13 15:15:43.948000Z"/>
    <s v="012242M"/>
    <s v="Completed"/>
    <s v="Active"/>
    <x v="0"/>
    <x v="0"/>
    <m/>
    <d v="2025-10-13T16:15:39"/>
    <n v="603066"/>
    <s v="Representative Church Body"/>
  </r>
  <r>
    <s v="012249M"/>
    <s v="IHI Group"/>
    <s v="Add Members"/>
    <s v="2025-10-15 07:33:44.693000Z"/>
    <s v="012249M"/>
    <s v="Completed"/>
    <s v="Active"/>
    <x v="0"/>
    <x v="0"/>
    <m/>
    <d v="2025-10-15T08:33:39"/>
    <n v="603833"/>
    <s v="Keeper Security EMEA Limited"/>
  </r>
  <r>
    <s v="012260M"/>
    <s v="The Open University Retirement Solution Plan"/>
    <s v="Add Members"/>
    <s v="2025-10-16 10:34:30.850000Z"/>
    <s v="012260M"/>
    <s v="Completed"/>
    <s v="Active"/>
    <x v="12"/>
    <x v="1"/>
    <m/>
    <d v="2025-10-16T11:34:20"/>
    <n v="601152"/>
    <s v="The Open University"/>
  </r>
  <r>
    <s v="012268M"/>
    <s v="Patrick J Tobin Ltd"/>
    <s v="Add Members"/>
    <s v="2025-10-14 15:18:26.910000Z"/>
    <s v="012268M"/>
    <s v="Completed"/>
    <s v="Active"/>
    <x v="1"/>
    <x v="1"/>
    <m/>
    <d v="2025-10-14T16:18:20"/>
    <n v="602944"/>
    <s v="PATRICK J TOBIN LTD"/>
  </r>
  <r>
    <s v="012290M"/>
    <s v="Irish Life"/>
    <s v="Add Members"/>
    <s v="2025-10-14 10:52:35.799000Z"/>
    <s v="012290M"/>
    <s v="Completed"/>
    <s v="Active"/>
    <x v="1"/>
    <x v="1"/>
    <m/>
    <d v="2025-10-14T11:52:30"/>
    <n v="605564"/>
    <s v="BNP Paribas Real Estate Ireland Limited"/>
  </r>
  <r>
    <s v="012695M"/>
    <s v="Thermo Fisher Scientific"/>
    <s v="Add Members"/>
    <s v="2025-10-15 15:40:18.421000Z"/>
    <s v="012695M"/>
    <s v="Completed"/>
    <s v="Active"/>
    <x v="13"/>
    <x v="1"/>
    <m/>
    <d v="2025-10-15T16:40:12"/>
    <n v="601299"/>
    <s v="Thermo Fisher Scientific Cork Limited"/>
  </r>
  <r>
    <s v="012699M"/>
    <s v="ChildVision"/>
    <s v="Add Members"/>
    <s v="2025-10-15 08:34:28.359000Z"/>
    <s v="012699M"/>
    <s v="Completed"/>
    <s v="Active"/>
    <x v="0"/>
    <x v="0"/>
    <m/>
    <d v="2025-10-15T09:34:24"/>
    <n v="601313"/>
    <s v="ChildVision"/>
  </r>
  <r>
    <s v="012708M"/>
    <s v="Irish Life"/>
    <s v="Add Members"/>
    <s v="2025-10-13 14:42:45.922000Z"/>
    <s v="012708M"/>
    <s v="Completed"/>
    <s v="Active"/>
    <x v="1"/>
    <x v="1"/>
    <m/>
    <d v="2025-10-13T15:42:38"/>
    <n v="606813"/>
    <s v="RiverStone International Ireland"/>
  </r>
  <r>
    <s v="012710M"/>
    <s v="Irish Life"/>
    <s v="Add Members"/>
    <s v="2025-10-13 08:17:44.038000Z"/>
    <s v="012710M"/>
    <s v="Completed"/>
    <s v="Active"/>
    <x v="13"/>
    <x v="1"/>
    <m/>
    <d v="2025-10-13T09:17:37"/>
    <n v="603619"/>
    <s v="QIL Technologies Limited"/>
  </r>
  <r>
    <s v="012735M"/>
    <s v="Demonware Limited"/>
    <s v="Add Members"/>
    <s v="2025-10-16 12:50:41.412000Z"/>
    <s v="012735M"/>
    <s v="Completed"/>
    <s v="Active"/>
    <x v="0"/>
    <x v="1"/>
    <m/>
    <d v="2025-10-16T13:50:32"/>
    <n v="602935"/>
    <s v="Demonware Limited"/>
  </r>
  <r>
    <s v="012809M"/>
    <s v="Blackrock Health"/>
    <s v="Add Members"/>
    <s v="2025-10-15 13:26:44.695000Z"/>
    <s v="012809M"/>
    <s v="Completed"/>
    <s v="Active"/>
    <x v="0"/>
    <x v="0"/>
    <m/>
    <d v="2025-10-15T14:26:40"/>
    <n v="609841"/>
    <s v="Galway Clinic Doughiska Unltd Co"/>
  </r>
  <r>
    <s v="012810M"/>
    <s v="Blackrock Health"/>
    <s v="Add Members"/>
    <s v="2025-10-15 13:30:26.191000Z"/>
    <s v="012810M"/>
    <s v="Completed"/>
    <s v="Active"/>
    <x v="0"/>
    <x v="0"/>
    <m/>
    <d v="2025-10-15T14:30:09"/>
    <n v="609841"/>
    <s v="Galway Clinic Doughiska Unltd Co"/>
  </r>
  <r>
    <s v="012825M"/>
    <s v="Irish Life"/>
    <s v="Add Members"/>
    <s v="2025-10-13 09:55:09.932000Z"/>
    <s v="012825M"/>
    <s v="Completed"/>
    <s v="Active"/>
    <x v="1"/>
    <x v="1"/>
    <m/>
    <d v="2025-10-13T10:55:00"/>
    <n v="601590"/>
    <s v="Co Wexford Community Workshop(E) Ltd"/>
  </r>
  <r>
    <s v="012923M"/>
    <s v="Unio Employee Benefits"/>
    <s v="Add Members"/>
    <s v="2025-10-16 12:29:16.043000Z"/>
    <s v="012923M"/>
    <s v="Completed"/>
    <s v="Active"/>
    <x v="1"/>
    <x v="1"/>
    <m/>
    <d v="2025-10-16T13:29:03"/>
    <n v="602741"/>
    <s v="AOTI Ltd"/>
  </r>
  <r>
    <s v="012955M"/>
    <s v="Irish Life"/>
    <s v="Add Members"/>
    <s v="2025-10-16 08:06:37.082000Z"/>
    <s v="012955M"/>
    <s v="Completed"/>
    <s v="Active"/>
    <x v="1"/>
    <x v="1"/>
    <m/>
    <d v="2025-10-16T09:06:29"/>
    <n v="606849"/>
    <s v="Maples Group"/>
  </r>
  <r>
    <s v="012985M"/>
    <s v="RKD Architects"/>
    <s v="Add Members"/>
    <s v="2025-10-13 14:51:09.254000Z"/>
    <s v="012985M"/>
    <s v="Completed"/>
    <s v="Active"/>
    <x v="0"/>
    <x v="0"/>
    <m/>
    <d v="2025-10-13T15:51:00"/>
    <n v="602042"/>
    <s v="RKD Architects"/>
  </r>
  <r>
    <s v="012997M"/>
    <s v="Western Care Association"/>
    <s v="Add Members"/>
    <s v="2025-10-14 08:56:52.089000Z"/>
    <s v="012997M"/>
    <s v="Completed"/>
    <s v="Active"/>
    <x v="14"/>
    <x v="1"/>
    <m/>
    <d v="2025-10-14T09:56:45"/>
    <n v="609706"/>
    <s v="NFVSP Western Care Association"/>
  </r>
  <r>
    <s v="013007M"/>
    <s v="Irish Life"/>
    <s v="Add Members"/>
    <s v="2025-10-13 15:55:44.355000Z"/>
    <s v="013007M"/>
    <s v="Completed"/>
    <s v="Active"/>
    <x v="4"/>
    <x v="1"/>
    <m/>
    <d v="2025-10-13T16:55:39"/>
    <n v="601299"/>
    <s v="Thermo Fisher Scientific Cork Limited"/>
  </r>
  <r>
    <s v="013014M"/>
    <s v="Unio Employee Benefits"/>
    <s v="Add Members"/>
    <s v="2025-10-16 12:37:32.592000Z"/>
    <s v="013014M"/>
    <s v="Completed"/>
    <s v="Active"/>
    <x v="1"/>
    <x v="1"/>
    <m/>
    <d v="2025-10-16T13:37:28"/>
    <n v="603098"/>
    <s v="Loreto College Junior School"/>
  </r>
  <r>
    <s v="013043M"/>
    <s v="Joseph G Byrne and Sons Consulting Actuaries"/>
    <s v="Add Members"/>
    <s v="2025-10-16 08:53:35.937000Z"/>
    <s v="013043M"/>
    <s v="Completed"/>
    <s v="Active"/>
    <x v="4"/>
    <x v="1"/>
    <m/>
    <d v="2025-10-16T09:53:27"/>
    <n v="609763"/>
    <s v="Belvedere College SJ"/>
  </r>
  <r>
    <s v="013058M"/>
    <s v="Proofpoint Ireland Limited"/>
    <s v="Add Members"/>
    <s v="2025-10-16 15:05:08.092000Z"/>
    <s v="013058M"/>
    <s v="Completed"/>
    <s v="Active"/>
    <x v="4"/>
    <x v="1"/>
    <m/>
    <d v="2025-10-16T16:04:59"/>
    <n v="605043"/>
    <s v="Proofpoint Ireland Limited"/>
  </r>
  <r>
    <s v="013067M"/>
    <s v="Chartered Financial Solutions"/>
    <s v="Add Members"/>
    <s v="2025-10-16 09:27:52.344000Z"/>
    <s v="013067M"/>
    <s v="Completed"/>
    <s v="Active"/>
    <x v="1"/>
    <x v="1"/>
    <m/>
    <d v="2025-10-16T10:27:47"/>
    <n v="602410"/>
    <s v="Barclay Chemicals Manufacturing Limited"/>
  </r>
  <r>
    <s v="013095M"/>
    <s v="O Neill O Malley Ltd"/>
    <s v="Add Members"/>
    <s v="2025-10-16 10:20:23.719000Z"/>
    <s v="013095M"/>
    <s v="Completed"/>
    <s v="Active"/>
    <x v="22"/>
    <x v="1"/>
    <m/>
    <d v="2025-10-16T11:20:16"/>
    <n v="609584"/>
    <s v="O'Neill O'Malley LTD."/>
  </r>
  <r>
    <s v="013109M"/>
    <s v="Gaeloideachas Pension Plan"/>
    <s v="Add Members"/>
    <s v="2025-10-13 17:04:33.678000Z"/>
    <s v="013109M"/>
    <s v="Completed"/>
    <s v="Active"/>
    <x v="0"/>
    <x v="0"/>
    <m/>
    <d v="2025-10-13T18:04:27"/>
    <n v="605212"/>
    <s v="Gaeloideachas Pension Plan"/>
  </r>
  <r>
    <s v="013146M"/>
    <s v="Irish Life"/>
    <s v="Add Members"/>
    <s v="2025-10-13 13:45:05.681000Z"/>
    <s v="013146M"/>
    <s v="Completed"/>
    <s v="Active"/>
    <x v="25"/>
    <x v="1"/>
    <m/>
    <d v="2025-10-13T14:44:54"/>
    <n v="605244"/>
    <s v="Klaviyo Ireland Limited"/>
  </r>
  <r>
    <s v="013147M"/>
    <s v="Irish Life"/>
    <s v="Add Members"/>
    <s v="2025-10-13 14:40:04.249000Z"/>
    <s v="013147M"/>
    <s v="Completed"/>
    <s v="Active"/>
    <x v="13"/>
    <x v="1"/>
    <m/>
    <d v="2025-10-13T15:39:57"/>
    <n v="609121"/>
    <s v="Haleon Ireland Dungarvan Limited"/>
  </r>
  <r>
    <s v="013180M"/>
    <s v="Bon Secours Health System CLG"/>
    <s v="Add Members"/>
    <s v="2025-10-16 09:28:23.123000Z"/>
    <s v="013180M"/>
    <s v="Completed"/>
    <s v="Active"/>
    <x v="26"/>
    <x v="1"/>
    <m/>
    <d v="2025-10-16T10:28:16"/>
    <n v="608029"/>
    <s v="Bon Secours Health System Limited"/>
  </r>
  <r>
    <s v="013182M"/>
    <s v="Bon Secours Health System CLG"/>
    <s v="Add Members"/>
    <s v="2025-10-16 09:56:00.933000Z"/>
    <s v="013182M"/>
    <s v="Completed"/>
    <s v="Active"/>
    <x v="14"/>
    <x v="1"/>
    <m/>
    <d v="2025-10-16T10:55:55"/>
    <n v="608029"/>
    <s v="Bon Secours Health System Limited"/>
  </r>
  <r>
    <s v="013247M"/>
    <s v="Kerry Group Plc"/>
    <s v="Add Members"/>
    <s v="2025-10-14 13:17:41.191000Z"/>
    <s v="013247M"/>
    <s v="Completed"/>
    <s v="Active"/>
    <x v="15"/>
    <x v="1"/>
    <m/>
    <d v="2025-10-14T14:17:32"/>
    <n v="603888"/>
    <s v="Kerry Group Plc"/>
  </r>
  <r>
    <s v="013252M"/>
    <s v="Kerry Group Plc"/>
    <s v="Add Members"/>
    <s v="2025-10-14 13:46:15.675000Z"/>
    <s v="013252M"/>
    <s v="Completed"/>
    <s v="Active"/>
    <x v="27"/>
    <x v="1"/>
    <m/>
    <d v="2025-10-14T14:46:07"/>
    <n v="605376"/>
    <s v="Kerry Dairy Holdings (Ireland) Limited"/>
  </r>
  <r>
    <s v="013259M"/>
    <s v="Kerry Group Plc"/>
    <s v="Add Members"/>
    <s v="2025-10-14 13:32:29.636000Z"/>
    <s v="013259M"/>
    <s v="Completed"/>
    <s v="Active"/>
    <x v="0"/>
    <x v="1"/>
    <m/>
    <d v="2025-10-14T14:32:21"/>
    <n v="605376"/>
    <s v="Kerry Dairy Holdings (Ireland) Limited"/>
  </r>
  <r>
    <s v="013278M"/>
    <s v="Patrick J Tobin Ltd"/>
    <s v="Add Members"/>
    <s v="2025-10-16 08:52:14.847000Z"/>
    <s v="013278M"/>
    <s v="Completed"/>
    <s v="Active"/>
    <x v="1"/>
    <x v="1"/>
    <m/>
    <d v="2025-10-16T09:52:05"/>
    <n v="602944"/>
    <s v="PATRICK J TOBIN LTD"/>
  </r>
  <r>
    <s v="013283M"/>
    <s v="Western Care Association"/>
    <s v="Add Members"/>
    <s v="2025-10-14 08:57:27.778000Z"/>
    <s v="013283M"/>
    <s v="Completed"/>
    <s v="Active"/>
    <x v="0"/>
    <x v="0"/>
    <m/>
    <d v="2025-10-14T09:57:13"/>
    <n v="609706"/>
    <s v="NFVSP Western Care Association"/>
  </r>
  <r>
    <s v="013288M"/>
    <s v="Cheshire Foundation in Ireland"/>
    <s v="Add Members"/>
    <s v="2025-10-16 09:14:58.502000Z"/>
    <s v="013288M"/>
    <s v="Completed"/>
    <s v="Active"/>
    <x v="28"/>
    <x v="1"/>
    <m/>
    <d v="2025-10-16T10:14:53"/>
    <n v="601294"/>
    <s v="Cheshire Foundation in Ireland"/>
  </r>
  <r>
    <s v="013294M"/>
    <s v="Ethos Engineering Limited"/>
    <s v="Add Members"/>
    <s v="2025-10-16 10:44:45.084000Z"/>
    <s v="013294M"/>
    <s v="Completed"/>
    <s v="Active"/>
    <x v="0"/>
    <x v="0"/>
    <m/>
    <d v="2025-10-16T11:44:36"/>
    <n v="603165"/>
    <s v="Ethos Engineering Limited"/>
  </r>
  <r>
    <s v="013316M"/>
    <s v="Irish Life"/>
    <s v="Add Members"/>
    <s v="2025-10-16 07:59:15.279000Z"/>
    <s v="013316M"/>
    <s v="Completed"/>
    <s v="Active"/>
    <x v="4"/>
    <x v="1"/>
    <m/>
    <d v="2025-10-16T08:59:09"/>
    <n v="603223"/>
    <s v="MongoDB Limited"/>
  </r>
  <r>
    <s v="013317M"/>
    <s v="Aon"/>
    <s v="Add Members"/>
    <s v="2025-10-16 08:44:07.346000Z"/>
    <s v="013317M"/>
    <s v="Completed"/>
    <s v="Active"/>
    <x v="0"/>
    <x v="0"/>
    <m/>
    <d v="2025-10-16T09:44:01"/>
    <n v="608068"/>
    <s v="Ministry Brands Limited"/>
  </r>
  <r>
    <s v="016544M"/>
    <s v="Irish Life"/>
    <s v="Add Members"/>
    <s v="2025-10-13 16:53:30.930000Z"/>
    <s v="016544M"/>
    <s v="Completed"/>
    <s v="Active"/>
    <x v="1"/>
    <x v="1"/>
    <m/>
    <d v="2025-10-13T17:50:04"/>
    <n v="609820"/>
    <s v="Carraig Donn Trading ULC"/>
  </r>
  <r>
    <s v="016546M"/>
    <s v="Blackrock Health"/>
    <s v="Add Members"/>
    <s v="2025-10-15 13:51:08.917000Z"/>
    <s v="016546M"/>
    <s v="Completed"/>
    <s v="Active"/>
    <x v="0"/>
    <x v="0"/>
    <m/>
    <d v="2025-10-15T14:51:03"/>
    <n v="609841"/>
    <s v="Galway Clinic Doughiska Unltd Co"/>
  </r>
  <r>
    <s v="016547M"/>
    <s v="Blackrock Health"/>
    <s v="Add Members"/>
    <s v="2025-10-15 13:44:34.538000Z"/>
    <s v="016547M"/>
    <s v="Completed"/>
    <s v="Active"/>
    <x v="0"/>
    <x v="0"/>
    <m/>
    <d v="2025-10-15T14:44:25"/>
    <n v="609841"/>
    <s v="Galway Clinic Doughiska Unltd Co"/>
  </r>
  <r>
    <s v="016548M"/>
    <s v="Chartered Financial Solutions"/>
    <s v="Add Members"/>
    <s v="2025-10-16 12:57:18.230000Z"/>
    <s v="016548M"/>
    <s v="Completed"/>
    <s v="Active"/>
    <x v="0"/>
    <x v="1"/>
    <m/>
    <d v="2025-10-16T13:57:10"/>
    <n v="603970"/>
    <s v="Twilio Ireland Limited"/>
  </r>
  <r>
    <s v="016550M"/>
    <s v="Blackrock Health"/>
    <s v="Add Members"/>
    <s v="2025-10-15 13:47:56.322000Z"/>
    <s v="016550M"/>
    <s v="Completed"/>
    <s v="Active"/>
    <x v="0"/>
    <x v="0"/>
    <m/>
    <d v="2025-10-15T14:47:51"/>
    <n v="609841"/>
    <s v="Galway Clinic Doughiska Unltd Co"/>
  </r>
  <r>
    <s v="016554M"/>
    <s v="Ethos Engineering Limited"/>
    <s v="Add Members"/>
    <s v="2025-10-16 10:50:08.921000Z"/>
    <s v="016554M"/>
    <s v="Completed"/>
    <s v="Active"/>
    <x v="0"/>
    <x v="0"/>
    <m/>
    <d v="2025-10-16T11:49:59"/>
    <n v="603165"/>
    <s v="Ethos Engineering Limited"/>
  </r>
  <r>
    <s v="016578M"/>
    <s v="Chartered Financial Solutions"/>
    <s v="Add Members"/>
    <s v="2025-10-16 12:59:44.085000Z"/>
    <s v="016578M"/>
    <s v="Completed"/>
    <s v="Active"/>
    <x v="4"/>
    <x v="1"/>
    <m/>
    <d v="2025-10-16T13:59:35"/>
    <n v="603970"/>
    <s v="Twilio Ireland Limited"/>
  </r>
  <r>
    <s v="016581M"/>
    <s v="Chartered Financial Solutions"/>
    <s v="Add Members"/>
    <s v="2025-10-16 09:26:31.581000Z"/>
    <s v="016581M"/>
    <s v="Completed"/>
    <s v="Active"/>
    <x v="1"/>
    <x v="1"/>
    <m/>
    <d v="2025-10-16T10:26:27"/>
    <n v="602410"/>
    <s v="Barclay Chemicals Manufacturing Limited"/>
  </r>
  <r>
    <s v="016695M"/>
    <s v="eircom"/>
    <s v="Add Members"/>
    <s v="2025-10-16 10:38:26.845000Z"/>
    <s v="016695M"/>
    <s v="Completed"/>
    <s v="Active"/>
    <x v="1"/>
    <x v="1"/>
    <m/>
    <d v="2025-10-16T11:38:21"/>
    <n v="603757"/>
    <s v="eircom Limited AVC Scheme"/>
  </r>
  <r>
    <s v="016733M"/>
    <s v="eircom"/>
    <s v="Add Members"/>
    <s v="2025-10-16 10:40:52.916000Z"/>
    <s v="016733M"/>
    <s v="Completed"/>
    <s v="Active"/>
    <x v="0"/>
    <x v="0"/>
    <m/>
    <d v="2025-10-16T11:40:48"/>
    <n v="603756"/>
    <s v="eircom"/>
  </r>
  <r>
    <s v="016864M"/>
    <s v="Irish Life"/>
    <s v="Add Members"/>
    <s v="2025-10-14 08:28:15.089000Z"/>
    <s v="016864M"/>
    <s v="Completed"/>
    <s v="Active"/>
    <x v="13"/>
    <x v="1"/>
    <m/>
    <d v="2025-10-14T09:28:06"/>
    <n v="603654"/>
    <s v="CCG Aonad Slainte do Mhic Leinn Teo"/>
  </r>
  <r>
    <s v="016866M"/>
    <s v="Irish Life"/>
    <s v="Add Members"/>
    <s v="2025-10-14 08:46:07.778000Z"/>
    <s v="016866M"/>
    <s v="Completed"/>
    <s v="Active"/>
    <x v="23"/>
    <x v="1"/>
    <m/>
    <d v="2025-10-14T09:45:59"/>
    <n v="609584"/>
    <s v="O'Neill O'Malley LTD."/>
  </r>
  <r>
    <s v="016895M"/>
    <s v="Open Text Ireland Ltd"/>
    <s v="Add Members"/>
    <s v="2025-10-16 11:31:34.149000Z"/>
    <s v="016895M"/>
    <s v="Completed"/>
    <s v="Active"/>
    <x v="0"/>
    <x v="0"/>
    <m/>
    <d v="2025-10-16T12:31:27"/>
    <n v="602876"/>
    <s v="Open Text Ireland Ltd"/>
  </r>
  <r>
    <s v="016925M"/>
    <s v="Irish Life"/>
    <s v="Add Members"/>
    <s v="2025-10-14 09:02:25.247000Z"/>
    <s v="016925M"/>
    <s v="Completed"/>
    <s v="Active"/>
    <x v="1"/>
    <x v="1"/>
    <m/>
    <d v="2025-10-14T10:02:14"/>
    <n v="602686"/>
    <s v="Autodesk Ireland"/>
  </r>
  <r>
    <s v="016926M"/>
    <s v="Irish Life"/>
    <s v="Add Members"/>
    <s v="2025-10-14 11:24:48.803000Z"/>
    <s v="016926M"/>
    <s v="Completed"/>
    <s v="Active"/>
    <x v="1"/>
    <x v="1"/>
    <m/>
    <d v="2025-10-14T12:24:40"/>
    <n v="608028"/>
    <s v="Apple"/>
  </r>
  <r>
    <s v="016927M"/>
    <s v="Irish Life"/>
    <s v="Add Members"/>
    <s v="2025-10-14 11:24:43.364000Z"/>
    <s v="016927M"/>
    <s v="Completed"/>
    <s v="Active"/>
    <x v="4"/>
    <x v="1"/>
    <m/>
    <d v="2025-10-14T12:24:35"/>
    <n v="608028"/>
    <s v="Apple"/>
  </r>
  <r>
    <s v="016937M"/>
    <s v="Ability West"/>
    <s v="Add Members"/>
    <s v="2025-10-16 11:02:35.558000Z"/>
    <s v="016937M"/>
    <s v="Completed"/>
    <s v="Active"/>
    <x v="28"/>
    <x v="1"/>
    <m/>
    <d v="2025-10-16T12:02:25"/>
    <n v="609694"/>
    <s v="NFVSP Ability West"/>
  </r>
  <r>
    <s v="016941M"/>
    <s v="Irish Life"/>
    <s v="Add Members"/>
    <s v="2025-10-14 10:23:06.706000Z"/>
    <s v="016941M"/>
    <s v="Completed"/>
    <s v="Active"/>
    <x v="28"/>
    <x v="1"/>
    <m/>
    <d v="2025-10-14T11:22:59"/>
    <n v="603796"/>
    <s v="Mifinity Payments Limited"/>
  </r>
  <r>
    <s v="016949M"/>
    <s v="Lifescience Business PlatforLimited"/>
    <s v="Add Members"/>
    <s v="2025-10-16 11:34:09.996000Z"/>
    <s v="016949M"/>
    <s v="Completed"/>
    <s v="Active"/>
    <x v="0"/>
    <x v="0"/>
    <m/>
    <d v="2025-10-16T12:34:05"/>
    <n v="606896"/>
    <s v="Lifescience Business Platforms Limited"/>
  </r>
  <r>
    <s v="016986M"/>
    <s v="Irish Life"/>
    <s v="Add Members"/>
    <s v="2025-10-14 10:02:16.878000Z"/>
    <s v="016986M"/>
    <s v="Completed"/>
    <s v="Active"/>
    <x v="1"/>
    <x v="1"/>
    <m/>
    <d v="2025-10-14T11:02:11"/>
    <n v="603140"/>
    <s v="Addleshaw Goddard (Ire) LLP"/>
  </r>
  <r>
    <s v="017002M"/>
    <s v="Excelsys Technologies Limited"/>
    <s v="Add Members"/>
    <s v="2025-10-16 11:47:31.395000Z"/>
    <s v="017002M"/>
    <s v="Completed"/>
    <s v="Active"/>
    <x v="0"/>
    <x v="0"/>
    <m/>
    <d v="2025-10-16T12:47:23"/>
    <n v="606757"/>
    <s v="Excelsys Technologies Limited"/>
  </r>
  <r>
    <s v="017007M"/>
    <s v="Irish Life"/>
    <s v="Add Members"/>
    <s v="2025-10-15 12:14:13.333000Z"/>
    <s v="017007M"/>
    <s v="Completed"/>
    <s v="Active"/>
    <x v="4"/>
    <x v="1"/>
    <m/>
    <d v="2025-10-15T13:14:05"/>
    <n v="609910"/>
    <s v="Trulife Ltd"/>
  </r>
  <r>
    <s v="017016M"/>
    <s v="First Citizen Finance Limited"/>
    <s v="Add Members"/>
    <s v="2025-10-16 12:15:27.486000Z"/>
    <s v="017016M"/>
    <s v="Completed"/>
    <s v="Active"/>
    <x v="0"/>
    <x v="0"/>
    <m/>
    <d v="2025-10-16T13:15:21"/>
    <n v="603125"/>
    <s v="First Citizen Finance Limited"/>
  </r>
  <r>
    <s v="017018M"/>
    <s v="Glennon Employee Benefits"/>
    <s v="Add Members"/>
    <s v="2025-10-16 14:21:29.022000Z"/>
    <s v="017018M"/>
    <s v="Completed"/>
    <s v="Active"/>
    <x v="1"/>
    <x v="1"/>
    <m/>
    <d v="2025-10-16T15:21:20"/>
    <n v="609849"/>
    <s v="Dolby International AB"/>
  </r>
  <r>
    <s v="017022M"/>
    <s v="Irish Life"/>
    <s v="Add Members"/>
    <s v="2025-10-14 10:43:10.211000Z"/>
    <s v="017022M"/>
    <s v="Completed"/>
    <s v="Active"/>
    <x v="13"/>
    <x v="1"/>
    <m/>
    <d v="2025-10-14T11:43:06"/>
    <n v="602617"/>
    <s v="Coca-Cola HBC Ireland Limited"/>
  </r>
  <r>
    <s v="017031M"/>
    <s v="Irish Life"/>
    <s v="Add Members"/>
    <s v="2025-10-16 12:21:19.642000Z"/>
    <s v="017031M"/>
    <s v="Completed"/>
    <s v="Active"/>
    <x v="29"/>
    <x v="1"/>
    <m/>
    <d v="2025-10-16T13:21:11"/>
    <n v="603490"/>
    <s v="Diageo Ireland"/>
  </r>
  <r>
    <s v="017034M"/>
    <s v="Irish Life"/>
    <s v="Add Members"/>
    <s v="2025-10-16 13:46:55.110000Z"/>
    <s v="017034M"/>
    <s v="Completed"/>
    <s v="Active"/>
    <x v="30"/>
    <x v="1"/>
    <m/>
    <d v="2025-10-16T14:46:47"/>
    <n v="603490"/>
    <s v="Diageo Ireland"/>
  </r>
  <r>
    <s v="017036M"/>
    <s v="Irish Life"/>
    <s v="Add Members"/>
    <s v="2025-10-16 13:54:31.426000Z"/>
    <s v="017036M"/>
    <s v="Completed"/>
    <s v="Active"/>
    <x v="14"/>
    <x v="1"/>
    <m/>
    <d v="2025-10-16T14:54:26"/>
    <n v="603490"/>
    <s v="Diageo Ireland"/>
  </r>
  <r>
    <s v="017055M"/>
    <s v="Representative Church Body Retirement Solution Plan"/>
    <s v="Add Members"/>
    <s v="2025-10-16 09:50:55.235000Z"/>
    <s v="017055M"/>
    <s v="Completed"/>
    <s v="Active"/>
    <x v="0"/>
    <x v="0"/>
    <m/>
    <d v="2025-10-16T10:50:45"/>
    <n v="603066"/>
    <s v="Representative Church Body"/>
  </r>
  <r>
    <s v="017113M"/>
    <s v="Chartered Financial Solutions"/>
    <s v="Add Members"/>
    <s v="2025-10-16 15:42:06.606000Z"/>
    <s v="017113M"/>
    <s v="Completed"/>
    <s v="Active"/>
    <x v="1"/>
    <x v="1"/>
    <m/>
    <d v="2025-10-16T16:41:58"/>
    <n v="603970"/>
    <s v="Twilio Ireland Limited"/>
  </r>
  <r>
    <s v="017121M"/>
    <s v="Hitachi Energy Ireland Limited"/>
    <s v="Add Members"/>
    <s v="2025-10-16 14:10:56.426000Z"/>
    <s v="017121M"/>
    <s v="Completed"/>
    <s v="Active"/>
    <x v="12"/>
    <x v="1"/>
    <m/>
    <d v="2025-10-16T15:10:48"/>
    <n v="603993"/>
    <s v="Hitachi Energy Ireland Limited"/>
  </r>
  <r>
    <s v="017140M"/>
    <s v="Chartered Financial Solutions"/>
    <s v="Add Members"/>
    <s v="2025-10-16 15:54:16.759000Z"/>
    <s v="017140M"/>
    <s v="Completed"/>
    <s v="Active"/>
    <x v="0"/>
    <x v="1"/>
    <m/>
    <d v="2025-10-16T16:54:11"/>
    <n v="603970"/>
    <s v="Twilio Ireland Limited"/>
  </r>
  <r>
    <s v="017151M"/>
    <s v="Aon"/>
    <s v="Add Members"/>
    <s v="2025-10-16 15:08:14.285000Z"/>
    <s v="017151M"/>
    <s v="Completed"/>
    <s v="Active"/>
    <x v="0"/>
    <x v="0"/>
    <m/>
    <d v="2025-10-16T16:08:08"/>
    <n v="609844"/>
    <s v="Kitman Labs Limited"/>
  </r>
  <r>
    <s v="017152M"/>
    <s v="Aon"/>
    <s v="Add Members"/>
    <s v="2025-10-16 15:11:30.329000Z"/>
    <s v="017152M"/>
    <s v="Completed"/>
    <s v="Active"/>
    <x v="0"/>
    <x v="0"/>
    <m/>
    <d v="2025-10-16T16:11:17"/>
    <n v="609844"/>
    <s v="Kitman Labs Limited"/>
  </r>
  <r>
    <s v="017153M"/>
    <s v="Aon"/>
    <s v="Add Members"/>
    <s v="2025-10-16 15:03:47.016000Z"/>
    <s v="017153M"/>
    <s v="Completed"/>
    <s v="Active"/>
    <x v="0"/>
    <x v="0"/>
    <m/>
    <d v="2025-10-16T16:03:39"/>
    <n v="609844"/>
    <s v="Kitman Labs Limited"/>
  </r>
  <r>
    <s v="017175M"/>
    <s v="Generali Seguros y Reaseguros SA"/>
    <s v="Add Members"/>
    <s v="2025-10-16 14:36:11.247000Z"/>
    <s v="017175M"/>
    <s v="Completed"/>
    <s v="Active"/>
    <x v="0"/>
    <x v="0"/>
    <m/>
    <d v="2025-10-16T15:35:58"/>
    <n v="601173"/>
    <s v="Generali Seguros y Reaseguros, S.A."/>
  </r>
  <r>
    <s v="017177M"/>
    <s v="Irish Life"/>
    <s v="Add Members"/>
    <s v="2025-10-16 11:51:19.314000Z"/>
    <s v="017177M"/>
    <s v="Completed"/>
    <s v="Active"/>
    <x v="17"/>
    <x v="1"/>
    <m/>
    <d v="2025-10-16T12:51:12"/>
    <n v="603881"/>
    <s v="Three Ireland (Hutchison) Limited"/>
  </r>
  <r>
    <s v="017179M"/>
    <s v="Securitas Security Services Ireland Ltd"/>
    <s v="Add Members"/>
    <s v="2025-10-16 12:48:35.112000Z"/>
    <s v="017179M"/>
    <s v="Completed"/>
    <s v="Active"/>
    <x v="0"/>
    <x v="0"/>
    <m/>
    <d v="2025-10-16T13:48:30"/>
    <n v="601991"/>
    <s v="Securitas Security Services (Ireland)Ltd"/>
  </r>
  <r>
    <s v="017182M"/>
    <s v="Applus Car Testing Service Ltd"/>
    <s v="Add Members"/>
    <s v="2025-10-16 13:23:34.384000Z"/>
    <s v="017182M"/>
    <s v="Completed"/>
    <s v="Active"/>
    <x v="28"/>
    <x v="1"/>
    <m/>
    <d v="2025-10-16T14:23:27"/>
    <n v="602770"/>
    <s v="Applus Car Testing Service Ltd"/>
  </r>
  <r>
    <s v="017216M"/>
    <s v="Aon"/>
    <s v="Add Members"/>
    <s v="2025-10-16 13:14:12.580000Z"/>
    <s v="017216M"/>
    <s v="Completed"/>
    <s v="Active"/>
    <x v="0"/>
    <x v="0"/>
    <m/>
    <d v="2025-10-16T14:13:59"/>
    <n v="608068"/>
    <s v="Ministry Brands Limited"/>
  </r>
  <r>
    <s v="017222M"/>
    <s v="Aon"/>
    <s v="Add Members"/>
    <s v="2025-10-16 13:17:43.048000Z"/>
    <s v="017222M"/>
    <s v="Completed"/>
    <s v="Active"/>
    <x v="0"/>
    <x v="0"/>
    <m/>
    <d v="2025-10-16T14:17:39"/>
    <n v="608068"/>
    <s v="Ministry Brands Limited"/>
  </r>
  <r>
    <s v="017239M"/>
    <s v="Generali Seguros y Reaseguros SA"/>
    <s v="Add Members"/>
    <s v="2025-10-16 14:38:58.749000Z"/>
    <s v="017239M"/>
    <s v="Completed"/>
    <s v="Active"/>
    <x v="0"/>
    <x v="0"/>
    <m/>
    <d v="2025-10-16T15:38:52"/>
    <n v="601173"/>
    <s v="Generali Seguros y Reaseguros, S.A."/>
  </r>
  <r>
    <s v="017258M"/>
    <s v="Generali Seguros y Reaseguros SA"/>
    <s v="Add Members"/>
    <s v="2025-10-16 14:43:46.269000Z"/>
    <s v="017258M"/>
    <s v="Completed"/>
    <s v="Active"/>
    <x v="0"/>
    <x v="0"/>
    <m/>
    <d v="2025-10-16T15:43:38"/>
    <n v="601173"/>
    <s v="Generali Seguros y Reaseguros, S.A."/>
  </r>
  <r>
    <s v="017273M"/>
    <s v="Chartered Financial Solutions"/>
    <s v="Add Members"/>
    <s v="2025-10-16 15:46:18.989000Z"/>
    <s v="017273M"/>
    <s v="Completed"/>
    <s v="Active"/>
    <x v="1"/>
    <x v="1"/>
    <m/>
    <d v="2025-10-16T16:46:13"/>
    <n v="603970"/>
    <s v="Twilio Ireland Limited"/>
  </r>
  <r>
    <s v="017281M"/>
    <s v="Murray Design and Engineering Limited"/>
    <s v="Add Members"/>
    <s v="2025-10-16 15:27:32.976000Z"/>
    <s v="017281M"/>
    <s v="Completed"/>
    <s v="Active"/>
    <x v="0"/>
    <x v="0"/>
    <m/>
    <d v="2025-10-16T16:27:26"/>
    <n v="605085"/>
    <s v="Murray Design &amp; Engineering Limited"/>
  </r>
  <r>
    <s v="017291M"/>
    <s v="Generali Seguros y Reaseguros SA"/>
    <s v="Add Members"/>
    <s v="2025-10-16 14:58:20.039000Z"/>
    <s v="017291M"/>
    <s v="Completed"/>
    <s v="Active"/>
    <x v="0"/>
    <x v="0"/>
    <m/>
    <d v="2025-10-16T15:58:13"/>
    <n v="601173"/>
    <s v="Generali Seguros y Reaseguros, S.A."/>
  </r>
  <r>
    <s v="017294M"/>
    <s v="Generali Seguros y Reaseguros SA"/>
    <s v="Add Members"/>
    <s v="2025-10-16 14:56:12.744000Z"/>
    <s v="017294M"/>
    <s v="Completed"/>
    <s v="Active"/>
    <x v="0"/>
    <x v="0"/>
    <m/>
    <d v="2025-10-16T15:55:44"/>
    <n v="601173"/>
    <s v="Generali Seguros y Reaseguros, S.A."/>
  </r>
  <r>
    <s v="017317M"/>
    <s v="Chartered Financial Solutions"/>
    <s v="Add Members"/>
    <s v="2025-10-16 15:37:54.947000Z"/>
    <s v="017317M"/>
    <s v="Completed"/>
    <s v="Active"/>
    <x v="1"/>
    <x v="1"/>
    <m/>
    <d v="2025-10-16T16:37:50"/>
    <n v="603970"/>
    <s v="Twilio Ireland Limited"/>
  </r>
  <r>
    <s v="017356M"/>
    <s v="Tokyo Electron Europe Ltd"/>
    <s v="Add Members"/>
    <s v="2025-10-16 10:09:11.027000Z"/>
    <s v="017356M"/>
    <s v="Completed"/>
    <s v="Active"/>
    <x v="0"/>
    <x v="0"/>
    <m/>
    <d v="2025-10-16T11:09:02"/>
    <n v="601397"/>
    <s v="Tokyo Electron Europe Ltd"/>
  </r>
  <r>
    <s v="017754M"/>
    <s v="Irish Life"/>
    <s v="Add Members"/>
    <s v="2025-10-15 11:19:58.989000Z"/>
    <s v="017754M"/>
    <s v="Completed"/>
    <s v="Active"/>
    <x v="7"/>
    <x v="1"/>
    <m/>
    <d v="2025-10-15T12:19:47"/>
    <n v="605252"/>
    <s v="Cohesity International Limited"/>
  </r>
  <r>
    <s v="017763M"/>
    <s v="Irish Life"/>
    <s v="Add Members"/>
    <s v="2025-10-15 12:46:35.744000Z"/>
    <s v="017763M"/>
    <s v="Completed"/>
    <s v="Active"/>
    <x v="18"/>
    <x v="1"/>
    <m/>
    <d v="2025-10-15T13:46:31"/>
    <n v="603583"/>
    <s v="CBRE GWS Limited"/>
  </r>
  <r>
    <s v="017796M"/>
    <s v="Irish Life"/>
    <s v="Add Members"/>
    <s v="2025-10-15 11:58:57.411000Z"/>
    <s v="017796M"/>
    <s v="Completed"/>
    <s v="Active"/>
    <x v="1"/>
    <x v="1"/>
    <m/>
    <d v="2025-10-15T12:58:52"/>
    <n v="609755"/>
    <s v="MSL Healthcare Ltd"/>
  </r>
  <r>
    <s v="017905M"/>
    <s v="Zellis"/>
    <s v="Add Members"/>
    <s v="2025-10-16 13:27:56.629000Z"/>
    <s v="017905M"/>
    <s v="Completed"/>
    <s v="Active"/>
    <x v="31"/>
    <x v="1"/>
    <m/>
    <d v="2025-10-16T14:27:51"/>
    <n v="603645"/>
    <s v="Aer Lingus"/>
  </r>
  <r>
    <s v="017919M"/>
    <s v="Irish Life"/>
    <s v="Add Members"/>
    <s v="2025-10-16 13:41:27.814000Z"/>
    <s v="017919M"/>
    <s v="Completed"/>
    <s v="Active"/>
    <x v="8"/>
    <x v="1"/>
    <m/>
    <d v="2025-10-16T14:41:19"/>
    <n v="608028"/>
    <s v="Apple"/>
  </r>
  <r>
    <s v="987318L"/>
    <s v="CBRE Ireland"/>
    <s v="Add Members"/>
    <s v="2025-10-03 08:45:47.091000Z"/>
    <s v="987318L"/>
    <s v="Completed"/>
    <s v="Active"/>
    <x v="1"/>
    <x v="1"/>
    <m/>
    <d v="2025-10-03T09:45:40"/>
    <n v="603959"/>
    <s v="CBRE Advisory (IRL) Ltd Pension Scheme"/>
  </r>
  <r>
    <s v="989158L"/>
    <s v="AWP Health and Life SA"/>
    <s v="Add Members"/>
    <s v="2025-10-13 12:53:55.323000Z"/>
    <s v="989158L"/>
    <s v="Completed"/>
    <s v="Active"/>
    <x v="0"/>
    <x v="0"/>
    <m/>
    <d v="2025-10-13T13:53:47"/>
    <n v="601379"/>
    <s v="AWP Health &amp; Life SA"/>
  </r>
  <r>
    <s v="989416L"/>
    <s v="Irish Life"/>
    <s v="Add Members"/>
    <s v="2025-10-06 13:18:58.546000Z"/>
    <s v="989416L"/>
    <s v="Completed"/>
    <s v="Active"/>
    <x v="1"/>
    <x v="1"/>
    <m/>
    <d v="2025-10-06T14:18:53"/>
    <n v="601299"/>
    <s v="Thermo Fisher Scientific Cork Limited"/>
  </r>
  <r>
    <s v="989680L"/>
    <s v="Irish Life"/>
    <s v="Add Members"/>
    <s v="2025-10-03 10:54:28.037000Z"/>
    <s v="989680L"/>
    <s v="Completed"/>
    <s v="Active"/>
    <x v="1"/>
    <x v="1"/>
    <m/>
    <d v="2025-10-03T11:54:19"/>
    <n v="605017"/>
    <s v="Hospitality Growth Services Limited"/>
  </r>
  <r>
    <s v="990001L"/>
    <s v="Irish Life"/>
    <s v="Add Members"/>
    <s v="2025-10-08 17:15:57.732000Z"/>
    <s v="990001L"/>
    <s v="Completed"/>
    <s v="Active"/>
    <x v="0"/>
    <x v="1"/>
    <m/>
    <d v="2025-10-08T18:15:50"/>
    <n v="603358"/>
    <s v="Arachas Corporate Brokers Ltd"/>
  </r>
  <r>
    <s v="990498L"/>
    <s v="Unio Employee Benefits"/>
    <s v="Add Members"/>
    <s v="2025-10-02 13:18:43.986000Z"/>
    <s v="990498L"/>
    <s v="Completed"/>
    <s v="Active"/>
    <x v="0"/>
    <x v="0"/>
    <m/>
    <d v="2025-10-02T14:18:34"/>
    <n v="601454"/>
    <s v="Philip Lee Solicitors"/>
  </r>
  <r>
    <s v="990552L"/>
    <s v="Fehily Timoney and Company Limited"/>
    <s v="Add Members"/>
    <s v="2025-10-06 11:40:40.862000Z"/>
    <s v="990552L"/>
    <s v="Completed"/>
    <s v="Active"/>
    <x v="0"/>
    <x v="0"/>
    <m/>
    <d v="2025-10-06T12:40:31"/>
    <n v="601527"/>
    <s v="Fehily Timoney &amp; Company Limited"/>
  </r>
  <r>
    <s v="990899L"/>
    <s v="Glennon Employee Benefits"/>
    <s v="Add Members"/>
    <s v="2025-10-01 15:07:05.865000Z"/>
    <s v="990899L"/>
    <s v="Completed"/>
    <s v="Active"/>
    <x v="28"/>
    <x v="1"/>
    <m/>
    <d v="2025-10-01T16:06:57"/>
    <n v="605117"/>
    <s v="One Identity Software International DAC"/>
  </r>
  <r>
    <s v="991599L"/>
    <s v="ING Bank NV Dublin Branch"/>
    <s v="Add Members"/>
    <s v="2025-10-06 07:42:15.834000Z"/>
    <s v="991599L"/>
    <s v="Completed"/>
    <s v="Active"/>
    <x v="0"/>
    <x v="0"/>
    <m/>
    <d v="2025-10-06T08:42:07"/>
    <n v="602598"/>
    <s v="ING Bank N.V. Dublin Branch"/>
  </r>
  <r>
    <s v="991600L"/>
    <s v="ING Bank NV Dublin Branch"/>
    <s v="Add Members"/>
    <s v="2025-10-13 09:54:44.067000Z"/>
    <s v="991600L"/>
    <s v="Completed"/>
    <s v="Active"/>
    <x v="0"/>
    <x v="0"/>
    <m/>
    <d v="2025-10-13T10:54:38"/>
    <n v="602598"/>
    <s v="ING Bank N.V. Dublin Branch"/>
  </r>
  <r>
    <s v="992107L"/>
    <s v="Glennon Employee Benefits"/>
    <s v="Add Members"/>
    <s v="2025-10-06 09:16:20.425000Z"/>
    <s v="992107L"/>
    <s v="Completed"/>
    <s v="Active"/>
    <x v="0"/>
    <x v="0"/>
    <m/>
    <d v="2025-10-06T10:15:53"/>
    <n v="602488"/>
    <s v="Teleflex Medical Europe Limited"/>
  </r>
  <r>
    <s v="992204L"/>
    <s v="eircom"/>
    <s v="Add Members"/>
    <s v="2025-10-02 12:46:34.576000Z"/>
    <s v="992204L"/>
    <s v="Completed"/>
    <s v="Active"/>
    <x v="1"/>
    <x v="1"/>
    <m/>
    <d v="2025-10-02T13:46:27"/>
    <n v="603757"/>
    <s v="eircom Limited AVC Scheme"/>
  </r>
  <r>
    <s v="992638L"/>
    <s v="Ornua Co Operative Limited"/>
    <s v="Add Members"/>
    <s v="2025-10-08 12:50:01.840000Z"/>
    <s v="992638L"/>
    <s v="Completed"/>
    <s v="Active"/>
    <x v="8"/>
    <x v="1"/>
    <m/>
    <d v="2025-10-08T13:49:55"/>
    <n v="602833"/>
    <s v="Ornua Co-Operative Limited"/>
  </r>
  <r>
    <s v="993106L"/>
    <s v="Irish Life"/>
    <s v="Add Members"/>
    <s v="2025-10-08 10:57:30.132000Z"/>
    <s v="993106L"/>
    <s v="Completed"/>
    <s v="Active"/>
    <x v="6"/>
    <x v="1"/>
    <m/>
    <d v="2025-10-08T11:57:23"/>
    <n v="608231"/>
    <s v="Coras Iompair Eireann DC Plan"/>
  </r>
  <r>
    <s v="993117L"/>
    <s v="eircom"/>
    <s v="Add Members"/>
    <s v="2025-10-03 12:55:54.996000Z"/>
    <s v="993117L"/>
    <s v="Completed"/>
    <s v="Active"/>
    <x v="1"/>
    <x v="1"/>
    <m/>
    <d v="2025-10-03T13:55:46"/>
    <n v="603757"/>
    <s v="eircom Limited AVC Scheme"/>
  </r>
  <r>
    <s v="993245L"/>
    <s v="Sport Ireland National Sports Campus Pension Scheme"/>
    <s v="Add Members"/>
    <s v="2025-10-02 10:59:44.804000Z"/>
    <s v="993245L"/>
    <s v="Completed"/>
    <s v="Active"/>
    <x v="0"/>
    <x v="0"/>
    <m/>
    <d v="2025-10-02T11:59:39"/>
    <n v="603821"/>
    <s v="Sport Ireland Facilities DAC"/>
  </r>
  <r>
    <s v="993524L"/>
    <s v="Irish Life"/>
    <s v="Add Members"/>
    <s v="2025-10-01 13:01:53.917000Z"/>
    <s v="993524L"/>
    <s v="Completed"/>
    <s v="Active"/>
    <x v="28"/>
    <x v="1"/>
    <m/>
    <d v="2025-10-01T14:01:45"/>
    <n v="603616"/>
    <s v="Google Ireland Limited"/>
  </r>
  <r>
    <s v="993550L"/>
    <s v="Irish Life"/>
    <s v="Add Members"/>
    <s v="2025-10-01 09:19:44.018000Z"/>
    <s v="993550L"/>
    <s v="Completed"/>
    <s v="Active"/>
    <x v="15"/>
    <x v="1"/>
    <m/>
    <d v="2025-10-01T10:19:39"/>
    <n v="609834"/>
    <s v="Shopify International Limited"/>
  </r>
  <r>
    <s v="993575L"/>
    <s v="Patrick J Tobin Ltd"/>
    <s v="Add Members"/>
    <s v="2025-10-01 11:11:41.402000Z"/>
    <s v="993575L"/>
    <s v="Completed"/>
    <s v="Active"/>
    <x v="0"/>
    <x v="0"/>
    <m/>
    <d v="2025-10-01T12:11:35"/>
    <n v="602944"/>
    <s v="PATRICK J TOBIN LTD"/>
  </r>
  <r>
    <s v="993599L"/>
    <s v="Aon"/>
    <s v="Add Members"/>
    <s v="2025-10-01 14:56:50.622000Z"/>
    <s v="993599L"/>
    <s v="Completed"/>
    <s v="Active"/>
    <x v="0"/>
    <x v="0"/>
    <m/>
    <d v="2025-10-01T15:56:22"/>
    <n v="602982"/>
    <s v="The Hammond Lane Metal Company Ltd"/>
  </r>
  <r>
    <s v="993602L"/>
    <s v="CSC Capital Markets Ireland Ltd"/>
    <s v="Add Members"/>
    <s v="2025-10-01 10:31:15.994000Z"/>
    <s v="993602L"/>
    <s v="Completed"/>
    <s v="Active"/>
    <x v="0"/>
    <x v="0"/>
    <m/>
    <d v="2025-10-01T11:31:10"/>
    <n v="606920"/>
    <s v="CSC Finance Holding Ireland Limited"/>
  </r>
  <r>
    <s v="993603L"/>
    <s v="Unio Employee Benefits"/>
    <s v="Add Members"/>
    <s v="2025-10-01 07:48:30.298000Z"/>
    <s v="993603L"/>
    <s v="Completed"/>
    <s v="Active"/>
    <x v="1"/>
    <x v="1"/>
    <m/>
    <d v="2025-10-01T08:48:23"/>
    <n v="609911"/>
    <s v="Medical Supply Company"/>
  </r>
  <r>
    <s v="993631L"/>
    <s v="Stryker Ireland"/>
    <s v="Add Members"/>
    <s v="2025-10-01 14:10:14.549000Z"/>
    <s v="993631L"/>
    <s v="Completed"/>
    <s v="Active"/>
    <x v="1"/>
    <x v="1"/>
    <m/>
    <d v="2025-10-01T15:10:10"/>
    <n v="603990"/>
    <s v="Stryker Ireland DC Pension Plan"/>
  </r>
  <r>
    <s v="993632L"/>
    <s v="Stryker Ireland"/>
    <s v="Add Members"/>
    <s v="2025-10-02 13:20:10.131000Z"/>
    <s v="993632L"/>
    <s v="Completed"/>
    <s v="Active"/>
    <x v="4"/>
    <x v="1"/>
    <m/>
    <d v="2025-10-02T14:20:01"/>
    <n v="602197"/>
    <s v="Stryker Orthopaedics Pension Hourly"/>
  </r>
  <r>
    <s v="993645L"/>
    <s v="Fehily Timoney and Company Limited"/>
    <s v="Add Members"/>
    <s v="2025-10-01 10:54:43.850000Z"/>
    <s v="993645L"/>
    <s v="Completed"/>
    <s v="Active"/>
    <x v="0"/>
    <x v="0"/>
    <m/>
    <d v="2025-10-01T11:54:34"/>
    <n v="601527"/>
    <s v="Fehily Timoney &amp; Company Limited"/>
  </r>
  <r>
    <s v="993649L"/>
    <s v="Fehily Timoney and Company Limited"/>
    <s v="Add Members"/>
    <s v="2025-10-02 13:21:02.376000Z"/>
    <s v="993649L"/>
    <s v="Completed"/>
    <s v="Active"/>
    <x v="0"/>
    <x v="0"/>
    <m/>
    <d v="2025-10-02T14:20:55"/>
    <n v="601527"/>
    <s v="Fehily Timoney &amp; Company Limited"/>
  </r>
  <r>
    <s v="993666L"/>
    <s v="CSC Capital Markets Ireland Ltd"/>
    <s v="Add Members"/>
    <s v="2025-10-01 11:53:53.576000Z"/>
    <s v="993666L"/>
    <s v="Completed"/>
    <s v="Active"/>
    <x v="0"/>
    <x v="0"/>
    <m/>
    <d v="2025-10-01T12:53:47"/>
    <n v="606920"/>
    <s v="CSC Finance Holding Ireland Limited"/>
  </r>
  <r>
    <s v="993707L"/>
    <s v="Patrick J Tobin Ltd"/>
    <s v="Add Members"/>
    <s v="2025-10-01 11:05:30.253000Z"/>
    <s v="993707L"/>
    <s v="Completed"/>
    <s v="Active"/>
    <x v="0"/>
    <x v="0"/>
    <m/>
    <d v="2025-10-01T12:05:26"/>
    <n v="602944"/>
    <s v="PATRICK J TOBIN LTD"/>
  </r>
  <r>
    <s v="993708L"/>
    <s v="Patrick J Tobin Ltd"/>
    <s v="Add Members"/>
    <s v="2025-10-01 09:17:58.179000Z"/>
    <s v="993708L"/>
    <s v="Completed"/>
    <s v="Active"/>
    <x v="0"/>
    <x v="0"/>
    <m/>
    <d v="2025-10-01T10:17:32"/>
    <n v="602944"/>
    <s v="PATRICK J TOBIN LTD"/>
  </r>
  <r>
    <s v="993716L"/>
    <s v="Zara Group Ltd"/>
    <s v="Add Members"/>
    <s v="2025-10-01 14:59:32.748000Z"/>
    <s v="993716L"/>
    <s v="Completed"/>
    <s v="Active"/>
    <x v="0"/>
    <x v="0"/>
    <m/>
    <d v="2025-10-01T15:59:26"/>
    <n v="603416"/>
    <s v="Zara Group Ltd"/>
  </r>
  <r>
    <s v="993790L"/>
    <s v="Irish Life"/>
    <s v="Add Members"/>
    <s v="2025-10-07 11:17:18.069000Z"/>
    <s v="993790L"/>
    <s v="Completed"/>
    <s v="Active"/>
    <x v="0"/>
    <x v="1"/>
    <m/>
    <d v="2025-10-07T12:17:14"/>
    <n v="603799"/>
    <s v="Scandinavian Airlines Ireland"/>
  </r>
  <r>
    <s v="993791L"/>
    <s v="Irish Life"/>
    <s v="Add Members"/>
    <s v="2025-10-09 14:01:57.190000Z"/>
    <s v="993791L"/>
    <s v="Completed"/>
    <s v="Active"/>
    <x v="0"/>
    <x v="1"/>
    <m/>
    <d v="2025-10-09T15:01:49"/>
    <n v="603799"/>
    <s v="Scandinavian Airlines Ireland"/>
  </r>
  <r>
    <s v="993807L"/>
    <s v="Patrick J Tobin Ltd"/>
    <s v="Add Members"/>
    <s v="2025-10-01 10:11:13.645000Z"/>
    <s v="993807L"/>
    <s v="Completed"/>
    <s v="Active"/>
    <x v="0"/>
    <x v="0"/>
    <m/>
    <d v="2025-10-01T11:11:07"/>
    <n v="602944"/>
    <s v="PATRICK J TOBIN LTD"/>
  </r>
  <r>
    <s v="993810L"/>
    <s v="SanDisk International Limited"/>
    <s v="Add Members"/>
    <s v="2025-10-08 12:00:54.227000Z"/>
    <s v="993810L"/>
    <s v="Completed"/>
    <s v="Active"/>
    <x v="0"/>
    <x v="1"/>
    <m/>
    <d v="2025-10-08T13:00:48"/>
    <n v="605267"/>
    <s v="SanDisk International Limited"/>
  </r>
  <r>
    <s v="993816L"/>
    <s v="Munster Cattle Breeding Group Ltd"/>
    <s v="Add Members"/>
    <s v="2025-10-01 11:20:24.777000Z"/>
    <s v="993816L"/>
    <s v="Completed"/>
    <s v="Active"/>
    <x v="0"/>
    <x v="0"/>
    <m/>
    <d v="2025-10-01T12:20:19"/>
    <n v="602712"/>
    <s v="MUNSTER CATTLE BREEDING GROUP LTD"/>
  </r>
  <r>
    <s v="993834L"/>
    <s v="eircom"/>
    <s v="Add Members"/>
    <s v="2025-10-01 14:07:13.365000Z"/>
    <s v="993834L"/>
    <s v="Completed"/>
    <s v="Active"/>
    <x v="17"/>
    <x v="1"/>
    <m/>
    <d v="2025-10-01T15:07:04"/>
    <n v="603756"/>
    <s v="eircom"/>
  </r>
  <r>
    <s v="993952L"/>
    <s v="Irish Life"/>
    <s v="Add Members"/>
    <s v="2025-10-01 12:32:01.300000Z"/>
    <s v="993952L"/>
    <s v="Completed"/>
    <s v="Active"/>
    <x v="0"/>
    <x v="1"/>
    <m/>
    <d v="2025-10-01T13:31:55"/>
    <n v="603223"/>
    <s v="MongoDB Limited"/>
  </r>
  <r>
    <s v="993957L"/>
    <s v="Irish Life"/>
    <s v="Add Members"/>
    <s v="2025-10-01 12:32:27.233000Z"/>
    <s v="993957L"/>
    <s v="Completed"/>
    <s v="Active"/>
    <x v="0"/>
    <x v="1"/>
    <m/>
    <d v="2025-10-01T13:32:20"/>
    <n v="603718"/>
    <s v="Cara Credit Union"/>
  </r>
  <r>
    <s v="993960L"/>
    <s v="Irish Life"/>
    <s v="Add Members"/>
    <s v="2025-10-01 12:32:32.896000Z"/>
    <s v="993960L"/>
    <s v="Completed"/>
    <s v="Active"/>
    <x v="0"/>
    <x v="1"/>
    <m/>
    <d v="2025-10-01T13:32:26"/>
    <n v="603768"/>
    <s v="Natures Best Limited"/>
  </r>
  <r>
    <s v="993966L"/>
    <s v="Irish Life"/>
    <s v="Add Members"/>
    <s v="2025-10-01 12:32:43.532000Z"/>
    <s v="993966L"/>
    <s v="Completed"/>
    <s v="Active"/>
    <x v="0"/>
    <x v="1"/>
    <m/>
    <d v="2025-10-01T13:32:36"/>
    <n v="603661"/>
    <s v="Repligen Ireland Ltd"/>
  </r>
  <r>
    <s v="994134L"/>
    <s v="Vestas Ireland Limited"/>
    <s v="Add Members"/>
    <s v="2025-10-02 10:05:40.316000Z"/>
    <s v="994134L"/>
    <s v="Completed"/>
    <s v="Active"/>
    <x v="0"/>
    <x v="0"/>
    <m/>
    <d v="2025-10-02T11:05:33"/>
    <n v="603026"/>
    <s v="Vestas Ireland Limited"/>
  </r>
  <r>
    <s v="994144L"/>
    <s v="Patrick J Tobin Ltd"/>
    <s v="Add Members"/>
    <s v="2025-10-02 09:57:16.382000Z"/>
    <s v="994144L"/>
    <s v="Completed"/>
    <s v="Active"/>
    <x v="0"/>
    <x v="0"/>
    <m/>
    <d v="2025-10-02T10:57:11"/>
    <n v="602944"/>
    <s v="PATRICK J TOBIN LTD"/>
  </r>
  <r>
    <s v="994198L"/>
    <s v="Patrick J Tobin Ltd"/>
    <s v="Add Members"/>
    <s v="2025-10-02 10:27:32.431000Z"/>
    <s v="994198L"/>
    <s v="Completed"/>
    <s v="Active"/>
    <x v="0"/>
    <x v="0"/>
    <m/>
    <d v="2025-10-02T11:27:26"/>
    <n v="602944"/>
    <s v="PATRICK J TOBIN LTD"/>
  </r>
  <r>
    <s v="994242L"/>
    <s v="Irish Life"/>
    <s v="Add Members"/>
    <s v="2025-10-02 08:29:56.071000Z"/>
    <s v="994242L"/>
    <s v="Completed"/>
    <s v="Active"/>
    <x v="0"/>
    <x v="0"/>
    <m/>
    <d v="2025-10-02T09:29:47"/>
    <n v="603200"/>
    <s v="Alliance Medical Diagnostic Imaging Ltd"/>
  </r>
  <r>
    <s v="994260L"/>
    <s v="St Catherines Association CLG"/>
    <s v="Add Members"/>
    <s v="2025-10-02 13:28:52.831000Z"/>
    <s v="994260L"/>
    <s v="Completed"/>
    <s v="Active"/>
    <x v="1"/>
    <x v="1"/>
    <m/>
    <d v="2025-10-02T14:28:47"/>
    <n v="609708"/>
    <s v="NFVSP St Catherine's Association CLG"/>
  </r>
  <r>
    <s v="994276L"/>
    <s v="Aon"/>
    <s v="Add Members"/>
    <s v="2025-10-03 10:19:39.580000Z"/>
    <s v="994276L"/>
    <s v="Completed"/>
    <s v="Active"/>
    <x v="0"/>
    <x v="2"/>
    <m/>
    <e v="#N/A"/>
    <e v="#N/A"/>
    <e v="#N/A"/>
  </r>
  <r>
    <s v="994291L"/>
    <s v="Zendesk International Limited"/>
    <s v="Add Members"/>
    <s v="2025-10-01 14:54:13.579000Z"/>
    <s v="994291L"/>
    <s v="Completed"/>
    <s v="Active"/>
    <x v="1"/>
    <x v="1"/>
    <m/>
    <d v="2025-10-01T15:53:45"/>
    <n v="603471"/>
    <s v="Zendesk International Limited"/>
  </r>
  <r>
    <s v="994332L"/>
    <s v="Zendesk International Limited"/>
    <s v="Add Members"/>
    <s v="2025-10-02 11:15:47.299000Z"/>
    <s v="994332L"/>
    <s v="Completed"/>
    <s v="Active"/>
    <x v="1"/>
    <x v="1"/>
    <m/>
    <d v="2025-10-02T12:15:40"/>
    <n v="603471"/>
    <s v="Zendesk International Limited"/>
  </r>
  <r>
    <s v="994362L"/>
    <s v="Coillte Teoranta"/>
    <s v="Add Members"/>
    <s v="2025-10-02 13:26:41.832000Z"/>
    <s v="994362L"/>
    <s v="Completed"/>
    <s v="Active"/>
    <x v="15"/>
    <x v="1"/>
    <m/>
    <d v="2025-10-02T14:26:34"/>
    <n v="602843"/>
    <s v="Coillte Teoranta"/>
  </r>
  <r>
    <s v="994374L"/>
    <s v="Vera Financial DAC"/>
    <s v="Add Members"/>
    <s v="2025-10-02 12:38:58.355000Z"/>
    <s v="994374L"/>
    <s v="Completed"/>
    <s v="Active"/>
    <x v="1"/>
    <x v="1"/>
    <m/>
    <d v="2025-10-02T13:38:50"/>
    <n v="603408"/>
    <s v="Vera Financial DAC"/>
  </r>
  <r>
    <s v="994387L"/>
    <s v="Irish Life"/>
    <s v="Add Members"/>
    <s v="2025-10-02 08:20:08.408000Z"/>
    <s v="994387L"/>
    <s v="Completed"/>
    <s v="Active"/>
    <x v="0"/>
    <x v="0"/>
    <m/>
    <d v="2025-10-02T09:20:01"/>
    <n v="603200"/>
    <s v="Alliance Medical Diagnostic Imaging Ltd"/>
  </r>
  <r>
    <s v="994408L"/>
    <s v="Roadstone Limited"/>
    <s v="Add Members"/>
    <s v="2025-10-02 10:21:29.463000Z"/>
    <s v="994408L"/>
    <s v="Completed"/>
    <s v="Active"/>
    <x v="0"/>
    <x v="0"/>
    <m/>
    <d v="2025-10-02T11:21:20"/>
    <n v="602719"/>
    <s v="Roadstone Limited"/>
  </r>
  <r>
    <s v="994409L"/>
    <s v="FDC Group"/>
    <s v="Add Members"/>
    <s v="2025-10-02 11:34:54.504000Z"/>
    <s v="994409L"/>
    <s v="Completed"/>
    <s v="Active"/>
    <x v="12"/>
    <x v="1"/>
    <m/>
    <d v="2025-10-02T12:34:47"/>
    <n v="603001"/>
    <s v="FDC Group"/>
  </r>
  <r>
    <s v="994410L"/>
    <s v="FDC Group"/>
    <s v="Add Members"/>
    <s v="2025-10-02 11:15:07.870000Z"/>
    <s v="994410L"/>
    <s v="Completed"/>
    <s v="Active"/>
    <x v="12"/>
    <x v="1"/>
    <m/>
    <d v="2025-10-02T12:14:57"/>
    <n v="603001"/>
    <s v="FDC Group"/>
  </r>
  <r>
    <s v="994417L"/>
    <s v="Horizon Therapeutics Ireland DAC"/>
    <s v="Add Members"/>
    <s v="2025-10-02 15:14:11.648000Z"/>
    <s v="994417L"/>
    <s v="Completed"/>
    <s v="Active"/>
    <x v="0"/>
    <x v="0"/>
    <m/>
    <d v="2025-10-02T16:14:06"/>
    <n v="603483"/>
    <s v="Horizon Therapeutics Ireland DAC"/>
  </r>
  <r>
    <s v="994449L"/>
    <s v="Aon"/>
    <s v="Add Members"/>
    <s v="2025-10-02 10:04:39.400000Z"/>
    <s v="994449L"/>
    <s v="Completed"/>
    <s v="Active"/>
    <x v="0"/>
    <x v="0"/>
    <m/>
    <d v="2025-10-02T11:04:32"/>
    <n v="608068"/>
    <s v="Ministry Brands Limited"/>
  </r>
  <r>
    <s v="994475L"/>
    <s v="IPB Insurance CLG"/>
    <s v="Add Members"/>
    <s v="2025-10-02 11:58:23.090000Z"/>
    <s v="994475L"/>
    <s v="Completed"/>
    <s v="Active"/>
    <x v="1"/>
    <x v="1"/>
    <m/>
    <d v="2025-10-02T12:58:15"/>
    <n v="602943"/>
    <s v="IPB Insurance CLG"/>
  </r>
  <r>
    <s v="994482L"/>
    <s v="The Irish Times"/>
    <s v="Add Members"/>
    <s v="2025-10-02 12:24:28.500000Z"/>
    <s v="994482L"/>
    <s v="Completed"/>
    <s v="Active"/>
    <x v="1"/>
    <x v="1"/>
    <m/>
    <d v="2025-10-02T13:24:19"/>
    <n v="603484"/>
    <s v="The Irish Times DAC"/>
  </r>
  <r>
    <s v="994559L"/>
    <s v="Bon Secours Health System CLG"/>
    <s v="Add Members"/>
    <s v="2025-10-03 13:30:20.720000Z"/>
    <s v="994559L"/>
    <s v="Completed"/>
    <s v="Active"/>
    <x v="10"/>
    <x v="1"/>
    <m/>
    <d v="2025-10-03T14:30:16"/>
    <n v="608029"/>
    <s v="Bon Secours Health System Limited"/>
  </r>
  <r>
    <s v="994560L"/>
    <s v="Bon Secours Health System CLG"/>
    <s v="Add Members"/>
    <s v="2025-10-03 08:56:01.400000Z"/>
    <s v="994560L"/>
    <s v="Completed"/>
    <s v="Active"/>
    <x v="15"/>
    <x v="1"/>
    <m/>
    <d v="2025-10-03T09:55:55"/>
    <n v="608029"/>
    <s v="Bon Secours Health System Limited"/>
  </r>
  <r>
    <s v="994561L"/>
    <s v="Irish Life"/>
    <s v="Add Members"/>
    <s v="2025-10-03 08:38:41.170000Z"/>
    <s v="994561L"/>
    <s v="Completed"/>
    <s v="Active"/>
    <x v="0"/>
    <x v="1"/>
    <m/>
    <d v="2025-10-03T09:38:32"/>
    <n v="603525"/>
    <s v="National Advocacy Service"/>
  </r>
  <r>
    <s v="994562L"/>
    <s v="Bon Secours Health System CLG"/>
    <s v="Add Members"/>
    <s v="2025-10-03 08:50:38.933000Z"/>
    <s v="994562L"/>
    <s v="Completed"/>
    <s v="Active"/>
    <x v="4"/>
    <x v="1"/>
    <m/>
    <d v="2025-10-03T09:50:33"/>
    <n v="608029"/>
    <s v="Bon Secours Health System Limited"/>
  </r>
  <r>
    <s v="994573L"/>
    <s v="Patrick J Tobin Ltd"/>
    <s v="Add Members"/>
    <s v="2025-10-02 13:21:14.018000Z"/>
    <s v="994573L"/>
    <s v="Completed"/>
    <s v="Active"/>
    <x v="0"/>
    <x v="0"/>
    <m/>
    <d v="2025-10-02T14:21:07"/>
    <n v="602944"/>
    <s v="PATRICK J TOBIN LTD"/>
  </r>
  <r>
    <s v="994574L"/>
    <s v="Patrick J Tobin Ltd"/>
    <s v="Add Members"/>
    <s v="2025-10-02 09:46:34.917000Z"/>
    <s v="994574L"/>
    <s v="Completed"/>
    <s v="Active"/>
    <x v="0"/>
    <x v="0"/>
    <m/>
    <d v="2025-10-02T10:46:29"/>
    <n v="602944"/>
    <s v="PATRICK J TOBIN LTD"/>
  </r>
  <r>
    <s v="994586L"/>
    <s v="Irish Life"/>
    <s v="Add Members"/>
    <s v="2025-10-03 10:09:05.462000Z"/>
    <s v="994586L"/>
    <s v="Completed"/>
    <s v="Active"/>
    <x v="15"/>
    <x v="1"/>
    <m/>
    <d v="2025-10-03T11:09:01"/>
    <n v="608028"/>
    <s v="Apple"/>
  </r>
  <r>
    <s v="994595L"/>
    <s v="Irish Life"/>
    <s v="Add Members"/>
    <s v="2025-10-01 08:04:03.728000Z"/>
    <s v="994595L"/>
    <s v="Completed"/>
    <s v="Active"/>
    <x v="1"/>
    <x v="1"/>
    <m/>
    <d v="2025-10-01T09:03:55"/>
    <n v="606879"/>
    <s v="Zimmer Orthopedics Manufacturing Limited"/>
  </r>
  <r>
    <s v="994597L"/>
    <s v="Patrick J Tobin Ltd"/>
    <s v="Add Members"/>
    <s v="2025-10-02 14:10:51.550000Z"/>
    <s v="994597L"/>
    <s v="Completed"/>
    <s v="Active"/>
    <x v="0"/>
    <x v="0"/>
    <m/>
    <d v="2025-10-02T15:10:44"/>
    <n v="602944"/>
    <s v="PATRICK J TOBIN LTD"/>
  </r>
  <r>
    <s v="994601L"/>
    <s v="CBRE Ireland"/>
    <s v="Add Members"/>
    <s v="2025-10-03 08:56:37.112000Z"/>
    <s v="994601L"/>
    <s v="Completed"/>
    <s v="Active"/>
    <x v="1"/>
    <x v="1"/>
    <m/>
    <d v="2025-10-03T09:56:28"/>
    <n v="603959"/>
    <s v="CBRE Advisory (IRL) Ltd Pension Scheme"/>
  </r>
  <r>
    <s v="994602L"/>
    <s v="Zendesk International Limited"/>
    <s v="Add Members"/>
    <s v="2025-10-03 13:32:32.373000Z"/>
    <s v="994602L"/>
    <s v="Completed"/>
    <s v="Active"/>
    <x v="1"/>
    <x v="1"/>
    <m/>
    <d v="2025-10-03T14:32:27"/>
    <n v="603471"/>
    <s v="Zendesk International Limited"/>
  </r>
  <r>
    <s v="994604L"/>
    <s v="Aon"/>
    <s v="Add Members"/>
    <s v="2025-10-03 13:32:01.398000Z"/>
    <s v="994604L"/>
    <s v="Completed"/>
    <s v="Active"/>
    <x v="32"/>
    <x v="1"/>
    <m/>
    <d v="2025-10-03T14:31:55"/>
    <n v="609839"/>
    <s v="Viatris Pension Plan"/>
  </r>
  <r>
    <s v="994632L"/>
    <s v="Cool Planet Group Limited"/>
    <s v="Add Members"/>
    <s v="2025-10-02 14:23:43.039000Z"/>
    <s v="994632L"/>
    <s v="Completed"/>
    <s v="Active"/>
    <x v="0"/>
    <x v="1"/>
    <m/>
    <d v="2025-10-02T15:23:36"/>
    <n v="602438"/>
    <s v="Cool Planet Group Limited"/>
  </r>
  <r>
    <s v="994657L"/>
    <s v="eircom"/>
    <s v="Add Members"/>
    <s v="2025-10-03 10:00:13.543000Z"/>
    <s v="994657L"/>
    <s v="Completed"/>
    <s v="Active"/>
    <x v="1"/>
    <x v="1"/>
    <m/>
    <d v="2025-10-03T11:00:08"/>
    <n v="603757"/>
    <s v="eircom Limited AVC Scheme"/>
  </r>
  <r>
    <s v="994658L"/>
    <s v="Irish Life"/>
    <s v="Add Members"/>
    <s v="2025-10-03 13:32:01.923000Z"/>
    <s v="994658L"/>
    <s v="Completed"/>
    <s v="Active"/>
    <x v="4"/>
    <x v="1"/>
    <m/>
    <d v="2025-10-03T14:31:55"/>
    <n v="602408"/>
    <s v="Aimware Limited"/>
  </r>
  <r>
    <s v="994727L"/>
    <s v="IKEA Ireland Defined Contribution Scheme"/>
    <s v="Add Members"/>
    <s v="2025-10-03 10:16:28.446000Z"/>
    <s v="994727L"/>
    <s v="Completed"/>
    <s v="Active"/>
    <x v="0"/>
    <x v="0"/>
    <m/>
    <d v="2025-10-03T11:16:20"/>
    <n v="603479"/>
    <s v="IKEA Ireland Limited"/>
  </r>
  <r>
    <s v="994743L"/>
    <s v="MBEU Designated Activity Company"/>
    <s v="Add Members"/>
    <s v="2025-10-03 14:52:14.458000Z"/>
    <s v="994743L"/>
    <s v="Completed"/>
    <s v="Active"/>
    <x v="7"/>
    <x v="1"/>
    <m/>
    <d v="2025-10-03T15:52:06"/>
    <n v="605307"/>
    <s v="MBEU Designated Activity Company"/>
  </r>
  <r>
    <s v="994747L"/>
    <s v="Emerson Process Management Ltd"/>
    <s v="Add Members"/>
    <s v="2025-10-03 09:42:55.590000Z"/>
    <s v="994747L"/>
    <s v="Completed"/>
    <s v="Active"/>
    <x v="1"/>
    <x v="1"/>
    <m/>
    <d v="2025-10-03T10:42:48"/>
    <n v="603652"/>
    <s v="Emerson Automation Solutions Ireland Ltd"/>
  </r>
  <r>
    <s v="994750L"/>
    <s v="eircom"/>
    <s v="Add Members"/>
    <s v="2025-10-03 10:40:24.962000Z"/>
    <s v="994750L"/>
    <s v="Completed"/>
    <s v="Active"/>
    <x v="1"/>
    <x v="1"/>
    <m/>
    <d v="2025-10-03T11:40:17"/>
    <n v="603757"/>
    <s v="eircom Limited AVC Scheme"/>
  </r>
  <r>
    <s v="994761L"/>
    <s v="Patrick J Tobin Ltd"/>
    <s v="Add Members"/>
    <s v="2025-10-02 10:11:28.060000Z"/>
    <s v="994761L"/>
    <s v="Completed"/>
    <s v="Active"/>
    <x v="0"/>
    <x v="0"/>
    <m/>
    <d v="2025-10-02T11:11:23"/>
    <n v="602944"/>
    <s v="PATRICK J TOBIN LTD"/>
  </r>
  <r>
    <s v="994796L"/>
    <s v="Brett Brothers Limited"/>
    <s v="Add Members"/>
    <s v="2025-10-03 09:07:39.217000Z"/>
    <s v="994796L"/>
    <s v="Completed"/>
    <s v="Active"/>
    <x v="1"/>
    <x v="1"/>
    <m/>
    <d v="2025-10-03T10:07:31"/>
    <n v="602093"/>
    <s v="Brett Brothers Limited"/>
  </r>
  <r>
    <s v="994798L"/>
    <s v="Medite Europe DAC"/>
    <s v="Add Members"/>
    <s v="2025-10-03 10:33:13.078000Z"/>
    <s v="994798L"/>
    <s v="Completed"/>
    <s v="Active"/>
    <x v="0"/>
    <x v="0"/>
    <m/>
    <d v="2025-10-03T11:33:06"/>
    <n v="606834"/>
    <s v="Medite Europe DAC"/>
  </r>
  <r>
    <s v="994808L"/>
    <s v="Securitas Security Services Ireland Ltd"/>
    <s v="Add Members"/>
    <s v="2025-10-01 14:47:56.617000Z"/>
    <s v="994808L"/>
    <s v="Completed"/>
    <s v="Active"/>
    <x v="0"/>
    <x v="0"/>
    <m/>
    <d v="2025-10-01T15:47:51"/>
    <n v="601991"/>
    <s v="Securitas Security Services (Ireland)Ltd"/>
  </r>
  <r>
    <s v="994820L"/>
    <s v="Patrick J Tobin Ltd"/>
    <s v="Add Members"/>
    <s v="2025-10-02 09:55:55.682000Z"/>
    <s v="994820L"/>
    <s v="Completed"/>
    <s v="Active"/>
    <x v="0"/>
    <x v="0"/>
    <m/>
    <d v="2025-10-02T10:55:49"/>
    <n v="602944"/>
    <s v="PATRICK J TOBIN LTD"/>
  </r>
  <r>
    <s v="994845L"/>
    <s v="Vera Financial DAC"/>
    <s v="Add Members"/>
    <s v="2025-10-03 09:53:26.695000Z"/>
    <s v="994845L"/>
    <s v="Completed"/>
    <s v="Active"/>
    <x v="1"/>
    <x v="1"/>
    <m/>
    <d v="2025-10-03T10:53:21"/>
    <n v="603408"/>
    <s v="Vera Financial DAC"/>
  </r>
  <r>
    <s v="994847L"/>
    <s v="Castlehitt Limited"/>
    <s v="Add Members"/>
    <s v="2025-10-07 10:09:54.820000Z"/>
    <s v="994847L"/>
    <s v="Completed"/>
    <s v="Active"/>
    <x v="0"/>
    <x v="0"/>
    <m/>
    <d v="2025-10-07T11:09:47"/>
    <n v="605381"/>
    <s v="Castlehitt Limited"/>
  </r>
  <r>
    <s v="994850L"/>
    <s v="Irish Life"/>
    <s v="Add Members"/>
    <s v="2025-10-03 09:37:26.522000Z"/>
    <s v="994850L"/>
    <s v="Completed"/>
    <s v="Active"/>
    <x v="1"/>
    <x v="1"/>
    <m/>
    <d v="2025-10-03T10:37:17"/>
    <n v="603632"/>
    <s v="ST Engineering IDirect (Ireland) Limited"/>
  </r>
  <r>
    <s v="994869L"/>
    <s v="Aon"/>
    <s v="Add Members"/>
    <s v="2025-10-03 10:01:44.355000Z"/>
    <s v="994869L"/>
    <s v="Completed"/>
    <s v="Active"/>
    <x v="0"/>
    <x v="0"/>
    <m/>
    <d v="2025-10-03T11:01:40"/>
    <n v="601090"/>
    <s v="World Rugby Limited"/>
  </r>
  <r>
    <s v="994911L"/>
    <s v="Aon"/>
    <s v="Add Members"/>
    <s v="2025-10-03 09:42:24.445000Z"/>
    <s v="994911L"/>
    <s v="Completed"/>
    <s v="Active"/>
    <x v="0"/>
    <x v="0"/>
    <m/>
    <d v="2025-10-03T10:42:18"/>
    <n v="608068"/>
    <s v="Ministry Brands Limited"/>
  </r>
  <r>
    <s v="994913L"/>
    <s v="Irish Life"/>
    <s v="Add Members"/>
    <s v="2025-10-01 09:00:02.090000Z"/>
    <s v="994913L"/>
    <s v="Completed"/>
    <s v="Active"/>
    <x v="4"/>
    <x v="1"/>
    <m/>
    <d v="2025-10-01T09:59:55"/>
    <n v="601335"/>
    <s v="Uniphar Group Retirement Benefits Scheme"/>
  </r>
  <r>
    <s v="995049L"/>
    <s v="Aramex Ireland Limited"/>
    <s v="Add Members"/>
    <s v="2025-10-06 08:11:11.155000Z"/>
    <s v="995049L"/>
    <s v="Completed"/>
    <s v="Active"/>
    <x v="1"/>
    <x v="1"/>
    <m/>
    <d v="2025-10-06T09:11:06"/>
    <n v="603553"/>
    <s v="Aramex Ireland Limited"/>
  </r>
  <r>
    <s v="995098L"/>
    <s v="Joseph G Byrne and Sons Consulting Actuaries"/>
    <s v="Add Members"/>
    <s v="2025-10-06 10:41:22.648000Z"/>
    <s v="995098L"/>
    <s v="Completed"/>
    <s v="Active"/>
    <x v="1"/>
    <x v="1"/>
    <m/>
    <d v="2025-10-06T11:41:17"/>
    <n v="605071"/>
    <s v="ABM Ireland"/>
  </r>
  <r>
    <s v="995109L"/>
    <s v="Comhlucht Iascaireacht Fanad Teoranta"/>
    <s v="Add Members"/>
    <s v="2025-10-06 08:21:49.344000Z"/>
    <s v="995109L"/>
    <s v="Completed"/>
    <s v="Active"/>
    <x v="0"/>
    <x v="1"/>
    <m/>
    <d v="2025-10-06T09:21:43"/>
    <n v="603067"/>
    <s v="Comhlucht Iascaireacht Fanad Teoranta"/>
  </r>
  <r>
    <s v="995123L"/>
    <s v="Patrick J Tobin Ltd"/>
    <s v="Add Members"/>
    <s v="2025-10-04 09:36:49.920000Z"/>
    <s v="995123L"/>
    <s v="Completed"/>
    <s v="Active"/>
    <x v="0"/>
    <x v="0"/>
    <m/>
    <d v="2025-10-04T10:36:41"/>
    <n v="602944"/>
    <s v="PATRICK J TOBIN LTD"/>
  </r>
  <r>
    <s v="995128L"/>
    <s v="Blackrock Health"/>
    <s v="Add Members"/>
    <s v="2025-10-06 14:58:43.554000Z"/>
    <s v="995128L"/>
    <s v="Completed"/>
    <s v="Active"/>
    <x v="15"/>
    <x v="1"/>
    <m/>
    <d v="2025-10-06T15:58:35"/>
    <n v="602447"/>
    <s v="Hermitage Clinic Limited"/>
  </r>
  <r>
    <s v="995129L"/>
    <s v="Irish Life"/>
    <s v="Add Members"/>
    <s v="2025-10-03 14:57:56.282000Z"/>
    <s v="995129L"/>
    <s v="Completed"/>
    <s v="Active"/>
    <x v="4"/>
    <x v="1"/>
    <m/>
    <d v="2025-10-03T15:57:52"/>
    <n v="608028"/>
    <s v="Apple"/>
  </r>
  <r>
    <s v="995130L"/>
    <s v="Irish Life"/>
    <s v="Add Members"/>
    <s v="2025-10-03 15:01:22.169000Z"/>
    <s v="995130L"/>
    <s v="Completed"/>
    <s v="Active"/>
    <x v="4"/>
    <x v="1"/>
    <m/>
    <d v="2025-10-03T16:01:15"/>
    <n v="608028"/>
    <s v="Apple"/>
  </r>
  <r>
    <s v="995158L"/>
    <s v="FDC Group"/>
    <s v="Add Members"/>
    <s v="2025-10-07 07:54:20.124000Z"/>
    <s v="995158L"/>
    <s v="Completed"/>
    <s v="Active"/>
    <x v="1"/>
    <x v="1"/>
    <m/>
    <d v="2025-10-07T08:54:13"/>
    <n v="603001"/>
    <s v="FDC Group"/>
  </r>
  <r>
    <s v="995193L"/>
    <s v="Zellis"/>
    <s v="Add Members"/>
    <s v="2025-10-02 08:38:11.427000Z"/>
    <s v="995193L"/>
    <s v="Completed"/>
    <s v="Active"/>
    <x v="0"/>
    <x v="1"/>
    <m/>
    <d v="2025-10-02T09:38:02"/>
    <n v="603645"/>
    <s v="Aer Lingus"/>
  </r>
  <r>
    <s v="995195L"/>
    <s v="Zellis"/>
    <s v="Add Members"/>
    <s v="2025-10-02 08:36:59.713000Z"/>
    <s v="995195L"/>
    <s v="Completed"/>
    <s v="Active"/>
    <x v="0"/>
    <x v="1"/>
    <m/>
    <d v="2025-10-02T09:36:51"/>
    <n v="603645"/>
    <s v="Aer Lingus"/>
  </r>
  <r>
    <s v="995198L"/>
    <s v="Open Text Ireland Ltd"/>
    <s v="Add Members"/>
    <s v="2025-10-06 09:59:55.171000Z"/>
    <s v="995198L"/>
    <s v="Completed"/>
    <s v="Active"/>
    <x v="0"/>
    <x v="0"/>
    <m/>
    <d v="2025-10-06T10:59:50"/>
    <n v="602876"/>
    <s v="Open Text Ireland Ltd"/>
  </r>
  <r>
    <s v="995200L"/>
    <s v="Zellis"/>
    <s v="Add Members"/>
    <s v="2025-10-02 08:29:25.424000Z"/>
    <s v="995200L"/>
    <s v="Completed"/>
    <s v="Active"/>
    <x v="0"/>
    <x v="1"/>
    <m/>
    <d v="2025-10-02T09:29:16"/>
    <n v="603645"/>
    <s v="Aer Lingus"/>
  </r>
  <r>
    <s v="995210L"/>
    <s v="Ability West"/>
    <s v="Add Members"/>
    <s v="2025-10-06 13:20:03.965000Z"/>
    <s v="995210L"/>
    <s v="Completed"/>
    <s v="Active"/>
    <x v="0"/>
    <x v="1"/>
    <m/>
    <d v="2025-10-06T14:20:00"/>
    <n v="609694"/>
    <s v="NFVSP Ability West"/>
  </r>
  <r>
    <s v="995219L"/>
    <s v="Zellis"/>
    <s v="Add Members"/>
    <s v="2025-10-02 08:34:17.783000Z"/>
    <s v="995219L"/>
    <s v="Completed"/>
    <s v="Active"/>
    <x v="0"/>
    <x v="1"/>
    <m/>
    <d v="2025-10-02T09:34:12"/>
    <n v="603645"/>
    <s v="Aer Lingus"/>
  </r>
  <r>
    <s v="995239L"/>
    <s v="Irish Life"/>
    <s v="Add Members"/>
    <s v="2025-10-01 14:05:32.004000Z"/>
    <s v="995239L"/>
    <s v="Completed"/>
    <s v="Active"/>
    <x v="1"/>
    <x v="1"/>
    <m/>
    <d v="2025-10-01T15:05:27"/>
    <n v="602408"/>
    <s v="Aimware Limited"/>
  </r>
  <r>
    <s v="995255L"/>
    <s v="Irish Life"/>
    <s v="Add Members"/>
    <s v="2025-10-08 05:56:17.830000Z"/>
    <s v="995255L"/>
    <s v="Completed"/>
    <s v="Active"/>
    <x v="13"/>
    <x v="1"/>
    <m/>
    <d v="2025-10-08T06:56:12"/>
    <n v="603836"/>
    <s v="StepStone Grp Eur Alt Investments Ltd"/>
  </r>
  <r>
    <s v="995256L"/>
    <s v="Irish Life"/>
    <s v="Add Members"/>
    <s v="2025-10-07 07:54:30.664000Z"/>
    <s v="995256L"/>
    <s v="Completed"/>
    <s v="Active"/>
    <x v="25"/>
    <x v="1"/>
    <m/>
    <d v="2025-10-07T08:54:23"/>
    <n v="603560"/>
    <s v="Fenergo Limited"/>
  </r>
  <r>
    <s v="995259L"/>
    <s v="Zellis"/>
    <s v="Add Members"/>
    <s v="2025-10-02 08:32:36.768000Z"/>
    <s v="995259L"/>
    <s v="Completed"/>
    <s v="Active"/>
    <x v="0"/>
    <x v="1"/>
    <m/>
    <d v="2025-10-02T09:32:30"/>
    <n v="603645"/>
    <s v="Aer Lingus"/>
  </r>
  <r>
    <s v="995261L"/>
    <s v="Zellis"/>
    <s v="Add Members"/>
    <s v="2025-10-02 08:35:33.670000Z"/>
    <s v="995261L"/>
    <s v="Completed"/>
    <s v="Active"/>
    <x v="0"/>
    <x v="1"/>
    <m/>
    <d v="2025-10-02T09:35:25"/>
    <n v="603645"/>
    <s v="Aer Lingus"/>
  </r>
  <r>
    <s v="995262L"/>
    <s v="Zellis"/>
    <s v="Add Members"/>
    <s v="2025-10-02 09:48:01.181000Z"/>
    <s v="995262L"/>
    <s v="Completed"/>
    <s v="Active"/>
    <x v="33"/>
    <x v="1"/>
    <m/>
    <d v="2025-10-02T10:47:57"/>
    <n v="603645"/>
    <s v="Aer Lingus"/>
  </r>
  <r>
    <s v="995290L"/>
    <s v="Aon"/>
    <s v="Add Members"/>
    <s v="2025-10-06 08:10:40.417000Z"/>
    <s v="995290L"/>
    <s v="Completed"/>
    <s v="Active"/>
    <x v="0"/>
    <x v="0"/>
    <m/>
    <d v="2025-10-06T09:10:31"/>
    <n v="604367"/>
    <s v="Mediolanum International Funds Limited"/>
  </r>
  <r>
    <s v="995312L"/>
    <s v="Aon"/>
    <s v="Add Members"/>
    <s v="2025-10-03 14:43:33.536000Z"/>
    <s v="995312L"/>
    <s v="Completed"/>
    <s v="Active"/>
    <x v="0"/>
    <x v="0"/>
    <m/>
    <d v="2025-10-03T15:43:27"/>
    <n v="601090"/>
    <s v="World Rugby Limited"/>
  </r>
  <r>
    <s v="995323L"/>
    <s v="Saint Gobain Construction Products Ire Ltd"/>
    <s v="Add Members"/>
    <s v="2025-10-06 10:42:08.126000Z"/>
    <s v="995323L"/>
    <s v="Completed"/>
    <s v="Active"/>
    <x v="4"/>
    <x v="1"/>
    <m/>
    <d v="2025-10-06T11:42:00"/>
    <n v="603106"/>
    <s v="Saint Gobain Ireland"/>
  </r>
  <r>
    <s v="995327L"/>
    <s v="Aon"/>
    <s v="Add Members"/>
    <s v="2025-10-09 07:16:51.710000Z"/>
    <s v="995327L"/>
    <s v="Completed"/>
    <s v="Active"/>
    <x v="0"/>
    <x v="0"/>
    <m/>
    <d v="2025-10-09T08:16:44"/>
    <n v="609880"/>
    <s v="Montage Technologies Limited"/>
  </r>
  <r>
    <s v="995354L"/>
    <s v="Ingersoll Rand Industrial Ire Limited"/>
    <s v="Add Members"/>
    <s v="2025-10-06 08:03:12.880000Z"/>
    <s v="995354L"/>
    <s v="Completed"/>
    <s v="Active"/>
    <x v="0"/>
    <x v="0"/>
    <m/>
    <d v="2025-10-06T09:03:06"/>
    <n v="606872"/>
    <s v="Ingersoll- Rand Industrial Ire. Limited"/>
  </r>
  <r>
    <s v="995363L"/>
    <s v="Patrick J Tobin Ltd"/>
    <s v="Add Members"/>
    <s v="2025-10-06 14:29:41.877000Z"/>
    <s v="995363L"/>
    <s v="Completed"/>
    <s v="Active"/>
    <x v="13"/>
    <x v="1"/>
    <m/>
    <d v="2025-10-06T15:29:37"/>
    <n v="602944"/>
    <s v="PATRICK J TOBIN LTD"/>
  </r>
  <r>
    <s v="995378L"/>
    <s v="Ornua Co Operative Limited"/>
    <s v="Add Members"/>
    <s v="2025-10-03 13:15:34.161000Z"/>
    <s v="995378L"/>
    <s v="Completed"/>
    <s v="Active"/>
    <x v="12"/>
    <x v="1"/>
    <m/>
    <d v="2025-10-03T14:15:29"/>
    <n v="602833"/>
    <s v="Ornua Co-Operative Limited"/>
  </r>
  <r>
    <s v="995381L"/>
    <s v="Project Management Limited"/>
    <s v="Add Members"/>
    <s v="2025-10-06 11:44:34.743000Z"/>
    <s v="995381L"/>
    <s v="Completed"/>
    <s v="Active"/>
    <x v="34"/>
    <x v="1"/>
    <m/>
    <d v="2025-10-06T12:44:25"/>
    <n v="605268"/>
    <s v="Project Management Limited"/>
  </r>
  <r>
    <s v="995385L"/>
    <s v="East Cork Oil Company"/>
    <s v="Add Members"/>
    <s v="2025-10-03 16:43:52.215000Z"/>
    <s v="995385L"/>
    <s v="Completed"/>
    <s v="Active"/>
    <x v="1"/>
    <x v="1"/>
    <m/>
    <d v="2025-10-03T17:43:46"/>
    <n v="602254"/>
    <s v="East Cork Oil Company Unlimited Company"/>
  </r>
  <r>
    <s v="995396L"/>
    <s v="Irish Life"/>
    <s v="Add Members"/>
    <s v="2025-10-01 17:27:35.494000Z"/>
    <s v="995396L"/>
    <s v="Completed"/>
    <s v="Active"/>
    <x v="1"/>
    <x v="1"/>
    <m/>
    <d v="2025-10-01T18:27:27"/>
    <n v="602408"/>
    <s v="Aimware Limited"/>
  </r>
  <r>
    <s v="995548L"/>
    <s v="Liberty Information Technology Ltd"/>
    <s v="Add Members"/>
    <s v="2025-10-05 12:52:48.933000Z"/>
    <s v="995548L"/>
    <s v="Completed"/>
    <s v="Active"/>
    <x v="0"/>
    <x v="0"/>
    <m/>
    <d v="2025-10-05T13:52:44"/>
    <n v="605011"/>
    <s v="Liberty Information Technology Ltd"/>
  </r>
  <r>
    <s v="995549L"/>
    <s v="Patrick J Tobin Ltd"/>
    <s v="Add Members"/>
    <s v="2025-10-04 09:46:30.906000Z"/>
    <s v="995549L"/>
    <s v="Completed"/>
    <s v="Active"/>
    <x v="0"/>
    <x v="0"/>
    <m/>
    <d v="2025-10-04T10:46:22"/>
    <n v="602944"/>
    <s v="PATRICK J TOBIN LTD"/>
  </r>
  <r>
    <s v="995583L"/>
    <s v="Liberty Information Technology Ltd"/>
    <s v="Add Members"/>
    <s v="2025-10-07 08:30:16.643000Z"/>
    <s v="995583L"/>
    <s v="Completed"/>
    <s v="Active"/>
    <x v="0"/>
    <x v="0"/>
    <m/>
    <d v="2025-10-07T09:30:10"/>
    <n v="605011"/>
    <s v="Liberty Information Technology Ltd"/>
  </r>
  <r>
    <s v="995615L"/>
    <s v="Kerrigan Sheanon Newman Unlimited Company"/>
    <s v="Add Members"/>
    <s v="2025-10-07 08:55:26.257000Z"/>
    <s v="995615L"/>
    <s v="Completed"/>
    <s v="Active"/>
    <x v="0"/>
    <x v="1"/>
    <m/>
    <d v="2025-10-07T09:55:20"/>
    <n v="609830"/>
    <s v="Kerrigan Sheanon Newman ULC"/>
  </r>
  <r>
    <s v="995622L"/>
    <s v="Western Care Association"/>
    <s v="Add Members"/>
    <s v="2025-10-07 14:47:59.022000Z"/>
    <s v="995622L"/>
    <s v="Completed"/>
    <s v="Active"/>
    <x v="15"/>
    <x v="1"/>
    <m/>
    <d v="2025-10-07T15:47:51"/>
    <n v="609706"/>
    <s v="NFVSP Western Care Association"/>
  </r>
  <r>
    <s v="995628L"/>
    <s v="Dunnhumby Ireland Limited"/>
    <s v="Add Members"/>
    <s v="2025-10-07 08:27:30.585000Z"/>
    <s v="995628L"/>
    <s v="Completed"/>
    <s v="Active"/>
    <x v="0"/>
    <x v="0"/>
    <m/>
    <d v="2025-10-07T09:27:19"/>
    <n v="603085"/>
    <s v="Dunnhumby Ireland Limited"/>
  </r>
  <r>
    <s v="995635L"/>
    <s v="Bon Secours Health System CLG"/>
    <s v="Add Members"/>
    <s v="2025-10-07 08:48:19.298000Z"/>
    <s v="995635L"/>
    <s v="Completed"/>
    <s v="Active"/>
    <x v="1"/>
    <x v="1"/>
    <m/>
    <d v="2025-10-07T09:48:14"/>
    <n v="608029"/>
    <s v="Bon Secours Health System Limited"/>
  </r>
  <r>
    <s v="995656L"/>
    <s v="St Josephs Foundation"/>
    <s v="Add Members"/>
    <s v="2025-10-07 11:22:13.703000Z"/>
    <s v="995656L"/>
    <s v="Completed"/>
    <s v="Active"/>
    <x v="21"/>
    <x v="1"/>
    <m/>
    <d v="2025-10-07T12:22:08"/>
    <n v="609710"/>
    <s v="NFVSP St Joseph's Foundation"/>
  </r>
  <r>
    <s v="995657L"/>
    <s v="St Josephs Foundation"/>
    <s v="Add Members"/>
    <s v="2025-10-07 11:14:42.306000Z"/>
    <s v="995657L"/>
    <s v="Completed"/>
    <s v="Active"/>
    <x v="8"/>
    <x v="1"/>
    <m/>
    <d v="2025-10-07T12:14:32"/>
    <n v="609710"/>
    <s v="NFVSP St Joseph's Foundation"/>
  </r>
  <r>
    <s v="995659L"/>
    <s v="Irish Life"/>
    <s v="Add Members"/>
    <s v="2025-10-09 08:52:53.648000Z"/>
    <s v="995659L"/>
    <s v="Completed"/>
    <s v="Active"/>
    <x v="1"/>
    <x v="1"/>
    <m/>
    <d v="2025-10-09T09:52:49"/>
    <n v="609912"/>
    <s v="Kayfoam Woolfson Unlimited Company"/>
  </r>
  <r>
    <s v="995675L"/>
    <s v="Patrick J Tobin Ltd"/>
    <s v="Add Members"/>
    <s v="2025-10-04 10:18:19.004000Z"/>
    <s v="995675L"/>
    <s v="Completed"/>
    <s v="Active"/>
    <x v="0"/>
    <x v="0"/>
    <m/>
    <d v="2025-10-04T11:18:10"/>
    <n v="602944"/>
    <s v="PATRICK J TOBIN LTD"/>
  </r>
  <r>
    <s v="995700L"/>
    <s v="Brinks Cash Services  Ireland  Limited"/>
    <s v="Add Members"/>
    <s v="2025-10-07 09:30:06.238000Z"/>
    <s v="995700L"/>
    <s v="Completed"/>
    <s v="Active"/>
    <x v="15"/>
    <x v="1"/>
    <m/>
    <d v="2025-10-07T10:29:58"/>
    <n v="602343"/>
    <s v="Brink's Cash Services (Ir) Ltd"/>
  </r>
  <r>
    <s v="995715L"/>
    <s v="Chemifloc Limited"/>
    <s v="Add Members"/>
    <s v="2025-10-07 09:17:18.406000Z"/>
    <s v="995715L"/>
    <s v="Completed"/>
    <s v="Active"/>
    <x v="0"/>
    <x v="0"/>
    <m/>
    <d v="2025-10-07T10:17:13"/>
    <n v="602880"/>
    <s v="Chemifloc Limited"/>
  </r>
  <r>
    <s v="995733L"/>
    <s v="Irish Life"/>
    <s v="Add Members"/>
    <s v="2025-10-09 10:48:56.555000Z"/>
    <s v="995733L"/>
    <s v="Completed"/>
    <s v="Active"/>
    <x v="4"/>
    <x v="1"/>
    <m/>
    <d v="2025-10-09T11:48:48"/>
    <n v="603642"/>
    <s v="Inizio Healthcare Limited"/>
  </r>
  <r>
    <s v="995763L"/>
    <s v="Irish Life"/>
    <s v="Add Members"/>
    <s v="2025-10-02 15:14:54.366000Z"/>
    <s v="995763L"/>
    <s v="Completed"/>
    <s v="Active"/>
    <x v="0"/>
    <x v="1"/>
    <m/>
    <d v="2025-10-02T16:14:48"/>
    <n v="602521"/>
    <s v="Zarion Limited"/>
  </r>
  <r>
    <s v="995777L"/>
    <s v="Irish Life"/>
    <s v="Add Members"/>
    <s v="2025-10-02 14:31:34.607000Z"/>
    <s v="995777L"/>
    <s v="Completed"/>
    <s v="Active"/>
    <x v="35"/>
    <x v="1"/>
    <m/>
    <d v="2025-10-02T15:31:27"/>
    <n v="602276"/>
    <s v="Waterford Credit Union Ltd"/>
  </r>
  <r>
    <s v="995778L"/>
    <s v="Open Text Ireland Ltd"/>
    <s v="Add Members"/>
    <s v="2025-10-07 08:36:32.614000Z"/>
    <s v="995778L"/>
    <s v="Completed"/>
    <s v="Active"/>
    <x v="0"/>
    <x v="0"/>
    <m/>
    <d v="2025-10-07T09:36:20"/>
    <n v="602876"/>
    <s v="Open Text Ireland Ltd"/>
  </r>
  <r>
    <s v="995801L"/>
    <s v="Unio Employee Benefits"/>
    <s v="Add Members"/>
    <s v="2025-10-02 15:14:43.441000Z"/>
    <s v="995801L"/>
    <s v="Completed"/>
    <s v="Active"/>
    <x v="0"/>
    <x v="1"/>
    <m/>
    <d v="2025-10-02T16:14:37"/>
    <n v="606860"/>
    <s v="ADP HR &amp; Payroll Services Ireland Ltd"/>
  </r>
  <r>
    <s v="995814L"/>
    <s v="Aon"/>
    <s v="Add Members"/>
    <s v="2025-10-02 15:14:32.626000Z"/>
    <s v="995814L"/>
    <s v="Completed"/>
    <s v="Active"/>
    <x v="0"/>
    <x v="1"/>
    <m/>
    <d v="2025-10-02T16:14:27"/>
    <n v="602460"/>
    <s v="Valve Services Ltd"/>
  </r>
  <r>
    <s v="995831L"/>
    <s v="Chartered Financial Solutions"/>
    <s v="Add Members"/>
    <s v="2025-10-07 11:09:00.286000Z"/>
    <s v="995831L"/>
    <s v="Completed"/>
    <s v="Active"/>
    <x v="1"/>
    <x v="1"/>
    <m/>
    <d v="2025-10-07T12:08:53"/>
    <n v="603568"/>
    <s v="Cuna Mutual Group Services (Ireland) Ltd"/>
  </r>
  <r>
    <s v="995850L"/>
    <s v="Unio Employee Benefits"/>
    <s v="Add Members"/>
    <s v="2025-10-07 11:52:59.336000Z"/>
    <s v="995850L"/>
    <s v="Completed"/>
    <s v="Active"/>
    <x v="1"/>
    <x v="1"/>
    <m/>
    <d v="2025-10-07T12:52:51"/>
    <n v="606860"/>
    <s v="ADP HR &amp; Payroll Services Ireland Ltd"/>
  </r>
  <r>
    <s v="995873L"/>
    <s v="Patrick J Tobin Ltd"/>
    <s v="Add Members"/>
    <s v="2025-10-04 10:12:58.042000Z"/>
    <s v="995873L"/>
    <s v="Completed"/>
    <s v="Active"/>
    <x v="0"/>
    <x v="0"/>
    <m/>
    <d v="2025-10-04T11:12:50"/>
    <n v="602944"/>
    <s v="PATRICK J TOBIN LTD"/>
  </r>
  <r>
    <s v="995874L"/>
    <s v="Patrick J Tobin Ltd"/>
    <s v="Add Members"/>
    <s v="2025-10-04 10:20:49.700000Z"/>
    <s v="995874L"/>
    <s v="Completed"/>
    <s v="Active"/>
    <x v="0"/>
    <x v="0"/>
    <m/>
    <d v="2025-10-04T11:20:42"/>
    <n v="602944"/>
    <s v="PATRICK J TOBIN LTD"/>
  </r>
  <r>
    <s v="995875L"/>
    <s v="Patrick J Tobin Ltd"/>
    <s v="Add Members"/>
    <s v="2025-10-04 10:15:28.391000Z"/>
    <s v="995875L"/>
    <s v="Completed"/>
    <s v="Active"/>
    <x v="0"/>
    <x v="0"/>
    <m/>
    <d v="2025-10-04T11:15:24"/>
    <n v="602944"/>
    <s v="PATRICK J TOBIN LTD"/>
  </r>
  <r>
    <s v="995884L"/>
    <s v="Unio Employee Benefits"/>
    <s v="Add Members"/>
    <s v="2025-10-07 11:32:26.646000Z"/>
    <s v="995884L"/>
    <s v="Completed"/>
    <s v="Active"/>
    <x v="1"/>
    <x v="1"/>
    <m/>
    <d v="2025-10-07T12:32:20"/>
    <n v="605521"/>
    <s v="Henry J Lyons (Architects) Ltd"/>
  </r>
  <r>
    <s v="995918L"/>
    <s v="Cushman and Wakefield Ireland"/>
    <s v="Add Members"/>
    <s v="2025-10-07 10:26:31.773000Z"/>
    <s v="995918L"/>
    <s v="Completed"/>
    <s v="Active"/>
    <x v="1"/>
    <x v="1"/>
    <m/>
    <d v="2025-10-07T11:26:25"/>
    <n v="602471"/>
    <s v="Cushman &amp; Wakefield Ireland"/>
  </r>
  <r>
    <s v="996051L"/>
    <s v="Cara Partners DC"/>
    <s v="Add Members"/>
    <s v="2025-10-07 16:00:49.636000Z"/>
    <s v="996051L"/>
    <s v="Completed"/>
    <s v="Active"/>
    <x v="4"/>
    <x v="1"/>
    <m/>
    <d v="2025-10-07T17:00:40"/>
    <n v="603008"/>
    <s v="Cara Partners DC"/>
  </r>
  <r>
    <s v="996054L"/>
    <s v="Patrick J Tobin Ltd"/>
    <s v="Add Members"/>
    <s v="2025-10-08 10:34:18.922000Z"/>
    <s v="996054L"/>
    <s v="Completed"/>
    <s v="Active"/>
    <x v="0"/>
    <x v="0"/>
    <m/>
    <d v="2025-10-08T11:34:13"/>
    <n v="602944"/>
    <s v="PATRICK J TOBIN LTD"/>
  </r>
  <r>
    <s v="996064L"/>
    <s v="Tata Consultancy Services Ltd"/>
    <s v="Add Members"/>
    <s v="2025-10-08 09:33:03.674000Z"/>
    <s v="996064L"/>
    <s v="Completed"/>
    <s v="Active"/>
    <x v="13"/>
    <x v="1"/>
    <m/>
    <d v="2025-10-08T10:32:59"/>
    <n v="606874"/>
    <s v="Tata Consultancy Services Ltd"/>
  </r>
  <r>
    <s v="996068L"/>
    <s v="Tokyo Electron Europe Ltd"/>
    <s v="Add Members"/>
    <s v="2025-10-06 15:48:40.525000Z"/>
    <s v="996068L"/>
    <s v="Completed"/>
    <s v="Active"/>
    <x v="0"/>
    <x v="0"/>
    <m/>
    <d v="2025-10-06T16:48:32"/>
    <n v="601397"/>
    <s v="Tokyo Electron Europe Ltd"/>
  </r>
  <r>
    <s v="996082L"/>
    <s v="SGS Ireland Limited"/>
    <s v="Add Members"/>
    <s v="2025-10-08 13:31:37.767000Z"/>
    <s v="996082L"/>
    <s v="Completed"/>
    <s v="Active"/>
    <x v="4"/>
    <x v="1"/>
    <m/>
    <d v="2025-10-08T14:31:28"/>
    <n v="602873"/>
    <s v="SGS IRELAND LIMITED"/>
  </r>
  <r>
    <s v="996103L"/>
    <s v="Patrick J Tobin Ltd"/>
    <s v="Add Members"/>
    <s v="2025-10-04 10:23:05.500000Z"/>
    <s v="996103L"/>
    <s v="Completed"/>
    <s v="Active"/>
    <x v="0"/>
    <x v="0"/>
    <m/>
    <d v="2025-10-04T11:22:59"/>
    <n v="602944"/>
    <s v="PATRICK J TOBIN LTD"/>
  </r>
  <r>
    <s v="996118L"/>
    <s v="Irish Life"/>
    <s v="Add Members"/>
    <s v="2025-10-03 09:59:17.756000Z"/>
    <s v="996118L"/>
    <s v="Completed"/>
    <s v="Active"/>
    <x v="1"/>
    <x v="1"/>
    <m/>
    <d v="2025-10-03T10:59:09"/>
    <n v="603783"/>
    <s v="Kverneland Group Ireland Limited"/>
  </r>
  <r>
    <s v="996125L"/>
    <s v="Irish Life"/>
    <s v="Add Members"/>
    <s v="2025-10-07 15:00:59.339000Z"/>
    <s v="996125L"/>
    <s v="Completed"/>
    <s v="Active"/>
    <x v="36"/>
    <x v="1"/>
    <m/>
    <d v="2025-10-07T16:00:53"/>
    <n v="603759"/>
    <s v="Ernst &amp; Young"/>
  </r>
  <r>
    <s v="996140L"/>
    <s v="Irish Life"/>
    <s v="Add Members"/>
    <s v="2025-10-08 10:06:06.689000Z"/>
    <s v="996140L"/>
    <s v="Completed"/>
    <s v="Active"/>
    <x v="37"/>
    <x v="1"/>
    <m/>
    <d v="2025-10-08T11:06:00"/>
    <n v="608028"/>
    <s v="Apple"/>
  </r>
  <r>
    <s v="996148L"/>
    <s v="Irish Life"/>
    <s v="Add Members"/>
    <s v="2025-10-08 15:27:07.172000Z"/>
    <s v="996148L"/>
    <s v="Completed"/>
    <s v="Active"/>
    <x v="1"/>
    <x v="1"/>
    <m/>
    <d v="2025-10-08T16:27:00"/>
    <n v="601379"/>
    <s v="AWP Health &amp; Life SA"/>
  </r>
  <r>
    <s v="996150L"/>
    <s v="Lockton Employee Benefits Ireland"/>
    <s v="Add Members"/>
    <s v="2025-10-07 14:39:45.635000Z"/>
    <s v="996150L"/>
    <s v="Completed"/>
    <s v="Active"/>
    <x v="0"/>
    <x v="0"/>
    <m/>
    <d v="2025-10-07T15:39:38"/>
    <n v="602383"/>
    <s v="SR Technics Airfoil Services Limited"/>
  </r>
  <r>
    <s v="996155L"/>
    <s v="Moneywise Financial Planning Ltd"/>
    <s v="Add Members"/>
    <s v="2025-10-07 14:13:25.754000Z"/>
    <s v="996155L"/>
    <s v="Completed"/>
    <s v="Active"/>
    <x v="0"/>
    <x v="0"/>
    <m/>
    <d v="2025-10-07T15:13:21"/>
    <n v="601479"/>
    <s v="ByrneWallace RS Plan"/>
  </r>
  <r>
    <s v="996171L"/>
    <s v="Irish Life"/>
    <s v="Add Members"/>
    <s v="2025-10-03 11:43:20.076000Z"/>
    <s v="996171L"/>
    <s v="Completed"/>
    <s v="Active"/>
    <x v="17"/>
    <x v="1"/>
    <m/>
    <d v="2025-10-03T12:43:11"/>
    <n v="601876"/>
    <s v="Moloney Mortgages Pens. &amp; Investments Lt"/>
  </r>
  <r>
    <s v="996174L"/>
    <s v="Munster Cattle Breeding Group Ltd"/>
    <s v="Add Members"/>
    <s v="2025-10-07 14:15:38.222000Z"/>
    <s v="996174L"/>
    <s v="Completed"/>
    <s v="Active"/>
    <x v="0"/>
    <x v="0"/>
    <m/>
    <d v="2025-10-07T15:15:30"/>
    <n v="602712"/>
    <s v="MUNSTER CATTLE BREEDING GROUP LTD"/>
  </r>
  <r>
    <s v="996193L"/>
    <s v="Stryker Ireland"/>
    <s v="Add Members"/>
    <s v="2025-10-08 10:51:23.630000Z"/>
    <s v="996193L"/>
    <s v="Completed"/>
    <s v="Active"/>
    <x v="4"/>
    <x v="1"/>
    <m/>
    <d v="2025-10-08T11:51:15"/>
    <n v="602197"/>
    <s v="Stryker Orthopaedics Pension Hourly"/>
  </r>
  <r>
    <s v="996201L"/>
    <s v="Chartered Financial Solutions"/>
    <s v="Add Members"/>
    <s v="2025-10-07 16:26:37.387000Z"/>
    <s v="996201L"/>
    <s v="Completed"/>
    <s v="Active"/>
    <x v="1"/>
    <x v="1"/>
    <m/>
    <d v="2025-10-07T17:26:32"/>
    <n v="603345"/>
    <s v="The Kepak Group"/>
  </r>
  <r>
    <s v="996204L"/>
    <s v="Twitter International Company"/>
    <s v="Add Members"/>
    <s v="2025-10-07 14:14:42.193000Z"/>
    <s v="996204L"/>
    <s v="Completed"/>
    <s v="Active"/>
    <x v="1"/>
    <x v="1"/>
    <m/>
    <d v="2025-10-07T15:14:34"/>
    <n v="603739"/>
    <s v="X Internet Unlimited Company"/>
  </r>
  <r>
    <s v="996211L"/>
    <s v="Retail in Motion Limited"/>
    <s v="Add Members"/>
    <s v="2025-10-07 14:29:41.834000Z"/>
    <s v="996211L"/>
    <s v="Completed"/>
    <s v="Active"/>
    <x v="4"/>
    <x v="1"/>
    <m/>
    <d v="2025-10-07T15:29:34"/>
    <n v="602273"/>
    <s v="Retail in Motion Limited"/>
  </r>
  <r>
    <s v="996234L"/>
    <s v="The Childrens Sunshine Home"/>
    <s v="Add Members"/>
    <s v="2025-10-08 09:27:11.564000Z"/>
    <s v="996234L"/>
    <s v="Completed"/>
    <s v="Active"/>
    <x v="14"/>
    <x v="1"/>
    <m/>
    <d v="2025-10-08T10:27:06"/>
    <n v="609712"/>
    <s v="NFVSP The Children's Sunshine Home"/>
  </r>
  <r>
    <s v="996261L"/>
    <s v="Irish Life"/>
    <s v="Add Members"/>
    <s v="2025-10-03 17:28:25.918000Z"/>
    <s v="996261L"/>
    <s v="Completed"/>
    <s v="Active"/>
    <x v="15"/>
    <x v="1"/>
    <m/>
    <d v="2025-10-03T18:28:20"/>
    <n v="609982"/>
    <s v="Lake Region Medical Limited"/>
  </r>
  <r>
    <s v="996265L"/>
    <s v="Irish Life"/>
    <s v="Add Members"/>
    <s v="2025-10-08 12:50:28.905000Z"/>
    <s v="996265L"/>
    <s v="Completed"/>
    <s v="Active"/>
    <x v="1"/>
    <x v="1"/>
    <m/>
    <d v="2025-10-08T13:50:22"/>
    <n v="603681"/>
    <s v="Wynshop Commerce Limited"/>
  </r>
  <r>
    <s v="996266L"/>
    <s v="Carl Zeiss Vision Ireland Limited"/>
    <s v="Add Members"/>
    <s v="2025-10-08 07:57:08.036000Z"/>
    <s v="996266L"/>
    <s v="Completed"/>
    <s v="Active"/>
    <x v="0"/>
    <x v="0"/>
    <m/>
    <d v="2025-10-08T08:56:58"/>
    <n v="603294"/>
    <s v="Carl Zeiss Vision Ireland Limited"/>
  </r>
  <r>
    <s v="996271L"/>
    <s v="G4S Solutions Ltd"/>
    <s v="Add Members"/>
    <s v="2025-10-08 13:23:07.534000Z"/>
    <s v="996271L"/>
    <s v="Completed"/>
    <s v="Active"/>
    <x v="0"/>
    <x v="0"/>
    <m/>
    <d v="2025-10-08T14:23:01"/>
    <n v="601924"/>
    <s v="G4S Secure Solutions (Ire) Limited"/>
  </r>
  <r>
    <s v="996283L"/>
    <s v="Boxever Limited"/>
    <s v="Add Members"/>
    <s v="2025-10-07 14:58:06.550000Z"/>
    <s v="996283L"/>
    <s v="Completed"/>
    <s v="Active"/>
    <x v="0"/>
    <x v="0"/>
    <m/>
    <d v="2025-10-07T15:58:02"/>
    <n v="606951"/>
    <s v="Boxever Limited"/>
  </r>
  <r>
    <s v="996284L"/>
    <s v="Irish Life"/>
    <s v="Add Members"/>
    <s v="2025-10-16 09:46:33.001000Z"/>
    <s v="996284L"/>
    <s v="Completed"/>
    <s v="Active"/>
    <x v="4"/>
    <x v="1"/>
    <m/>
    <d v="2025-10-16T10:46:24"/>
    <n v="603681"/>
    <s v="Wynshop Commerce Limited"/>
  </r>
  <r>
    <s v="996292L"/>
    <s v="Aon"/>
    <s v="Add Members"/>
    <s v="2025-10-06 17:08:01.347000Z"/>
    <s v="996292L"/>
    <s v="Completed"/>
    <s v="Active"/>
    <x v="0"/>
    <x v="0"/>
    <m/>
    <d v="2025-10-06T18:07:55"/>
    <n v="609894"/>
    <s v="Sunglass Hut Ireland Ltd"/>
  </r>
  <r>
    <s v="996297L"/>
    <s v="Prosper Group Fingal and Meath"/>
    <s v="Add Members"/>
    <s v="2025-10-07 09:54:49.506000Z"/>
    <s v="996297L"/>
    <s v="Completed"/>
    <s v="Active"/>
    <x v="15"/>
    <x v="1"/>
    <m/>
    <d v="2025-10-07T10:54:41"/>
    <n v="609748"/>
    <s v="NFVSP Prosper Fingal"/>
  </r>
  <r>
    <s v="996309L"/>
    <s v="Prosper Group Fingal and Meath"/>
    <s v="Add Members"/>
    <s v="2025-10-07 09:07:02.195000Z"/>
    <s v="996309L"/>
    <s v="Completed"/>
    <s v="Active"/>
    <x v="1"/>
    <x v="1"/>
    <m/>
    <d v="2025-10-07T10:06:40"/>
    <n v="609705"/>
    <s v="NFVSP Prosper Meath CLG"/>
  </r>
  <r>
    <s v="996343L"/>
    <s v="Lisavaird Cooperative Creamery Limited"/>
    <s v="Add Members"/>
    <s v="2025-10-08 13:39:33.214000Z"/>
    <s v="996343L"/>
    <s v="Completed"/>
    <s v="Active"/>
    <x v="0"/>
    <x v="0"/>
    <m/>
    <d v="2025-10-08T14:39:24"/>
    <n v="603722"/>
    <s v="Lisavaird Co-operative Creamery Limited"/>
  </r>
  <r>
    <s v="996367L"/>
    <s v="Irish Life"/>
    <s v="Add Members"/>
    <s v="2025-10-03 17:41:01.870000Z"/>
    <s v="996367L"/>
    <s v="Completed"/>
    <s v="Active"/>
    <x v="22"/>
    <x v="1"/>
    <m/>
    <d v="2025-10-03T18:40:57"/>
    <n v="609982"/>
    <s v="Lake Region Medical Limited"/>
  </r>
  <r>
    <s v="996382L"/>
    <s v="Irish Life"/>
    <s v="Add Members"/>
    <s v="2025-10-06 09:34:06.434000Z"/>
    <s v="996382L"/>
    <s v="Completed"/>
    <s v="Active"/>
    <x v="14"/>
    <x v="1"/>
    <m/>
    <d v="2025-10-06T10:33:57"/>
    <n v="609982"/>
    <s v="Lake Region Medical Limited"/>
  </r>
  <r>
    <s v="996785L"/>
    <s v="Vestas Ireland Limited"/>
    <s v="Add Members"/>
    <s v="2025-10-09 08:09:42.030000Z"/>
    <s v="996785L"/>
    <s v="Completed"/>
    <s v="Active"/>
    <x v="1"/>
    <x v="1"/>
    <m/>
    <d v="2025-10-09T09:09:37"/>
    <n v="603026"/>
    <s v="Vestas Ireland Limited"/>
  </r>
  <r>
    <s v="996789L"/>
    <s v="eircom"/>
    <s v="Add Members"/>
    <s v="2025-10-08 10:40:21.822000Z"/>
    <s v="996789L"/>
    <s v="Completed"/>
    <s v="Active"/>
    <x v="7"/>
    <x v="1"/>
    <m/>
    <d v="2025-10-08T11:39:55"/>
    <n v="603756"/>
    <s v="eircom"/>
  </r>
  <r>
    <s v="996799L"/>
    <s v="Tokyo Electron Europe Ltd"/>
    <s v="Add Members"/>
    <s v="2025-10-06 18:47:09.626000Z"/>
    <s v="996799L"/>
    <s v="Completed"/>
    <s v="Active"/>
    <x v="0"/>
    <x v="0"/>
    <m/>
    <d v="2025-10-06T19:47:01"/>
    <n v="601397"/>
    <s v="Tokyo Electron Europe Ltd"/>
  </r>
  <r>
    <s v="996800L"/>
    <s v="St Vincents Healthcare Group"/>
    <s v="Add Members"/>
    <s v="2025-10-09 12:04:00.230000Z"/>
    <s v="996800L"/>
    <s v="Completed"/>
    <s v="Active"/>
    <x v="0"/>
    <x v="2"/>
    <m/>
    <e v="#N/A"/>
    <e v="#N/A"/>
    <e v="#N/A"/>
  </r>
  <r>
    <s v="996807L"/>
    <s v="Liberty Information Technology Ltd"/>
    <s v="Add Members"/>
    <s v="2025-10-09 14:20:05.340000Z"/>
    <s v="996807L"/>
    <s v="Completed"/>
    <s v="Active"/>
    <x v="0"/>
    <x v="0"/>
    <m/>
    <d v="2025-10-09T15:19:55"/>
    <n v="605011"/>
    <s v="Liberty Information Technology Ltd"/>
  </r>
  <r>
    <s v="996817L"/>
    <s v="Irish Life"/>
    <s v="Add Members"/>
    <s v="2025-10-07 09:54:48.845000Z"/>
    <s v="996817L"/>
    <s v="Completed"/>
    <s v="Active"/>
    <x v="1"/>
    <x v="1"/>
    <m/>
    <d v="2025-10-07T10:54:40"/>
    <n v="603640"/>
    <s v="Petrogas Group Limited"/>
  </r>
  <r>
    <s v="996819L"/>
    <s v="Patrick J Tobin Ltd"/>
    <s v="Add Members"/>
    <s v="2025-10-07 19:20:26.090000Z"/>
    <s v="996819L"/>
    <s v="Completed"/>
    <s v="Active"/>
    <x v="0"/>
    <x v="0"/>
    <m/>
    <d v="2025-10-07T20:20:20"/>
    <n v="602944"/>
    <s v="PATRICK J TOBIN LTD"/>
  </r>
  <r>
    <s v="996821L"/>
    <s v="Patrick J Tobin Ltd"/>
    <s v="Add Members"/>
    <s v="2025-10-07 18:32:05.702000Z"/>
    <s v="996821L"/>
    <s v="Completed"/>
    <s v="Active"/>
    <x v="0"/>
    <x v="0"/>
    <m/>
    <d v="2025-10-07T19:31:59"/>
    <n v="602944"/>
    <s v="PATRICK J TOBIN LTD"/>
  </r>
  <r>
    <s v="996822L"/>
    <s v="Patrick J Tobin Ltd"/>
    <s v="Add Members"/>
    <s v="2025-10-07 18:46:32.623000Z"/>
    <s v="996822L"/>
    <s v="Completed"/>
    <s v="Active"/>
    <x v="0"/>
    <x v="0"/>
    <m/>
    <d v="2025-10-07T19:46:26"/>
    <n v="602944"/>
    <s v="PATRICK J TOBIN LTD"/>
  </r>
  <r>
    <s v="996823L"/>
    <s v="Patrick J Tobin Ltd"/>
    <s v="Add Members"/>
    <s v="2025-10-07 18:38:41.516000Z"/>
    <s v="996823L"/>
    <s v="Completed"/>
    <s v="Active"/>
    <x v="0"/>
    <x v="0"/>
    <m/>
    <d v="2025-10-07T19:38:36"/>
    <n v="602944"/>
    <s v="PATRICK J TOBIN LTD"/>
  </r>
  <r>
    <s v="996824L"/>
    <s v="Patrick J Tobin Ltd"/>
    <s v="Add Members"/>
    <s v="2025-10-07 18:59:13.743000Z"/>
    <s v="996824L"/>
    <s v="Completed"/>
    <s v="Active"/>
    <x v="0"/>
    <x v="0"/>
    <m/>
    <d v="2025-10-07T19:59:07"/>
    <n v="602944"/>
    <s v="PATRICK J TOBIN LTD"/>
  </r>
  <r>
    <s v="996825L"/>
    <s v="Patrick J Tobin Ltd"/>
    <s v="Add Members"/>
    <s v="2025-10-10 12:27:34.892000Z"/>
    <s v="996825L"/>
    <s v="Completed"/>
    <s v="Active"/>
    <x v="0"/>
    <x v="0"/>
    <m/>
    <d v="2025-10-10T13:27:28"/>
    <n v="602944"/>
    <s v="PATRICK J TOBIN LTD"/>
  </r>
  <r>
    <s v="996842L"/>
    <s v="Irish Life"/>
    <s v="Add Members"/>
    <s v="2025-10-08 12:50:10.648000Z"/>
    <s v="996842L"/>
    <s v="Completed"/>
    <s v="Active"/>
    <x v="12"/>
    <x v="1"/>
    <m/>
    <d v="2025-10-08T13:50:01"/>
    <n v="609839"/>
    <s v="Viatris Pension Plan"/>
  </r>
  <r>
    <s v="996856L"/>
    <s v="PROMETRIC IRELAND LTD"/>
    <s v="Add Members"/>
    <s v="2025-10-09 09:18:10.004000Z"/>
    <s v="996856L"/>
    <s v="Completed"/>
    <s v="Active"/>
    <x v="13"/>
    <x v="1"/>
    <m/>
    <d v="2025-10-09T10:18:05"/>
    <n v="602557"/>
    <s v="PROMETRIC IRELAND LTD"/>
  </r>
  <r>
    <s v="996877L"/>
    <s v="Chime"/>
    <s v="Add Members"/>
    <s v="2025-10-09 14:24:36.041000Z"/>
    <s v="996877L"/>
    <s v="Completed"/>
    <s v="Active"/>
    <x v="0"/>
    <x v="0"/>
    <m/>
    <d v="2025-10-09T15:24:32"/>
    <n v="601054"/>
    <s v="Chime"/>
  </r>
  <r>
    <s v="996914L"/>
    <s v="Unio Employee Benefits"/>
    <s v="Add Members"/>
    <s v="2025-10-06 15:34:08.927000Z"/>
    <s v="996914L"/>
    <s v="Completed"/>
    <s v="Active"/>
    <x v="0"/>
    <x v="0"/>
    <m/>
    <d v="2025-10-06T16:34:03"/>
    <n v="603293"/>
    <s v="Advanced Laboratory Testing Limited"/>
  </r>
  <r>
    <s v="996922L"/>
    <s v="Royal London"/>
    <s v="Add Members"/>
    <s v="2025-10-08 15:19:08.759000Z"/>
    <s v="996922L"/>
    <s v="Completed"/>
    <s v="Active"/>
    <x v="0"/>
    <x v="0"/>
    <m/>
    <d v="2025-10-08T16:19:04"/>
    <n v="603549"/>
    <s v="Royal London Mutual Ins. Society Ltd."/>
  </r>
  <r>
    <s v="996950L"/>
    <s v="Discover Limerick DAC"/>
    <s v="Add Members"/>
    <s v="2025-10-08 14:16:24.262000Z"/>
    <s v="996950L"/>
    <s v="Completed"/>
    <s v="Active"/>
    <x v="0"/>
    <x v="0"/>
    <m/>
    <d v="2025-10-08T15:16:16"/>
    <n v="609726"/>
    <s v="Discover Limerick DAC"/>
  </r>
  <r>
    <s v="996965L"/>
    <s v="Irish Life"/>
    <s v="Add Members"/>
    <s v="2025-10-08 14:06:14.944000Z"/>
    <s v="996965L"/>
    <s v="Completed"/>
    <s v="Active"/>
    <x v="38"/>
    <x v="1"/>
    <m/>
    <d v="2025-10-08T15:06:07"/>
    <n v="603616"/>
    <s v="Google Ireland Limited"/>
  </r>
  <r>
    <s v="996968L"/>
    <s v="Irish Life"/>
    <s v="Add Members"/>
    <s v="2025-10-08 14:49:07.729000Z"/>
    <s v="996968L"/>
    <s v="Completed"/>
    <s v="Active"/>
    <x v="19"/>
    <x v="1"/>
    <m/>
    <d v="2025-10-08T15:49:00"/>
    <n v="603011"/>
    <s v="Cornmarket GFS Ltd."/>
  </r>
  <r>
    <s v="996984L"/>
    <s v="Moneywise Financial Planning Ltd"/>
    <s v="Add Members"/>
    <s v="2025-10-07 08:35:04.125000Z"/>
    <s v="996984L"/>
    <s v="Completed"/>
    <s v="Active"/>
    <x v="0"/>
    <x v="0"/>
    <m/>
    <d v="2025-10-07T09:34:59"/>
    <n v="601479"/>
    <s v="ByrneWallace RS Plan"/>
  </r>
  <r>
    <s v="996993L"/>
    <s v="PROMETRIC IRELAND LTD"/>
    <s v="Add Members"/>
    <s v="2025-10-09 09:05:11.076000Z"/>
    <s v="996993L"/>
    <s v="Completed"/>
    <s v="Active"/>
    <x v="4"/>
    <x v="1"/>
    <m/>
    <d v="2025-10-09T10:05:07"/>
    <n v="602557"/>
    <s v="PROMETRIC IRELAND LTD"/>
  </r>
  <r>
    <s v="997006L"/>
    <s v="Renaissance Services of Europe Limited"/>
    <s v="Add Members"/>
    <s v="2025-10-09 12:17:14.079000Z"/>
    <s v="997006L"/>
    <s v="Completed"/>
    <s v="Active"/>
    <x v="25"/>
    <x v="1"/>
    <m/>
    <d v="2025-10-09T13:17:10"/>
    <n v="608020"/>
    <s v="Renaissance Services of Europe Limited"/>
  </r>
  <r>
    <s v="997013L"/>
    <s v="Zendesk International Limited"/>
    <s v="Add Members"/>
    <s v="2025-10-09 13:29:58.105000Z"/>
    <s v="997013L"/>
    <s v="Completed"/>
    <s v="Active"/>
    <x v="12"/>
    <x v="1"/>
    <m/>
    <d v="2025-10-09T14:29:54"/>
    <n v="603471"/>
    <s v="Zendesk International Limited"/>
  </r>
  <r>
    <s v="997042L"/>
    <s v="Capita IB Solutions  Ireland  Limited"/>
    <s v="Add Members"/>
    <s v="2025-10-09 11:14:34.384000Z"/>
    <s v="997042L"/>
    <s v="Completed"/>
    <s v="Active"/>
    <x v="0"/>
    <x v="0"/>
    <m/>
    <d v="2025-10-09T12:14:27"/>
    <n v="606871"/>
    <s v="Capita PLC"/>
  </r>
  <r>
    <s v="997056L"/>
    <s v="SymphonyAI Netreveal Ireland Limited"/>
    <s v="Add Members"/>
    <s v="2025-10-09 11:04:18.563000Z"/>
    <s v="997056L"/>
    <s v="Completed"/>
    <s v="Active"/>
    <x v="14"/>
    <x v="1"/>
    <m/>
    <d v="2025-10-09T12:04:11"/>
    <n v="602115"/>
    <s v="Symphonyai Netreveal Ireland Limited"/>
  </r>
  <r>
    <s v="997073L"/>
    <s v="Irish Life"/>
    <s v="Add Members"/>
    <s v="2025-10-08 12:50:22.936000Z"/>
    <s v="997073L"/>
    <s v="Completed"/>
    <s v="Active"/>
    <x v="4"/>
    <x v="1"/>
    <m/>
    <d v="2025-10-08T13:50:16"/>
    <n v="603688"/>
    <s v="Thera Pharmaceuticals Ltd"/>
  </r>
  <r>
    <s v="997075L"/>
    <s v="Irish Life"/>
    <s v="Add Members"/>
    <s v="2025-10-07 10:48:55.890000Z"/>
    <s v="997075L"/>
    <s v="Completed"/>
    <s v="Active"/>
    <x v="0"/>
    <x v="1"/>
    <m/>
    <d v="2025-10-07T11:48:46"/>
    <n v="603505"/>
    <s v="Grifols Worldwide Operations Ltd"/>
  </r>
  <r>
    <s v="997099L"/>
    <s v="Signode Packaging Ireland Limited"/>
    <s v="Add Members"/>
    <s v="2025-10-09 10:44:46.181000Z"/>
    <s v="997099L"/>
    <s v="Completed"/>
    <s v="Active"/>
    <x v="0"/>
    <x v="0"/>
    <m/>
    <d v="2025-10-09T11:44:39"/>
    <n v="603386"/>
    <s v="Signode Packaging Ireland Limited"/>
  </r>
  <r>
    <s v="997113L"/>
    <s v="Liberty Information Technology Ltd"/>
    <s v="Add Members"/>
    <s v="2025-10-09 14:12:57.260000Z"/>
    <s v="997113L"/>
    <s v="Completed"/>
    <s v="Active"/>
    <x v="0"/>
    <x v="0"/>
    <m/>
    <d v="2025-10-09T15:12:52"/>
    <n v="605011"/>
    <s v="Liberty Information Technology Ltd"/>
  </r>
  <r>
    <s v="997122L"/>
    <s v="Chemifloc Limited"/>
    <s v="Add Members"/>
    <s v="2025-10-09 13:41:13.085000Z"/>
    <s v="997122L"/>
    <s v="Completed"/>
    <s v="Active"/>
    <x v="0"/>
    <x v="0"/>
    <m/>
    <d v="2025-10-09T14:41:04"/>
    <n v="602880"/>
    <s v="Chemifloc Limited"/>
  </r>
  <r>
    <s v="997140L"/>
    <s v="ING Bank NV Dublin Branch"/>
    <s v="Add Members"/>
    <s v="2025-10-09 13:49:13.950000Z"/>
    <s v="997140L"/>
    <s v="Completed"/>
    <s v="Active"/>
    <x v="0"/>
    <x v="0"/>
    <m/>
    <d v="2025-10-09T14:49:09"/>
    <n v="602598"/>
    <s v="ING Bank N.V. Dublin Branch"/>
  </r>
  <r>
    <s v="997146L"/>
    <s v="Arctera International Limited"/>
    <s v="Add Members"/>
    <s v="2025-10-09 11:23:54.251000Z"/>
    <s v="997146L"/>
    <s v="Completed"/>
    <s v="Active"/>
    <x v="1"/>
    <x v="1"/>
    <m/>
    <d v="2025-10-09T12:23:47"/>
    <n v="605239"/>
    <s v="Arctera International Limited"/>
  </r>
  <r>
    <s v="997181L"/>
    <s v="Patrick J Tobin Ltd"/>
    <s v="Add Members"/>
    <s v="2025-10-09 13:15:07.582000Z"/>
    <s v="997181L"/>
    <s v="Completed"/>
    <s v="Active"/>
    <x v="0"/>
    <x v="0"/>
    <m/>
    <d v="2025-10-09T14:15:02"/>
    <n v="602944"/>
    <s v="PATRICK J TOBIN LTD"/>
  </r>
  <r>
    <s v="997193L"/>
    <s v="Arvato Ireland Ltd"/>
    <s v="Add Members"/>
    <s v="2025-10-09 08:41:39.542000Z"/>
    <s v="997193L"/>
    <s v="Completed"/>
    <s v="Active"/>
    <x v="21"/>
    <x v="1"/>
    <m/>
    <d v="2025-10-09T09:41:35"/>
    <n v="601448"/>
    <s v="Arvato Ireland Ltd"/>
  </r>
  <r>
    <s v="997218L"/>
    <s v="Lacework Ireland Ltd"/>
    <s v="Add Members"/>
    <s v="2025-10-09 14:12:17.017000Z"/>
    <s v="997218L"/>
    <s v="Completed"/>
    <s v="Active"/>
    <x v="0"/>
    <x v="0"/>
    <m/>
    <d v="2025-10-09T15:12:09"/>
    <n v="606944"/>
    <s v="Fortinet Ireland Limited"/>
  </r>
  <r>
    <s v="997246L"/>
    <s v="NSRS Comms Ireland Limited"/>
    <s v="Add Members"/>
    <s v="2025-10-09 14:34:52.472000Z"/>
    <s v="997246L"/>
    <s v="Completed"/>
    <s v="Active"/>
    <x v="0"/>
    <x v="0"/>
    <m/>
    <d v="2025-10-09T15:34:45"/>
    <n v="603017"/>
    <s v="NSRS Comms Ireland Limited"/>
  </r>
  <r>
    <s v="997254L"/>
    <s v="Rippling Ireland Limited"/>
    <s v="Add Members"/>
    <s v="2025-10-09 10:55:35.736000Z"/>
    <s v="997254L"/>
    <s v="Completed"/>
    <s v="Active"/>
    <x v="8"/>
    <x v="1"/>
    <m/>
    <d v="2025-10-09T11:55:30"/>
    <n v="609984"/>
    <s v="Rippling Ireland Limited"/>
  </r>
  <r>
    <s v="997350L"/>
    <s v="Patrick J Tobin Ltd"/>
    <s v="Add Members"/>
    <s v="2025-10-10 07:20:20.788000Z"/>
    <s v="997350L"/>
    <s v="Completed"/>
    <s v="Active"/>
    <x v="1"/>
    <x v="1"/>
    <m/>
    <d v="2025-10-10T08:20:14"/>
    <n v="602944"/>
    <s v="PATRICK J TOBIN LTD"/>
  </r>
  <r>
    <s v="997354L"/>
    <s v="ING Bank NV Dublin Branch"/>
    <s v="Add Members"/>
    <s v="2025-10-08 09:30:12.602000Z"/>
    <s v="997354L"/>
    <s v="Completed"/>
    <s v="Active"/>
    <x v="0"/>
    <x v="0"/>
    <m/>
    <d v="2025-10-08T10:30:05"/>
    <n v="602598"/>
    <s v="ING Bank N.V. Dublin Branch"/>
  </r>
  <r>
    <s v="997368L"/>
    <s v="MMPI"/>
    <s v="Add Members"/>
    <s v="2025-10-09 16:08:02.689000Z"/>
    <s v="997368L"/>
    <s v="Completed"/>
    <s v="Active"/>
    <x v="0"/>
    <x v="0"/>
    <m/>
    <d v="2025-10-09T17:07:54"/>
    <n v="609781"/>
    <s v="Anart Restaurants Limited"/>
  </r>
  <r>
    <s v="997369L"/>
    <s v="Lockton Employee Benefits Ireland"/>
    <s v="Add Members"/>
    <s v="2025-10-14 11:03:58.826000Z"/>
    <s v="997369L"/>
    <s v="Completed"/>
    <s v="Active"/>
    <x v="0"/>
    <x v="0"/>
    <m/>
    <d v="2025-10-14T12:03:53"/>
    <n v="601417"/>
    <s v="Fieldmaster Limited"/>
  </r>
  <r>
    <s v="997370L"/>
    <s v="Cool Planet Group Limited"/>
    <s v="Add Members"/>
    <s v="2025-10-10 14:24:37.236000Z"/>
    <s v="997370L"/>
    <s v="Completed"/>
    <s v="Active"/>
    <x v="1"/>
    <x v="1"/>
    <m/>
    <d v="2025-10-10T15:24:32"/>
    <n v="602438"/>
    <s v="Cool Planet Group Limited"/>
  </r>
  <r>
    <s v="997373L"/>
    <s v="Irish Life"/>
    <s v="Add Members"/>
    <s v="2025-10-07 10:16:49.882000Z"/>
    <s v="997373L"/>
    <s v="Completed"/>
    <s v="Active"/>
    <x v="13"/>
    <x v="1"/>
    <m/>
    <d v="2025-10-07T11:16:45"/>
    <n v="609743"/>
    <s v="Motorola Solutions UK Ltd (Irl Branch)"/>
  </r>
  <r>
    <s v="997375L"/>
    <s v="Proofpoint Ireland Limited"/>
    <s v="Add Members"/>
    <s v="2025-10-09 12:43:06.593000Z"/>
    <s v="997375L"/>
    <s v="Completed"/>
    <s v="Active"/>
    <x v="15"/>
    <x v="1"/>
    <m/>
    <d v="2025-10-09T13:42:58"/>
    <n v="605043"/>
    <s v="Proofpoint Ireland Limited"/>
  </r>
  <r>
    <s v="997401L"/>
    <s v="Securitas Security Services Ireland Ltd"/>
    <s v="Add Members"/>
    <s v="2025-10-10 14:59:31.046000Z"/>
    <s v="997401L"/>
    <s v="Completed"/>
    <s v="Active"/>
    <x v="0"/>
    <x v="0"/>
    <m/>
    <d v="2025-10-10T15:59:21"/>
    <n v="601991"/>
    <s v="Securitas Security Services (Ireland)Ltd"/>
  </r>
  <r>
    <s v="997405L"/>
    <s v="Irish Life"/>
    <s v="Add Members"/>
    <s v="2025-10-07 10:12:29.086000Z"/>
    <s v="997405L"/>
    <s v="Completed"/>
    <s v="Active"/>
    <x v="12"/>
    <x v="1"/>
    <m/>
    <d v="2025-10-07T11:12:24"/>
    <n v="605252"/>
    <s v="Cohesity International Limited"/>
  </r>
  <r>
    <s v="997409L"/>
    <s v="Irish Life"/>
    <s v="Add Members"/>
    <s v="2025-10-09 14:05:22.936000Z"/>
    <s v="997409L"/>
    <s v="Completed"/>
    <s v="Active"/>
    <x v="14"/>
    <x v="1"/>
    <m/>
    <d v="2025-10-09T15:05:18"/>
    <n v="603955"/>
    <s v="Univar Ireland Limited"/>
  </r>
  <r>
    <s v="997410L"/>
    <s v="Irish Life"/>
    <s v="Add Members"/>
    <s v="2025-10-09 15:13:15.534000Z"/>
    <s v="997410L"/>
    <s v="Completed"/>
    <s v="Active"/>
    <x v="4"/>
    <x v="1"/>
    <m/>
    <d v="2025-10-09T16:13:07"/>
    <n v="601335"/>
    <s v="Uniphar Group Retirement Benefits Scheme"/>
  </r>
  <r>
    <s v="997412L"/>
    <s v="Aon"/>
    <s v="Add Members"/>
    <s v="2025-10-10 15:09:10.611000Z"/>
    <s v="997412L"/>
    <s v="Completed"/>
    <s v="Active"/>
    <x v="0"/>
    <x v="0"/>
    <m/>
    <d v="2025-10-10T16:09:02"/>
    <n v="609002"/>
    <s v="Omnipresent Ireland Limited"/>
  </r>
  <r>
    <s v="997413L"/>
    <s v="Irish Life"/>
    <s v="Add Members"/>
    <s v="2025-10-15 14:55:35.750000Z"/>
    <s v="997413L"/>
    <s v="Completed"/>
    <s v="Active"/>
    <x v="15"/>
    <x v="1"/>
    <m/>
    <d v="2025-10-15T15:55:27"/>
    <n v="609918"/>
    <s v="Avolon Aerospace Leasing Limited"/>
  </r>
  <r>
    <s v="997415L"/>
    <s v="Irish Life"/>
    <s v="Add Members"/>
    <s v="2025-10-08 12:55:50.488000Z"/>
    <s v="997415L"/>
    <s v="Completed"/>
    <s v="Active"/>
    <x v="1"/>
    <x v="1"/>
    <m/>
    <d v="2025-10-08T13:55:46"/>
    <n v="601454"/>
    <s v="Philip Lee Solicitors"/>
  </r>
  <r>
    <s v="997417L"/>
    <s v="Irish Life"/>
    <s v="Add Members"/>
    <s v="2025-10-08 12:55:44.916000Z"/>
    <s v="997417L"/>
    <s v="Completed"/>
    <s v="Active"/>
    <x v="1"/>
    <x v="1"/>
    <m/>
    <d v="2025-10-08T13:55:41"/>
    <n v="601544"/>
    <s v="I.T Alliance Group Ltd."/>
  </r>
  <r>
    <s v="997428L"/>
    <s v="Irish Life"/>
    <s v="Add Members"/>
    <s v="2025-10-07 10:35:28.403000Z"/>
    <s v="997428L"/>
    <s v="Completed"/>
    <s v="Active"/>
    <x v="1"/>
    <x v="1"/>
    <m/>
    <d v="2025-10-07T11:35:22"/>
    <n v="602408"/>
    <s v="Aimware Limited"/>
  </r>
  <r>
    <s v="997429L"/>
    <s v="Unio Employee Benefits"/>
    <s v="Add Members"/>
    <s v="2025-10-10 11:32:31.830000Z"/>
    <s v="997429L"/>
    <s v="Completed"/>
    <s v="Active"/>
    <x v="39"/>
    <x v="1"/>
    <m/>
    <d v="2025-10-10T12:32:22"/>
    <n v="606059"/>
    <s v="Cloudera International Limited"/>
  </r>
  <r>
    <s v="997430L"/>
    <s v="Irish Life"/>
    <s v="Add Members"/>
    <s v="2025-10-08 12:55:55.819000Z"/>
    <s v="997430L"/>
    <s v="Completed"/>
    <s v="Active"/>
    <x v="21"/>
    <x v="1"/>
    <m/>
    <d v="2025-10-08T13:55:46"/>
    <n v="602835"/>
    <s v="Electronic Arts Ireland Limited"/>
  </r>
  <r>
    <s v="997434L"/>
    <s v="Cheshire Foundation in Ireland"/>
    <s v="Add Members"/>
    <s v="2025-10-10 14:37:21.080000Z"/>
    <s v="997434L"/>
    <s v="Completed"/>
    <s v="Active"/>
    <x v="19"/>
    <x v="1"/>
    <m/>
    <d v="2025-10-10T15:37:10"/>
    <n v="601294"/>
    <s v="Cheshire Foundation in Ireland"/>
  </r>
  <r>
    <s v="997436L"/>
    <s v="Irish Life"/>
    <s v="Add Members"/>
    <s v="2025-10-08 13:03:38.625000Z"/>
    <s v="997436L"/>
    <s v="Completed"/>
    <s v="Active"/>
    <x v="1"/>
    <x v="1"/>
    <m/>
    <d v="2025-10-08T14:03:32"/>
    <n v="609899"/>
    <s v="IPM Potato Group Limited"/>
  </r>
  <r>
    <s v="997437L"/>
    <s v="Aon"/>
    <s v="Add Members"/>
    <s v="2025-10-13 12:31:22.027000Z"/>
    <s v="997437L"/>
    <s v="Completed"/>
    <s v="Active"/>
    <x v="0"/>
    <x v="0"/>
    <m/>
    <d v="2025-10-13T13:31:18"/>
    <n v="604367"/>
    <s v="Mediolanum International Funds Limited"/>
  </r>
  <r>
    <s v="997440L"/>
    <s v="Mincon International Limited"/>
    <s v="Add Members"/>
    <s v="2025-10-10 11:15:17.467000Z"/>
    <s v="997440L"/>
    <s v="Completed"/>
    <s v="Active"/>
    <x v="0"/>
    <x v="0"/>
    <m/>
    <d v="2025-10-10T12:15:12"/>
    <n v="601385"/>
    <s v="Mincon International Limited"/>
  </r>
  <r>
    <s v="997441L"/>
    <s v="Securitas Security Services Ireland Ltd"/>
    <s v="Add Members"/>
    <s v="2025-10-10 16:05:35.373000Z"/>
    <s v="997441L"/>
    <s v="Completed"/>
    <s v="Active"/>
    <x v="0"/>
    <x v="0"/>
    <m/>
    <d v="2025-10-10T17:05:27"/>
    <n v="601991"/>
    <s v="Securitas Security Services (Ireland)Ltd"/>
  </r>
  <r>
    <s v="997452L"/>
    <s v="Aon"/>
    <s v="Add Members"/>
    <s v="2025-10-10 15:04:18.063000Z"/>
    <s v="997452L"/>
    <s v="Completed"/>
    <s v="Active"/>
    <x v="0"/>
    <x v="0"/>
    <m/>
    <d v="2025-10-10T16:04:09"/>
    <n v="609002"/>
    <s v="Omnipresent Ireland Limited"/>
  </r>
  <r>
    <s v="997482L"/>
    <s v="Blackrock Health"/>
    <s v="Add Members"/>
    <s v="2025-10-09 11:21:30.489000Z"/>
    <s v="997482L"/>
    <s v="Completed"/>
    <s v="Active"/>
    <x v="0"/>
    <x v="0"/>
    <m/>
    <d v="2025-10-09T12:21:25"/>
    <n v="609841"/>
    <s v="Galway Clinic Doughiska Unltd Co"/>
  </r>
  <r>
    <s v="997483L"/>
    <s v="Blackrock Health"/>
    <s v="Add Members"/>
    <s v="2025-10-09 11:20:24.053000Z"/>
    <s v="997483L"/>
    <s v="Completed"/>
    <s v="Active"/>
    <x v="0"/>
    <x v="0"/>
    <m/>
    <d v="2025-10-09T12:20:18"/>
    <n v="609841"/>
    <s v="Galway Clinic Doughiska Unltd Co"/>
  </r>
  <r>
    <s v="997484L"/>
    <s v="Blackrock Health"/>
    <s v="Add Members"/>
    <s v="2025-10-09 11:21:30.842000Z"/>
    <s v="997484L"/>
    <s v="Completed"/>
    <s v="Active"/>
    <x v="0"/>
    <x v="0"/>
    <m/>
    <d v="2025-10-09T12:21:26"/>
    <n v="609841"/>
    <s v="Galway Clinic Doughiska Unltd Co"/>
  </r>
  <r>
    <s v="997485L"/>
    <s v="Irish Life"/>
    <s v="Add Members"/>
    <s v="2025-10-08 12:57:56.950000Z"/>
    <s v="997485L"/>
    <s v="Completed"/>
    <s v="Active"/>
    <x v="4"/>
    <x v="1"/>
    <m/>
    <d v="2025-10-08T13:57:51"/>
    <n v="602049"/>
    <s v="TK Maxx Ireland"/>
  </r>
  <r>
    <s v="997486L"/>
    <s v="Blackrock Health"/>
    <s v="Add Members"/>
    <s v="2025-10-09 11:20:24.394000Z"/>
    <s v="997486L"/>
    <s v="Completed"/>
    <s v="Active"/>
    <x v="0"/>
    <x v="0"/>
    <m/>
    <d v="2025-10-09T12:20:19"/>
    <n v="609841"/>
    <s v="Galway Clinic Doughiska Unltd Co"/>
  </r>
  <r>
    <s v="997488L"/>
    <s v="Blackrock Health"/>
    <s v="Add Members"/>
    <s v="2025-10-09 11:21:24.724000Z"/>
    <s v="997488L"/>
    <s v="Completed"/>
    <s v="Active"/>
    <x v="0"/>
    <x v="0"/>
    <m/>
    <d v="2025-10-09T12:21:18"/>
    <n v="609841"/>
    <s v="Galway Clinic Doughiska Unltd Co"/>
  </r>
  <r>
    <s v="997490L"/>
    <s v="Blackrock Health"/>
    <s v="Add Members"/>
    <s v="2025-10-09 11:21:07.210000Z"/>
    <s v="997490L"/>
    <s v="Completed"/>
    <s v="Active"/>
    <x v="0"/>
    <x v="0"/>
    <m/>
    <d v="2025-10-09T12:20:59"/>
    <n v="609841"/>
    <s v="Galway Clinic Doughiska Unltd Co"/>
  </r>
  <r>
    <s v="997491L"/>
    <s v="Blackrock Health"/>
    <s v="Add Members"/>
    <s v="2025-10-09 11:21:53.420000Z"/>
    <s v="997491L"/>
    <s v="Completed"/>
    <s v="Active"/>
    <x v="0"/>
    <x v="0"/>
    <m/>
    <d v="2025-10-09T12:21:47"/>
    <n v="609841"/>
    <s v="Galway Clinic Doughiska Unltd Co"/>
  </r>
  <r>
    <s v="997492L"/>
    <s v="Blackrock Health"/>
    <s v="Add Members"/>
    <s v="2025-10-09 11:21:13.264000Z"/>
    <s v="997492L"/>
    <s v="Completed"/>
    <s v="Active"/>
    <x v="0"/>
    <x v="0"/>
    <m/>
    <d v="2025-10-09T12:21:06"/>
    <n v="609841"/>
    <s v="Galway Clinic Doughiska Unltd Co"/>
  </r>
  <r>
    <s v="997493L"/>
    <s v="Blackrock Health"/>
    <s v="Add Members"/>
    <s v="2025-10-09 11:23:02.768000Z"/>
    <s v="997493L"/>
    <s v="Completed"/>
    <s v="Active"/>
    <x v="0"/>
    <x v="0"/>
    <m/>
    <d v="2025-10-09T12:22:56"/>
    <n v="609841"/>
    <s v="Galway Clinic Doughiska Unltd Co"/>
  </r>
  <r>
    <s v="997496L"/>
    <s v="Blackrock Health"/>
    <s v="Add Members"/>
    <s v="2025-10-09 11:20:29.507000Z"/>
    <s v="997496L"/>
    <s v="Completed"/>
    <s v="Active"/>
    <x v="0"/>
    <x v="0"/>
    <m/>
    <d v="2025-10-09T12:20:24"/>
    <n v="609841"/>
    <s v="Galway Clinic Doughiska Unltd Co"/>
  </r>
  <r>
    <s v="997497L"/>
    <s v="Blackrock Health"/>
    <s v="Add Members"/>
    <s v="2025-10-09 11:21:12.581000Z"/>
    <s v="997497L"/>
    <s v="Completed"/>
    <s v="Active"/>
    <x v="0"/>
    <x v="0"/>
    <m/>
    <d v="2025-10-09T12:21:05"/>
    <n v="609841"/>
    <s v="Galway Clinic Doughiska Unltd Co"/>
  </r>
  <r>
    <s v="997499L"/>
    <s v="Blackrock Health"/>
    <s v="Add Members"/>
    <s v="2025-10-09 11:20:51.097000Z"/>
    <s v="997499L"/>
    <s v="Completed"/>
    <s v="Active"/>
    <x v="0"/>
    <x v="0"/>
    <m/>
    <d v="2025-10-09T12:20:46"/>
    <n v="609841"/>
    <s v="Galway Clinic Doughiska Unltd Co"/>
  </r>
  <r>
    <s v="997500L"/>
    <s v="Securitas Security Services Ireland Ltd"/>
    <s v="Add Members"/>
    <s v="2025-10-10 15:12:52.349000Z"/>
    <s v="997500L"/>
    <s v="Completed"/>
    <s v="Active"/>
    <x v="0"/>
    <x v="0"/>
    <m/>
    <d v="2025-10-10T16:12:47"/>
    <n v="601991"/>
    <s v="Securitas Security Services (Ireland)Ltd"/>
  </r>
  <r>
    <s v="997501L"/>
    <s v="Blackrock Health"/>
    <s v="Add Members"/>
    <s v="2025-10-09 11:23:02.164000Z"/>
    <s v="997501L"/>
    <s v="Completed"/>
    <s v="Active"/>
    <x v="0"/>
    <x v="0"/>
    <m/>
    <d v="2025-10-09T12:22:56"/>
    <n v="609841"/>
    <s v="Galway Clinic Doughiska Unltd Co"/>
  </r>
  <r>
    <s v="997502L"/>
    <s v="Blackrock Health"/>
    <s v="Add Members"/>
    <s v="2025-10-09 11:21:13.991000Z"/>
    <s v="997502L"/>
    <s v="Completed"/>
    <s v="Active"/>
    <x v="0"/>
    <x v="0"/>
    <m/>
    <d v="2025-10-09T12:21:08"/>
    <n v="609841"/>
    <s v="Galway Clinic Doughiska Unltd Co"/>
  </r>
  <r>
    <s v="997504L"/>
    <s v="Blackrock Health"/>
    <s v="Add Members"/>
    <s v="2025-10-09 11:20:00.876000Z"/>
    <s v="997504L"/>
    <s v="Completed"/>
    <s v="Active"/>
    <x v="0"/>
    <x v="0"/>
    <m/>
    <d v="2025-10-09T12:19:51"/>
    <n v="609841"/>
    <s v="Galway Clinic Doughiska Unltd Co"/>
  </r>
  <r>
    <s v="997506L"/>
    <s v="Blackrock Health"/>
    <s v="Add Members"/>
    <s v="2025-10-09 11:20:06.773000Z"/>
    <s v="997506L"/>
    <s v="Completed"/>
    <s v="Active"/>
    <x v="0"/>
    <x v="0"/>
    <m/>
    <d v="2025-10-09T12:19:57"/>
    <n v="609841"/>
    <s v="Galway Clinic Doughiska Unltd Co"/>
  </r>
  <r>
    <s v="997507L"/>
    <s v="Blackrock Health"/>
    <s v="Add Members"/>
    <s v="2025-10-09 11:21:19.289000Z"/>
    <s v="997507L"/>
    <s v="Completed"/>
    <s v="Active"/>
    <x v="0"/>
    <x v="0"/>
    <m/>
    <d v="2025-10-09T12:21:13"/>
    <n v="609841"/>
    <s v="Galway Clinic Doughiska Unltd Co"/>
  </r>
  <r>
    <s v="997508L"/>
    <s v="Blackrock Health"/>
    <s v="Add Members"/>
    <s v="2025-10-09 11:21:36.110000Z"/>
    <s v="997508L"/>
    <s v="Completed"/>
    <s v="Active"/>
    <x v="0"/>
    <x v="0"/>
    <m/>
    <d v="2025-10-09T12:21:32"/>
    <n v="609841"/>
    <s v="Galway Clinic Doughiska Unltd Co"/>
  </r>
  <r>
    <s v="997509L"/>
    <s v="Blackrock Health"/>
    <s v="Add Members"/>
    <s v="2025-10-09 11:22:45.398000Z"/>
    <s v="997509L"/>
    <s v="Completed"/>
    <s v="Active"/>
    <x v="0"/>
    <x v="0"/>
    <m/>
    <d v="2025-10-09T12:22:39"/>
    <n v="609841"/>
    <s v="Galway Clinic Doughiska Unltd Co"/>
  </r>
  <r>
    <s v="997512L"/>
    <s v="Blackrock Health"/>
    <s v="Add Members"/>
    <s v="2025-10-09 11:20:34.989000Z"/>
    <s v="997512L"/>
    <s v="Completed"/>
    <s v="Active"/>
    <x v="0"/>
    <x v="0"/>
    <m/>
    <d v="2025-10-09T12:20:30"/>
    <n v="609841"/>
    <s v="Galway Clinic Doughiska Unltd Co"/>
  </r>
  <r>
    <s v="997513L"/>
    <s v="Blackrock Health"/>
    <s v="Add Members"/>
    <s v="2025-10-09 11:20:07.717000Z"/>
    <s v="997513L"/>
    <s v="Completed"/>
    <s v="Active"/>
    <x v="0"/>
    <x v="0"/>
    <m/>
    <d v="2025-10-09T12:20:00"/>
    <n v="609841"/>
    <s v="Galway Clinic Doughiska Unltd Co"/>
  </r>
  <r>
    <s v="997515L"/>
    <s v="Blackrock Health"/>
    <s v="Add Members"/>
    <s v="2025-10-09 11:20:18.781000Z"/>
    <s v="997515L"/>
    <s v="Completed"/>
    <s v="Active"/>
    <x v="0"/>
    <x v="0"/>
    <m/>
    <d v="2025-10-09T12:20:13"/>
    <n v="609841"/>
    <s v="Galway Clinic Doughiska Unltd Co"/>
  </r>
  <r>
    <s v="997516L"/>
    <s v="Blackrock Health"/>
    <s v="Add Members"/>
    <s v="2025-10-09 11:22:51.596000Z"/>
    <s v="997516L"/>
    <s v="Completed"/>
    <s v="Active"/>
    <x v="0"/>
    <x v="0"/>
    <m/>
    <d v="2025-10-09T12:22:46"/>
    <n v="609841"/>
    <s v="Galway Clinic Doughiska Unltd Co"/>
  </r>
  <r>
    <s v="997518L"/>
    <s v="Blackrock Health"/>
    <s v="Add Members"/>
    <s v="2025-10-09 11:20:12.778000Z"/>
    <s v="997518L"/>
    <s v="Completed"/>
    <s v="Active"/>
    <x v="0"/>
    <x v="0"/>
    <m/>
    <d v="2025-10-09T12:20:07"/>
    <n v="609841"/>
    <s v="Galway Clinic Doughiska Unltd Co"/>
  </r>
  <r>
    <s v="997519L"/>
    <s v="Blackrock Health"/>
    <s v="Add Members"/>
    <s v="2025-10-09 11:21:01.587000Z"/>
    <s v="997519L"/>
    <s v="Completed"/>
    <s v="Active"/>
    <x v="0"/>
    <x v="0"/>
    <m/>
    <d v="2025-10-09T12:20:53"/>
    <n v="609841"/>
    <s v="Galway Clinic Doughiska Unltd Co"/>
  </r>
  <r>
    <s v="997522L"/>
    <s v="Blackrock Health"/>
    <s v="Add Members"/>
    <s v="2025-10-09 11:20:45.516000Z"/>
    <s v="997522L"/>
    <s v="Completed"/>
    <s v="Active"/>
    <x v="0"/>
    <x v="0"/>
    <m/>
    <d v="2025-10-09T12:20:41"/>
    <n v="609841"/>
    <s v="Galway Clinic Doughiska Unltd Co"/>
  </r>
  <r>
    <s v="997523L"/>
    <s v="Blackrock Health"/>
    <s v="Add Members"/>
    <s v="2025-10-09 11:21:53.070000Z"/>
    <s v="997523L"/>
    <s v="Completed"/>
    <s v="Active"/>
    <x v="0"/>
    <x v="0"/>
    <m/>
    <d v="2025-10-09T12:21:47"/>
    <n v="609841"/>
    <s v="Galway Clinic Doughiska Unltd Co"/>
  </r>
  <r>
    <s v="997524L"/>
    <s v="Blackrock Health"/>
    <s v="Add Members"/>
    <s v="2025-10-09 11:22:39.419000Z"/>
    <s v="997524L"/>
    <s v="Completed"/>
    <s v="Active"/>
    <x v="0"/>
    <x v="0"/>
    <m/>
    <d v="2025-10-09T12:22:33"/>
    <n v="609841"/>
    <s v="Galway Clinic Doughiska Unltd Co"/>
  </r>
  <r>
    <s v="997527L"/>
    <s v="Blackrock Health"/>
    <s v="Add Members"/>
    <s v="2025-10-09 11:22:20.491000Z"/>
    <s v="997527L"/>
    <s v="Completed"/>
    <s v="Active"/>
    <x v="0"/>
    <x v="0"/>
    <m/>
    <d v="2025-10-09T12:22:11"/>
    <n v="609841"/>
    <s v="Galway Clinic Doughiska Unltd Co"/>
  </r>
  <r>
    <s v="997528L"/>
    <s v="Blackrock Health"/>
    <s v="Add Members"/>
    <s v="2025-10-09 11:21:41.485000Z"/>
    <s v="997528L"/>
    <s v="Completed"/>
    <s v="Active"/>
    <x v="0"/>
    <x v="0"/>
    <m/>
    <d v="2025-10-09T12:21:33"/>
    <n v="609841"/>
    <s v="Galway Clinic Doughiska Unltd Co"/>
  </r>
  <r>
    <s v="997530L"/>
    <s v="Blackrock Health"/>
    <s v="Add Members"/>
    <s v="2025-10-09 11:22:38.641000Z"/>
    <s v="997530L"/>
    <s v="Completed"/>
    <s v="Active"/>
    <x v="0"/>
    <x v="0"/>
    <m/>
    <d v="2025-10-09T12:22:33"/>
    <n v="609841"/>
    <s v="Galway Clinic Doughiska Unltd Co"/>
  </r>
  <r>
    <s v="997532L"/>
    <s v="Blackrock Health"/>
    <s v="Add Members"/>
    <s v="2025-10-09 11:22:44.857000Z"/>
    <s v="997532L"/>
    <s v="Completed"/>
    <s v="Active"/>
    <x v="0"/>
    <x v="0"/>
    <m/>
    <d v="2025-10-09T12:22:39"/>
    <n v="609841"/>
    <s v="Galway Clinic Doughiska Unltd Co"/>
  </r>
  <r>
    <s v="997533L"/>
    <s v="Blackrock Health"/>
    <s v="Add Members"/>
    <s v="2025-10-09 11:22:04.204000Z"/>
    <s v="997533L"/>
    <s v="Completed"/>
    <s v="Active"/>
    <x v="0"/>
    <x v="0"/>
    <m/>
    <d v="2025-10-09T12:21:59"/>
    <n v="609841"/>
    <s v="Galway Clinic Doughiska Unltd Co"/>
  </r>
  <r>
    <s v="997534L"/>
    <s v="Unio Employee Benefits"/>
    <s v="Add Members"/>
    <s v="2025-10-09 14:05:39.099000Z"/>
    <s v="997534L"/>
    <s v="Completed"/>
    <s v="Active"/>
    <x v="1"/>
    <x v="1"/>
    <m/>
    <d v="2025-10-09T15:05:30"/>
    <n v="603961"/>
    <s v="Broderick Bros Limited"/>
  </r>
  <r>
    <s v="997535L"/>
    <s v="Blackrock Health"/>
    <s v="Add Members"/>
    <s v="2025-10-09 11:22:20.956000Z"/>
    <s v="997535L"/>
    <s v="Completed"/>
    <s v="Active"/>
    <x v="0"/>
    <x v="0"/>
    <m/>
    <d v="2025-10-09T12:22:16"/>
    <n v="609841"/>
    <s v="Galway Clinic Doughiska Unltd Co"/>
  </r>
  <r>
    <s v="997536L"/>
    <s v="Blackrock Health"/>
    <s v="Add Members"/>
    <s v="2025-10-09 11:22:32.315000Z"/>
    <s v="997536L"/>
    <s v="Completed"/>
    <s v="Active"/>
    <x v="0"/>
    <x v="0"/>
    <m/>
    <d v="2025-10-09T12:22:26"/>
    <n v="609841"/>
    <s v="Galway Clinic Doughiska Unltd Co"/>
  </r>
  <r>
    <s v="997538L"/>
    <s v="Blackrock Health"/>
    <s v="Add Members"/>
    <s v="2025-10-09 11:21:58.475000Z"/>
    <s v="997538L"/>
    <s v="Completed"/>
    <s v="Active"/>
    <x v="0"/>
    <x v="0"/>
    <m/>
    <d v="2025-10-09T12:21:54"/>
    <n v="609841"/>
    <s v="Galway Clinic Doughiska Unltd Co"/>
  </r>
  <r>
    <s v="997541L"/>
    <s v="Blackrock Health"/>
    <s v="Add Members"/>
    <s v="2025-10-09 11:22:32.822000Z"/>
    <s v="997541L"/>
    <s v="Completed"/>
    <s v="Active"/>
    <x v="0"/>
    <x v="0"/>
    <m/>
    <d v="2025-10-09T12:22:26"/>
    <n v="609841"/>
    <s v="Galway Clinic Doughiska Unltd Co"/>
  </r>
  <r>
    <s v="997542L"/>
    <s v="Blackrock Health"/>
    <s v="Add Members"/>
    <s v="2025-10-09 11:22:14.841000Z"/>
    <s v="997542L"/>
    <s v="Completed"/>
    <s v="Active"/>
    <x v="0"/>
    <x v="0"/>
    <m/>
    <d v="2025-10-09T12:22:11"/>
    <n v="609841"/>
    <s v="Galway Clinic Doughiska Unltd Co"/>
  </r>
  <r>
    <s v="997543L"/>
    <s v="Blackrock Health"/>
    <s v="Add Members"/>
    <s v="2025-10-09 11:21:47.536000Z"/>
    <s v="997543L"/>
    <s v="Completed"/>
    <s v="Active"/>
    <x v="0"/>
    <x v="0"/>
    <m/>
    <d v="2025-10-09T12:21:39"/>
    <n v="609841"/>
    <s v="Galway Clinic Doughiska Unltd Co"/>
  </r>
  <r>
    <s v="997546L"/>
    <s v="Unio Employee Benefits"/>
    <s v="Add Members"/>
    <s v="2025-10-09 14:37:03.318000Z"/>
    <s v="997546L"/>
    <s v="Completed"/>
    <s v="Active"/>
    <x v="1"/>
    <x v="1"/>
    <m/>
    <d v="2025-10-09T15:36:54"/>
    <n v="606882"/>
    <s v="Acia Aero Leasing (Ireland) Limited"/>
  </r>
  <r>
    <s v="997553L"/>
    <s v="Blackrock Health"/>
    <s v="Add Members"/>
    <s v="2025-10-09 11:22:33.255000Z"/>
    <s v="997553L"/>
    <s v="Completed"/>
    <s v="Active"/>
    <x v="0"/>
    <x v="0"/>
    <m/>
    <d v="2025-10-09T12:22:27"/>
    <n v="609841"/>
    <s v="Galway Clinic Doughiska Unltd Co"/>
  </r>
  <r>
    <s v="997554L"/>
    <s v="Vestas Ireland Limited"/>
    <s v="Add Members"/>
    <s v="2025-10-10 07:37:42.634000Z"/>
    <s v="997554L"/>
    <s v="Completed"/>
    <s v="Active"/>
    <x v="1"/>
    <x v="1"/>
    <m/>
    <d v="2025-10-10T08:37:38"/>
    <n v="603026"/>
    <s v="Vestas Ireland Limited"/>
  </r>
  <r>
    <s v="997556L"/>
    <s v="Blackrock Health"/>
    <s v="Add Members"/>
    <s v="2025-10-09 11:22:26.327000Z"/>
    <s v="997556L"/>
    <s v="Completed"/>
    <s v="Active"/>
    <x v="0"/>
    <x v="0"/>
    <m/>
    <d v="2025-10-09T12:22:19"/>
    <n v="609841"/>
    <s v="Galway Clinic Doughiska Unltd Co"/>
  </r>
  <r>
    <s v="997559L"/>
    <s v="Unio Employee Benefits"/>
    <s v="Add Members"/>
    <s v="2025-10-10 14:17:16.258000Z"/>
    <s v="997559L"/>
    <s v="Completed"/>
    <s v="Active"/>
    <x v="1"/>
    <x v="1"/>
    <m/>
    <d v="2025-10-10T15:16:28"/>
    <n v="602481"/>
    <s v="Jennings O'Donovan &amp; Partners"/>
  </r>
  <r>
    <s v="997561L"/>
    <s v="Irish Life"/>
    <s v="Add Members"/>
    <s v="2025-10-07 11:55:15.763000Z"/>
    <s v="997561L"/>
    <s v="Completed"/>
    <s v="Active"/>
    <x v="32"/>
    <x v="1"/>
    <m/>
    <d v="2025-10-07T12:55:11"/>
    <n v="609347"/>
    <s v="Intercom R&amp;D Unlimited Company"/>
  </r>
  <r>
    <s v="997568L"/>
    <s v="Chemifloc Limited"/>
    <s v="Add Members"/>
    <s v="2025-10-10 10:21:45.808000Z"/>
    <s v="997568L"/>
    <s v="Completed"/>
    <s v="Active"/>
    <x v="0"/>
    <x v="0"/>
    <m/>
    <d v="2025-10-10T11:21:41"/>
    <n v="602880"/>
    <s v="Chemifloc Limited"/>
  </r>
  <r>
    <s v="997569L"/>
    <s v="Chemifloc Limited"/>
    <s v="Add Members"/>
    <s v="2025-10-10 10:12:12.812000Z"/>
    <s v="997569L"/>
    <s v="Completed"/>
    <s v="Active"/>
    <x v="0"/>
    <x v="0"/>
    <m/>
    <d v="2025-10-10T11:12:06"/>
    <n v="602880"/>
    <s v="Chemifloc Limited"/>
  </r>
  <r>
    <s v="997570L"/>
    <s v="Liberty Information Technology Ltd"/>
    <s v="Add Members"/>
    <s v="2025-10-10 10:58:40.453000Z"/>
    <s v="997570L"/>
    <s v="Completed"/>
    <s v="Active"/>
    <x v="0"/>
    <x v="0"/>
    <m/>
    <d v="2025-10-10T11:58:33"/>
    <n v="605011"/>
    <s v="Liberty Information Technology Ltd"/>
  </r>
  <r>
    <s v="997572L"/>
    <s v="Chemifloc Limited"/>
    <s v="Add Members"/>
    <s v="2025-10-10 10:14:58.948000Z"/>
    <s v="997572L"/>
    <s v="Completed"/>
    <s v="Active"/>
    <x v="0"/>
    <x v="0"/>
    <m/>
    <d v="2025-10-10T11:14:52"/>
    <n v="602880"/>
    <s v="Chemifloc Limited"/>
  </r>
  <r>
    <s v="997603L"/>
    <s v="An Breacadh Nua"/>
    <s v="Add Members"/>
    <s v="2025-10-09 13:35:25.789000Z"/>
    <s v="997603L"/>
    <s v="Completed"/>
    <s v="Active"/>
    <x v="15"/>
    <x v="1"/>
    <m/>
    <d v="2025-10-09T14:35:18"/>
    <n v="609688"/>
    <s v="NFVSP An Breacadh Nua"/>
  </r>
  <r>
    <s v="997607L"/>
    <s v="Bord na Mona PLC"/>
    <s v="Add Members"/>
    <s v="2025-10-13 15:17:14.612000Z"/>
    <s v="997607L"/>
    <s v="Completed"/>
    <s v="Active"/>
    <x v="15"/>
    <x v="1"/>
    <m/>
    <d v="2025-10-13T16:17:09"/>
    <n v="606966"/>
    <s v="Bord na Mona PLC"/>
  </r>
  <r>
    <s v="997610L"/>
    <s v="Irish Life"/>
    <s v="Add Members"/>
    <s v="2025-10-09 14:48:32.522000Z"/>
    <s v="997610L"/>
    <s v="Completed"/>
    <s v="Active"/>
    <x v="1"/>
    <x v="1"/>
    <m/>
    <d v="2025-10-09T15:48:23"/>
    <n v="603885"/>
    <s v="Castlelake Aviation Holdings (Ire Ltd)"/>
  </r>
  <r>
    <s v="997629L"/>
    <s v="MMPI"/>
    <s v="Add Members"/>
    <s v="2025-10-13 10:34:50.306000Z"/>
    <s v="997629L"/>
    <s v="Completed"/>
    <s v="Active"/>
    <x v="0"/>
    <x v="0"/>
    <m/>
    <d v="2025-10-13T11:34:39"/>
    <n v="609781"/>
    <s v="Anart Restaurants Limited"/>
  </r>
  <r>
    <s v="997634L"/>
    <s v="Irish Life"/>
    <s v="Add Members"/>
    <s v="2025-10-13 14:35:38.250000Z"/>
    <s v="997634L"/>
    <s v="Completed"/>
    <s v="Active"/>
    <x v="13"/>
    <x v="1"/>
    <m/>
    <d v="2025-10-13T15:35:12"/>
    <n v="603922"/>
    <s v="Towercom Limited"/>
  </r>
  <r>
    <s v="997637L"/>
    <s v="ISS Ireland Limited"/>
    <s v="Add Members"/>
    <s v="2025-10-10 12:05:01.322000Z"/>
    <s v="997637L"/>
    <s v="Completed"/>
    <s v="Active"/>
    <x v="0"/>
    <x v="0"/>
    <m/>
    <d v="2025-10-10T13:04:55"/>
    <n v="601523"/>
    <s v="ISS Ireland Limited"/>
  </r>
  <r>
    <s v="997644L"/>
    <s v="Moneywise Financial Planning Ltd"/>
    <s v="Add Members"/>
    <s v="2025-10-10 10:31:00.132000Z"/>
    <s v="997644L"/>
    <s v="Completed"/>
    <s v="Active"/>
    <x v="0"/>
    <x v="0"/>
    <m/>
    <d v="2025-10-10T11:30:51"/>
    <n v="602225"/>
    <s v="Harcourt Street Office Services"/>
  </r>
  <r>
    <s v="997655L"/>
    <s v="Sappho Group Employee Benefits Plan"/>
    <s v="Add Members"/>
    <s v="2025-10-08 13:03:33.181000Z"/>
    <s v="997655L"/>
    <s v="Completed"/>
    <s v="Active"/>
    <x v="4"/>
    <x v="1"/>
    <m/>
    <d v="2025-10-08T14:03:27"/>
    <n v="603100"/>
    <s v="Sappho Group Employee Benefits Plan"/>
  </r>
  <r>
    <s v="997658L"/>
    <s v="Unio Employee Benefits"/>
    <s v="Add Members"/>
    <s v="2025-10-10 08:45:18.841000Z"/>
    <s v="997658L"/>
    <s v="Completed"/>
    <s v="Active"/>
    <x v="0"/>
    <x v="0"/>
    <m/>
    <d v="2025-10-10T09:45:10"/>
    <n v="606982"/>
    <s v="Hellios Technology Solutions Limited"/>
  </r>
  <r>
    <s v="997662L"/>
    <s v="Irish Life"/>
    <s v="Add Members"/>
    <s v="2025-10-09 13:35:26.444000Z"/>
    <s v="997662L"/>
    <s v="Completed"/>
    <s v="Active"/>
    <x v="13"/>
    <x v="1"/>
    <m/>
    <d v="2025-10-09T14:35:19"/>
    <n v="602686"/>
    <s v="Autodesk Ireland"/>
  </r>
  <r>
    <s v="997668L"/>
    <s v="Kerry Parents and Friends Association"/>
    <s v="Add Members"/>
    <s v="2025-10-09 13:35:31.853000Z"/>
    <s v="997668L"/>
    <s v="Completed"/>
    <s v="Active"/>
    <x v="0"/>
    <x v="1"/>
    <m/>
    <d v="2025-10-09T14:35:24"/>
    <n v="609701"/>
    <s v="NFVSP Kerry Parents &amp; Friends Assoc"/>
  </r>
  <r>
    <s v="997693L"/>
    <s v="Kerry Parents and Friends Association"/>
    <s v="Add Members"/>
    <s v="2025-10-08 14:11:53.614000Z"/>
    <s v="997693L"/>
    <s v="Completed"/>
    <s v="Active"/>
    <x v="0"/>
    <x v="0"/>
    <m/>
    <d v="2025-10-08T15:11:45"/>
    <n v="609701"/>
    <s v="NFVSP Kerry Parents &amp; Friends Assoc"/>
  </r>
  <r>
    <s v="997694L"/>
    <s v="Kerry Parents and Friends Association"/>
    <s v="Add Members"/>
    <s v="2025-10-08 14:06:20.742000Z"/>
    <s v="997694L"/>
    <s v="Completed"/>
    <s v="Active"/>
    <x v="0"/>
    <x v="0"/>
    <m/>
    <d v="2025-10-08T15:06:12"/>
    <n v="609701"/>
    <s v="NFVSP Kerry Parents &amp; Friends Assoc"/>
  </r>
  <r>
    <s v="997696L"/>
    <s v="Kerry Parents and Friends Association"/>
    <s v="Add Members"/>
    <s v="2025-10-08 13:44:44.124000Z"/>
    <s v="997696L"/>
    <s v="Completed"/>
    <s v="Active"/>
    <x v="0"/>
    <x v="0"/>
    <m/>
    <d v="2025-10-08T14:44:38"/>
    <n v="609701"/>
    <s v="NFVSP Kerry Parents &amp; Friends Assoc"/>
  </r>
  <r>
    <s v="997697L"/>
    <s v="ISS Ireland Limited"/>
    <s v="Add Members"/>
    <s v="2025-10-10 13:41:21.153000Z"/>
    <s v="997697L"/>
    <s v="Completed"/>
    <s v="Active"/>
    <x v="0"/>
    <x v="0"/>
    <m/>
    <d v="2025-10-10T14:41:13"/>
    <n v="601523"/>
    <s v="ISS Ireland Limited"/>
  </r>
  <r>
    <s v="997710L"/>
    <s v="Krispy Kreme Ireland Ltd"/>
    <s v="Add Members"/>
    <s v="2025-10-10 13:23:36.716000Z"/>
    <s v="997710L"/>
    <s v="Completed"/>
    <s v="Active"/>
    <x v="21"/>
    <x v="1"/>
    <m/>
    <d v="2025-10-10T14:23:30"/>
    <n v="605249"/>
    <s v="Krispy Kreme Ireland Ltd"/>
  </r>
  <r>
    <s v="997715L"/>
    <s v="The Open University Retirement Solution Plan"/>
    <s v="Add Members"/>
    <s v="2025-10-09 09:33:04.814000Z"/>
    <s v="997715L"/>
    <s v="Completed"/>
    <s v="Active"/>
    <x v="0"/>
    <x v="0"/>
    <m/>
    <d v="2025-10-09T10:32:59"/>
    <n v="601152"/>
    <s v="The Open University"/>
  </r>
  <r>
    <s v="997717L"/>
    <s v="The Open University Retirement Solution Plan"/>
    <s v="Add Members"/>
    <s v="2025-10-09 10:51:32.452000Z"/>
    <s v="997717L"/>
    <s v="Completed"/>
    <s v="Active"/>
    <x v="0"/>
    <x v="0"/>
    <m/>
    <d v="2025-10-09T11:51:25"/>
    <n v="601152"/>
    <s v="The Open University"/>
  </r>
  <r>
    <s v="997738L"/>
    <s v="Turner and Townsend Limited"/>
    <s v="Add Members"/>
    <s v="2025-10-09 17:20:33.080000Z"/>
    <s v="997738L"/>
    <s v="Completed"/>
    <s v="Active"/>
    <x v="21"/>
    <x v="1"/>
    <m/>
    <d v="2025-10-09T18:20:26"/>
    <n v="601657"/>
    <s v="Turner &amp; Townsend Limited"/>
  </r>
  <r>
    <s v="997739L"/>
    <s v="The Open University Retirement Solution Plan"/>
    <s v="Add Members"/>
    <s v="2025-10-09 11:08:46.206000Z"/>
    <s v="997739L"/>
    <s v="Completed"/>
    <s v="Active"/>
    <x v="0"/>
    <x v="0"/>
    <m/>
    <d v="2025-10-09T12:08:40"/>
    <n v="601152"/>
    <s v="The Open University"/>
  </r>
  <r>
    <s v="997745L"/>
    <s v="Capita IB Solutions  Ireland  Limited"/>
    <s v="Add Members"/>
    <s v="2025-10-09 12:04:01.081000Z"/>
    <s v="997745L"/>
    <s v="Completed"/>
    <s v="Active"/>
    <x v="0"/>
    <x v="0"/>
    <m/>
    <d v="2025-10-09T13:03:51"/>
    <n v="606871"/>
    <s v="Capita PLC"/>
  </r>
  <r>
    <s v="997753L"/>
    <s v="Irish Life"/>
    <s v="Add Members"/>
    <s v="2025-10-07 16:20:50.759000Z"/>
    <s v="997753L"/>
    <s v="Completed"/>
    <s v="Active"/>
    <x v="4"/>
    <x v="1"/>
    <m/>
    <d v="2025-10-07T17:20:43"/>
    <n v="602645"/>
    <s v="Charles River Laboratories Ireland Ltd"/>
  </r>
  <r>
    <s v="997764L"/>
    <s v="Etrawler Unlimited Company"/>
    <s v="Add Members"/>
    <s v="2025-10-10 11:18:33.685000Z"/>
    <s v="997764L"/>
    <s v="Completed"/>
    <s v="Active"/>
    <x v="28"/>
    <x v="1"/>
    <m/>
    <d v="2025-10-10T12:18:27"/>
    <n v="603744"/>
    <s v="Etrawler Unlimited Company"/>
  </r>
  <r>
    <s v="997782L"/>
    <s v="BMW Automotive Ireland Limited"/>
    <s v="Add Members"/>
    <s v="2025-10-09 08:41:04.159000Z"/>
    <s v="997782L"/>
    <s v="Completed"/>
    <s v="Active"/>
    <x v="4"/>
    <x v="1"/>
    <m/>
    <d v="2025-10-09T09:40:56"/>
    <n v="602067"/>
    <s v="BMW Automotive (Ireland) Limited"/>
  </r>
  <r>
    <s v="997932L"/>
    <s v="MMPI"/>
    <s v="Add Members"/>
    <s v="2025-10-09 20:11:02.713000Z"/>
    <s v="997932L"/>
    <s v="Completed"/>
    <s v="Active"/>
    <x v="0"/>
    <x v="0"/>
    <m/>
    <d v="2025-10-09T21:10:55"/>
    <n v="609781"/>
    <s v="Anart Restaurants Limited"/>
  </r>
  <r>
    <s v="997934L"/>
    <s v="McKesson Cork Business Solutions UC"/>
    <s v="Add Members"/>
    <s v="2025-10-10 13:48:03.229000Z"/>
    <s v="997934L"/>
    <s v="Completed"/>
    <s v="Active"/>
    <x v="0"/>
    <x v="0"/>
    <m/>
    <d v="2025-10-10T14:47:53"/>
    <n v="603944"/>
    <s v="McKesson Cork Business Solutions UC"/>
  </r>
  <r>
    <s v="997942L"/>
    <s v="Chemifloc Limited"/>
    <s v="Add Members"/>
    <s v="2025-10-10 08:22:43.352000Z"/>
    <s v="997942L"/>
    <s v="Completed"/>
    <s v="Active"/>
    <x v="0"/>
    <x v="0"/>
    <m/>
    <d v="2025-10-10T09:22:36"/>
    <n v="602880"/>
    <s v="Chemifloc Limited"/>
  </r>
  <r>
    <s v="997943L"/>
    <s v="A C Nielsen of Ireland Limited"/>
    <s v="Add Members"/>
    <s v="2025-10-09 20:35:55.747000Z"/>
    <s v="997943L"/>
    <s v="Completed"/>
    <s v="Active"/>
    <x v="0"/>
    <x v="0"/>
    <m/>
    <d v="2025-10-09T21:35:51"/>
    <n v="609773"/>
    <s v="A.C. Nielsen of Ireland Limited"/>
  </r>
  <r>
    <s v="997944L"/>
    <s v="Chemifloc Limited"/>
    <s v="Add Members"/>
    <s v="2025-10-10 08:20:02.594000Z"/>
    <s v="997944L"/>
    <s v="Completed"/>
    <s v="Active"/>
    <x v="0"/>
    <x v="0"/>
    <m/>
    <d v="2025-10-10T09:19:56"/>
    <n v="602880"/>
    <s v="Chemifloc Limited"/>
  </r>
  <r>
    <s v="997982L"/>
    <s v="Irish Life"/>
    <s v="Add Members"/>
    <s v="2025-10-08 09:56:40.290000Z"/>
    <s v="997982L"/>
    <s v="Completed"/>
    <s v="Active"/>
    <x v="1"/>
    <x v="1"/>
    <m/>
    <d v="2025-10-08T10:56:32"/>
    <n v="603551"/>
    <s v="Jacobs Douwe Egberts IE Limited"/>
  </r>
  <r>
    <s v="997990L"/>
    <s v="Mincon International Limited"/>
    <s v="Add Members"/>
    <s v="2025-10-09 20:53:57.283000Z"/>
    <s v="997990L"/>
    <s v="Completed"/>
    <s v="Active"/>
    <x v="0"/>
    <x v="0"/>
    <m/>
    <d v="2025-10-09T21:53:50"/>
    <n v="601385"/>
    <s v="Mincon International Limited"/>
  </r>
  <r>
    <m/>
    <m/>
    <m/>
    <m/>
    <m/>
    <m/>
    <m/>
    <x v="40"/>
    <x v="3"/>
    <m/>
    <s v=" "/>
    <s v=" "/>
    <s v=" "/>
  </r>
  <r>
    <m/>
    <m/>
    <m/>
    <m/>
    <m/>
    <m/>
    <m/>
    <x v="40"/>
    <x v="3"/>
    <m/>
    <s v=" "/>
    <s v="  "/>
    <s v=" "/>
  </r>
  <r>
    <m/>
    <m/>
    <m/>
    <m/>
    <m/>
    <m/>
    <m/>
    <x v="41"/>
    <x v="4"/>
    <m/>
    <m/>
    <m/>
    <m/>
  </r>
  <r>
    <m/>
    <m/>
    <m/>
    <m/>
    <m/>
    <m/>
    <m/>
    <x v="40"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4E7F1-C438-4058-9B4B-650D3856E85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>
      <items count="43">
        <item x="1"/>
        <item x="4"/>
        <item x="15"/>
        <item x="13"/>
        <item x="12"/>
        <item x="7"/>
        <item x="14"/>
        <item x="21"/>
        <item x="8"/>
        <item x="23"/>
        <item x="22"/>
        <item x="25"/>
        <item x="19"/>
        <item x="28"/>
        <item x="26"/>
        <item x="38"/>
        <item x="10"/>
        <item x="17"/>
        <item x="35"/>
        <item x="11"/>
        <item x="9"/>
        <item x="32"/>
        <item x="2"/>
        <item x="33"/>
        <item x="6"/>
        <item x="20"/>
        <item x="27"/>
        <item x="18"/>
        <item x="5"/>
        <item x="30"/>
        <item x="31"/>
        <item x="37"/>
        <item x="16"/>
        <item x="39"/>
        <item x="29"/>
        <item x="3"/>
        <item x="34"/>
        <item x="24"/>
        <item x="36"/>
        <item x="41"/>
        <item x="0"/>
        <item x="40"/>
        <item t="default"/>
      </items>
    </pivotField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ulk Numbers Loaded" fld="7" subtotal="count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44"/>
  <sheetViews>
    <sheetView tabSelected="1" workbookViewId="0">
      <pane ySplit="1" topLeftCell="A2" activePane="bottomLeft" state="frozen"/>
      <selection pane="bottomLeft" activeCell="L1" sqref="A1:L1"/>
    </sheetView>
  </sheetViews>
  <sheetFormatPr defaultRowHeight="14.5"/>
  <cols>
    <col min="1" max="1" width="28.81640625" style="5" customWidth="1"/>
    <col min="2" max="2" width="11.26953125" bestFit="1" customWidth="1"/>
    <col min="3" max="3" width="37.1796875" bestFit="1" customWidth="1"/>
    <col min="4" max="4" width="10.453125" bestFit="1" customWidth="1"/>
    <col min="5" max="5" width="28" customWidth="1"/>
    <col min="6" max="6" width="35.54296875" customWidth="1"/>
    <col min="7" max="7" width="27.26953125" bestFit="1" customWidth="1"/>
    <col min="8" max="8" width="30.26953125" bestFit="1" customWidth="1"/>
    <col min="9" max="9" width="29.453125" bestFit="1" customWidth="1"/>
    <col min="10" max="10" width="13.6328125" bestFit="1" customWidth="1"/>
    <col min="11" max="11" width="10.08984375" customWidth="1"/>
    <col min="12" max="12" width="11.08984375" bestFit="1" customWidth="1"/>
    <col min="13" max="13" width="12.90625" bestFit="1" customWidth="1"/>
    <col min="14" max="14" width="15.6328125" bestFit="1" customWidth="1"/>
  </cols>
  <sheetData>
    <row r="1" spans="1:13">
      <c r="A1" s="5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10474</v>
      </c>
    </row>
    <row r="2" spans="1:13">
      <c r="A2" s="5" t="s">
        <v>898</v>
      </c>
      <c r="B2" s="1">
        <v>34950</v>
      </c>
      <c r="C2" t="s">
        <v>897</v>
      </c>
      <c r="D2" t="s">
        <v>191</v>
      </c>
      <c r="E2" t="s">
        <v>191</v>
      </c>
      <c r="F2" s="1">
        <v>1</v>
      </c>
      <c r="G2" s="1">
        <v>1</v>
      </c>
      <c r="H2" s="1">
        <v>0</v>
      </c>
      <c r="I2" s="1">
        <v>0</v>
      </c>
      <c r="J2" t="s">
        <v>24</v>
      </c>
      <c r="K2" t="s">
        <v>898</v>
      </c>
      <c r="L2" t="s">
        <v>3</v>
      </c>
      <c r="M2" t="str">
        <f>VLOOKUP(A2,'Tableau single and bulk'!A:B,2,FALSE)</f>
        <v>NEBAUTO</v>
      </c>
    </row>
    <row r="3" spans="1:13">
      <c r="A3" s="5" t="s">
        <v>623</v>
      </c>
      <c r="B3" s="1">
        <v>34937</v>
      </c>
      <c r="C3" t="s">
        <v>176</v>
      </c>
      <c r="D3" t="s">
        <v>191</v>
      </c>
      <c r="E3" t="s">
        <v>191</v>
      </c>
      <c r="F3" s="1">
        <v>27</v>
      </c>
      <c r="G3" s="1">
        <v>27</v>
      </c>
      <c r="H3" s="1">
        <v>0</v>
      </c>
      <c r="I3" s="1">
        <v>0</v>
      </c>
      <c r="J3" t="s">
        <v>12</v>
      </c>
      <c r="K3" t="s">
        <v>623</v>
      </c>
      <c r="L3" t="s">
        <v>3</v>
      </c>
      <c r="M3" t="str">
        <f>VLOOKUP(A3,'Tableau single and bulk'!A:B,2,FALSE)</f>
        <v>NEBAUTO</v>
      </c>
    </row>
    <row r="4" spans="1:13">
      <c r="A4" s="5" t="s">
        <v>190</v>
      </c>
      <c r="B4" s="1">
        <v>34916</v>
      </c>
      <c r="C4" t="s">
        <v>189</v>
      </c>
      <c r="D4" t="s">
        <v>183</v>
      </c>
      <c r="E4" t="s">
        <v>183</v>
      </c>
      <c r="F4" s="1">
        <v>1</v>
      </c>
      <c r="G4" s="1">
        <v>1</v>
      </c>
      <c r="H4" s="1">
        <v>0</v>
      </c>
      <c r="I4" s="1">
        <v>0</v>
      </c>
      <c r="J4" t="s">
        <v>18</v>
      </c>
      <c r="K4" t="s">
        <v>190</v>
      </c>
      <c r="L4" t="s">
        <v>3</v>
      </c>
      <c r="M4" t="str">
        <f>VLOOKUP(A4,'Tableau single and bulk'!A:B,2,FALSE)</f>
        <v>NEBAUTO</v>
      </c>
    </row>
    <row r="5" spans="1:13">
      <c r="A5" s="5" t="s">
        <v>896</v>
      </c>
      <c r="B5" s="1">
        <v>34949</v>
      </c>
      <c r="C5" t="s">
        <v>176</v>
      </c>
      <c r="D5" t="s">
        <v>191</v>
      </c>
      <c r="E5" t="s">
        <v>191</v>
      </c>
      <c r="F5" s="1">
        <v>66</v>
      </c>
      <c r="G5" s="1">
        <v>66</v>
      </c>
      <c r="H5" s="1">
        <v>0</v>
      </c>
      <c r="I5" s="1">
        <v>0</v>
      </c>
      <c r="J5" t="s">
        <v>12</v>
      </c>
      <c r="K5" t="s">
        <v>896</v>
      </c>
      <c r="L5" t="s">
        <v>3</v>
      </c>
      <c r="M5" t="str">
        <f>VLOOKUP(A5,'Tableau single and bulk'!A:B,2,FALSE)</f>
        <v>NEBAUTO</v>
      </c>
    </row>
    <row r="6" spans="1:13">
      <c r="A6" s="5" t="s">
        <v>778</v>
      </c>
      <c r="B6" s="1">
        <v>34935</v>
      </c>
      <c r="C6" t="s">
        <v>309</v>
      </c>
      <c r="D6" t="s">
        <v>191</v>
      </c>
      <c r="E6" t="s">
        <v>191</v>
      </c>
      <c r="F6" s="1">
        <v>2</v>
      </c>
      <c r="G6" s="1">
        <v>2</v>
      </c>
      <c r="H6" s="1">
        <v>0</v>
      </c>
      <c r="I6" s="1">
        <v>0</v>
      </c>
      <c r="J6" t="s">
        <v>12</v>
      </c>
      <c r="K6" t="s">
        <v>778</v>
      </c>
      <c r="L6" t="s">
        <v>3</v>
      </c>
      <c r="M6" t="str">
        <f>VLOOKUP(A6,'Tableau single and bulk'!A:B,2,FALSE)</f>
        <v>NEBAUTO</v>
      </c>
    </row>
    <row r="7" spans="1:13">
      <c r="A7" s="5" t="s">
        <v>192</v>
      </c>
      <c r="B7" s="1">
        <v>34940</v>
      </c>
      <c r="C7" t="s">
        <v>176</v>
      </c>
      <c r="D7" t="s">
        <v>191</v>
      </c>
      <c r="E7" t="s">
        <v>191</v>
      </c>
      <c r="F7" s="1">
        <v>50</v>
      </c>
      <c r="G7" s="1">
        <v>50</v>
      </c>
      <c r="H7" s="1">
        <v>0</v>
      </c>
      <c r="I7" s="1">
        <v>0</v>
      </c>
      <c r="J7" t="s">
        <v>12</v>
      </c>
      <c r="K7" t="s">
        <v>192</v>
      </c>
      <c r="L7" t="s">
        <v>3</v>
      </c>
      <c r="M7" t="str">
        <f>VLOOKUP(A7,'Tableau single and bulk'!A:B,2,FALSE)</f>
        <v>NEBAUTO</v>
      </c>
    </row>
    <row r="8" spans="1:13">
      <c r="A8" s="5" t="s">
        <v>895</v>
      </c>
      <c r="B8" s="1">
        <v>34943</v>
      </c>
      <c r="C8" t="s">
        <v>894</v>
      </c>
      <c r="D8" t="s">
        <v>191</v>
      </c>
      <c r="E8" t="s">
        <v>191</v>
      </c>
      <c r="F8" s="1">
        <v>1</v>
      </c>
      <c r="G8" s="1">
        <v>1</v>
      </c>
      <c r="H8" s="1">
        <v>0</v>
      </c>
      <c r="I8" s="1">
        <v>0</v>
      </c>
      <c r="J8" t="s">
        <v>33</v>
      </c>
      <c r="K8" t="s">
        <v>895</v>
      </c>
      <c r="L8" t="s">
        <v>3</v>
      </c>
      <c r="M8" t="str">
        <f>VLOOKUP(A8,'Tableau single and bulk'!A:B,2,FALSE)</f>
        <v>NEBAUTO</v>
      </c>
    </row>
    <row r="9" spans="1:13">
      <c r="A9" s="5" t="s">
        <v>589</v>
      </c>
      <c r="B9" s="1">
        <v>34843</v>
      </c>
      <c r="C9" t="s">
        <v>588</v>
      </c>
      <c r="D9" t="s">
        <v>167</v>
      </c>
      <c r="E9" t="s">
        <v>167</v>
      </c>
      <c r="F9" s="1">
        <v>1</v>
      </c>
      <c r="G9" s="1">
        <v>1</v>
      </c>
      <c r="H9" s="1">
        <v>0</v>
      </c>
      <c r="I9" s="1">
        <v>0</v>
      </c>
      <c r="J9" t="s">
        <v>18</v>
      </c>
      <c r="K9" t="s">
        <v>589</v>
      </c>
      <c r="L9" t="s">
        <v>3</v>
      </c>
      <c r="M9" t="str">
        <f>VLOOKUP(A9,'Tableau single and bulk'!A:B,2,FALSE)</f>
        <v>NEBAUTO</v>
      </c>
    </row>
    <row r="10" spans="1:13">
      <c r="A10" s="5" t="s">
        <v>835</v>
      </c>
      <c r="B10" s="1">
        <v>34846</v>
      </c>
      <c r="C10" t="s">
        <v>588</v>
      </c>
      <c r="D10" t="s">
        <v>167</v>
      </c>
      <c r="E10" t="s">
        <v>167</v>
      </c>
      <c r="F10" s="1">
        <v>1</v>
      </c>
      <c r="G10" s="1">
        <v>1</v>
      </c>
      <c r="H10" s="1">
        <v>0</v>
      </c>
      <c r="I10" s="1">
        <v>0</v>
      </c>
      <c r="J10" t="s">
        <v>18</v>
      </c>
      <c r="K10" t="s">
        <v>835</v>
      </c>
      <c r="L10" t="s">
        <v>3</v>
      </c>
      <c r="M10" t="str">
        <f>VLOOKUP(A10,'Tableau single and bulk'!A:B,2,FALSE)</f>
        <v>NEBAUTO</v>
      </c>
    </row>
    <row r="11" spans="1:13">
      <c r="A11" s="5" t="s">
        <v>404</v>
      </c>
      <c r="B11" s="1">
        <v>34909</v>
      </c>
      <c r="C11" t="s">
        <v>403</v>
      </c>
      <c r="D11" t="s">
        <v>183</v>
      </c>
      <c r="E11" t="s">
        <v>183</v>
      </c>
      <c r="F11" s="1">
        <v>29</v>
      </c>
      <c r="G11" s="1">
        <v>29</v>
      </c>
      <c r="H11" s="1">
        <v>0</v>
      </c>
      <c r="I11" s="1">
        <v>0</v>
      </c>
      <c r="J11" t="s">
        <v>307</v>
      </c>
      <c r="K11" t="s">
        <v>404</v>
      </c>
      <c r="L11" t="s">
        <v>3</v>
      </c>
      <c r="M11" t="str">
        <f>VLOOKUP(A11,'Tableau single and bulk'!A:B,2,FALSE)</f>
        <v>NEBAUTO</v>
      </c>
    </row>
    <row r="12" spans="1:13">
      <c r="A12" s="5" t="s">
        <v>605</v>
      </c>
      <c r="B12" s="1">
        <v>34920</v>
      </c>
      <c r="C12" t="s">
        <v>604</v>
      </c>
      <c r="D12" t="s">
        <v>183</v>
      </c>
      <c r="E12" t="s">
        <v>183</v>
      </c>
      <c r="F12" s="1">
        <v>1</v>
      </c>
      <c r="G12" s="1">
        <v>1</v>
      </c>
      <c r="H12" s="1">
        <v>0</v>
      </c>
      <c r="I12" s="1">
        <v>0</v>
      </c>
      <c r="J12" t="s">
        <v>18</v>
      </c>
      <c r="K12" t="s">
        <v>605</v>
      </c>
      <c r="L12" t="s">
        <v>3</v>
      </c>
      <c r="M12" t="str">
        <f>VLOOKUP(A12,'Tableau single and bulk'!A:B,2,FALSE)</f>
        <v>NEBAUTO</v>
      </c>
    </row>
    <row r="13" spans="1:13">
      <c r="A13" s="5" t="s">
        <v>837</v>
      </c>
      <c r="B13" s="1">
        <v>34850</v>
      </c>
      <c r="C13" t="s">
        <v>836</v>
      </c>
      <c r="D13" t="s">
        <v>167</v>
      </c>
      <c r="E13" t="s">
        <v>167</v>
      </c>
      <c r="F13" s="1">
        <v>1</v>
      </c>
      <c r="G13" s="1">
        <v>1</v>
      </c>
      <c r="H13" s="1">
        <v>0</v>
      </c>
      <c r="I13" s="1">
        <v>0</v>
      </c>
      <c r="J13" t="s">
        <v>18</v>
      </c>
      <c r="K13" t="s">
        <v>837</v>
      </c>
      <c r="L13" t="s">
        <v>3</v>
      </c>
      <c r="M13" t="str">
        <f>VLOOKUP(A13,'Tableau single and bulk'!A:B,2,FALSE)</f>
        <v>NEBAUTO</v>
      </c>
    </row>
    <row r="14" spans="1:13">
      <c r="A14" s="5" t="s">
        <v>61</v>
      </c>
      <c r="B14" s="1">
        <v>35099</v>
      </c>
      <c r="C14" t="s">
        <v>60</v>
      </c>
      <c r="D14" t="s">
        <v>39</v>
      </c>
      <c r="E14" t="s">
        <v>39</v>
      </c>
      <c r="F14" s="1">
        <v>6</v>
      </c>
      <c r="G14" s="1">
        <v>6</v>
      </c>
      <c r="H14" s="1">
        <v>0</v>
      </c>
      <c r="I14" s="1">
        <v>0</v>
      </c>
      <c r="J14" t="s">
        <v>25</v>
      </c>
      <c r="K14" t="s">
        <v>61</v>
      </c>
      <c r="L14" t="s">
        <v>3</v>
      </c>
      <c r="M14" t="str">
        <f>VLOOKUP(A14,'Tableau single and bulk'!A:B,2,FALSE)</f>
        <v>NEBAUTO</v>
      </c>
    </row>
    <row r="15" spans="1:13">
      <c r="A15" s="5" t="s">
        <v>773</v>
      </c>
      <c r="B15" s="1">
        <v>34901</v>
      </c>
      <c r="C15" t="s">
        <v>772</v>
      </c>
      <c r="D15" t="s">
        <v>183</v>
      </c>
      <c r="E15" t="s">
        <v>183</v>
      </c>
      <c r="F15" s="1">
        <v>1</v>
      </c>
      <c r="G15" s="1">
        <v>1</v>
      </c>
      <c r="H15" s="1">
        <v>0</v>
      </c>
      <c r="I15" s="1">
        <v>0</v>
      </c>
      <c r="J15" t="s">
        <v>25</v>
      </c>
      <c r="K15" t="s">
        <v>773</v>
      </c>
      <c r="L15" t="s">
        <v>3</v>
      </c>
      <c r="M15" t="str">
        <f>VLOOKUP(A15,'Tableau single and bulk'!A:B,2,FALSE)</f>
        <v>NEBAUTO</v>
      </c>
    </row>
    <row r="16" spans="1:13">
      <c r="A16" s="5" t="s">
        <v>184</v>
      </c>
      <c r="B16" s="1">
        <v>34904</v>
      </c>
      <c r="C16" t="s">
        <v>182</v>
      </c>
      <c r="D16" t="s">
        <v>183</v>
      </c>
      <c r="E16" t="s">
        <v>183</v>
      </c>
      <c r="F16" s="1">
        <v>9</v>
      </c>
      <c r="G16" s="1">
        <v>9</v>
      </c>
      <c r="H16" s="1">
        <v>0</v>
      </c>
      <c r="I16" s="1">
        <v>0</v>
      </c>
      <c r="J16" t="s">
        <v>25</v>
      </c>
      <c r="K16" t="s">
        <v>184</v>
      </c>
      <c r="L16" t="s">
        <v>3</v>
      </c>
      <c r="M16" t="str">
        <f>VLOOKUP(A16,'Tableau single and bulk'!A:B,2,FALSE)</f>
        <v>NEBAUTO</v>
      </c>
    </row>
    <row r="17" spans="1:13">
      <c r="A17" s="5" t="s">
        <v>390</v>
      </c>
      <c r="B17" s="1">
        <v>34853</v>
      </c>
      <c r="C17" t="s">
        <v>389</v>
      </c>
      <c r="D17" t="s">
        <v>167</v>
      </c>
      <c r="E17" t="s">
        <v>167</v>
      </c>
      <c r="F17" s="1">
        <v>24</v>
      </c>
      <c r="G17" s="1">
        <v>24</v>
      </c>
      <c r="H17" s="1">
        <v>-1</v>
      </c>
      <c r="I17" s="1">
        <v>1</v>
      </c>
      <c r="J17" t="s">
        <v>18</v>
      </c>
      <c r="K17" t="s">
        <v>390</v>
      </c>
      <c r="L17" t="s">
        <v>3</v>
      </c>
      <c r="M17" t="str">
        <f>VLOOKUP(A17,'Tableau single and bulk'!A:B,2,FALSE)</f>
        <v>NEBAUTO</v>
      </c>
    </row>
    <row r="18" spans="1:13">
      <c r="A18" s="5" t="s">
        <v>406</v>
      </c>
      <c r="B18" s="1">
        <v>34929</v>
      </c>
      <c r="C18" t="s">
        <v>405</v>
      </c>
      <c r="D18" t="s">
        <v>191</v>
      </c>
      <c r="E18" t="s">
        <v>191</v>
      </c>
      <c r="F18" s="1">
        <v>17</v>
      </c>
      <c r="G18" s="1">
        <v>17</v>
      </c>
      <c r="H18" s="1">
        <v>0</v>
      </c>
      <c r="I18" s="1">
        <v>0</v>
      </c>
      <c r="J18" t="s">
        <v>18</v>
      </c>
      <c r="K18" t="s">
        <v>406</v>
      </c>
      <c r="L18" t="s">
        <v>3</v>
      </c>
      <c r="M18" t="str">
        <f>VLOOKUP(A18,'Tableau single and bulk'!A:B,2,FALSE)</f>
        <v>NEBAUTO</v>
      </c>
    </row>
    <row r="19" spans="1:13">
      <c r="A19" s="5" t="s">
        <v>658</v>
      </c>
      <c r="B19" s="1">
        <v>34996</v>
      </c>
      <c r="C19" t="s">
        <v>657</v>
      </c>
      <c r="D19" t="s">
        <v>408</v>
      </c>
      <c r="E19" t="s">
        <v>408</v>
      </c>
      <c r="F19" s="1">
        <v>22</v>
      </c>
      <c r="G19" s="1">
        <v>22</v>
      </c>
      <c r="H19" s="1">
        <v>0</v>
      </c>
      <c r="I19" s="1">
        <v>0</v>
      </c>
      <c r="J19" t="s">
        <v>25</v>
      </c>
      <c r="K19" t="s">
        <v>658</v>
      </c>
      <c r="L19" t="s">
        <v>3</v>
      </c>
      <c r="M19" t="str">
        <f>VLOOKUP(A19,'Tableau single and bulk'!A:B,2,FALSE)</f>
        <v>NEBAUTO</v>
      </c>
    </row>
    <row r="20" spans="1:13">
      <c r="A20" s="5" t="s">
        <v>662</v>
      </c>
      <c r="B20" s="1">
        <v>35008</v>
      </c>
      <c r="C20" t="s">
        <v>661</v>
      </c>
      <c r="D20" t="s">
        <v>408</v>
      </c>
      <c r="E20" t="s">
        <v>408</v>
      </c>
      <c r="F20" s="1">
        <v>5</v>
      </c>
      <c r="G20" s="1">
        <v>5</v>
      </c>
      <c r="H20" s="1">
        <v>-2</v>
      </c>
      <c r="I20" s="1">
        <v>2</v>
      </c>
      <c r="J20" t="s">
        <v>24</v>
      </c>
      <c r="K20" t="s">
        <v>662</v>
      </c>
      <c r="L20" t="s">
        <v>3</v>
      </c>
      <c r="M20" t="str">
        <f>VLOOKUP(A20,'Tableau single and bulk'!A:B,2,FALSE)</f>
        <v>NEBAUTO</v>
      </c>
    </row>
    <row r="21" spans="1:13">
      <c r="A21" s="5" t="s">
        <v>779</v>
      </c>
      <c r="B21" s="1">
        <v>34936</v>
      </c>
      <c r="C21" t="s">
        <v>222</v>
      </c>
      <c r="D21" t="s">
        <v>191</v>
      </c>
      <c r="E21" t="s">
        <v>191</v>
      </c>
      <c r="F21" s="1">
        <v>1</v>
      </c>
      <c r="G21" s="1">
        <v>1</v>
      </c>
      <c r="H21" s="1">
        <v>0</v>
      </c>
      <c r="I21" s="1">
        <v>0</v>
      </c>
      <c r="J21" t="s">
        <v>18</v>
      </c>
      <c r="K21" t="s">
        <v>779</v>
      </c>
      <c r="L21" t="s">
        <v>3</v>
      </c>
      <c r="M21" t="str">
        <f>VLOOKUP(A21,'Tableau single and bulk'!A:B,2,FALSE)</f>
        <v>NEBAUTO</v>
      </c>
    </row>
    <row r="22" spans="1:13">
      <c r="A22" s="5" t="s">
        <v>395</v>
      </c>
      <c r="B22" s="1">
        <v>34869</v>
      </c>
      <c r="C22" t="s">
        <v>394</v>
      </c>
      <c r="D22" t="s">
        <v>174</v>
      </c>
      <c r="E22" t="s">
        <v>174</v>
      </c>
      <c r="F22" s="1">
        <v>1</v>
      </c>
      <c r="G22" s="1">
        <v>1</v>
      </c>
      <c r="H22" s="1">
        <v>0</v>
      </c>
      <c r="I22" s="1">
        <v>0</v>
      </c>
      <c r="J22" t="s">
        <v>25</v>
      </c>
      <c r="K22" t="s">
        <v>395</v>
      </c>
      <c r="L22" t="s">
        <v>3</v>
      </c>
      <c r="M22" t="str">
        <f>VLOOKUP(A22,'Tableau single and bulk'!A:B,2,FALSE)</f>
        <v>NEBAUTO</v>
      </c>
    </row>
    <row r="23" spans="1:13">
      <c r="A23" s="5" t="s">
        <v>596</v>
      </c>
      <c r="B23" s="1">
        <v>34866</v>
      </c>
      <c r="C23" t="s">
        <v>312</v>
      </c>
      <c r="D23" t="s">
        <v>174</v>
      </c>
      <c r="E23" t="s">
        <v>174</v>
      </c>
      <c r="F23" s="1">
        <v>1</v>
      </c>
      <c r="G23" s="1">
        <v>1</v>
      </c>
      <c r="H23" s="1">
        <v>0</v>
      </c>
      <c r="I23" s="1">
        <v>0</v>
      </c>
      <c r="J23" t="s">
        <v>18</v>
      </c>
      <c r="K23" t="s">
        <v>596</v>
      </c>
      <c r="L23" t="s">
        <v>3</v>
      </c>
      <c r="M23" t="str">
        <f>VLOOKUP(A23,'Tableau single and bulk'!A:B,2,FALSE)</f>
        <v>NEBAUTO</v>
      </c>
    </row>
    <row r="24" spans="1:13">
      <c r="A24" s="5" t="s">
        <v>642</v>
      </c>
      <c r="B24" s="1">
        <v>34977</v>
      </c>
      <c r="C24" t="s">
        <v>641</v>
      </c>
      <c r="D24" t="s">
        <v>408</v>
      </c>
      <c r="E24" t="s">
        <v>408</v>
      </c>
      <c r="F24" s="1">
        <v>4</v>
      </c>
      <c r="G24" s="1">
        <v>4</v>
      </c>
      <c r="H24" s="1">
        <v>0</v>
      </c>
      <c r="I24" s="1">
        <v>0</v>
      </c>
      <c r="J24" t="s">
        <v>25</v>
      </c>
      <c r="K24" t="s">
        <v>642</v>
      </c>
      <c r="L24" t="s">
        <v>3</v>
      </c>
      <c r="M24" t="str">
        <f>VLOOKUP(A24,'Tableau single and bulk'!A:B,2,FALSE)</f>
        <v>NEBAUTO</v>
      </c>
    </row>
    <row r="25" spans="1:13">
      <c r="A25" s="5" t="s">
        <v>620</v>
      </c>
      <c r="B25" s="1">
        <v>34924</v>
      </c>
      <c r="C25" t="s">
        <v>618</v>
      </c>
      <c r="D25" t="s">
        <v>619</v>
      </c>
      <c r="E25" t="s">
        <v>619</v>
      </c>
      <c r="F25" s="1">
        <v>7</v>
      </c>
      <c r="G25" s="1">
        <v>7</v>
      </c>
      <c r="H25" s="1">
        <v>0</v>
      </c>
      <c r="I25" s="1">
        <v>0</v>
      </c>
      <c r="J25" t="s">
        <v>33</v>
      </c>
      <c r="K25" t="s">
        <v>620</v>
      </c>
      <c r="L25" t="s">
        <v>3</v>
      </c>
      <c r="M25" t="str">
        <f>VLOOKUP(A25,'Tableau single and bulk'!A:B,2,FALSE)</f>
        <v>NEBAUTO</v>
      </c>
    </row>
    <row r="26" spans="1:13">
      <c r="A26" s="5" t="s">
        <v>393</v>
      </c>
      <c r="B26" s="1">
        <v>34863</v>
      </c>
      <c r="C26" t="s">
        <v>178</v>
      </c>
      <c r="D26" t="s">
        <v>174</v>
      </c>
      <c r="E26" t="s">
        <v>174</v>
      </c>
      <c r="F26" s="1">
        <v>3</v>
      </c>
      <c r="G26" s="1">
        <v>3</v>
      </c>
      <c r="H26" s="1">
        <v>-1</v>
      </c>
      <c r="I26" s="1">
        <v>1</v>
      </c>
      <c r="J26" t="s">
        <v>28</v>
      </c>
      <c r="K26" t="s">
        <v>393</v>
      </c>
      <c r="L26" t="s">
        <v>3</v>
      </c>
      <c r="M26" t="str">
        <f>VLOOKUP(A26,'Tableau single and bulk'!A:B,2,FALSE)</f>
        <v>NEBAUTO</v>
      </c>
    </row>
    <row r="27" spans="1:13">
      <c r="A27" s="5" t="s">
        <v>883</v>
      </c>
      <c r="B27" s="1">
        <v>34910</v>
      </c>
      <c r="C27" t="s">
        <v>882</v>
      </c>
      <c r="D27" t="s">
        <v>183</v>
      </c>
      <c r="E27" t="s">
        <v>183</v>
      </c>
      <c r="F27" s="1">
        <v>1</v>
      </c>
      <c r="G27" s="1">
        <v>1</v>
      </c>
      <c r="H27" s="1">
        <v>0</v>
      </c>
      <c r="I27" s="1">
        <v>0</v>
      </c>
      <c r="J27" t="s">
        <v>33</v>
      </c>
      <c r="K27" t="s">
        <v>883</v>
      </c>
      <c r="L27" t="s">
        <v>3</v>
      </c>
      <c r="M27" t="str">
        <f>VLOOKUP(A27,'Tableau single and bulk'!A:B,2,FALSE)</f>
        <v>NEBAUTO</v>
      </c>
    </row>
    <row r="28" spans="1:13">
      <c r="A28" s="5" t="s">
        <v>647</v>
      </c>
      <c r="B28" s="1">
        <v>34982</v>
      </c>
      <c r="C28" t="s">
        <v>646</v>
      </c>
      <c r="D28" t="s">
        <v>408</v>
      </c>
      <c r="E28" t="s">
        <v>408</v>
      </c>
      <c r="F28" s="1">
        <v>4</v>
      </c>
      <c r="G28" s="1">
        <v>4</v>
      </c>
      <c r="H28" s="1">
        <v>0</v>
      </c>
      <c r="I28" s="1">
        <v>0</v>
      </c>
      <c r="J28" t="s">
        <v>25</v>
      </c>
      <c r="K28" t="s">
        <v>647</v>
      </c>
      <c r="L28" t="s">
        <v>3</v>
      </c>
      <c r="M28" t="str">
        <f>VLOOKUP(A28,'Tableau single and bulk'!A:B,2,FALSE)</f>
        <v>NEBAUTO</v>
      </c>
    </row>
    <row r="29" spans="1:13">
      <c r="A29" s="5" t="s">
        <v>769</v>
      </c>
      <c r="B29" s="1">
        <v>34877</v>
      </c>
      <c r="C29" t="s">
        <v>768</v>
      </c>
      <c r="D29" t="s">
        <v>174</v>
      </c>
      <c r="E29" t="s">
        <v>174</v>
      </c>
      <c r="F29" s="1">
        <v>1</v>
      </c>
      <c r="G29" s="1">
        <v>1</v>
      </c>
      <c r="H29" s="1">
        <v>0</v>
      </c>
      <c r="I29" s="1">
        <v>0</v>
      </c>
      <c r="J29" t="s">
        <v>18</v>
      </c>
      <c r="K29" t="s">
        <v>769</v>
      </c>
      <c r="L29" t="s">
        <v>3</v>
      </c>
      <c r="M29" t="str">
        <f>VLOOKUP(A29,'Tableau single and bulk'!A:B,2,FALSE)</f>
        <v>NEBAUTO</v>
      </c>
    </row>
    <row r="30" spans="1:13">
      <c r="A30" s="5" t="s">
        <v>651</v>
      </c>
      <c r="B30" s="1">
        <v>34986</v>
      </c>
      <c r="C30" t="s">
        <v>650</v>
      </c>
      <c r="D30" t="s">
        <v>408</v>
      </c>
      <c r="E30" t="s">
        <v>408</v>
      </c>
      <c r="F30" s="1">
        <v>2</v>
      </c>
      <c r="G30" s="1">
        <v>2</v>
      </c>
      <c r="H30" s="1">
        <v>0</v>
      </c>
      <c r="I30" s="1">
        <v>0</v>
      </c>
      <c r="J30" t="s">
        <v>25</v>
      </c>
      <c r="K30" t="s">
        <v>651</v>
      </c>
      <c r="L30" t="s">
        <v>3</v>
      </c>
      <c r="M30" t="str">
        <f>VLOOKUP(A30,'Tableau single and bulk'!A:B,2,FALSE)</f>
        <v>NEBAUTO</v>
      </c>
    </row>
    <row r="31" spans="1:13">
      <c r="A31" s="5" t="s">
        <v>622</v>
      </c>
      <c r="B31" s="1">
        <v>34925</v>
      </c>
      <c r="C31" t="s">
        <v>621</v>
      </c>
      <c r="D31" t="s">
        <v>191</v>
      </c>
      <c r="E31" t="s">
        <v>191</v>
      </c>
      <c r="F31" s="1">
        <v>1</v>
      </c>
      <c r="G31" s="1">
        <v>1</v>
      </c>
      <c r="H31" s="1">
        <v>0</v>
      </c>
      <c r="I31" s="1">
        <v>0</v>
      </c>
      <c r="J31" t="s">
        <v>25</v>
      </c>
      <c r="K31" t="s">
        <v>622</v>
      </c>
      <c r="L31" t="s">
        <v>3</v>
      </c>
      <c r="M31" t="str">
        <f>VLOOKUP(A31,'Tableau single and bulk'!A:B,2,FALSE)</f>
        <v>NEBAUTO</v>
      </c>
    </row>
    <row r="32" spans="1:13">
      <c r="A32" s="5" t="s">
        <v>181</v>
      </c>
      <c r="B32" s="1">
        <v>34891</v>
      </c>
      <c r="C32" t="s">
        <v>180</v>
      </c>
      <c r="D32" t="s">
        <v>174</v>
      </c>
      <c r="E32" t="s">
        <v>174</v>
      </c>
      <c r="F32" s="1">
        <v>61</v>
      </c>
      <c r="G32" s="1">
        <v>61</v>
      </c>
      <c r="H32" s="1">
        <v>0</v>
      </c>
      <c r="I32" s="1">
        <v>0</v>
      </c>
      <c r="J32" t="s">
        <v>25</v>
      </c>
      <c r="K32" t="s">
        <v>181</v>
      </c>
      <c r="L32" t="s">
        <v>3</v>
      </c>
      <c r="M32" t="str">
        <f>VLOOKUP(A32,'Tableau single and bulk'!A:B,2,FALSE)</f>
        <v>NEBAUTO</v>
      </c>
    </row>
    <row r="33" spans="1:14">
      <c r="A33" s="5" t="s">
        <v>1161</v>
      </c>
      <c r="B33" s="1">
        <v>34899</v>
      </c>
      <c r="C33" t="s">
        <v>1160</v>
      </c>
      <c r="D33" t="s">
        <v>183</v>
      </c>
      <c r="E33" t="s">
        <v>183</v>
      </c>
      <c r="F33" s="1">
        <v>18</v>
      </c>
      <c r="G33" s="1">
        <v>18</v>
      </c>
      <c r="H33" s="1">
        <v>0</v>
      </c>
      <c r="I33" s="1">
        <v>0</v>
      </c>
      <c r="J33" t="s">
        <v>11</v>
      </c>
      <c r="K33" t="s">
        <v>1161</v>
      </c>
      <c r="L33" t="s">
        <v>3</v>
      </c>
      <c r="M33" t="str">
        <f>VLOOKUP(A33,'Tableau single and bulk'!A:B,2,FALSE)</f>
        <v>NEBAUTO</v>
      </c>
    </row>
    <row r="34" spans="1:14">
      <c r="A34" s="5" t="s">
        <v>695</v>
      </c>
      <c r="B34" s="1">
        <v>35007</v>
      </c>
      <c r="C34" t="s">
        <v>694</v>
      </c>
      <c r="D34" t="s">
        <v>408</v>
      </c>
      <c r="E34" t="s">
        <v>408</v>
      </c>
      <c r="F34" s="1">
        <v>2</v>
      </c>
      <c r="G34" s="1">
        <v>2</v>
      </c>
      <c r="H34" s="1">
        <v>0</v>
      </c>
      <c r="I34" s="1">
        <v>0</v>
      </c>
      <c r="J34" t="s">
        <v>18</v>
      </c>
      <c r="K34" t="s">
        <v>695</v>
      </c>
      <c r="L34" t="s">
        <v>3</v>
      </c>
      <c r="M34" t="str">
        <f>VLOOKUP(A34,'Tableau single and bulk'!A:B,2,FALSE)</f>
        <v>NEBAUTO</v>
      </c>
    </row>
    <row r="35" spans="1:14">
      <c r="A35" s="5" t="s">
        <v>1075</v>
      </c>
      <c r="B35" s="1">
        <v>34999</v>
      </c>
      <c r="C35" t="s">
        <v>1074</v>
      </c>
      <c r="D35" t="s">
        <v>408</v>
      </c>
      <c r="E35" t="s">
        <v>408</v>
      </c>
      <c r="F35" s="1">
        <v>7</v>
      </c>
      <c r="G35" s="1">
        <v>7</v>
      </c>
      <c r="H35" s="1">
        <v>0</v>
      </c>
      <c r="I35" s="1">
        <v>0</v>
      </c>
      <c r="J35" t="s">
        <v>24</v>
      </c>
      <c r="K35" t="s">
        <v>1075</v>
      </c>
      <c r="L35" t="s">
        <v>3</v>
      </c>
      <c r="M35" t="str">
        <f>VLOOKUP(A35,'Tableau single and bulk'!A:B,2,FALSE)</f>
        <v>NEBAUTO</v>
      </c>
    </row>
    <row r="36" spans="1:14">
      <c r="A36" s="5" t="s">
        <v>691</v>
      </c>
      <c r="B36" s="1">
        <v>35004</v>
      </c>
      <c r="C36" t="s">
        <v>690</v>
      </c>
      <c r="D36" t="s">
        <v>408</v>
      </c>
      <c r="E36" t="s">
        <v>408</v>
      </c>
      <c r="F36" s="1">
        <v>40</v>
      </c>
      <c r="G36" s="1">
        <v>40</v>
      </c>
      <c r="H36" s="1">
        <v>-1</v>
      </c>
      <c r="I36" s="1">
        <v>1</v>
      </c>
      <c r="J36" t="s">
        <v>25</v>
      </c>
      <c r="K36" t="s">
        <v>691</v>
      </c>
      <c r="L36" t="s">
        <v>3</v>
      </c>
      <c r="M36" t="str">
        <f>VLOOKUP(A36,'Tableau single and bulk'!A:B,2,FALSE)</f>
        <v>NEBAUTO</v>
      </c>
    </row>
    <row r="37" spans="1:14">
      <c r="A37" s="5" t="s">
        <v>1073</v>
      </c>
      <c r="B37" s="1">
        <v>34998</v>
      </c>
      <c r="C37" t="s">
        <v>1072</v>
      </c>
      <c r="D37" t="s">
        <v>408</v>
      </c>
      <c r="E37" t="s">
        <v>408</v>
      </c>
      <c r="F37" s="1">
        <v>1</v>
      </c>
      <c r="G37" s="1">
        <v>1</v>
      </c>
      <c r="H37" s="1">
        <v>0</v>
      </c>
      <c r="I37" s="1">
        <v>0</v>
      </c>
      <c r="J37" t="s">
        <v>24</v>
      </c>
      <c r="K37" t="s">
        <v>1073</v>
      </c>
      <c r="L37" t="s">
        <v>3</v>
      </c>
      <c r="M37" t="str">
        <f>VLOOKUP(A37,'Tableau single and bulk'!A:B,2,FALSE)</f>
        <v>NEBAUTO</v>
      </c>
    </row>
    <row r="38" spans="1:14">
      <c r="A38" s="5" t="s">
        <v>893</v>
      </c>
      <c r="B38" s="1">
        <v>34934</v>
      </c>
      <c r="C38" t="s">
        <v>892</v>
      </c>
      <c r="D38" t="s">
        <v>191</v>
      </c>
      <c r="E38" t="s">
        <v>191</v>
      </c>
      <c r="F38" s="1">
        <v>48</v>
      </c>
      <c r="G38" s="1">
        <v>48</v>
      </c>
      <c r="H38" s="1">
        <v>0</v>
      </c>
      <c r="I38" s="1">
        <v>0</v>
      </c>
      <c r="J38" t="s">
        <v>33</v>
      </c>
      <c r="K38" t="s">
        <v>893</v>
      </c>
      <c r="L38" t="s">
        <v>3</v>
      </c>
      <c r="M38" t="e">
        <f>VLOOKUP(A38,'Tableau single and bulk'!A:B,2,FALSE)</f>
        <v>#N/A</v>
      </c>
      <c r="N38" t="s">
        <v>10476</v>
      </c>
    </row>
    <row r="39" spans="1:14">
      <c r="A39" s="5" t="s">
        <v>1016</v>
      </c>
      <c r="B39" s="1">
        <v>34973</v>
      </c>
      <c r="C39" t="s">
        <v>1015</v>
      </c>
      <c r="D39" t="s">
        <v>408</v>
      </c>
      <c r="E39" t="s">
        <v>408</v>
      </c>
      <c r="F39" s="1">
        <v>1</v>
      </c>
      <c r="G39" s="1">
        <v>1</v>
      </c>
      <c r="H39" s="1">
        <v>0</v>
      </c>
      <c r="I39" s="1">
        <v>0</v>
      </c>
      <c r="J39" t="s">
        <v>33</v>
      </c>
      <c r="K39" t="s">
        <v>1016</v>
      </c>
      <c r="L39" t="s">
        <v>3</v>
      </c>
      <c r="M39" t="str">
        <f>VLOOKUP(A39,'Tableau single and bulk'!A:B,2,FALSE)</f>
        <v>NEBAUTO</v>
      </c>
    </row>
    <row r="40" spans="1:14">
      <c r="A40" s="5" t="s">
        <v>415</v>
      </c>
      <c r="B40" s="1">
        <v>34997</v>
      </c>
      <c r="C40" t="s">
        <v>414</v>
      </c>
      <c r="D40" t="s">
        <v>408</v>
      </c>
      <c r="E40" t="s">
        <v>408</v>
      </c>
      <c r="F40" s="1">
        <v>13</v>
      </c>
      <c r="G40" s="1">
        <v>13</v>
      </c>
      <c r="H40" s="1">
        <v>-12</v>
      </c>
      <c r="I40" s="1">
        <v>12</v>
      </c>
      <c r="J40" t="s">
        <v>25</v>
      </c>
      <c r="K40" t="s">
        <v>415</v>
      </c>
      <c r="L40" t="s">
        <v>3</v>
      </c>
      <c r="M40" t="str">
        <f>VLOOKUP(A40,'Tableau single and bulk'!A:B,2,FALSE)</f>
        <v>NEBAUTO</v>
      </c>
    </row>
    <row r="41" spans="1:14">
      <c r="A41" s="5" t="s">
        <v>693</v>
      </c>
      <c r="B41" s="1">
        <v>35006</v>
      </c>
      <c r="C41" t="s">
        <v>692</v>
      </c>
      <c r="D41" t="s">
        <v>408</v>
      </c>
      <c r="E41" t="s">
        <v>408</v>
      </c>
      <c r="F41" s="1">
        <v>1</v>
      </c>
      <c r="G41" s="1">
        <v>1</v>
      </c>
      <c r="H41" s="1">
        <v>0</v>
      </c>
      <c r="I41" s="1">
        <v>0</v>
      </c>
      <c r="J41" t="s">
        <v>18</v>
      </c>
      <c r="K41" t="s">
        <v>693</v>
      </c>
      <c r="L41" t="s">
        <v>3</v>
      </c>
      <c r="M41" t="str">
        <f>VLOOKUP(A41,'Tableau single and bulk'!A:B,2,FALSE)</f>
        <v>NEBAUTO</v>
      </c>
    </row>
    <row r="42" spans="1:14">
      <c r="A42" s="5" t="s">
        <v>409</v>
      </c>
      <c r="B42" s="1">
        <v>34968</v>
      </c>
      <c r="C42" t="s">
        <v>407</v>
      </c>
      <c r="D42" t="s">
        <v>408</v>
      </c>
      <c r="E42" t="s">
        <v>408</v>
      </c>
      <c r="F42" s="1">
        <v>1</v>
      </c>
      <c r="G42" s="1">
        <v>1</v>
      </c>
      <c r="H42" s="1">
        <v>0</v>
      </c>
      <c r="I42" s="1">
        <v>0</v>
      </c>
      <c r="J42" t="s">
        <v>12</v>
      </c>
      <c r="K42" t="s">
        <v>409</v>
      </c>
      <c r="L42" t="s">
        <v>3</v>
      </c>
      <c r="M42" t="str">
        <f>VLOOKUP(A42,'Tableau single and bulk'!A:B,2,FALSE)</f>
        <v>NEBAUTO</v>
      </c>
    </row>
    <row r="43" spans="1:14">
      <c r="A43" s="5" t="s">
        <v>667</v>
      </c>
      <c r="B43" s="1">
        <v>35023</v>
      </c>
      <c r="C43" t="s">
        <v>398</v>
      </c>
      <c r="D43" t="s">
        <v>27</v>
      </c>
      <c r="E43" t="s">
        <v>27</v>
      </c>
      <c r="F43" s="1">
        <v>31</v>
      </c>
      <c r="G43" s="1">
        <v>31</v>
      </c>
      <c r="H43" s="1">
        <v>0</v>
      </c>
      <c r="I43" s="1">
        <v>0</v>
      </c>
      <c r="J43" t="s">
        <v>12</v>
      </c>
      <c r="K43" t="s">
        <v>667</v>
      </c>
      <c r="L43" t="s">
        <v>3</v>
      </c>
      <c r="M43" t="str">
        <f>VLOOKUP(A43,'Tableau single and bulk'!A:B,2,FALSE)</f>
        <v>NEBAUTO</v>
      </c>
    </row>
    <row r="44" spans="1:14">
      <c r="A44" s="5" t="s">
        <v>419</v>
      </c>
      <c r="B44" s="1">
        <v>35012</v>
      </c>
      <c r="C44" t="s">
        <v>418</v>
      </c>
      <c r="D44" t="s">
        <v>27</v>
      </c>
      <c r="E44" t="s">
        <v>27</v>
      </c>
      <c r="F44" s="1">
        <v>3</v>
      </c>
      <c r="G44" s="1">
        <v>3</v>
      </c>
      <c r="H44" s="1">
        <v>-1</v>
      </c>
      <c r="I44" s="1">
        <v>1</v>
      </c>
      <c r="J44" t="s">
        <v>18</v>
      </c>
      <c r="K44" t="s">
        <v>419</v>
      </c>
      <c r="L44" t="s">
        <v>3</v>
      </c>
      <c r="M44" t="str">
        <f>VLOOKUP(A44,'Tableau single and bulk'!A:B,2,FALSE)</f>
        <v>NEBAUTO</v>
      </c>
    </row>
    <row r="45" spans="1:14">
      <c r="A45" s="5" t="s">
        <v>425</v>
      </c>
      <c r="B45" s="1">
        <v>35019</v>
      </c>
      <c r="C45" t="s">
        <v>424</v>
      </c>
      <c r="D45" t="s">
        <v>27</v>
      </c>
      <c r="E45" t="s">
        <v>27</v>
      </c>
      <c r="F45" s="1">
        <v>4</v>
      </c>
      <c r="G45" s="1">
        <v>4</v>
      </c>
      <c r="H45" s="1">
        <v>0</v>
      </c>
      <c r="I45" s="1">
        <v>0</v>
      </c>
      <c r="J45" t="s">
        <v>25</v>
      </c>
      <c r="K45" t="s">
        <v>425</v>
      </c>
      <c r="L45" t="s">
        <v>3</v>
      </c>
      <c r="M45" t="str">
        <f>VLOOKUP(A45,'Tableau single and bulk'!A:B,2,FALSE)</f>
        <v>NEBAUTO</v>
      </c>
    </row>
    <row r="46" spans="1:14">
      <c r="A46" s="5" t="s">
        <v>775</v>
      </c>
      <c r="B46" s="1">
        <v>34911</v>
      </c>
      <c r="C46" t="s">
        <v>774</v>
      </c>
      <c r="D46" t="s">
        <v>183</v>
      </c>
      <c r="E46" t="s">
        <v>183</v>
      </c>
      <c r="F46" s="1">
        <v>3</v>
      </c>
      <c r="G46" s="1">
        <v>3</v>
      </c>
      <c r="H46" s="1">
        <v>0</v>
      </c>
      <c r="I46" s="1">
        <v>0</v>
      </c>
      <c r="J46" t="s">
        <v>18</v>
      </c>
      <c r="K46" t="s">
        <v>775</v>
      </c>
      <c r="L46" t="s">
        <v>3</v>
      </c>
      <c r="M46" t="str">
        <f>VLOOKUP(A46,'Tableau single and bulk'!A:B,2,FALSE)</f>
        <v>NEBAUTO</v>
      </c>
    </row>
    <row r="47" spans="1:14">
      <c r="A47" s="5" t="s">
        <v>1090</v>
      </c>
      <c r="B47" s="1">
        <v>35032</v>
      </c>
      <c r="C47" t="s">
        <v>1089</v>
      </c>
      <c r="D47" t="s">
        <v>27</v>
      </c>
      <c r="E47" t="s">
        <v>27</v>
      </c>
      <c r="F47" s="1">
        <v>27</v>
      </c>
      <c r="G47" s="1">
        <v>27</v>
      </c>
      <c r="H47" s="1">
        <v>-1</v>
      </c>
      <c r="I47" s="1">
        <v>1</v>
      </c>
      <c r="J47" t="s">
        <v>28</v>
      </c>
      <c r="K47" t="s">
        <v>1090</v>
      </c>
      <c r="L47" t="s">
        <v>3</v>
      </c>
      <c r="M47" t="str">
        <f>VLOOKUP(A47,'Tableau single and bulk'!A:B,2,FALSE)</f>
        <v>NEBAUTO</v>
      </c>
    </row>
    <row r="48" spans="1:14">
      <c r="A48" s="5" t="s">
        <v>666</v>
      </c>
      <c r="B48" s="1">
        <v>35020</v>
      </c>
      <c r="C48" t="s">
        <v>665</v>
      </c>
      <c r="D48" t="s">
        <v>27</v>
      </c>
      <c r="E48" t="s">
        <v>27</v>
      </c>
      <c r="F48" s="1">
        <v>1</v>
      </c>
      <c r="G48" s="1">
        <v>1</v>
      </c>
      <c r="H48" s="1">
        <v>0</v>
      </c>
      <c r="I48" s="1">
        <v>0</v>
      </c>
      <c r="J48" t="s">
        <v>18</v>
      </c>
      <c r="K48" t="s">
        <v>666</v>
      </c>
      <c r="L48" t="s">
        <v>3</v>
      </c>
      <c r="M48" t="str">
        <f>VLOOKUP(A48,'Tableau single and bulk'!A:B,2,FALSE)</f>
        <v>NEBAUTO</v>
      </c>
    </row>
    <row r="49" spans="1:13">
      <c r="A49" s="5" t="s">
        <v>702</v>
      </c>
      <c r="B49" s="1">
        <v>35039</v>
      </c>
      <c r="C49" t="s">
        <v>701</v>
      </c>
      <c r="D49" t="s">
        <v>27</v>
      </c>
      <c r="E49" t="s">
        <v>27</v>
      </c>
      <c r="F49" s="1">
        <v>7</v>
      </c>
      <c r="G49" s="1">
        <v>7</v>
      </c>
      <c r="H49" s="1">
        <v>-3</v>
      </c>
      <c r="I49" s="1">
        <v>3</v>
      </c>
      <c r="J49" t="s">
        <v>24</v>
      </c>
      <c r="K49" t="s">
        <v>702</v>
      </c>
      <c r="L49" t="s">
        <v>3</v>
      </c>
      <c r="M49" t="str">
        <f>VLOOKUP(A49,'Tableau single and bulk'!A:B,2,FALSE)</f>
        <v>NEBAUTO</v>
      </c>
    </row>
    <row r="50" spans="1:13">
      <c r="A50" s="5" t="s">
        <v>411</v>
      </c>
      <c r="B50" s="1">
        <v>34970</v>
      </c>
      <c r="C50" t="s">
        <v>410</v>
      </c>
      <c r="D50" t="s">
        <v>408</v>
      </c>
      <c r="E50" t="s">
        <v>408</v>
      </c>
      <c r="F50" s="1">
        <v>1</v>
      </c>
      <c r="G50" s="1">
        <v>1</v>
      </c>
      <c r="H50" s="1">
        <v>0</v>
      </c>
      <c r="I50" s="1">
        <v>0</v>
      </c>
      <c r="J50" t="s">
        <v>12</v>
      </c>
      <c r="K50" t="s">
        <v>411</v>
      </c>
      <c r="L50" t="s">
        <v>3</v>
      </c>
      <c r="M50" t="str">
        <f>VLOOKUP(A50,'Tableau single and bulk'!A:B,2,FALSE)</f>
        <v>NEBAUTO</v>
      </c>
    </row>
    <row r="51" spans="1:13">
      <c r="A51" s="5" t="s">
        <v>664</v>
      </c>
      <c r="B51" s="1">
        <v>35018</v>
      </c>
      <c r="C51" t="s">
        <v>663</v>
      </c>
      <c r="D51" t="s">
        <v>27</v>
      </c>
      <c r="E51" t="s">
        <v>27</v>
      </c>
      <c r="F51" s="1">
        <v>1</v>
      </c>
      <c r="G51" s="1">
        <v>1</v>
      </c>
      <c r="H51" s="1">
        <v>0</v>
      </c>
      <c r="I51" s="1">
        <v>0</v>
      </c>
      <c r="J51" t="s">
        <v>18</v>
      </c>
      <c r="K51" t="s">
        <v>664</v>
      </c>
      <c r="L51" t="s">
        <v>3</v>
      </c>
      <c r="M51" t="str">
        <f>VLOOKUP(A51,'Tableau single and bulk'!A:B,2,FALSE)</f>
        <v>NEBAUTO</v>
      </c>
    </row>
    <row r="52" spans="1:13">
      <c r="A52" s="5" t="s">
        <v>421</v>
      </c>
      <c r="B52" s="1">
        <v>35013</v>
      </c>
      <c r="C52" t="s">
        <v>420</v>
      </c>
      <c r="D52" t="s">
        <v>27</v>
      </c>
      <c r="E52" t="s">
        <v>27</v>
      </c>
      <c r="F52" s="1">
        <v>8</v>
      </c>
      <c r="G52" s="1">
        <v>8</v>
      </c>
      <c r="H52" s="1">
        <v>0</v>
      </c>
      <c r="I52" s="1">
        <v>0</v>
      </c>
      <c r="J52" t="s">
        <v>18</v>
      </c>
      <c r="K52" t="s">
        <v>421</v>
      </c>
      <c r="L52" t="s">
        <v>3</v>
      </c>
      <c r="M52" t="str">
        <f>VLOOKUP(A52,'Tableau single and bulk'!A:B,2,FALSE)</f>
        <v>NEBAUTO</v>
      </c>
    </row>
    <row r="53" spans="1:13">
      <c r="A53" s="5" t="s">
        <v>698</v>
      </c>
      <c r="B53" s="1">
        <v>35036</v>
      </c>
      <c r="C53" t="s">
        <v>385</v>
      </c>
      <c r="D53" t="s">
        <v>27</v>
      </c>
      <c r="E53" t="s">
        <v>27</v>
      </c>
      <c r="F53" s="1">
        <v>2</v>
      </c>
      <c r="G53" s="1">
        <v>2</v>
      </c>
      <c r="H53" s="1">
        <v>0</v>
      </c>
      <c r="I53" s="1">
        <v>0</v>
      </c>
      <c r="J53" t="s">
        <v>12</v>
      </c>
      <c r="K53" t="s">
        <v>698</v>
      </c>
      <c r="L53" t="s">
        <v>3</v>
      </c>
      <c r="M53" t="str">
        <f>VLOOKUP(A53,'Tableau single and bulk'!A:B,2,FALSE)</f>
        <v>NEBAUTO</v>
      </c>
    </row>
    <row r="54" spans="1:13">
      <c r="A54" s="5" t="s">
        <v>891</v>
      </c>
      <c r="B54" s="1">
        <v>34933</v>
      </c>
      <c r="C54" t="s">
        <v>890</v>
      </c>
      <c r="D54" t="s">
        <v>191</v>
      </c>
      <c r="E54" t="s">
        <v>191</v>
      </c>
      <c r="F54" s="1">
        <v>3</v>
      </c>
      <c r="G54" s="1">
        <v>3</v>
      </c>
      <c r="H54" s="1">
        <v>0</v>
      </c>
      <c r="I54" s="1">
        <v>0</v>
      </c>
      <c r="J54" t="s">
        <v>25</v>
      </c>
      <c r="K54" t="s">
        <v>891</v>
      </c>
      <c r="L54" t="s">
        <v>3</v>
      </c>
      <c r="M54" t="str">
        <f>VLOOKUP(A54,'Tableau single and bulk'!A:B,2,FALSE)</f>
        <v>NEBAUTO</v>
      </c>
    </row>
    <row r="55" spans="1:13">
      <c r="A55" s="5" t="s">
        <v>783</v>
      </c>
      <c r="B55" s="1">
        <v>35048</v>
      </c>
      <c r="C55" t="s">
        <v>782</v>
      </c>
      <c r="D55" t="s">
        <v>27</v>
      </c>
      <c r="E55" t="s">
        <v>27</v>
      </c>
      <c r="F55" s="1">
        <v>1</v>
      </c>
      <c r="G55" s="1">
        <v>1</v>
      </c>
      <c r="H55" s="1">
        <v>0</v>
      </c>
      <c r="I55" s="1">
        <v>0</v>
      </c>
      <c r="J55" t="s">
        <v>24</v>
      </c>
      <c r="K55" t="s">
        <v>783</v>
      </c>
      <c r="L55" t="s">
        <v>3</v>
      </c>
      <c r="M55" t="str">
        <f>VLOOKUP(A55,'Tableau single and bulk'!A:B,2,FALSE)</f>
        <v>NEBAUTO</v>
      </c>
    </row>
    <row r="56" spans="1:13">
      <c r="A56" s="5" t="s">
        <v>660</v>
      </c>
      <c r="B56" s="1">
        <v>35005</v>
      </c>
      <c r="C56" t="s">
        <v>659</v>
      </c>
      <c r="D56" t="s">
        <v>408</v>
      </c>
      <c r="E56" t="s">
        <v>408</v>
      </c>
      <c r="F56" s="1">
        <v>1</v>
      </c>
      <c r="G56" s="1">
        <v>1</v>
      </c>
      <c r="H56" s="1">
        <v>0</v>
      </c>
      <c r="I56" s="1">
        <v>0</v>
      </c>
      <c r="J56" t="s">
        <v>25</v>
      </c>
      <c r="K56" t="s">
        <v>660</v>
      </c>
      <c r="L56" t="s">
        <v>3</v>
      </c>
      <c r="M56" t="str">
        <f>VLOOKUP(A56,'Tableau single and bulk'!A:B,2,FALSE)</f>
        <v>NEBAUTO</v>
      </c>
    </row>
    <row r="57" spans="1:13">
      <c r="A57" s="5" t="s">
        <v>29</v>
      </c>
      <c r="B57" s="1">
        <v>35040</v>
      </c>
      <c r="C57" t="s">
        <v>26</v>
      </c>
      <c r="D57" t="s">
        <v>27</v>
      </c>
      <c r="E57" t="s">
        <v>27</v>
      </c>
      <c r="F57" s="1">
        <v>1</v>
      </c>
      <c r="G57" s="1">
        <v>1</v>
      </c>
      <c r="H57" s="1">
        <v>0</v>
      </c>
      <c r="I57" s="1">
        <v>0</v>
      </c>
      <c r="J57" t="s">
        <v>28</v>
      </c>
      <c r="K57" t="s">
        <v>29</v>
      </c>
      <c r="L57" t="s">
        <v>3</v>
      </c>
      <c r="M57" t="str">
        <f>VLOOKUP(A57,'Tableau single and bulk'!A:B,2,FALSE)</f>
        <v>NEBAUTO</v>
      </c>
    </row>
    <row r="58" spans="1:13">
      <c r="A58" s="5" t="s">
        <v>31</v>
      </c>
      <c r="B58" s="1">
        <v>35041</v>
      </c>
      <c r="C58" t="s">
        <v>30</v>
      </c>
      <c r="D58" t="s">
        <v>27</v>
      </c>
      <c r="E58" t="s">
        <v>27</v>
      </c>
      <c r="F58" s="1">
        <v>1</v>
      </c>
      <c r="G58" s="1">
        <v>1</v>
      </c>
      <c r="H58" s="1">
        <v>0</v>
      </c>
      <c r="I58" s="1">
        <v>0</v>
      </c>
      <c r="J58" t="s">
        <v>28</v>
      </c>
      <c r="K58" t="s">
        <v>31</v>
      </c>
      <c r="L58" t="s">
        <v>3</v>
      </c>
      <c r="M58" t="str">
        <f>VLOOKUP(A58,'Tableau single and bulk'!A:B,2,FALSE)</f>
        <v>NEBAUTO</v>
      </c>
    </row>
    <row r="59" spans="1:13">
      <c r="A59" s="5" t="s">
        <v>417</v>
      </c>
      <c r="B59" s="1">
        <v>35011</v>
      </c>
      <c r="C59" t="s">
        <v>416</v>
      </c>
      <c r="D59" t="s">
        <v>408</v>
      </c>
      <c r="E59" t="s">
        <v>408</v>
      </c>
      <c r="F59" s="1">
        <v>1</v>
      </c>
      <c r="G59" s="1">
        <v>1</v>
      </c>
      <c r="H59" s="1">
        <v>0</v>
      </c>
      <c r="I59" s="1">
        <v>0</v>
      </c>
      <c r="J59" t="s">
        <v>25</v>
      </c>
      <c r="K59" t="s">
        <v>417</v>
      </c>
      <c r="L59" t="s">
        <v>3</v>
      </c>
      <c r="M59" t="str">
        <f>VLOOKUP(A59,'Tableau single and bulk'!A:B,2,FALSE)</f>
        <v>NEBAUTO</v>
      </c>
    </row>
    <row r="60" spans="1:13">
      <c r="A60" s="5" t="s">
        <v>636</v>
      </c>
      <c r="B60" s="1">
        <v>34972</v>
      </c>
      <c r="C60" t="s">
        <v>635</v>
      </c>
      <c r="D60" t="s">
        <v>408</v>
      </c>
      <c r="E60" t="s">
        <v>408</v>
      </c>
      <c r="F60" s="1">
        <v>5</v>
      </c>
      <c r="G60" s="1">
        <v>5</v>
      </c>
      <c r="H60" s="1">
        <v>0</v>
      </c>
      <c r="I60" s="1">
        <v>0</v>
      </c>
      <c r="J60" t="s">
        <v>12</v>
      </c>
      <c r="K60" t="s">
        <v>636</v>
      </c>
      <c r="L60" t="s">
        <v>3</v>
      </c>
      <c r="M60" t="str">
        <f>VLOOKUP(A60,'Tableau single and bulk'!A:B,2,FALSE)</f>
        <v>NEBAUTO</v>
      </c>
    </row>
    <row r="61" spans="1:13">
      <c r="A61" s="5" t="s">
        <v>656</v>
      </c>
      <c r="B61" s="1">
        <v>34994</v>
      </c>
      <c r="C61" t="s">
        <v>655</v>
      </c>
      <c r="D61" t="s">
        <v>408</v>
      </c>
      <c r="E61" t="s">
        <v>408</v>
      </c>
      <c r="F61" s="1">
        <v>2</v>
      </c>
      <c r="G61" s="1">
        <v>2</v>
      </c>
      <c r="H61" s="1">
        <v>0</v>
      </c>
      <c r="I61" s="1">
        <v>0</v>
      </c>
      <c r="J61" t="s">
        <v>25</v>
      </c>
      <c r="K61" t="s">
        <v>656</v>
      </c>
      <c r="L61" t="s">
        <v>3</v>
      </c>
      <c r="M61" t="str">
        <f>VLOOKUP(A61,'Tableau single and bulk'!A:B,2,FALSE)</f>
        <v>NEBAUTO</v>
      </c>
    </row>
    <row r="62" spans="1:13">
      <c r="A62" s="5" t="s">
        <v>128</v>
      </c>
      <c r="B62" s="1">
        <v>35294</v>
      </c>
      <c r="C62" t="s">
        <v>127</v>
      </c>
      <c r="D62" t="s">
        <v>110</v>
      </c>
      <c r="E62" t="s">
        <v>110</v>
      </c>
      <c r="F62" s="1">
        <v>2</v>
      </c>
      <c r="G62" s="1">
        <v>2</v>
      </c>
      <c r="H62" s="1">
        <v>0</v>
      </c>
      <c r="I62" s="1">
        <v>0</v>
      </c>
      <c r="J62" t="s">
        <v>33</v>
      </c>
      <c r="K62" t="s">
        <v>128</v>
      </c>
      <c r="L62" t="s">
        <v>3</v>
      </c>
      <c r="M62" t="str">
        <f>VLOOKUP(A62,'Tableau single and bulk'!A:B,2,FALSE)</f>
        <v>NEBAUTO</v>
      </c>
    </row>
    <row r="63" spans="1:13">
      <c r="A63" s="5" t="s">
        <v>1021</v>
      </c>
      <c r="B63" s="1">
        <v>35027</v>
      </c>
      <c r="C63" t="s">
        <v>308</v>
      </c>
      <c r="D63" t="s">
        <v>27</v>
      </c>
      <c r="E63" t="s">
        <v>27</v>
      </c>
      <c r="F63" s="1">
        <v>11</v>
      </c>
      <c r="G63" s="1">
        <v>11</v>
      </c>
      <c r="H63" s="1">
        <v>0</v>
      </c>
      <c r="I63" s="1">
        <v>0</v>
      </c>
      <c r="J63" t="s">
        <v>12</v>
      </c>
      <c r="K63" t="s">
        <v>1021</v>
      </c>
      <c r="L63" t="s">
        <v>3</v>
      </c>
      <c r="M63" t="str">
        <f>VLOOKUP(A63,'Tableau single and bulk'!A:B,2,FALSE)</f>
        <v>NEBAUTO</v>
      </c>
    </row>
    <row r="64" spans="1:13">
      <c r="A64" s="5" t="s">
        <v>703</v>
      </c>
      <c r="B64" s="1">
        <v>35042</v>
      </c>
      <c r="C64" t="s">
        <v>26</v>
      </c>
      <c r="D64" t="s">
        <v>27</v>
      </c>
      <c r="E64" t="s">
        <v>27</v>
      </c>
      <c r="F64" s="1">
        <v>1</v>
      </c>
      <c r="G64" s="1">
        <v>1</v>
      </c>
      <c r="H64" s="1">
        <v>0</v>
      </c>
      <c r="I64" s="1">
        <v>0</v>
      </c>
      <c r="J64" t="s">
        <v>28</v>
      </c>
      <c r="K64" t="s">
        <v>703</v>
      </c>
      <c r="L64" t="s">
        <v>3</v>
      </c>
      <c r="M64" t="str">
        <f>VLOOKUP(A64,'Tableau single and bulk'!A:B,2,FALSE)</f>
        <v>NEBAUTO</v>
      </c>
    </row>
    <row r="65" spans="1:13">
      <c r="A65" s="5" t="s">
        <v>632</v>
      </c>
      <c r="B65" s="1">
        <v>34967</v>
      </c>
      <c r="C65" t="s">
        <v>631</v>
      </c>
      <c r="D65" t="s">
        <v>408</v>
      </c>
      <c r="E65" t="s">
        <v>408</v>
      </c>
      <c r="F65" s="1">
        <v>17</v>
      </c>
      <c r="G65" s="1">
        <v>17</v>
      </c>
      <c r="H65" s="1">
        <v>-6</v>
      </c>
      <c r="I65" s="1">
        <v>6</v>
      </c>
      <c r="J65" t="s">
        <v>25</v>
      </c>
      <c r="K65" t="s">
        <v>632</v>
      </c>
      <c r="L65" t="s">
        <v>3</v>
      </c>
      <c r="M65" t="str">
        <f>VLOOKUP(A65,'Tableau single and bulk'!A:B,2,FALSE)</f>
        <v>NEBAUTO</v>
      </c>
    </row>
    <row r="66" spans="1:13">
      <c r="A66" s="5" t="s">
        <v>429</v>
      </c>
      <c r="B66" s="1">
        <v>35030</v>
      </c>
      <c r="C66" t="s">
        <v>428</v>
      </c>
      <c r="D66" t="s">
        <v>27</v>
      </c>
      <c r="E66" t="s">
        <v>27</v>
      </c>
      <c r="F66" s="1">
        <v>3</v>
      </c>
      <c r="G66" s="1">
        <v>3</v>
      </c>
      <c r="H66" s="1">
        <v>0</v>
      </c>
      <c r="I66" s="1">
        <v>0</v>
      </c>
      <c r="J66" t="s">
        <v>18</v>
      </c>
      <c r="K66" t="s">
        <v>429</v>
      </c>
      <c r="L66" t="s">
        <v>3</v>
      </c>
      <c r="M66" t="str">
        <f>VLOOKUP(A66,'Tableau single and bulk'!A:B,2,FALSE)</f>
        <v>NEBAUTO</v>
      </c>
    </row>
    <row r="67" spans="1:13">
      <c r="A67" s="5" t="s">
        <v>927</v>
      </c>
      <c r="B67" s="1">
        <v>35081</v>
      </c>
      <c r="C67" t="s">
        <v>926</v>
      </c>
      <c r="D67" t="s">
        <v>39</v>
      </c>
      <c r="E67" t="s">
        <v>39</v>
      </c>
      <c r="F67" s="1">
        <v>4</v>
      </c>
      <c r="G67" s="1">
        <v>4</v>
      </c>
      <c r="H67" s="1">
        <v>0</v>
      </c>
      <c r="I67" s="1">
        <v>0</v>
      </c>
      <c r="J67" t="s">
        <v>25</v>
      </c>
      <c r="K67" t="s">
        <v>927</v>
      </c>
      <c r="L67" t="s">
        <v>3</v>
      </c>
      <c r="M67" t="str">
        <f>VLOOKUP(A67,'Tableau single and bulk'!A:B,2,FALSE)</f>
        <v>NEBAUTO</v>
      </c>
    </row>
    <row r="68" spans="1:13">
      <c r="A68" s="5" t="s">
        <v>196</v>
      </c>
      <c r="B68" s="1">
        <v>35015</v>
      </c>
      <c r="C68" t="s">
        <v>195</v>
      </c>
      <c r="D68" t="s">
        <v>27</v>
      </c>
      <c r="E68" t="s">
        <v>27</v>
      </c>
      <c r="F68" s="1">
        <v>10</v>
      </c>
      <c r="G68" s="1">
        <v>10</v>
      </c>
      <c r="H68" s="1">
        <v>0</v>
      </c>
      <c r="I68" s="1">
        <v>0</v>
      </c>
      <c r="J68" t="s">
        <v>33</v>
      </c>
      <c r="K68" t="s">
        <v>196</v>
      </c>
      <c r="L68" t="s">
        <v>3</v>
      </c>
      <c r="M68" t="str">
        <f>VLOOKUP(A68,'Tableau single and bulk'!A:B,2,FALSE)</f>
        <v>NEBAUTO</v>
      </c>
    </row>
    <row r="69" spans="1:13">
      <c r="A69" s="5" t="s">
        <v>902</v>
      </c>
      <c r="B69" s="1">
        <v>34958</v>
      </c>
      <c r="C69" t="s">
        <v>901</v>
      </c>
      <c r="D69" t="s">
        <v>191</v>
      </c>
      <c r="E69" t="s">
        <v>191</v>
      </c>
      <c r="F69" s="1">
        <v>99</v>
      </c>
      <c r="G69" s="1">
        <v>99</v>
      </c>
      <c r="H69" s="1">
        <v>0</v>
      </c>
      <c r="I69" s="1">
        <v>0</v>
      </c>
      <c r="J69" t="s">
        <v>33</v>
      </c>
      <c r="K69" t="s">
        <v>902</v>
      </c>
      <c r="L69" t="s">
        <v>3</v>
      </c>
      <c r="M69" t="str">
        <f>VLOOKUP(A69,'Tableau single and bulk'!A:B,2,FALSE)</f>
        <v>NEBAUTO</v>
      </c>
    </row>
    <row r="70" spans="1:13">
      <c r="A70" s="5" t="s">
        <v>925</v>
      </c>
      <c r="B70" s="1">
        <v>35078</v>
      </c>
      <c r="C70" t="s">
        <v>924</v>
      </c>
      <c r="D70" t="s">
        <v>39</v>
      </c>
      <c r="E70" t="s">
        <v>39</v>
      </c>
      <c r="F70" s="1">
        <v>5</v>
      </c>
      <c r="G70" s="1">
        <v>5</v>
      </c>
      <c r="H70" s="1">
        <v>-4</v>
      </c>
      <c r="I70" s="1">
        <v>4</v>
      </c>
      <c r="J70" t="s">
        <v>25</v>
      </c>
      <c r="K70" t="s">
        <v>925</v>
      </c>
      <c r="L70" t="s">
        <v>3</v>
      </c>
      <c r="M70" t="str">
        <f>VLOOKUP(A70,'Tableau single and bulk'!A:B,2,FALSE)</f>
        <v>NEBAUTO</v>
      </c>
    </row>
    <row r="71" spans="1:13">
      <c r="A71" s="5" t="s">
        <v>697</v>
      </c>
      <c r="B71" s="1">
        <v>35009</v>
      </c>
      <c r="C71" t="s">
        <v>696</v>
      </c>
      <c r="D71" t="s">
        <v>408</v>
      </c>
      <c r="E71" t="s">
        <v>408</v>
      </c>
      <c r="F71" s="1">
        <v>1</v>
      </c>
      <c r="G71" s="1">
        <v>1</v>
      </c>
      <c r="H71" s="1">
        <v>0</v>
      </c>
      <c r="I71" s="1">
        <v>0</v>
      </c>
      <c r="J71" t="s">
        <v>25</v>
      </c>
      <c r="K71" t="s">
        <v>697</v>
      </c>
      <c r="L71" t="s">
        <v>3</v>
      </c>
      <c r="M71" t="str">
        <f>VLOOKUP(A71,'Tableau single and bulk'!A:B,2,FALSE)</f>
        <v>NEBAUTO</v>
      </c>
    </row>
    <row r="72" spans="1:13">
      <c r="A72" s="5" t="s">
        <v>1269</v>
      </c>
      <c r="B72" s="1">
        <v>34921</v>
      </c>
      <c r="C72" t="s">
        <v>98</v>
      </c>
      <c r="D72" t="s">
        <v>183</v>
      </c>
      <c r="E72" t="s">
        <v>183</v>
      </c>
      <c r="F72" s="1">
        <v>1</v>
      </c>
      <c r="G72" s="1">
        <v>1</v>
      </c>
      <c r="H72" s="1">
        <v>0</v>
      </c>
      <c r="I72" s="1">
        <v>0</v>
      </c>
      <c r="J72" t="s">
        <v>18</v>
      </c>
      <c r="K72" t="s">
        <v>1269</v>
      </c>
      <c r="L72" t="s">
        <v>3</v>
      </c>
      <c r="M72" t="str">
        <f>VLOOKUP(A72,'Tableau single and bulk'!A:B,2,FALSE)</f>
        <v>NEBAUTO</v>
      </c>
    </row>
    <row r="73" spans="1:13">
      <c r="A73" s="5" t="s">
        <v>785</v>
      </c>
      <c r="B73" s="1">
        <v>35050</v>
      </c>
      <c r="C73" t="s">
        <v>784</v>
      </c>
      <c r="D73" t="s">
        <v>27</v>
      </c>
      <c r="E73" t="s">
        <v>27</v>
      </c>
      <c r="F73" s="1">
        <v>4</v>
      </c>
      <c r="G73" s="1">
        <v>4</v>
      </c>
      <c r="H73" s="1">
        <v>0</v>
      </c>
      <c r="I73" s="1">
        <v>0</v>
      </c>
      <c r="J73" t="s">
        <v>24</v>
      </c>
      <c r="K73" t="s">
        <v>785</v>
      </c>
      <c r="L73" t="s">
        <v>3</v>
      </c>
      <c r="M73" t="str">
        <f>VLOOKUP(A73,'Tableau single and bulk'!A:B,2,FALSE)</f>
        <v>NEBAUTO</v>
      </c>
    </row>
    <row r="74" spans="1:13">
      <c r="A74" s="5" t="s">
        <v>1014</v>
      </c>
      <c r="B74" s="1">
        <v>34928</v>
      </c>
      <c r="C74" t="s">
        <v>1013</v>
      </c>
      <c r="D74" t="s">
        <v>191</v>
      </c>
      <c r="E74" t="s">
        <v>191</v>
      </c>
      <c r="F74" s="1">
        <v>1</v>
      </c>
      <c r="G74" s="1">
        <v>1</v>
      </c>
      <c r="H74" s="1">
        <v>0</v>
      </c>
      <c r="I74" s="1">
        <v>0</v>
      </c>
      <c r="J74" t="s">
        <v>25</v>
      </c>
      <c r="K74" t="s">
        <v>1014</v>
      </c>
      <c r="L74" t="s">
        <v>3</v>
      </c>
      <c r="M74" t="str">
        <f>VLOOKUP(A74,'Tableau single and bulk'!A:B,2,FALSE)</f>
        <v>NEBAUTO</v>
      </c>
    </row>
    <row r="75" spans="1:13">
      <c r="A75" s="5" t="s">
        <v>1012</v>
      </c>
      <c r="B75" s="1">
        <v>34927</v>
      </c>
      <c r="C75" t="s">
        <v>1011</v>
      </c>
      <c r="D75" t="s">
        <v>191</v>
      </c>
      <c r="E75" t="s">
        <v>191</v>
      </c>
      <c r="F75" s="1">
        <v>4</v>
      </c>
      <c r="G75" s="1">
        <v>4</v>
      </c>
      <c r="H75" s="1">
        <v>0</v>
      </c>
      <c r="I75" s="1">
        <v>0</v>
      </c>
      <c r="J75" t="s">
        <v>25</v>
      </c>
      <c r="K75" t="s">
        <v>1012</v>
      </c>
      <c r="L75" t="s">
        <v>3</v>
      </c>
      <c r="M75" t="str">
        <f>VLOOKUP(A75,'Tableau single and bulk'!A:B,2,FALSE)</f>
        <v>NEBAUTO</v>
      </c>
    </row>
    <row r="76" spans="1:13">
      <c r="A76" s="5" t="s">
        <v>777</v>
      </c>
      <c r="B76" s="1">
        <v>34930</v>
      </c>
      <c r="C76" t="s">
        <v>776</v>
      </c>
      <c r="D76" t="s">
        <v>191</v>
      </c>
      <c r="E76" t="s">
        <v>191</v>
      </c>
      <c r="F76" s="1">
        <v>1</v>
      </c>
      <c r="G76" s="1">
        <v>1</v>
      </c>
      <c r="H76" s="1">
        <v>0</v>
      </c>
      <c r="I76" s="1">
        <v>0</v>
      </c>
      <c r="J76" t="s">
        <v>25</v>
      </c>
      <c r="K76" t="s">
        <v>777</v>
      </c>
      <c r="L76" t="s">
        <v>3</v>
      </c>
      <c r="M76" t="str">
        <f>VLOOKUP(A76,'Tableau single and bulk'!A:B,2,FALSE)</f>
        <v>NEBAUTO</v>
      </c>
    </row>
    <row r="77" spans="1:13">
      <c r="A77" s="5" t="s">
        <v>705</v>
      </c>
      <c r="B77" s="1">
        <v>35090</v>
      </c>
      <c r="C77" t="s">
        <v>704</v>
      </c>
      <c r="D77" t="s">
        <v>39</v>
      </c>
      <c r="E77" t="s">
        <v>39</v>
      </c>
      <c r="F77" s="1">
        <v>1</v>
      </c>
      <c r="G77" s="1">
        <v>1</v>
      </c>
      <c r="H77" s="1">
        <v>0</v>
      </c>
      <c r="I77" s="1">
        <v>0</v>
      </c>
      <c r="J77" t="s">
        <v>25</v>
      </c>
      <c r="K77" t="s">
        <v>705</v>
      </c>
      <c r="L77" t="s">
        <v>3</v>
      </c>
      <c r="M77" t="str">
        <f>VLOOKUP(A77,'Tableau single and bulk'!A:B,2,FALSE)</f>
        <v>NEBAUTO</v>
      </c>
    </row>
    <row r="78" spans="1:13">
      <c r="A78" s="5" t="s">
        <v>281</v>
      </c>
      <c r="B78" s="1">
        <v>35544</v>
      </c>
      <c r="C78" t="s">
        <v>280</v>
      </c>
      <c r="D78" t="s">
        <v>258</v>
      </c>
      <c r="E78" t="s">
        <v>258</v>
      </c>
      <c r="F78" s="1">
        <v>5</v>
      </c>
      <c r="G78" s="1">
        <v>5</v>
      </c>
      <c r="H78" s="1">
        <v>0</v>
      </c>
      <c r="I78" s="1">
        <v>0</v>
      </c>
      <c r="J78" t="s">
        <v>33</v>
      </c>
      <c r="K78" t="s">
        <v>281</v>
      </c>
      <c r="L78" t="s">
        <v>3</v>
      </c>
      <c r="M78" t="e">
        <f>VLOOKUP(A78,'Tableau single and bulk'!A:B,2,FALSE)</f>
        <v>#N/A</v>
      </c>
    </row>
    <row r="79" spans="1:13">
      <c r="A79" s="5" t="s">
        <v>433</v>
      </c>
      <c r="B79" s="1">
        <v>35052</v>
      </c>
      <c r="C79" t="s">
        <v>432</v>
      </c>
      <c r="D79" t="s">
        <v>39</v>
      </c>
      <c r="E79" t="s">
        <v>39</v>
      </c>
      <c r="F79" s="1">
        <v>1</v>
      </c>
      <c r="G79" s="1">
        <v>1</v>
      </c>
      <c r="H79" s="1">
        <v>0</v>
      </c>
      <c r="I79" s="1">
        <v>0</v>
      </c>
      <c r="J79" t="s">
        <v>25</v>
      </c>
      <c r="K79" t="s">
        <v>433</v>
      </c>
      <c r="L79" t="s">
        <v>3</v>
      </c>
      <c r="M79" t="str">
        <f>VLOOKUP(A79,'Tableau single and bulk'!A:B,2,FALSE)</f>
        <v>NEBAUTO</v>
      </c>
    </row>
    <row r="80" spans="1:13">
      <c r="A80" s="5" t="s">
        <v>638</v>
      </c>
      <c r="B80" s="1">
        <v>34975</v>
      </c>
      <c r="C80" t="s">
        <v>637</v>
      </c>
      <c r="D80" t="s">
        <v>408</v>
      </c>
      <c r="E80" t="s">
        <v>408</v>
      </c>
      <c r="F80" s="1">
        <v>7</v>
      </c>
      <c r="G80" s="1">
        <v>7</v>
      </c>
      <c r="H80" s="1">
        <v>-1</v>
      </c>
      <c r="I80" s="1">
        <v>1</v>
      </c>
      <c r="J80" t="s">
        <v>12</v>
      </c>
      <c r="K80" t="s">
        <v>638</v>
      </c>
      <c r="L80" t="s">
        <v>3</v>
      </c>
      <c r="M80" t="str">
        <f>VLOOKUP(A80,'Tableau single and bulk'!A:B,2,FALSE)</f>
        <v>NEBAUTO</v>
      </c>
    </row>
    <row r="81" spans="1:13">
      <c r="A81" s="5" t="s">
        <v>629</v>
      </c>
      <c r="B81" s="1">
        <v>34962</v>
      </c>
      <c r="C81" t="s">
        <v>628</v>
      </c>
      <c r="D81" t="s">
        <v>191</v>
      </c>
      <c r="E81" t="s">
        <v>191</v>
      </c>
      <c r="F81" s="1">
        <v>2</v>
      </c>
      <c r="G81" s="1">
        <v>2</v>
      </c>
      <c r="H81" s="1">
        <v>0</v>
      </c>
      <c r="I81" s="1">
        <v>0</v>
      </c>
      <c r="J81" t="s">
        <v>25</v>
      </c>
      <c r="K81" t="s">
        <v>629</v>
      </c>
      <c r="L81" t="s">
        <v>3</v>
      </c>
      <c r="M81" t="str">
        <f>VLOOKUP(A81,'Tableau single and bulk'!A:B,2,FALSE)</f>
        <v>NEBAUTO</v>
      </c>
    </row>
    <row r="82" spans="1:13">
      <c r="A82" s="5" t="s">
        <v>56</v>
      </c>
      <c r="B82" s="1">
        <v>35091</v>
      </c>
      <c r="C82" t="s">
        <v>55</v>
      </c>
      <c r="D82" t="s">
        <v>39</v>
      </c>
      <c r="E82" t="s">
        <v>39</v>
      </c>
      <c r="F82" s="1">
        <v>1</v>
      </c>
      <c r="G82" s="1">
        <v>1</v>
      </c>
      <c r="H82" s="1">
        <v>0</v>
      </c>
      <c r="I82" s="1">
        <v>0</v>
      </c>
      <c r="J82" t="s">
        <v>25</v>
      </c>
      <c r="K82" t="s">
        <v>56</v>
      </c>
      <c r="L82" t="s">
        <v>3</v>
      </c>
      <c r="M82" t="str">
        <f>VLOOKUP(A82,'Tableau single and bulk'!A:B,2,FALSE)</f>
        <v>NEBAUTO</v>
      </c>
    </row>
    <row r="83" spans="1:13">
      <c r="A83" s="5" t="s">
        <v>40</v>
      </c>
      <c r="B83" s="1">
        <v>35053</v>
      </c>
      <c r="C83" t="s">
        <v>38</v>
      </c>
      <c r="D83" t="s">
        <v>39</v>
      </c>
      <c r="E83" t="s">
        <v>39</v>
      </c>
      <c r="F83" s="1">
        <v>2</v>
      </c>
      <c r="G83" s="1">
        <v>2</v>
      </c>
      <c r="H83" s="1">
        <v>0</v>
      </c>
      <c r="I83" s="1">
        <v>0</v>
      </c>
      <c r="J83" t="s">
        <v>28</v>
      </c>
      <c r="K83" t="s">
        <v>40</v>
      </c>
      <c r="L83" t="s">
        <v>3</v>
      </c>
      <c r="M83" t="str">
        <f>VLOOKUP(A83,'Tableau single and bulk'!A:B,2,FALSE)</f>
        <v>NEBAUTO</v>
      </c>
    </row>
    <row r="84" spans="1:13">
      <c r="A84" s="5" t="s">
        <v>62</v>
      </c>
      <c r="B84" s="1">
        <v>35101</v>
      </c>
      <c r="C84" t="s">
        <v>38</v>
      </c>
      <c r="D84" t="s">
        <v>39</v>
      </c>
      <c r="E84" t="s">
        <v>39</v>
      </c>
      <c r="F84" s="1">
        <v>2</v>
      </c>
      <c r="G84" s="1">
        <v>2</v>
      </c>
      <c r="H84" s="1">
        <v>0</v>
      </c>
      <c r="I84" s="1">
        <v>0</v>
      </c>
      <c r="J84" t="s">
        <v>28</v>
      </c>
      <c r="K84" t="s">
        <v>62</v>
      </c>
      <c r="L84" t="s">
        <v>3</v>
      </c>
      <c r="M84" t="str">
        <f>VLOOKUP(A84,'Tableau single and bulk'!A:B,2,FALSE)</f>
        <v>NEBAUTO</v>
      </c>
    </row>
    <row r="85" spans="1:13">
      <c r="A85" s="5" t="s">
        <v>917</v>
      </c>
      <c r="B85" s="1">
        <v>35065</v>
      </c>
      <c r="C85" t="s">
        <v>916</v>
      </c>
      <c r="D85" t="s">
        <v>39</v>
      </c>
      <c r="E85" t="s">
        <v>39</v>
      </c>
      <c r="F85" s="1">
        <v>1</v>
      </c>
      <c r="G85" s="1">
        <v>1</v>
      </c>
      <c r="H85" s="1">
        <v>0</v>
      </c>
      <c r="I85" s="1">
        <v>0</v>
      </c>
      <c r="J85" t="s">
        <v>25</v>
      </c>
      <c r="K85" t="s">
        <v>917</v>
      </c>
      <c r="L85" t="s">
        <v>3</v>
      </c>
      <c r="M85" t="str">
        <f>VLOOKUP(A85,'Tableau single and bulk'!A:B,2,FALSE)</f>
        <v>NEBAUTO</v>
      </c>
    </row>
    <row r="86" spans="1:13">
      <c r="A86" s="5" t="s">
        <v>52</v>
      </c>
      <c r="B86" s="1">
        <v>35076</v>
      </c>
      <c r="C86" t="s">
        <v>51</v>
      </c>
      <c r="D86" t="s">
        <v>39</v>
      </c>
      <c r="E86" t="s">
        <v>39</v>
      </c>
      <c r="F86" s="1">
        <v>11</v>
      </c>
      <c r="G86" s="1">
        <v>11</v>
      </c>
      <c r="H86" s="1">
        <v>-10</v>
      </c>
      <c r="I86" s="1">
        <v>10</v>
      </c>
      <c r="J86" t="s">
        <v>25</v>
      </c>
      <c r="K86" t="s">
        <v>52</v>
      </c>
      <c r="L86" t="s">
        <v>3</v>
      </c>
      <c r="M86" t="str">
        <f>VLOOKUP(A86,'Tableau single and bulk'!A:B,2,FALSE)</f>
        <v>NEBAUTO</v>
      </c>
    </row>
    <row r="87" spans="1:13">
      <c r="A87" s="5" t="s">
        <v>625</v>
      </c>
      <c r="B87" s="1">
        <v>34945</v>
      </c>
      <c r="C87" t="s">
        <v>624</v>
      </c>
      <c r="D87" t="s">
        <v>191</v>
      </c>
      <c r="E87" t="s">
        <v>191</v>
      </c>
      <c r="F87" s="1">
        <v>12</v>
      </c>
      <c r="G87" s="1">
        <v>12</v>
      </c>
      <c r="H87" s="1">
        <v>0</v>
      </c>
      <c r="I87" s="1">
        <v>0</v>
      </c>
      <c r="J87" t="s">
        <v>25</v>
      </c>
      <c r="K87" t="s">
        <v>625</v>
      </c>
      <c r="L87" t="s">
        <v>3</v>
      </c>
      <c r="M87" t="str">
        <f>VLOOKUP(A87,'Tableau single and bulk'!A:B,2,FALSE)</f>
        <v>NEBAUTO</v>
      </c>
    </row>
    <row r="88" spans="1:13">
      <c r="A88" s="5" t="s">
        <v>900</v>
      </c>
      <c r="B88" s="1">
        <v>34955</v>
      </c>
      <c r="C88" t="s">
        <v>899</v>
      </c>
      <c r="D88" t="s">
        <v>191</v>
      </c>
      <c r="E88" t="s">
        <v>191</v>
      </c>
      <c r="F88" s="1">
        <v>4</v>
      </c>
      <c r="G88" s="1">
        <v>4</v>
      </c>
      <c r="H88" s="1">
        <v>-1</v>
      </c>
      <c r="I88" s="1">
        <v>1</v>
      </c>
      <c r="J88" t="s">
        <v>25</v>
      </c>
      <c r="K88" t="s">
        <v>900</v>
      </c>
      <c r="L88" t="s">
        <v>3</v>
      </c>
      <c r="M88" t="str">
        <f>VLOOKUP(A88,'Tableau single and bulk'!A:B,2,FALSE)</f>
        <v>NEBAUTO</v>
      </c>
    </row>
    <row r="89" spans="1:13">
      <c r="A89" s="5" t="s">
        <v>914</v>
      </c>
      <c r="B89" s="1">
        <v>35063</v>
      </c>
      <c r="C89" t="s">
        <v>913</v>
      </c>
      <c r="D89" t="s">
        <v>39</v>
      </c>
      <c r="E89" t="s">
        <v>39</v>
      </c>
      <c r="F89" s="1">
        <v>15</v>
      </c>
      <c r="G89" s="1">
        <v>15</v>
      </c>
      <c r="H89" s="1">
        <v>0</v>
      </c>
      <c r="I89" s="1">
        <v>0</v>
      </c>
      <c r="J89" t="s">
        <v>12</v>
      </c>
      <c r="K89" t="s">
        <v>914</v>
      </c>
      <c r="L89" t="s">
        <v>3</v>
      </c>
      <c r="M89" t="str">
        <f>VLOOKUP(A89,'Tableau single and bulk'!A:B,2,FALSE)</f>
        <v>NEBAUTO</v>
      </c>
    </row>
    <row r="90" spans="1:13">
      <c r="A90" s="5" t="s">
        <v>45</v>
      </c>
      <c r="B90" s="1">
        <v>35068</v>
      </c>
      <c r="C90" t="s">
        <v>22</v>
      </c>
      <c r="D90" t="s">
        <v>39</v>
      </c>
      <c r="E90" t="s">
        <v>39</v>
      </c>
      <c r="F90" s="1">
        <v>7</v>
      </c>
      <c r="G90" s="1">
        <v>7</v>
      </c>
      <c r="H90" s="1">
        <v>0</v>
      </c>
      <c r="I90" s="1">
        <v>0</v>
      </c>
      <c r="J90" t="s">
        <v>12</v>
      </c>
      <c r="K90" t="s">
        <v>45</v>
      </c>
      <c r="L90" t="s">
        <v>3</v>
      </c>
      <c r="M90" t="str">
        <f>VLOOKUP(A90,'Tableau single and bulk'!A:B,2,FALSE)</f>
        <v>NEBAUTO</v>
      </c>
    </row>
    <row r="91" spans="1:13">
      <c r="A91" s="5" t="s">
        <v>634</v>
      </c>
      <c r="B91" s="1">
        <v>34969</v>
      </c>
      <c r="C91" t="s">
        <v>633</v>
      </c>
      <c r="D91" t="s">
        <v>408</v>
      </c>
      <c r="E91" t="s">
        <v>408</v>
      </c>
      <c r="F91" s="1">
        <v>3</v>
      </c>
      <c r="G91" s="1">
        <v>3</v>
      </c>
      <c r="H91" s="1">
        <v>0</v>
      </c>
      <c r="I91" s="1">
        <v>0</v>
      </c>
      <c r="J91" t="s">
        <v>33</v>
      </c>
      <c r="K91" t="s">
        <v>634</v>
      </c>
      <c r="L91" t="s">
        <v>3</v>
      </c>
      <c r="M91" t="str">
        <f>VLOOKUP(A91,'Tableau single and bulk'!A:B,2,FALSE)</f>
        <v>NEBAUTO</v>
      </c>
    </row>
    <row r="92" spans="1:13">
      <c r="A92" s="5" t="s">
        <v>649</v>
      </c>
      <c r="B92" s="1">
        <v>34985</v>
      </c>
      <c r="C92" t="s">
        <v>648</v>
      </c>
      <c r="D92" t="s">
        <v>408</v>
      </c>
      <c r="E92" t="s">
        <v>408</v>
      </c>
      <c r="F92" s="1">
        <v>37</v>
      </c>
      <c r="G92" s="1">
        <v>37</v>
      </c>
      <c r="H92" s="1">
        <v>0</v>
      </c>
      <c r="I92" s="1">
        <v>0</v>
      </c>
      <c r="J92" t="s">
        <v>33</v>
      </c>
      <c r="K92" t="s">
        <v>649</v>
      </c>
      <c r="L92" t="s">
        <v>3</v>
      </c>
      <c r="M92" t="str">
        <f>VLOOKUP(A92,'Tableau single and bulk'!A:B,2,FALSE)</f>
        <v>NEBAUTO</v>
      </c>
    </row>
    <row r="93" spans="1:13">
      <c r="A93" s="5" t="s">
        <v>42</v>
      </c>
      <c r="B93" s="1">
        <v>35055</v>
      </c>
      <c r="C93" t="s">
        <v>41</v>
      </c>
      <c r="D93" t="s">
        <v>39</v>
      </c>
      <c r="E93" t="s">
        <v>39</v>
      </c>
      <c r="F93" s="1">
        <v>1</v>
      </c>
      <c r="G93" s="1">
        <v>1</v>
      </c>
      <c r="H93" s="1">
        <v>0</v>
      </c>
      <c r="I93" s="1">
        <v>0</v>
      </c>
      <c r="J93" t="s">
        <v>25</v>
      </c>
      <c r="K93" t="s">
        <v>42</v>
      </c>
      <c r="L93" t="s">
        <v>3</v>
      </c>
      <c r="M93" t="str">
        <f>VLOOKUP(A93,'Tableau single and bulk'!A:B,2,FALSE)</f>
        <v>NEBAUTO</v>
      </c>
    </row>
    <row r="94" spans="1:13">
      <c r="A94" s="5" t="s">
        <v>44</v>
      </c>
      <c r="B94" s="1">
        <v>35061</v>
      </c>
      <c r="C94" t="s">
        <v>43</v>
      </c>
      <c r="D94" t="s">
        <v>39</v>
      </c>
      <c r="E94" t="s">
        <v>39</v>
      </c>
      <c r="F94" s="1">
        <v>14</v>
      </c>
      <c r="G94" s="1">
        <v>14</v>
      </c>
      <c r="H94" s="1">
        <v>0</v>
      </c>
      <c r="I94" s="1">
        <v>0</v>
      </c>
      <c r="J94" t="s">
        <v>28</v>
      </c>
      <c r="K94" t="s">
        <v>44</v>
      </c>
      <c r="L94" t="s">
        <v>3</v>
      </c>
      <c r="M94" t="str">
        <f>VLOOKUP(A94,'Tableau single and bulk'!A:B,2,FALSE)</f>
        <v>NEBAUTO</v>
      </c>
    </row>
    <row r="95" spans="1:13">
      <c r="A95" s="5" t="s">
        <v>475</v>
      </c>
      <c r="B95" s="1">
        <v>35258</v>
      </c>
      <c r="C95" t="s">
        <v>131</v>
      </c>
      <c r="D95" t="s">
        <v>110</v>
      </c>
      <c r="E95" t="s">
        <v>110</v>
      </c>
      <c r="F95" s="1">
        <v>1</v>
      </c>
      <c r="G95" s="1">
        <v>1</v>
      </c>
      <c r="H95" s="1">
        <v>0</v>
      </c>
      <c r="I95" s="1">
        <v>0</v>
      </c>
      <c r="J95" t="s">
        <v>28</v>
      </c>
      <c r="K95" t="s">
        <v>475</v>
      </c>
      <c r="L95" t="s">
        <v>3</v>
      </c>
      <c r="M95" t="str">
        <f>VLOOKUP(A95,'Tableau single and bulk'!A:B,2,FALSE)</f>
        <v>NEBAUTO</v>
      </c>
    </row>
    <row r="96" spans="1:13">
      <c r="A96" s="5" t="s">
        <v>904</v>
      </c>
      <c r="B96" s="1">
        <v>34961</v>
      </c>
      <c r="C96" t="s">
        <v>903</v>
      </c>
      <c r="D96" t="s">
        <v>191</v>
      </c>
      <c r="E96" t="s">
        <v>191</v>
      </c>
      <c r="F96" s="1">
        <v>2</v>
      </c>
      <c r="G96" s="1">
        <v>2</v>
      </c>
      <c r="H96" s="1">
        <v>0</v>
      </c>
      <c r="I96" s="1">
        <v>0</v>
      </c>
      <c r="J96" t="s">
        <v>28</v>
      </c>
      <c r="K96" t="s">
        <v>904</v>
      </c>
      <c r="L96" t="s">
        <v>3</v>
      </c>
      <c r="M96" t="str">
        <f>VLOOKUP(A96,'Tableau single and bulk'!A:B,2,FALSE)</f>
        <v>NEBAUTO</v>
      </c>
    </row>
    <row r="97" spans="1:13">
      <c r="A97" s="5" t="s">
        <v>781</v>
      </c>
      <c r="B97" s="1">
        <v>34963</v>
      </c>
      <c r="C97" t="s">
        <v>780</v>
      </c>
      <c r="D97" t="s">
        <v>191</v>
      </c>
      <c r="E97" t="s">
        <v>191</v>
      </c>
      <c r="F97" s="1">
        <v>1</v>
      </c>
      <c r="G97" s="1">
        <v>1</v>
      </c>
      <c r="H97" s="1">
        <v>0</v>
      </c>
      <c r="I97" s="1">
        <v>0</v>
      </c>
      <c r="J97" t="s">
        <v>25</v>
      </c>
      <c r="K97" t="s">
        <v>781</v>
      </c>
      <c r="L97" t="s">
        <v>3</v>
      </c>
      <c r="M97" t="str">
        <f>VLOOKUP(A97,'Tableau single and bulk'!A:B,2,FALSE)</f>
        <v>NEBAUTO</v>
      </c>
    </row>
    <row r="98" spans="1:13">
      <c r="A98" s="5" t="s">
        <v>787</v>
      </c>
      <c r="B98" s="1">
        <v>35093</v>
      </c>
      <c r="C98" t="s">
        <v>786</v>
      </c>
      <c r="D98" t="s">
        <v>39</v>
      </c>
      <c r="E98" t="s">
        <v>39</v>
      </c>
      <c r="F98" s="1">
        <v>2</v>
      </c>
      <c r="G98" s="1">
        <v>2</v>
      </c>
      <c r="H98" s="1">
        <v>0</v>
      </c>
      <c r="I98" s="1">
        <v>0</v>
      </c>
      <c r="J98" t="s">
        <v>24</v>
      </c>
      <c r="K98" t="s">
        <v>787</v>
      </c>
      <c r="L98" t="s">
        <v>3</v>
      </c>
      <c r="M98" t="str">
        <f>VLOOKUP(A98,'Tableau single and bulk'!A:B,2,FALSE)</f>
        <v>NEBAUTO</v>
      </c>
    </row>
    <row r="99" spans="1:13">
      <c r="A99" s="5" t="s">
        <v>915</v>
      </c>
      <c r="B99" s="1">
        <v>35064</v>
      </c>
      <c r="C99" t="s">
        <v>67</v>
      </c>
      <c r="D99" t="s">
        <v>39</v>
      </c>
      <c r="E99" t="s">
        <v>39</v>
      </c>
      <c r="F99" s="1">
        <v>1</v>
      </c>
      <c r="G99" s="1">
        <v>1</v>
      </c>
      <c r="H99" s="1">
        <v>0</v>
      </c>
      <c r="I99" s="1">
        <v>0</v>
      </c>
      <c r="J99" t="s">
        <v>28</v>
      </c>
      <c r="K99" t="s">
        <v>915</v>
      </c>
      <c r="L99" t="s">
        <v>3</v>
      </c>
      <c r="M99" t="str">
        <f>VLOOKUP(A99,'Tableau single and bulk'!A:B,2,FALSE)</f>
        <v>NEBAUTO</v>
      </c>
    </row>
    <row r="100" spans="1:13">
      <c r="A100" s="5" t="s">
        <v>54</v>
      </c>
      <c r="B100" s="1">
        <v>35079</v>
      </c>
      <c r="C100" t="s">
        <v>53</v>
      </c>
      <c r="D100" t="s">
        <v>39</v>
      </c>
      <c r="E100" t="s">
        <v>39</v>
      </c>
      <c r="F100" s="1">
        <v>1</v>
      </c>
      <c r="G100" s="1">
        <v>1</v>
      </c>
      <c r="H100" s="1">
        <v>0</v>
      </c>
      <c r="I100" s="1">
        <v>0</v>
      </c>
      <c r="J100" t="s">
        <v>12</v>
      </c>
      <c r="K100" t="s">
        <v>54</v>
      </c>
      <c r="L100" t="s">
        <v>3</v>
      </c>
      <c r="M100" t="str">
        <f>VLOOKUP(A100,'Tableau single and bulk'!A:B,2,FALSE)</f>
        <v>NEBAUTO</v>
      </c>
    </row>
    <row r="101" spans="1:13">
      <c r="A101" s="5" t="s">
        <v>413</v>
      </c>
      <c r="B101" s="1">
        <v>34971</v>
      </c>
      <c r="C101" t="s">
        <v>412</v>
      </c>
      <c r="D101" t="s">
        <v>408</v>
      </c>
      <c r="E101" t="s">
        <v>408</v>
      </c>
      <c r="F101" s="1">
        <v>4</v>
      </c>
      <c r="G101" s="1">
        <v>4</v>
      </c>
      <c r="H101" s="1">
        <v>0</v>
      </c>
      <c r="I101" s="1">
        <v>0</v>
      </c>
      <c r="J101" t="s">
        <v>25</v>
      </c>
      <c r="K101" t="s">
        <v>413</v>
      </c>
      <c r="L101" t="s">
        <v>3</v>
      </c>
      <c r="M101" t="str">
        <f>VLOOKUP(A101,'Tableau single and bulk'!A:B,2,FALSE)</f>
        <v>NEBAUTO</v>
      </c>
    </row>
    <row r="102" spans="1:13">
      <c r="A102" s="5" t="s">
        <v>1018</v>
      </c>
      <c r="B102" s="1">
        <v>34974</v>
      </c>
      <c r="C102" t="s">
        <v>1017</v>
      </c>
      <c r="D102" t="s">
        <v>408</v>
      </c>
      <c r="E102" t="s">
        <v>408</v>
      </c>
      <c r="F102" s="1">
        <v>10</v>
      </c>
      <c r="G102" s="1">
        <v>10</v>
      </c>
      <c r="H102" s="1">
        <v>0</v>
      </c>
      <c r="I102" s="1">
        <v>0</v>
      </c>
      <c r="J102" t="s">
        <v>25</v>
      </c>
      <c r="K102" t="s">
        <v>1018</v>
      </c>
      <c r="L102" t="s">
        <v>3</v>
      </c>
      <c r="M102" t="str">
        <f>VLOOKUP(A102,'Tableau single and bulk'!A:B,2,FALSE)</f>
        <v>NEBAUTO</v>
      </c>
    </row>
    <row r="103" spans="1:13">
      <c r="A103" s="5" t="s">
        <v>640</v>
      </c>
      <c r="B103" s="1">
        <v>34976</v>
      </c>
      <c r="C103" t="s">
        <v>639</v>
      </c>
      <c r="D103" t="s">
        <v>408</v>
      </c>
      <c r="E103" t="s">
        <v>408</v>
      </c>
      <c r="F103" s="1">
        <v>1</v>
      </c>
      <c r="G103" s="1">
        <v>1</v>
      </c>
      <c r="H103" s="1">
        <v>0</v>
      </c>
      <c r="I103" s="1">
        <v>0</v>
      </c>
      <c r="J103" t="s">
        <v>28</v>
      </c>
      <c r="K103" t="s">
        <v>640</v>
      </c>
      <c r="L103" t="s">
        <v>3</v>
      </c>
      <c r="M103" t="str">
        <f>VLOOKUP(A103,'Tableau single and bulk'!A:B,2,FALSE)</f>
        <v>NEBAUTO</v>
      </c>
    </row>
    <row r="104" spans="1:13">
      <c r="A104" s="5" t="s">
        <v>643</v>
      </c>
      <c r="B104" s="1">
        <v>34979</v>
      </c>
      <c r="C104" t="s">
        <v>528</v>
      </c>
      <c r="D104" t="s">
        <v>408</v>
      </c>
      <c r="E104" t="s">
        <v>408</v>
      </c>
      <c r="F104" s="1">
        <v>1</v>
      </c>
      <c r="G104" s="1">
        <v>1</v>
      </c>
      <c r="H104" s="1">
        <v>0</v>
      </c>
      <c r="I104" s="1">
        <v>0</v>
      </c>
      <c r="J104" t="s">
        <v>33</v>
      </c>
      <c r="K104" t="s">
        <v>643</v>
      </c>
      <c r="L104" t="s">
        <v>3</v>
      </c>
      <c r="M104" t="str">
        <f>VLOOKUP(A104,'Tableau single and bulk'!A:B,2,FALSE)</f>
        <v>NEBAUTO</v>
      </c>
    </row>
    <row r="105" spans="1:13">
      <c r="A105" s="5" t="s">
        <v>1071</v>
      </c>
      <c r="B105" s="1">
        <v>34980</v>
      </c>
      <c r="C105" t="s">
        <v>1070</v>
      </c>
      <c r="D105" t="s">
        <v>408</v>
      </c>
      <c r="E105" t="s">
        <v>408</v>
      </c>
      <c r="F105" s="1">
        <v>2</v>
      </c>
      <c r="G105" s="1">
        <v>2</v>
      </c>
      <c r="H105" s="1">
        <v>-1</v>
      </c>
      <c r="I105" s="1">
        <v>1</v>
      </c>
      <c r="J105" t="s">
        <v>33</v>
      </c>
      <c r="K105" t="s">
        <v>1071</v>
      </c>
      <c r="L105" t="s">
        <v>3</v>
      </c>
      <c r="M105" t="str">
        <f>VLOOKUP(A105,'Tableau single and bulk'!A:B,2,FALSE)</f>
        <v>NEBAUTO</v>
      </c>
    </row>
    <row r="106" spans="1:13">
      <c r="A106" s="5" t="s">
        <v>936</v>
      </c>
      <c r="B106" s="1">
        <v>35084</v>
      </c>
      <c r="C106" t="s">
        <v>398</v>
      </c>
      <c r="D106" t="s">
        <v>39</v>
      </c>
      <c r="E106" t="s">
        <v>39</v>
      </c>
      <c r="F106" s="1">
        <v>14</v>
      </c>
      <c r="G106" s="1">
        <v>14</v>
      </c>
      <c r="H106" s="1">
        <v>0</v>
      </c>
      <c r="I106" s="1">
        <v>0</v>
      </c>
      <c r="J106" t="s">
        <v>12</v>
      </c>
      <c r="K106" t="s">
        <v>936</v>
      </c>
      <c r="L106" t="s">
        <v>3</v>
      </c>
      <c r="M106" t="str">
        <f>VLOOKUP(A106,'Tableau single and bulk'!A:B,2,FALSE)</f>
        <v>NEBAUTO</v>
      </c>
    </row>
    <row r="107" spans="1:13">
      <c r="A107" s="5" t="s">
        <v>906</v>
      </c>
      <c r="B107" s="1">
        <v>34991</v>
      </c>
      <c r="C107" t="s">
        <v>905</v>
      </c>
      <c r="D107" t="s">
        <v>408</v>
      </c>
      <c r="E107" t="s">
        <v>408</v>
      </c>
      <c r="F107" s="1">
        <v>14</v>
      </c>
      <c r="G107" s="1">
        <v>14</v>
      </c>
      <c r="H107" s="1">
        <v>-10</v>
      </c>
      <c r="I107" s="1">
        <v>10</v>
      </c>
      <c r="J107" t="s">
        <v>25</v>
      </c>
      <c r="K107" t="s">
        <v>906</v>
      </c>
      <c r="L107" t="s">
        <v>3</v>
      </c>
      <c r="M107" t="str">
        <f>VLOOKUP(A107,'Tableau single and bulk'!A:B,2,FALSE)</f>
        <v>NEBAUTO</v>
      </c>
    </row>
    <row r="108" spans="1:13">
      <c r="A108" s="5" t="s">
        <v>652</v>
      </c>
      <c r="B108" s="1">
        <v>34990</v>
      </c>
      <c r="C108" t="s">
        <v>639</v>
      </c>
      <c r="D108" t="s">
        <v>408</v>
      </c>
      <c r="E108" t="s">
        <v>408</v>
      </c>
      <c r="F108" s="1">
        <v>1</v>
      </c>
      <c r="G108" s="1">
        <v>1</v>
      </c>
      <c r="H108" s="1">
        <v>0</v>
      </c>
      <c r="I108" s="1">
        <v>0</v>
      </c>
      <c r="J108" t="s">
        <v>28</v>
      </c>
      <c r="K108" t="s">
        <v>652</v>
      </c>
      <c r="L108" t="s">
        <v>3</v>
      </c>
      <c r="M108" t="str">
        <f>VLOOKUP(A108,'Tableau single and bulk'!A:B,2,FALSE)</f>
        <v>NEBAUTO</v>
      </c>
    </row>
    <row r="109" spans="1:13">
      <c r="A109" s="5" t="s">
        <v>712</v>
      </c>
      <c r="B109" s="1">
        <v>35121</v>
      </c>
      <c r="C109" t="s">
        <v>711</v>
      </c>
      <c r="D109" t="s">
        <v>72</v>
      </c>
      <c r="E109" t="s">
        <v>72</v>
      </c>
      <c r="F109" s="1">
        <v>2</v>
      </c>
      <c r="G109" s="1">
        <v>2</v>
      </c>
      <c r="H109" s="1">
        <v>0</v>
      </c>
      <c r="I109" s="1">
        <v>0</v>
      </c>
      <c r="J109" t="s">
        <v>18</v>
      </c>
      <c r="K109" t="s">
        <v>712</v>
      </c>
      <c r="L109" t="s">
        <v>3</v>
      </c>
      <c r="M109" t="str">
        <f>VLOOKUP(A109,'Tableau single and bulk'!A:B,2,FALSE)</f>
        <v>NEBAUTO</v>
      </c>
    </row>
    <row r="110" spans="1:13">
      <c r="A110" s="5" t="s">
        <v>669</v>
      </c>
      <c r="B110" s="1">
        <v>35033</v>
      </c>
      <c r="C110" t="s">
        <v>668</v>
      </c>
      <c r="D110" t="s">
        <v>27</v>
      </c>
      <c r="E110" t="s">
        <v>27</v>
      </c>
      <c r="F110" s="1">
        <v>2</v>
      </c>
      <c r="G110" s="1">
        <v>2</v>
      </c>
      <c r="H110" s="1">
        <v>0</v>
      </c>
      <c r="I110" s="1">
        <v>0</v>
      </c>
      <c r="J110" t="s">
        <v>18</v>
      </c>
      <c r="K110" t="s">
        <v>669</v>
      </c>
      <c r="L110" t="s">
        <v>3</v>
      </c>
      <c r="M110" t="str">
        <f>VLOOKUP(A110,'Tableau single and bulk'!A:B,2,FALSE)</f>
        <v>NEBAUTO</v>
      </c>
    </row>
    <row r="111" spans="1:13">
      <c r="A111" s="5" t="s">
        <v>68</v>
      </c>
      <c r="B111" s="1">
        <v>35111</v>
      </c>
      <c r="C111" t="s">
        <v>67</v>
      </c>
      <c r="D111" t="s">
        <v>39</v>
      </c>
      <c r="E111" t="s">
        <v>39</v>
      </c>
      <c r="F111" s="1">
        <v>1</v>
      </c>
      <c r="G111" s="1">
        <v>1</v>
      </c>
      <c r="H111" s="1">
        <v>0</v>
      </c>
      <c r="I111" s="1">
        <v>0</v>
      </c>
      <c r="J111" t="s">
        <v>28</v>
      </c>
      <c r="K111" t="s">
        <v>68</v>
      </c>
      <c r="L111" t="s">
        <v>3</v>
      </c>
      <c r="M111" t="str">
        <f>VLOOKUP(A111,'Tableau single and bulk'!A:B,2,FALSE)</f>
        <v>NEBAUTO</v>
      </c>
    </row>
    <row r="112" spans="1:13">
      <c r="A112" s="5" t="s">
        <v>654</v>
      </c>
      <c r="B112" s="1">
        <v>34993</v>
      </c>
      <c r="C112" t="s">
        <v>653</v>
      </c>
      <c r="D112" t="s">
        <v>408</v>
      </c>
      <c r="E112" t="s">
        <v>408</v>
      </c>
      <c r="F112" s="1">
        <v>4</v>
      </c>
      <c r="G112" s="1">
        <v>4</v>
      </c>
      <c r="H112" s="1">
        <v>0</v>
      </c>
      <c r="I112" s="1">
        <v>0</v>
      </c>
      <c r="J112" t="s">
        <v>28</v>
      </c>
      <c r="K112" t="s">
        <v>654</v>
      </c>
      <c r="L112" t="s">
        <v>3</v>
      </c>
      <c r="M112" t="str">
        <f>VLOOKUP(A112,'Tableau single and bulk'!A:B,2,FALSE)</f>
        <v>NEBAUTO</v>
      </c>
    </row>
    <row r="113" spans="1:13">
      <c r="A113" s="5" t="s">
        <v>939</v>
      </c>
      <c r="B113" s="1">
        <v>35088</v>
      </c>
      <c r="C113" t="s">
        <v>938</v>
      </c>
      <c r="D113" t="s">
        <v>39</v>
      </c>
      <c r="E113" t="s">
        <v>39</v>
      </c>
      <c r="F113" s="1">
        <v>65</v>
      </c>
      <c r="G113" s="1">
        <v>65</v>
      </c>
      <c r="H113" s="1">
        <v>0</v>
      </c>
      <c r="I113" s="1">
        <v>0</v>
      </c>
      <c r="J113" t="s">
        <v>12</v>
      </c>
      <c r="K113" t="s">
        <v>939</v>
      </c>
      <c r="L113" t="s">
        <v>3</v>
      </c>
      <c r="M113" t="str">
        <f>VLOOKUP(A113,'Tableau single and bulk'!A:B,2,FALSE)</f>
        <v>NEBAUTO</v>
      </c>
    </row>
    <row r="114" spans="1:13">
      <c r="A114" s="5" t="s">
        <v>64</v>
      </c>
      <c r="B114" s="1">
        <v>35103</v>
      </c>
      <c r="C114" t="s">
        <v>63</v>
      </c>
      <c r="D114" t="s">
        <v>39</v>
      </c>
      <c r="E114" t="s">
        <v>39</v>
      </c>
      <c r="F114" s="1">
        <v>51</v>
      </c>
      <c r="G114" s="1">
        <v>51</v>
      </c>
      <c r="H114" s="1">
        <v>0</v>
      </c>
      <c r="I114" s="1">
        <v>0</v>
      </c>
      <c r="J114" t="s">
        <v>12</v>
      </c>
      <c r="K114" t="s">
        <v>64</v>
      </c>
      <c r="L114" t="s">
        <v>3</v>
      </c>
      <c r="M114" t="str">
        <f>VLOOKUP(A114,'Tableau single and bulk'!A:B,2,FALSE)</f>
        <v>NEBAUTO</v>
      </c>
    </row>
    <row r="115" spans="1:13">
      <c r="A115" s="5" t="s">
        <v>707</v>
      </c>
      <c r="B115" s="1">
        <v>35105</v>
      </c>
      <c r="C115" t="s">
        <v>706</v>
      </c>
      <c r="D115" t="s">
        <v>39</v>
      </c>
      <c r="E115" t="s">
        <v>39</v>
      </c>
      <c r="F115" s="1">
        <v>7</v>
      </c>
      <c r="G115" s="1">
        <v>7</v>
      </c>
      <c r="H115" s="1">
        <v>0</v>
      </c>
      <c r="I115" s="1">
        <v>0</v>
      </c>
      <c r="J115" t="s">
        <v>12</v>
      </c>
      <c r="K115" t="s">
        <v>707</v>
      </c>
      <c r="L115" t="s">
        <v>3</v>
      </c>
      <c r="M115" t="str">
        <f>VLOOKUP(A115,'Tableau single and bulk'!A:B,2,FALSE)</f>
        <v>NEBAUTO</v>
      </c>
    </row>
    <row r="116" spans="1:13">
      <c r="A116" s="5" t="s">
        <v>479</v>
      </c>
      <c r="B116" s="1">
        <v>35292</v>
      </c>
      <c r="C116" t="s">
        <v>478</v>
      </c>
      <c r="D116" t="s">
        <v>110</v>
      </c>
      <c r="E116" t="s">
        <v>110</v>
      </c>
      <c r="F116" s="1">
        <v>3</v>
      </c>
      <c r="G116" s="1">
        <v>3</v>
      </c>
      <c r="H116" s="1">
        <v>0</v>
      </c>
      <c r="I116" s="1">
        <v>0</v>
      </c>
      <c r="J116" t="s">
        <v>33</v>
      </c>
      <c r="K116" t="s">
        <v>479</v>
      </c>
      <c r="L116" t="s">
        <v>3</v>
      </c>
      <c r="M116" t="str">
        <f>VLOOKUP(A116,'Tableau single and bulk'!A:B,2,FALSE)</f>
        <v>NEBAUTO</v>
      </c>
    </row>
    <row r="117" spans="1:13">
      <c r="A117" s="5" t="s">
        <v>708</v>
      </c>
      <c r="B117" s="1">
        <v>35110</v>
      </c>
      <c r="C117" t="s">
        <v>398</v>
      </c>
      <c r="D117" t="s">
        <v>39</v>
      </c>
      <c r="E117" t="s">
        <v>39</v>
      </c>
      <c r="F117" s="1">
        <v>30</v>
      </c>
      <c r="G117" s="1">
        <v>30</v>
      </c>
      <c r="H117" s="1">
        <v>0</v>
      </c>
      <c r="I117" s="1">
        <v>0</v>
      </c>
      <c r="J117" t="s">
        <v>12</v>
      </c>
      <c r="K117" t="s">
        <v>708</v>
      </c>
      <c r="L117" t="s">
        <v>3</v>
      </c>
      <c r="M117" t="str">
        <f>VLOOKUP(A117,'Tableau single and bulk'!A:B,2,FALSE)</f>
        <v>NEBAUTO</v>
      </c>
    </row>
    <row r="118" spans="1:13">
      <c r="A118" s="5" t="s">
        <v>439</v>
      </c>
      <c r="B118" s="1">
        <v>35115</v>
      </c>
      <c r="C118" t="s">
        <v>438</v>
      </c>
      <c r="D118" t="s">
        <v>39</v>
      </c>
      <c r="E118" t="s">
        <v>39</v>
      </c>
      <c r="F118" s="1">
        <v>1</v>
      </c>
      <c r="G118" s="1">
        <v>1</v>
      </c>
      <c r="H118" s="1">
        <v>0</v>
      </c>
      <c r="I118" s="1">
        <v>0</v>
      </c>
      <c r="J118" t="s">
        <v>25</v>
      </c>
      <c r="K118" t="s">
        <v>439</v>
      </c>
      <c r="L118" t="s">
        <v>3</v>
      </c>
      <c r="M118" t="str">
        <f>VLOOKUP(A118,'Tableau single and bulk'!A:B,2,FALSE)</f>
        <v>NEBAUTO</v>
      </c>
    </row>
    <row r="119" spans="1:13">
      <c r="A119" s="5" t="s">
        <v>66</v>
      </c>
      <c r="B119" s="1">
        <v>35109</v>
      </c>
      <c r="C119" t="s">
        <v>65</v>
      </c>
      <c r="D119" t="s">
        <v>39</v>
      </c>
      <c r="E119" t="s">
        <v>39</v>
      </c>
      <c r="F119" s="1">
        <v>5</v>
      </c>
      <c r="G119" s="1">
        <v>5</v>
      </c>
      <c r="H119" s="1">
        <v>-1</v>
      </c>
      <c r="I119" s="1">
        <v>1</v>
      </c>
      <c r="J119" t="s">
        <v>28</v>
      </c>
      <c r="K119" t="s">
        <v>66</v>
      </c>
      <c r="L119" t="s">
        <v>3</v>
      </c>
      <c r="M119" t="str">
        <f>VLOOKUP(A119,'Tableau single and bulk'!A:B,2,FALSE)</f>
        <v>NEBAUTO</v>
      </c>
    </row>
    <row r="120" spans="1:13">
      <c r="A120" s="5" t="s">
        <v>442</v>
      </c>
      <c r="B120" s="1">
        <v>35118</v>
      </c>
      <c r="C120" t="s">
        <v>441</v>
      </c>
      <c r="D120" t="s">
        <v>72</v>
      </c>
      <c r="E120" t="s">
        <v>72</v>
      </c>
      <c r="F120" s="1">
        <v>2</v>
      </c>
      <c r="G120" s="1">
        <v>2</v>
      </c>
      <c r="H120" s="1">
        <v>0</v>
      </c>
      <c r="I120" s="1">
        <v>0</v>
      </c>
      <c r="J120" t="s">
        <v>25</v>
      </c>
      <c r="K120" t="s">
        <v>442</v>
      </c>
      <c r="L120" t="s">
        <v>3</v>
      </c>
      <c r="M120" t="str">
        <f>VLOOKUP(A120,'Tableau single and bulk'!A:B,2,FALSE)</f>
        <v>NEBAUTO</v>
      </c>
    </row>
    <row r="121" spans="1:13">
      <c r="A121" s="5" t="s">
        <v>34</v>
      </c>
      <c r="B121" s="1">
        <v>35044</v>
      </c>
      <c r="C121" t="s">
        <v>32</v>
      </c>
      <c r="D121" t="s">
        <v>27</v>
      </c>
      <c r="E121" t="s">
        <v>27</v>
      </c>
      <c r="F121" s="1">
        <v>23</v>
      </c>
      <c r="G121" s="1">
        <v>23</v>
      </c>
      <c r="H121" s="1">
        <v>0</v>
      </c>
      <c r="I121" s="1">
        <v>0</v>
      </c>
      <c r="J121" t="s">
        <v>33</v>
      </c>
      <c r="K121" t="s">
        <v>34</v>
      </c>
      <c r="L121" t="s">
        <v>3</v>
      </c>
      <c r="M121" t="str">
        <f>VLOOKUP(A121,'Tableau single and bulk'!A:B,2,FALSE)</f>
        <v>NEBAUTO</v>
      </c>
    </row>
    <row r="122" spans="1:13">
      <c r="A122" s="5" t="s">
        <v>937</v>
      </c>
      <c r="B122" s="1">
        <v>35085</v>
      </c>
      <c r="C122" t="s">
        <v>308</v>
      </c>
      <c r="D122" t="s">
        <v>39</v>
      </c>
      <c r="E122" t="s">
        <v>39</v>
      </c>
      <c r="F122" s="1">
        <v>18</v>
      </c>
      <c r="G122" s="1">
        <v>18</v>
      </c>
      <c r="H122" s="1">
        <v>-1</v>
      </c>
      <c r="I122" s="1">
        <v>1</v>
      </c>
      <c r="J122" t="s">
        <v>12</v>
      </c>
      <c r="K122" t="s">
        <v>937</v>
      </c>
      <c r="L122" t="s">
        <v>3</v>
      </c>
      <c r="M122" t="str">
        <f>VLOOKUP(A122,'Tableau single and bulk'!A:B,2,FALSE)</f>
        <v>NEBAUTO</v>
      </c>
    </row>
    <row r="123" spans="1:13">
      <c r="A123" s="5" t="s">
        <v>710</v>
      </c>
      <c r="B123" s="1">
        <v>35120</v>
      </c>
      <c r="C123" t="s">
        <v>709</v>
      </c>
      <c r="D123" t="s">
        <v>72</v>
      </c>
      <c r="E123" t="s">
        <v>72</v>
      </c>
      <c r="F123" s="1">
        <v>108</v>
      </c>
      <c r="G123" s="1">
        <v>108</v>
      </c>
      <c r="H123" s="1">
        <v>-2</v>
      </c>
      <c r="I123" s="1">
        <v>2</v>
      </c>
      <c r="J123" t="s">
        <v>33</v>
      </c>
      <c r="K123" t="s">
        <v>710</v>
      </c>
      <c r="L123" t="s">
        <v>3</v>
      </c>
      <c r="M123" t="str">
        <f>VLOOKUP(A123,'Tableau single and bulk'!A:B,2,FALSE)</f>
        <v>NEBAUTO</v>
      </c>
    </row>
    <row r="124" spans="1:13">
      <c r="A124" s="5" t="s">
        <v>435</v>
      </c>
      <c r="B124" s="1">
        <v>35097</v>
      </c>
      <c r="C124" t="s">
        <v>434</v>
      </c>
      <c r="D124" t="s">
        <v>39</v>
      </c>
      <c r="E124" t="s">
        <v>39</v>
      </c>
      <c r="F124" s="1">
        <v>14</v>
      </c>
      <c r="G124" s="1">
        <v>14</v>
      </c>
      <c r="H124" s="1">
        <v>0</v>
      </c>
      <c r="I124" s="1">
        <v>0</v>
      </c>
      <c r="J124" t="s">
        <v>24</v>
      </c>
      <c r="K124" t="s">
        <v>435</v>
      </c>
      <c r="L124" t="s">
        <v>3</v>
      </c>
      <c r="M124" t="str">
        <f>VLOOKUP(A124,'Tableau single and bulk'!A:B,2,FALSE)</f>
        <v>NEBAUTO</v>
      </c>
    </row>
    <row r="125" spans="1:13">
      <c r="A125" s="5" t="s">
        <v>1135</v>
      </c>
      <c r="B125" s="1">
        <v>35260</v>
      </c>
      <c r="C125" t="s">
        <v>1134</v>
      </c>
      <c r="D125" t="s">
        <v>110</v>
      </c>
      <c r="E125" t="s">
        <v>110</v>
      </c>
      <c r="F125" s="1">
        <v>16</v>
      </c>
      <c r="G125" s="1">
        <v>16</v>
      </c>
      <c r="H125" s="1">
        <v>0</v>
      </c>
      <c r="I125" s="1">
        <v>0</v>
      </c>
      <c r="J125" t="s">
        <v>28</v>
      </c>
      <c r="K125" t="s">
        <v>1135</v>
      </c>
      <c r="L125" t="s">
        <v>3</v>
      </c>
      <c r="M125" t="str">
        <f>VLOOKUP(A125,'Tableau single and bulk'!A:B,2,FALSE)</f>
        <v>NEBAUTO</v>
      </c>
    </row>
    <row r="126" spans="1:13">
      <c r="A126" s="5" t="s">
        <v>73</v>
      </c>
      <c r="B126" s="1">
        <v>35124</v>
      </c>
      <c r="C126" t="s">
        <v>71</v>
      </c>
      <c r="D126" t="s">
        <v>72</v>
      </c>
      <c r="E126" t="s">
        <v>72</v>
      </c>
      <c r="F126" s="1">
        <v>1</v>
      </c>
      <c r="G126" s="1">
        <v>1</v>
      </c>
      <c r="H126" s="1">
        <v>0</v>
      </c>
      <c r="I126" s="1">
        <v>0</v>
      </c>
      <c r="J126" t="s">
        <v>25</v>
      </c>
      <c r="K126" t="s">
        <v>73</v>
      </c>
      <c r="L126" t="s">
        <v>3</v>
      </c>
      <c r="M126" t="str">
        <f>VLOOKUP(A126,'Tableau single and bulk'!A:B,2,FALSE)</f>
        <v>NEBAUTO</v>
      </c>
    </row>
    <row r="127" spans="1:13">
      <c r="A127" s="5" t="s">
        <v>79</v>
      </c>
      <c r="B127" s="1">
        <v>35135</v>
      </c>
      <c r="C127" t="s">
        <v>78</v>
      </c>
      <c r="D127" t="s">
        <v>72</v>
      </c>
      <c r="E127" t="s">
        <v>72</v>
      </c>
      <c r="F127" s="1">
        <v>3</v>
      </c>
      <c r="G127" s="1">
        <v>3</v>
      </c>
      <c r="H127" s="1">
        <v>0</v>
      </c>
      <c r="I127" s="1">
        <v>0</v>
      </c>
      <c r="J127" t="s">
        <v>24</v>
      </c>
      <c r="K127" t="s">
        <v>79</v>
      </c>
      <c r="L127" t="s">
        <v>3</v>
      </c>
      <c r="M127" t="str">
        <f>VLOOKUP(A127,'Tableau single and bulk'!A:B,2,FALSE)</f>
        <v>NEBAUTO</v>
      </c>
    </row>
    <row r="128" spans="1:13">
      <c r="A128" s="5" t="s">
        <v>440</v>
      </c>
      <c r="B128" s="1">
        <v>35116</v>
      </c>
      <c r="C128" t="s">
        <v>438</v>
      </c>
      <c r="D128" t="s">
        <v>39</v>
      </c>
      <c r="E128" t="s">
        <v>39</v>
      </c>
      <c r="F128" s="1">
        <v>1</v>
      </c>
      <c r="G128" s="1">
        <v>1</v>
      </c>
      <c r="H128" s="1">
        <v>0</v>
      </c>
      <c r="I128" s="1">
        <v>0</v>
      </c>
      <c r="J128" t="s">
        <v>25</v>
      </c>
      <c r="K128" t="s">
        <v>440</v>
      </c>
      <c r="L128" t="s">
        <v>3</v>
      </c>
      <c r="M128" t="str">
        <f>VLOOKUP(A128,'Tableau single and bulk'!A:B,2,FALSE)</f>
        <v>NEBAUTO</v>
      </c>
    </row>
    <row r="129" spans="1:13">
      <c r="A129" s="5" t="s">
        <v>942</v>
      </c>
      <c r="B129" s="1">
        <v>35137</v>
      </c>
      <c r="C129" t="s">
        <v>941</v>
      </c>
      <c r="D129" t="s">
        <v>72</v>
      </c>
      <c r="E129" t="s">
        <v>72</v>
      </c>
      <c r="F129" s="1">
        <v>3</v>
      </c>
      <c r="G129" s="1">
        <v>3</v>
      </c>
      <c r="H129" s="1">
        <v>0</v>
      </c>
      <c r="I129" s="1">
        <v>0</v>
      </c>
      <c r="J129" t="s">
        <v>24</v>
      </c>
      <c r="K129" t="s">
        <v>942</v>
      </c>
      <c r="L129" t="s">
        <v>3</v>
      </c>
      <c r="M129" t="str">
        <f>VLOOKUP(A129,'Tableau single and bulk'!A:B,2,FALSE)</f>
        <v>NEBAUTO</v>
      </c>
    </row>
    <row r="130" spans="1:13">
      <c r="A130" s="5" t="s">
        <v>437</v>
      </c>
      <c r="B130" s="1">
        <v>35114</v>
      </c>
      <c r="C130" t="s">
        <v>436</v>
      </c>
      <c r="D130" t="s">
        <v>39</v>
      </c>
      <c r="E130" t="s">
        <v>39</v>
      </c>
      <c r="F130" s="1">
        <v>1</v>
      </c>
      <c r="G130" s="1">
        <v>1</v>
      </c>
      <c r="H130" s="1">
        <v>0</v>
      </c>
      <c r="I130" s="1">
        <v>0</v>
      </c>
      <c r="J130" t="s">
        <v>25</v>
      </c>
      <c r="K130" t="s">
        <v>437</v>
      </c>
      <c r="L130" t="s">
        <v>3</v>
      </c>
      <c r="M130" t="str">
        <f>VLOOKUP(A130,'Tableau single and bulk'!A:B,2,FALSE)</f>
        <v>NEBAUTO</v>
      </c>
    </row>
    <row r="131" spans="1:13">
      <c r="A131" s="5" t="s">
        <v>956</v>
      </c>
      <c r="B131" s="1">
        <v>35199</v>
      </c>
      <c r="C131" t="s">
        <v>955</v>
      </c>
      <c r="D131" t="s">
        <v>92</v>
      </c>
      <c r="E131" t="s">
        <v>92</v>
      </c>
      <c r="F131" s="1">
        <v>1</v>
      </c>
      <c r="G131" s="1">
        <v>1</v>
      </c>
      <c r="H131" s="1">
        <v>0</v>
      </c>
      <c r="I131" s="1">
        <v>0</v>
      </c>
      <c r="J131" t="s">
        <v>18</v>
      </c>
      <c r="K131" t="s">
        <v>956</v>
      </c>
      <c r="L131" t="s">
        <v>3</v>
      </c>
      <c r="M131" t="str">
        <f>VLOOKUP(A131,'Tableau single and bulk'!A:B,2,FALSE)</f>
        <v>NEBAUTO</v>
      </c>
    </row>
    <row r="132" spans="1:13">
      <c r="A132" s="5" t="s">
        <v>93</v>
      </c>
      <c r="B132" s="1">
        <v>35203</v>
      </c>
      <c r="C132" t="s">
        <v>91</v>
      </c>
      <c r="D132" t="s">
        <v>92</v>
      </c>
      <c r="E132" t="s">
        <v>92</v>
      </c>
      <c r="F132" s="1">
        <v>1</v>
      </c>
      <c r="G132" s="1">
        <v>1</v>
      </c>
      <c r="H132" s="1">
        <v>0</v>
      </c>
      <c r="I132" s="1">
        <v>0</v>
      </c>
      <c r="J132" t="s">
        <v>18</v>
      </c>
      <c r="K132" t="s">
        <v>93</v>
      </c>
      <c r="L132" t="s">
        <v>3</v>
      </c>
      <c r="M132" t="str">
        <f>VLOOKUP(A132,'Tableau single and bulk'!A:B,2,FALSE)</f>
        <v>NEBAUTO</v>
      </c>
    </row>
    <row r="133" spans="1:13">
      <c r="A133" s="5" t="s">
        <v>671</v>
      </c>
      <c r="B133" s="1">
        <v>35149</v>
      </c>
      <c r="C133" t="s">
        <v>670</v>
      </c>
      <c r="D133" t="s">
        <v>72</v>
      </c>
      <c r="E133" t="s">
        <v>72</v>
      </c>
      <c r="F133" s="1">
        <v>1</v>
      </c>
      <c r="G133" s="1">
        <v>1</v>
      </c>
      <c r="H133" s="1">
        <v>0</v>
      </c>
      <c r="I133" s="1">
        <v>0</v>
      </c>
      <c r="J133" t="s">
        <v>18</v>
      </c>
      <c r="K133" t="s">
        <v>671</v>
      </c>
      <c r="L133" t="s">
        <v>3</v>
      </c>
      <c r="M133" t="str">
        <f>VLOOKUP(A133,'Tableau single and bulk'!A:B,2,FALSE)</f>
        <v>NEBAUTO</v>
      </c>
    </row>
    <row r="134" spans="1:13">
      <c r="A134" s="5" t="s">
        <v>732</v>
      </c>
      <c r="B134" s="1">
        <v>35177</v>
      </c>
      <c r="C134" t="s">
        <v>731</v>
      </c>
      <c r="D134" t="s">
        <v>83</v>
      </c>
      <c r="E134" t="s">
        <v>83</v>
      </c>
      <c r="F134" s="1">
        <v>1</v>
      </c>
      <c r="G134" s="1">
        <v>1</v>
      </c>
      <c r="H134" s="1">
        <v>0</v>
      </c>
      <c r="I134" s="1">
        <v>0</v>
      </c>
      <c r="J134" t="s">
        <v>24</v>
      </c>
      <c r="K134" t="s">
        <v>732</v>
      </c>
      <c r="L134" t="s">
        <v>3</v>
      </c>
      <c r="M134" t="str">
        <f>VLOOKUP(A134,'Tableau single and bulk'!A:B,2,FALSE)</f>
        <v>NEBAUTO</v>
      </c>
    </row>
    <row r="135" spans="1:13">
      <c r="A135" s="5" t="s">
        <v>842</v>
      </c>
      <c r="B135" s="1">
        <v>35178</v>
      </c>
      <c r="C135" t="s">
        <v>841</v>
      </c>
      <c r="D135" t="s">
        <v>83</v>
      </c>
      <c r="E135" t="s">
        <v>83</v>
      </c>
      <c r="F135" s="1">
        <v>1</v>
      </c>
      <c r="G135" s="1">
        <v>1</v>
      </c>
      <c r="H135" s="1">
        <v>0</v>
      </c>
      <c r="I135" s="1">
        <v>0</v>
      </c>
      <c r="J135" t="s">
        <v>24</v>
      </c>
      <c r="K135" t="s">
        <v>842</v>
      </c>
      <c r="L135" t="s">
        <v>3</v>
      </c>
      <c r="M135" t="str">
        <f>VLOOKUP(A135,'Tableau single and bulk'!A:B,2,FALSE)</f>
        <v>NEBAUTO</v>
      </c>
    </row>
    <row r="136" spans="1:13">
      <c r="A136" s="5" t="s">
        <v>427</v>
      </c>
      <c r="B136" s="1">
        <v>35028</v>
      </c>
      <c r="C136" t="s">
        <v>426</v>
      </c>
      <c r="D136" t="s">
        <v>27</v>
      </c>
      <c r="E136" t="s">
        <v>27</v>
      </c>
      <c r="F136" s="1">
        <v>6</v>
      </c>
      <c r="G136" s="1">
        <v>6</v>
      </c>
      <c r="H136" s="1">
        <v>0</v>
      </c>
      <c r="I136" s="1">
        <v>0</v>
      </c>
      <c r="J136" t="s">
        <v>25</v>
      </c>
      <c r="K136" t="s">
        <v>427</v>
      </c>
      <c r="L136" t="s">
        <v>3</v>
      </c>
      <c r="M136" t="str">
        <f>VLOOKUP(A136,'Tableau single and bulk'!A:B,2,FALSE)</f>
        <v>NEBAUTO</v>
      </c>
    </row>
    <row r="137" spans="1:13">
      <c r="A137" s="5" t="s">
        <v>1092</v>
      </c>
      <c r="B137" s="1">
        <v>35035</v>
      </c>
      <c r="C137" t="s">
        <v>1091</v>
      </c>
      <c r="D137" t="s">
        <v>27</v>
      </c>
      <c r="E137" t="s">
        <v>27</v>
      </c>
      <c r="F137" s="1">
        <v>40</v>
      </c>
      <c r="G137" s="1">
        <v>40</v>
      </c>
      <c r="H137" s="1">
        <v>-1</v>
      </c>
      <c r="I137" s="1">
        <v>1</v>
      </c>
      <c r="J137" t="s">
        <v>25</v>
      </c>
      <c r="K137" t="s">
        <v>1092</v>
      </c>
      <c r="L137" t="s">
        <v>3</v>
      </c>
      <c r="M137" t="str">
        <f>VLOOKUP(A137,'Tableau single and bulk'!A:B,2,FALSE)</f>
        <v>NEBAUTO</v>
      </c>
    </row>
    <row r="138" spans="1:13">
      <c r="A138" s="5" t="s">
        <v>452</v>
      </c>
      <c r="B138" s="1">
        <v>35159</v>
      </c>
      <c r="C138" t="s">
        <v>451</v>
      </c>
      <c r="D138" t="s">
        <v>83</v>
      </c>
      <c r="E138" t="s">
        <v>83</v>
      </c>
      <c r="F138" s="1">
        <v>2</v>
      </c>
      <c r="G138" s="1">
        <v>2</v>
      </c>
      <c r="H138" s="1">
        <v>0</v>
      </c>
      <c r="I138" s="1">
        <v>0</v>
      </c>
      <c r="J138" t="s">
        <v>24</v>
      </c>
      <c r="K138" t="s">
        <v>452</v>
      </c>
      <c r="L138" t="s">
        <v>3</v>
      </c>
      <c r="M138" t="str">
        <f>VLOOKUP(A138,'Tableau single and bulk'!A:B,2,FALSE)</f>
        <v>NEBAUTO</v>
      </c>
    </row>
    <row r="139" spans="1:13">
      <c r="A139" s="5" t="s">
        <v>952</v>
      </c>
      <c r="B139" s="1">
        <v>35163</v>
      </c>
      <c r="C139" t="s">
        <v>951</v>
      </c>
      <c r="D139" t="s">
        <v>83</v>
      </c>
      <c r="E139" t="s">
        <v>83</v>
      </c>
      <c r="F139" s="1">
        <v>50</v>
      </c>
      <c r="G139" s="1">
        <v>50</v>
      </c>
      <c r="H139" s="1">
        <v>-3</v>
      </c>
      <c r="I139" s="1">
        <v>3</v>
      </c>
      <c r="J139" t="s">
        <v>24</v>
      </c>
      <c r="K139" t="s">
        <v>952</v>
      </c>
      <c r="L139" t="s">
        <v>3</v>
      </c>
      <c r="M139" t="str">
        <f>VLOOKUP(A139,'Tableau single and bulk'!A:B,2,FALSE)</f>
        <v>NEBAUTO</v>
      </c>
    </row>
    <row r="140" spans="1:13">
      <c r="A140" s="5" t="s">
        <v>139</v>
      </c>
      <c r="B140" s="1">
        <v>35308</v>
      </c>
      <c r="C140" t="s">
        <v>138</v>
      </c>
      <c r="D140" t="s">
        <v>134</v>
      </c>
      <c r="E140" t="s">
        <v>134</v>
      </c>
      <c r="F140" s="1">
        <v>1</v>
      </c>
      <c r="G140" s="1">
        <v>1</v>
      </c>
      <c r="H140" s="1">
        <v>0</v>
      </c>
      <c r="I140" s="1">
        <v>0</v>
      </c>
      <c r="J140" t="s">
        <v>18</v>
      </c>
      <c r="K140" t="s">
        <v>139</v>
      </c>
      <c r="L140" t="s">
        <v>3</v>
      </c>
      <c r="M140" t="str">
        <f>VLOOKUP(A140,'Tableau single and bulk'!A:B,2,FALSE)</f>
        <v>NEBAUTO</v>
      </c>
    </row>
    <row r="141" spans="1:13">
      <c r="A141" s="5" t="s">
        <v>1025</v>
      </c>
      <c r="B141" s="1">
        <v>35031</v>
      </c>
      <c r="C141" t="s">
        <v>1024</v>
      </c>
      <c r="D141" t="s">
        <v>27</v>
      </c>
      <c r="E141" t="s">
        <v>27</v>
      </c>
      <c r="F141" s="1">
        <v>1</v>
      </c>
      <c r="G141" s="1">
        <v>1</v>
      </c>
      <c r="H141" s="1">
        <v>0</v>
      </c>
      <c r="I141" s="1">
        <v>0</v>
      </c>
      <c r="J141" t="s">
        <v>18</v>
      </c>
      <c r="K141" t="s">
        <v>1025</v>
      </c>
      <c r="L141" t="s">
        <v>3</v>
      </c>
      <c r="M141" t="str">
        <f>VLOOKUP(A141,'Tableau single and bulk'!A:B,2,FALSE)</f>
        <v>NEBAUTO</v>
      </c>
    </row>
    <row r="142" spans="1:13">
      <c r="A142" s="5" t="s">
        <v>950</v>
      </c>
      <c r="B142" s="1">
        <v>35160</v>
      </c>
      <c r="C142" t="s">
        <v>949</v>
      </c>
      <c r="D142" t="s">
        <v>83</v>
      </c>
      <c r="E142" t="s">
        <v>83</v>
      </c>
      <c r="F142" s="1">
        <v>1</v>
      </c>
      <c r="G142" s="1">
        <v>1</v>
      </c>
      <c r="H142" s="1">
        <v>0</v>
      </c>
      <c r="I142" s="1">
        <v>0</v>
      </c>
      <c r="J142" t="s">
        <v>24</v>
      </c>
      <c r="K142" t="s">
        <v>950</v>
      </c>
      <c r="L142" t="s">
        <v>3</v>
      </c>
      <c r="M142" t="str">
        <f>VLOOKUP(A142,'Tableau single and bulk'!A:B,2,FALSE)</f>
        <v>NEBAUTO</v>
      </c>
    </row>
    <row r="143" spans="1:13">
      <c r="A143" s="5" t="s">
        <v>960</v>
      </c>
      <c r="B143" s="1">
        <v>35202</v>
      </c>
      <c r="C143" t="s">
        <v>959</v>
      </c>
      <c r="D143" t="s">
        <v>92</v>
      </c>
      <c r="E143" t="s">
        <v>92</v>
      </c>
      <c r="F143" s="1">
        <v>1</v>
      </c>
      <c r="G143" s="1">
        <v>1</v>
      </c>
      <c r="H143" s="1">
        <v>0</v>
      </c>
      <c r="I143" s="1">
        <v>0</v>
      </c>
      <c r="J143" t="s">
        <v>25</v>
      </c>
      <c r="K143" t="s">
        <v>960</v>
      </c>
      <c r="L143" t="s">
        <v>3</v>
      </c>
      <c r="M143" t="str">
        <f>VLOOKUP(A143,'Tableau single and bulk'!A:B,2,FALSE)</f>
        <v>NEBAUTO</v>
      </c>
    </row>
    <row r="144" spans="1:13">
      <c r="A144" s="5" t="s">
        <v>448</v>
      </c>
      <c r="B144" s="1">
        <v>35155</v>
      </c>
      <c r="C144" t="s">
        <v>447</v>
      </c>
      <c r="D144" t="s">
        <v>83</v>
      </c>
      <c r="E144" t="s">
        <v>83</v>
      </c>
      <c r="F144" s="1">
        <v>1</v>
      </c>
      <c r="G144" s="1">
        <v>1</v>
      </c>
      <c r="H144" s="1">
        <v>0</v>
      </c>
      <c r="I144" s="1">
        <v>0</v>
      </c>
      <c r="J144" t="s">
        <v>25</v>
      </c>
      <c r="K144" t="s">
        <v>448</v>
      </c>
      <c r="L144" t="s">
        <v>3</v>
      </c>
      <c r="M144" t="str">
        <f>VLOOKUP(A144,'Tableau single and bulk'!A:B,2,FALSE)</f>
        <v>NEBAUTO</v>
      </c>
    </row>
    <row r="145" spans="1:13">
      <c r="A145" s="5" t="s">
        <v>948</v>
      </c>
      <c r="B145" s="1">
        <v>35150</v>
      </c>
      <c r="C145" t="s">
        <v>947</v>
      </c>
      <c r="D145" t="s">
        <v>72</v>
      </c>
      <c r="E145" t="s">
        <v>72</v>
      </c>
      <c r="F145" s="1">
        <v>1</v>
      </c>
      <c r="G145" s="1">
        <v>1</v>
      </c>
      <c r="H145" s="1">
        <v>0</v>
      </c>
      <c r="I145" s="1">
        <v>0</v>
      </c>
      <c r="J145" t="s">
        <v>18</v>
      </c>
      <c r="K145" t="s">
        <v>948</v>
      </c>
      <c r="L145" t="s">
        <v>3</v>
      </c>
      <c r="M145" t="str">
        <f>VLOOKUP(A145,'Tableau single and bulk'!A:B,2,FALSE)</f>
        <v>NEBAUTO</v>
      </c>
    </row>
    <row r="146" spans="1:13">
      <c r="A146" s="5" t="s">
        <v>59</v>
      </c>
      <c r="B146" s="1">
        <v>35096</v>
      </c>
      <c r="C146" t="s">
        <v>58</v>
      </c>
      <c r="D146" t="s">
        <v>39</v>
      </c>
      <c r="E146" t="s">
        <v>39</v>
      </c>
      <c r="F146" s="1">
        <v>52</v>
      </c>
      <c r="G146" s="1">
        <v>52</v>
      </c>
      <c r="H146" s="1">
        <v>-9</v>
      </c>
      <c r="I146" s="1">
        <v>9</v>
      </c>
      <c r="J146" t="s">
        <v>28</v>
      </c>
      <c r="K146" t="s">
        <v>59</v>
      </c>
      <c r="L146" t="s">
        <v>3</v>
      </c>
      <c r="M146" t="str">
        <f>VLOOKUP(A146,'Tableau single and bulk'!A:B,2,FALSE)</f>
        <v>NEBAUTO</v>
      </c>
    </row>
    <row r="147" spans="1:13">
      <c r="A147" s="5" t="s">
        <v>921</v>
      </c>
      <c r="B147" s="1">
        <v>35070</v>
      </c>
      <c r="C147" t="s">
        <v>920</v>
      </c>
      <c r="D147" t="s">
        <v>39</v>
      </c>
      <c r="E147" t="s">
        <v>39</v>
      </c>
      <c r="F147" s="1">
        <v>9</v>
      </c>
      <c r="G147" s="1">
        <v>9</v>
      </c>
      <c r="H147" s="1">
        <v>0</v>
      </c>
      <c r="I147" s="1">
        <v>0</v>
      </c>
      <c r="J147" t="s">
        <v>33</v>
      </c>
      <c r="K147" t="s">
        <v>921</v>
      </c>
      <c r="L147" t="s">
        <v>3</v>
      </c>
      <c r="M147" t="str">
        <f>VLOOKUP(A147,'Tableau single and bulk'!A:B,2,FALSE)</f>
        <v>NEBAUTO</v>
      </c>
    </row>
    <row r="148" spans="1:13">
      <c r="A148" s="5" t="s">
        <v>1163</v>
      </c>
      <c r="B148" s="1">
        <v>35157</v>
      </c>
      <c r="C148" t="s">
        <v>1162</v>
      </c>
      <c r="D148" t="s">
        <v>83</v>
      </c>
      <c r="E148" t="s">
        <v>83</v>
      </c>
      <c r="F148" s="1">
        <v>1</v>
      </c>
      <c r="G148" s="1">
        <v>1</v>
      </c>
      <c r="H148" s="1">
        <v>0</v>
      </c>
      <c r="I148" s="1">
        <v>0</v>
      </c>
      <c r="J148" t="s">
        <v>25</v>
      </c>
      <c r="K148" t="s">
        <v>1163</v>
      </c>
      <c r="L148" t="s">
        <v>3</v>
      </c>
      <c r="M148" t="str">
        <f>VLOOKUP(A148,'Tableau single and bulk'!A:B,2,FALSE)</f>
        <v>NEBAUTO</v>
      </c>
    </row>
    <row r="149" spans="1:13">
      <c r="A149" s="5" t="s">
        <v>36</v>
      </c>
      <c r="B149" s="1">
        <v>35046</v>
      </c>
      <c r="C149" t="s">
        <v>35</v>
      </c>
      <c r="D149" t="s">
        <v>27</v>
      </c>
      <c r="E149" t="s">
        <v>27</v>
      </c>
      <c r="F149" s="1">
        <v>4</v>
      </c>
      <c r="G149" s="1">
        <v>4</v>
      </c>
      <c r="H149" s="1">
        <v>-2</v>
      </c>
      <c r="I149" s="1">
        <v>2</v>
      </c>
      <c r="J149" t="s">
        <v>33</v>
      </c>
      <c r="K149" t="s">
        <v>36</v>
      </c>
      <c r="L149" t="s">
        <v>3</v>
      </c>
      <c r="M149" t="str">
        <f>VLOOKUP(A149,'Tableau single and bulk'!A:B,2,FALSE)</f>
        <v>NEBAUTO</v>
      </c>
    </row>
    <row r="150" spans="1:13">
      <c r="A150" s="5" t="s">
        <v>846</v>
      </c>
      <c r="B150" s="1">
        <v>35209</v>
      </c>
      <c r="C150" t="s">
        <v>845</v>
      </c>
      <c r="D150" t="s">
        <v>92</v>
      </c>
      <c r="E150" t="s">
        <v>92</v>
      </c>
      <c r="F150" s="1">
        <v>1</v>
      </c>
      <c r="G150" s="1">
        <v>1</v>
      </c>
      <c r="H150" s="1">
        <v>0</v>
      </c>
      <c r="I150" s="1">
        <v>0</v>
      </c>
      <c r="J150" t="s">
        <v>18</v>
      </c>
      <c r="K150" t="s">
        <v>846</v>
      </c>
      <c r="L150" t="s">
        <v>3</v>
      </c>
      <c r="M150" t="str">
        <f>VLOOKUP(A150,'Tableau single and bulk'!A:B,2,FALSE)</f>
        <v>NEBAUTO</v>
      </c>
    </row>
    <row r="151" spans="1:13">
      <c r="A151" s="5" t="s">
        <v>450</v>
      </c>
      <c r="B151" s="1">
        <v>35156</v>
      </c>
      <c r="C151" t="s">
        <v>449</v>
      </c>
      <c r="D151" t="s">
        <v>83</v>
      </c>
      <c r="E151" t="s">
        <v>83</v>
      </c>
      <c r="F151" s="1">
        <v>1</v>
      </c>
      <c r="G151" s="1">
        <v>1</v>
      </c>
      <c r="H151" s="1">
        <v>0</v>
      </c>
      <c r="I151" s="1">
        <v>0</v>
      </c>
      <c r="J151" t="s">
        <v>25</v>
      </c>
      <c r="K151" t="s">
        <v>450</v>
      </c>
      <c r="L151" t="s">
        <v>3</v>
      </c>
      <c r="M151" t="str">
        <f>VLOOKUP(A151,'Tableau single and bulk'!A:B,2,FALSE)</f>
        <v>NEBAUTO</v>
      </c>
    </row>
    <row r="152" spans="1:13">
      <c r="A152" s="5" t="s">
        <v>1094</v>
      </c>
      <c r="B152" s="1">
        <v>35164</v>
      </c>
      <c r="C152" t="s">
        <v>1093</v>
      </c>
      <c r="D152" t="s">
        <v>83</v>
      </c>
      <c r="E152" t="s">
        <v>83</v>
      </c>
      <c r="F152" s="1">
        <v>4</v>
      </c>
      <c r="G152" s="1">
        <v>4</v>
      </c>
      <c r="H152" s="1">
        <v>0</v>
      </c>
      <c r="I152" s="1">
        <v>0</v>
      </c>
      <c r="J152" t="s">
        <v>25</v>
      </c>
      <c r="K152" t="s">
        <v>1094</v>
      </c>
      <c r="L152" t="s">
        <v>3</v>
      </c>
      <c r="M152" t="str">
        <f>VLOOKUP(A152,'Tableau single and bulk'!A:B,2,FALSE)</f>
        <v>NEBAUTO</v>
      </c>
    </row>
    <row r="153" spans="1:13">
      <c r="A153" s="5" t="s">
        <v>1165</v>
      </c>
      <c r="B153" s="1">
        <v>35158</v>
      </c>
      <c r="C153" t="s">
        <v>1164</v>
      </c>
      <c r="D153" t="s">
        <v>83</v>
      </c>
      <c r="E153" t="s">
        <v>83</v>
      </c>
      <c r="F153" s="1">
        <v>1</v>
      </c>
      <c r="G153" s="1">
        <v>1</v>
      </c>
      <c r="H153" s="1">
        <v>0</v>
      </c>
      <c r="I153" s="1">
        <v>0</v>
      </c>
      <c r="J153" t="s">
        <v>25</v>
      </c>
      <c r="K153" t="s">
        <v>1165</v>
      </c>
      <c r="L153" t="s">
        <v>3</v>
      </c>
      <c r="M153" t="str">
        <f>VLOOKUP(A153,'Tableau single and bulk'!A:B,2,FALSE)</f>
        <v>NEBAUTO</v>
      </c>
    </row>
    <row r="154" spans="1:13">
      <c r="A154" s="5" t="s">
        <v>87</v>
      </c>
      <c r="B154" s="1">
        <v>35161</v>
      </c>
      <c r="C154" t="s">
        <v>86</v>
      </c>
      <c r="D154" t="s">
        <v>83</v>
      </c>
      <c r="E154" t="s">
        <v>83</v>
      </c>
      <c r="F154" s="1">
        <v>8</v>
      </c>
      <c r="G154" s="1">
        <v>8</v>
      </c>
      <c r="H154" s="1">
        <v>-1</v>
      </c>
      <c r="I154" s="1">
        <v>1</v>
      </c>
      <c r="J154" t="s">
        <v>25</v>
      </c>
      <c r="K154" t="s">
        <v>87</v>
      </c>
      <c r="L154" t="s">
        <v>3</v>
      </c>
      <c r="M154" t="str">
        <f>VLOOKUP(A154,'Tableau single and bulk'!A:B,2,FALSE)</f>
        <v>NEBAUTO</v>
      </c>
    </row>
    <row r="155" spans="1:13">
      <c r="A155" s="5" t="s">
        <v>946</v>
      </c>
      <c r="B155" s="1">
        <v>35147</v>
      </c>
      <c r="C155" t="s">
        <v>945</v>
      </c>
      <c r="D155" t="s">
        <v>72</v>
      </c>
      <c r="E155" t="s">
        <v>72</v>
      </c>
      <c r="F155" s="1">
        <v>1</v>
      </c>
      <c r="G155" s="1">
        <v>1</v>
      </c>
      <c r="H155" s="1">
        <v>0</v>
      </c>
      <c r="I155" s="1">
        <v>0</v>
      </c>
      <c r="J155" t="s">
        <v>25</v>
      </c>
      <c r="K155" t="s">
        <v>946</v>
      </c>
      <c r="L155" t="s">
        <v>3</v>
      </c>
      <c r="M155" t="str">
        <f>VLOOKUP(A155,'Tableau single and bulk'!A:B,2,FALSE)</f>
        <v>NEBAUTO</v>
      </c>
    </row>
    <row r="156" spans="1:13">
      <c r="A156" s="5" t="s">
        <v>852</v>
      </c>
      <c r="B156" s="1">
        <v>35255</v>
      </c>
      <c r="C156" t="s">
        <v>851</v>
      </c>
      <c r="D156" t="s">
        <v>110</v>
      </c>
      <c r="E156" t="s">
        <v>110</v>
      </c>
      <c r="F156" s="1">
        <v>5</v>
      </c>
      <c r="G156" s="1">
        <v>5</v>
      </c>
      <c r="H156" s="1">
        <v>0</v>
      </c>
      <c r="I156" s="1">
        <v>0</v>
      </c>
      <c r="J156" t="s">
        <v>25</v>
      </c>
      <c r="K156" t="s">
        <v>852</v>
      </c>
      <c r="L156" t="s">
        <v>3</v>
      </c>
      <c r="M156" t="str">
        <f>VLOOKUP(A156,'Tableau single and bulk'!A:B,2,FALSE)</f>
        <v>NEBAUTO</v>
      </c>
    </row>
    <row r="157" spans="1:13">
      <c r="A157" s="5" t="s">
        <v>1096</v>
      </c>
      <c r="B157" s="1">
        <v>35165</v>
      </c>
      <c r="C157" t="s">
        <v>1095</v>
      </c>
      <c r="D157" t="s">
        <v>83</v>
      </c>
      <c r="E157" t="s">
        <v>83</v>
      </c>
      <c r="F157" s="1">
        <v>2</v>
      </c>
      <c r="G157" s="1">
        <v>2</v>
      </c>
      <c r="H157" s="1">
        <v>0</v>
      </c>
      <c r="I157" s="1">
        <v>0</v>
      </c>
      <c r="J157" t="s">
        <v>25</v>
      </c>
      <c r="K157" t="s">
        <v>1096</v>
      </c>
      <c r="L157" t="s">
        <v>3</v>
      </c>
      <c r="M157" t="str">
        <f>VLOOKUP(A157,'Tableau single and bulk'!A:B,2,FALSE)</f>
        <v>NEBAUTO</v>
      </c>
    </row>
    <row r="158" spans="1:13">
      <c r="A158" s="5" t="s">
        <v>446</v>
      </c>
      <c r="B158" s="1">
        <v>35154</v>
      </c>
      <c r="C158" t="s">
        <v>445</v>
      </c>
      <c r="D158" t="s">
        <v>83</v>
      </c>
      <c r="E158" t="s">
        <v>83</v>
      </c>
      <c r="F158" s="1">
        <v>16</v>
      </c>
      <c r="G158" s="1">
        <v>16</v>
      </c>
      <c r="H158" s="1">
        <v>-14</v>
      </c>
      <c r="I158" s="1">
        <v>14</v>
      </c>
      <c r="J158" t="s">
        <v>25</v>
      </c>
      <c r="K158" t="s">
        <v>446</v>
      </c>
      <c r="L158" t="s">
        <v>3</v>
      </c>
      <c r="M158" t="str">
        <f>VLOOKUP(A158,'Tableau single and bulk'!A:B,2,FALSE)</f>
        <v>NEBAUTO</v>
      </c>
    </row>
    <row r="159" spans="1:13">
      <c r="A159" s="5" t="s">
        <v>1109</v>
      </c>
      <c r="B159" s="1">
        <v>35198</v>
      </c>
      <c r="C159" t="s">
        <v>808</v>
      </c>
      <c r="D159" t="s">
        <v>89</v>
      </c>
      <c r="E159" t="s">
        <v>89</v>
      </c>
      <c r="F159" s="1">
        <v>2</v>
      </c>
      <c r="G159" s="1">
        <v>2</v>
      </c>
      <c r="H159" s="1">
        <v>0</v>
      </c>
      <c r="I159" s="1">
        <v>0</v>
      </c>
      <c r="J159" t="s">
        <v>33</v>
      </c>
      <c r="K159" t="s">
        <v>1109</v>
      </c>
      <c r="L159" t="s">
        <v>3</v>
      </c>
      <c r="M159" t="str">
        <f>VLOOKUP(A159,'Tableau single and bulk'!A:B,2,FALSE)</f>
        <v>NEBAUTO</v>
      </c>
    </row>
    <row r="160" spans="1:13">
      <c r="A160" s="5" t="s">
        <v>75</v>
      </c>
      <c r="B160" s="1">
        <v>35132</v>
      </c>
      <c r="C160" t="s">
        <v>74</v>
      </c>
      <c r="D160" t="s">
        <v>72</v>
      </c>
      <c r="E160" t="s">
        <v>72</v>
      </c>
      <c r="F160" s="1">
        <v>1</v>
      </c>
      <c r="G160" s="1">
        <v>1</v>
      </c>
      <c r="H160" s="1">
        <v>0</v>
      </c>
      <c r="I160" s="1">
        <v>0</v>
      </c>
      <c r="J160" t="s">
        <v>33</v>
      </c>
      <c r="K160" t="s">
        <v>75</v>
      </c>
      <c r="L160" t="s">
        <v>3</v>
      </c>
      <c r="M160" t="str">
        <f>VLOOKUP(A160,'Tableau single and bulk'!A:B,2,FALSE)</f>
        <v>NEBAUTO</v>
      </c>
    </row>
    <row r="161" spans="1:13">
      <c r="A161" s="5" t="s">
        <v>958</v>
      </c>
      <c r="B161" s="1">
        <v>35200</v>
      </c>
      <c r="C161" t="s">
        <v>957</v>
      </c>
      <c r="D161" t="s">
        <v>92</v>
      </c>
      <c r="E161" t="s">
        <v>92</v>
      </c>
      <c r="F161" s="1">
        <v>2</v>
      </c>
      <c r="G161" s="1">
        <v>2</v>
      </c>
      <c r="H161" s="1">
        <v>0</v>
      </c>
      <c r="I161" s="1">
        <v>0</v>
      </c>
      <c r="J161" t="s">
        <v>33</v>
      </c>
      <c r="K161" t="s">
        <v>958</v>
      </c>
      <c r="L161" t="s">
        <v>3</v>
      </c>
      <c r="M161" t="str">
        <f>VLOOKUP(A161,'Tableau single and bulk'!A:B,2,FALSE)</f>
        <v>NEBAUTO</v>
      </c>
    </row>
    <row r="162" spans="1:13">
      <c r="A162" s="5" t="s">
        <v>964</v>
      </c>
      <c r="B162" s="1">
        <v>35218</v>
      </c>
      <c r="C162" t="s">
        <v>963</v>
      </c>
      <c r="D162" t="s">
        <v>92</v>
      </c>
      <c r="E162" t="s">
        <v>92</v>
      </c>
      <c r="F162" s="1">
        <v>2</v>
      </c>
      <c r="G162" s="1">
        <v>2</v>
      </c>
      <c r="H162" s="1">
        <v>0</v>
      </c>
      <c r="I162" s="1">
        <v>0</v>
      </c>
      <c r="J162" t="s">
        <v>33</v>
      </c>
      <c r="K162" t="s">
        <v>964</v>
      </c>
      <c r="L162" t="s">
        <v>3</v>
      </c>
      <c r="M162" t="str">
        <f>VLOOKUP(A162,'Tableau single and bulk'!A:B,2,FALSE)</f>
        <v>NEBAUTO</v>
      </c>
    </row>
    <row r="163" spans="1:13">
      <c r="A163" s="5" t="s">
        <v>1137</v>
      </c>
      <c r="B163" s="1">
        <v>35266</v>
      </c>
      <c r="C163" t="s">
        <v>1136</v>
      </c>
      <c r="D163" t="s">
        <v>110</v>
      </c>
      <c r="E163" t="s">
        <v>110</v>
      </c>
      <c r="F163" s="1">
        <v>2</v>
      </c>
      <c r="G163" s="1">
        <v>2</v>
      </c>
      <c r="H163" s="1">
        <v>0</v>
      </c>
      <c r="I163" s="1">
        <v>0</v>
      </c>
      <c r="J163" t="s">
        <v>18</v>
      </c>
      <c r="K163" t="s">
        <v>1137</v>
      </c>
      <c r="L163" t="s">
        <v>3</v>
      </c>
      <c r="M163" t="str">
        <f>VLOOKUP(A163,'Tableau single and bulk'!A:B,2,FALSE)</f>
        <v>NEBAUTO</v>
      </c>
    </row>
    <row r="164" spans="1:13">
      <c r="A164" s="5" t="s">
        <v>991</v>
      </c>
      <c r="B164" s="1">
        <v>35268</v>
      </c>
      <c r="C164" t="s">
        <v>990</v>
      </c>
      <c r="D164" t="s">
        <v>110</v>
      </c>
      <c r="E164" t="s">
        <v>110</v>
      </c>
      <c r="F164" s="1">
        <v>5</v>
      </c>
      <c r="G164" s="1">
        <v>5</v>
      </c>
      <c r="H164" s="1">
        <v>0</v>
      </c>
      <c r="I164" s="1">
        <v>0</v>
      </c>
      <c r="J164" t="s">
        <v>28</v>
      </c>
      <c r="K164" t="s">
        <v>991</v>
      </c>
      <c r="L164" t="s">
        <v>3</v>
      </c>
      <c r="M164" t="str">
        <f>VLOOKUP(A164,'Tableau single and bulk'!A:B,2,FALSE)</f>
        <v>NEBAUTO</v>
      </c>
    </row>
    <row r="165" spans="1:13">
      <c r="A165" s="5" t="s">
        <v>856</v>
      </c>
      <c r="B165" s="1">
        <v>35257</v>
      </c>
      <c r="C165" t="s">
        <v>855</v>
      </c>
      <c r="D165" t="s">
        <v>110</v>
      </c>
      <c r="E165" t="s">
        <v>110</v>
      </c>
      <c r="F165" s="1">
        <v>4</v>
      </c>
      <c r="G165" s="1">
        <v>4</v>
      </c>
      <c r="H165" s="1">
        <v>0</v>
      </c>
      <c r="I165" s="1">
        <v>0</v>
      </c>
      <c r="J165" t="s">
        <v>28</v>
      </c>
      <c r="K165" t="s">
        <v>856</v>
      </c>
      <c r="L165" t="s">
        <v>3</v>
      </c>
      <c r="M165" t="str">
        <f>VLOOKUP(A165,'Tableau single and bulk'!A:B,2,FALSE)</f>
        <v>NEBAUTO</v>
      </c>
    </row>
    <row r="166" spans="1:13">
      <c r="A166" s="5" t="s">
        <v>1108</v>
      </c>
      <c r="B166" s="1">
        <v>35196</v>
      </c>
      <c r="C166" t="s">
        <v>1107</v>
      </c>
      <c r="D166" t="s">
        <v>89</v>
      </c>
      <c r="E166" t="s">
        <v>89</v>
      </c>
      <c r="F166" s="1">
        <v>53</v>
      </c>
      <c r="G166" s="1">
        <v>53</v>
      </c>
      <c r="H166" s="1">
        <v>-13</v>
      </c>
      <c r="I166" s="1">
        <v>13</v>
      </c>
      <c r="J166" t="s">
        <v>33</v>
      </c>
      <c r="K166" t="s">
        <v>1108</v>
      </c>
      <c r="L166" t="s">
        <v>3</v>
      </c>
      <c r="M166" t="str">
        <f>VLOOKUP(A166,'Tableau single and bulk'!A:B,2,FALSE)</f>
        <v>NEBAUTO</v>
      </c>
    </row>
    <row r="167" spans="1:13">
      <c r="A167" s="5" t="s">
        <v>793</v>
      </c>
      <c r="B167" s="1">
        <v>35412</v>
      </c>
      <c r="C167" t="s">
        <v>792</v>
      </c>
      <c r="D167" t="s">
        <v>223</v>
      </c>
      <c r="E167" t="s">
        <v>223</v>
      </c>
      <c r="F167" s="1">
        <v>77</v>
      </c>
      <c r="G167" s="1">
        <v>77</v>
      </c>
      <c r="H167" s="1">
        <v>0</v>
      </c>
      <c r="I167" s="1">
        <v>0</v>
      </c>
      <c r="J167" t="s">
        <v>28</v>
      </c>
      <c r="K167" t="s">
        <v>793</v>
      </c>
      <c r="L167" t="s">
        <v>3</v>
      </c>
      <c r="M167" t="str">
        <f>VLOOKUP(A167,'Tableau single and bulk'!A:B,2,FALSE)</f>
        <v>NEBAUTO</v>
      </c>
    </row>
    <row r="168" spans="1:13">
      <c r="A168" s="5" t="s">
        <v>458</v>
      </c>
      <c r="B168" s="1">
        <v>35181</v>
      </c>
      <c r="C168" t="s">
        <v>457</v>
      </c>
      <c r="D168" t="s">
        <v>83</v>
      </c>
      <c r="E168" t="s">
        <v>83</v>
      </c>
      <c r="F168" s="1">
        <v>5</v>
      </c>
      <c r="G168" s="1">
        <v>5</v>
      </c>
      <c r="H168" s="1">
        <v>0</v>
      </c>
      <c r="I168" s="1">
        <v>0</v>
      </c>
      <c r="J168" t="s">
        <v>24</v>
      </c>
      <c r="K168" t="s">
        <v>458</v>
      </c>
      <c r="L168" t="s">
        <v>3</v>
      </c>
      <c r="M168" t="str">
        <f>VLOOKUP(A168,'Tableau single and bulk'!A:B,2,FALSE)</f>
        <v>NEBAUTO</v>
      </c>
    </row>
    <row r="169" spans="1:13">
      <c r="A169" s="5" t="s">
        <v>987</v>
      </c>
      <c r="B169" s="1">
        <v>35253</v>
      </c>
      <c r="C169" t="s">
        <v>986</v>
      </c>
      <c r="D169" t="s">
        <v>92</v>
      </c>
      <c r="E169" t="s">
        <v>92</v>
      </c>
      <c r="F169" s="1">
        <v>1</v>
      </c>
      <c r="G169" s="1">
        <v>1</v>
      </c>
      <c r="H169" s="1">
        <v>0</v>
      </c>
      <c r="I169" s="1">
        <v>0</v>
      </c>
      <c r="J169" t="s">
        <v>18</v>
      </c>
      <c r="K169" t="s">
        <v>987</v>
      </c>
      <c r="L169" t="s">
        <v>3</v>
      </c>
      <c r="M169" t="str">
        <f>VLOOKUP(A169,'Tableau single and bulk'!A:B,2,FALSE)</f>
        <v>NEBAUTO</v>
      </c>
    </row>
    <row r="170" spans="1:13">
      <c r="A170" s="5" t="s">
        <v>460</v>
      </c>
      <c r="B170" s="1">
        <v>35182</v>
      </c>
      <c r="C170" t="s">
        <v>459</v>
      </c>
      <c r="D170" t="s">
        <v>83</v>
      </c>
      <c r="E170" t="s">
        <v>83</v>
      </c>
      <c r="F170" s="1">
        <v>3</v>
      </c>
      <c r="G170" s="1">
        <v>3</v>
      </c>
      <c r="H170" s="1">
        <v>0</v>
      </c>
      <c r="I170" s="1">
        <v>0</v>
      </c>
      <c r="J170" t="s">
        <v>24</v>
      </c>
      <c r="K170" t="s">
        <v>460</v>
      </c>
      <c r="L170" t="s">
        <v>3</v>
      </c>
      <c r="M170" t="str">
        <f>VLOOKUP(A170,'Tableau single and bulk'!A:B,2,FALSE)</f>
        <v>NEBAUTO</v>
      </c>
    </row>
    <row r="171" spans="1:13">
      <c r="A171" s="5" t="s">
        <v>456</v>
      </c>
      <c r="B171" s="1">
        <v>35180</v>
      </c>
      <c r="C171" t="s">
        <v>455</v>
      </c>
      <c r="D171" t="s">
        <v>83</v>
      </c>
      <c r="E171" t="s">
        <v>83</v>
      </c>
      <c r="F171" s="1">
        <v>1</v>
      </c>
      <c r="G171" s="1">
        <v>1</v>
      </c>
      <c r="H171" s="1">
        <v>0</v>
      </c>
      <c r="I171" s="1">
        <v>0</v>
      </c>
      <c r="J171" t="s">
        <v>24</v>
      </c>
      <c r="K171" t="s">
        <v>456</v>
      </c>
      <c r="L171" t="s">
        <v>3</v>
      </c>
      <c r="M171" t="str">
        <f>VLOOKUP(A171,'Tableau single and bulk'!A:B,2,FALSE)</f>
        <v>NEBAUTO</v>
      </c>
    </row>
    <row r="172" spans="1:13">
      <c r="A172" s="5" t="s">
        <v>477</v>
      </c>
      <c r="B172" s="1">
        <v>35259</v>
      </c>
      <c r="C172" t="s">
        <v>476</v>
      </c>
      <c r="D172" t="s">
        <v>110</v>
      </c>
      <c r="E172" t="s">
        <v>110</v>
      </c>
      <c r="F172" s="1">
        <v>2</v>
      </c>
      <c r="G172" s="1">
        <v>2</v>
      </c>
      <c r="H172" s="1">
        <v>0</v>
      </c>
      <c r="I172" s="1">
        <v>0</v>
      </c>
      <c r="J172" t="s">
        <v>18</v>
      </c>
      <c r="K172" t="s">
        <v>477</v>
      </c>
      <c r="L172" t="s">
        <v>3</v>
      </c>
      <c r="M172" t="str">
        <f>VLOOKUP(A172,'Tableau single and bulk'!A:B,2,FALSE)</f>
        <v>NEBAUTO</v>
      </c>
    </row>
    <row r="173" spans="1:13">
      <c r="A173" s="5" t="s">
        <v>716</v>
      </c>
      <c r="B173" s="1">
        <v>35126</v>
      </c>
      <c r="C173" t="s">
        <v>715</v>
      </c>
      <c r="D173" t="s">
        <v>72</v>
      </c>
      <c r="E173" t="s">
        <v>72</v>
      </c>
      <c r="F173" s="1">
        <v>1</v>
      </c>
      <c r="G173" s="1">
        <v>1</v>
      </c>
      <c r="H173" s="1">
        <v>0</v>
      </c>
      <c r="I173" s="1">
        <v>0</v>
      </c>
      <c r="J173" t="s">
        <v>25</v>
      </c>
      <c r="K173" t="s">
        <v>716</v>
      </c>
      <c r="L173" t="s">
        <v>3</v>
      </c>
      <c r="M173" t="str">
        <f>VLOOKUP(A173,'Tableau single and bulk'!A:B,2,FALSE)</f>
        <v>NEBAUTO</v>
      </c>
    </row>
    <row r="174" spans="1:13">
      <c r="A174" s="5" t="s">
        <v>966</v>
      </c>
      <c r="B174" s="1">
        <v>35219</v>
      </c>
      <c r="C174" t="s">
        <v>965</v>
      </c>
      <c r="D174" t="s">
        <v>92</v>
      </c>
      <c r="E174" t="s">
        <v>92</v>
      </c>
      <c r="F174" s="1">
        <v>1</v>
      </c>
      <c r="G174" s="1">
        <v>1</v>
      </c>
      <c r="H174" s="1">
        <v>0</v>
      </c>
      <c r="I174" s="1">
        <v>0</v>
      </c>
      <c r="J174" t="s">
        <v>33</v>
      </c>
      <c r="K174" t="s">
        <v>966</v>
      </c>
      <c r="L174" t="s">
        <v>3</v>
      </c>
      <c r="M174" t="str">
        <f>VLOOKUP(A174,'Tableau single and bulk'!A:B,2,FALSE)</f>
        <v>NEBAUTO</v>
      </c>
    </row>
    <row r="175" spans="1:13">
      <c r="A175" s="5" t="s">
        <v>444</v>
      </c>
      <c r="B175" s="1">
        <v>35129</v>
      </c>
      <c r="C175" t="s">
        <v>443</v>
      </c>
      <c r="D175" t="s">
        <v>72</v>
      </c>
      <c r="E175" t="s">
        <v>72</v>
      </c>
      <c r="F175" s="1">
        <v>6</v>
      </c>
      <c r="G175" s="1">
        <v>6</v>
      </c>
      <c r="H175" s="1">
        <v>0</v>
      </c>
      <c r="I175" s="1">
        <v>0</v>
      </c>
      <c r="J175" t="s">
        <v>25</v>
      </c>
      <c r="K175" t="s">
        <v>444</v>
      </c>
      <c r="L175" t="s">
        <v>3</v>
      </c>
      <c r="M175" t="str">
        <f>VLOOKUP(A175,'Tableau single and bulk'!A:B,2,FALSE)</f>
        <v>NEBAUTO</v>
      </c>
    </row>
    <row r="176" spans="1:13">
      <c r="A176" s="5" t="s">
        <v>720</v>
      </c>
      <c r="B176" s="1">
        <v>35131</v>
      </c>
      <c r="C176" t="s">
        <v>719</v>
      </c>
      <c r="D176" t="s">
        <v>72</v>
      </c>
      <c r="E176" t="s">
        <v>72</v>
      </c>
      <c r="F176" s="1">
        <v>1</v>
      </c>
      <c r="G176" s="1">
        <v>1</v>
      </c>
      <c r="H176" s="1">
        <v>0</v>
      </c>
      <c r="I176" s="1">
        <v>0</v>
      </c>
      <c r="J176" t="s">
        <v>25</v>
      </c>
      <c r="K176" t="s">
        <v>720</v>
      </c>
      <c r="L176" t="s">
        <v>3</v>
      </c>
      <c r="M176" t="str">
        <f>VLOOKUP(A176,'Tableau single and bulk'!A:B,2,FALSE)</f>
        <v>NEBAUTO</v>
      </c>
    </row>
    <row r="177" spans="1:13">
      <c r="A177" s="5" t="s">
        <v>1208</v>
      </c>
      <c r="B177" s="1">
        <v>35468</v>
      </c>
      <c r="C177" t="s">
        <v>1207</v>
      </c>
      <c r="D177" t="s">
        <v>237</v>
      </c>
      <c r="E177" t="s">
        <v>237</v>
      </c>
      <c r="F177" s="1">
        <v>3</v>
      </c>
      <c r="G177" s="1">
        <v>3</v>
      </c>
      <c r="H177" s="1">
        <v>0</v>
      </c>
      <c r="I177" s="1">
        <v>0</v>
      </c>
      <c r="J177" t="s">
        <v>24</v>
      </c>
      <c r="K177" t="s">
        <v>1208</v>
      </c>
      <c r="L177" t="s">
        <v>3</v>
      </c>
      <c r="M177" t="str">
        <f>VLOOKUP(A177,'Tableau single and bulk'!A:B,2,FALSE)</f>
        <v>NEBAUTO</v>
      </c>
    </row>
    <row r="178" spans="1:13">
      <c r="A178" s="5" t="s">
        <v>1139</v>
      </c>
      <c r="B178" s="1">
        <v>35267</v>
      </c>
      <c r="C178" t="s">
        <v>1138</v>
      </c>
      <c r="D178" t="s">
        <v>110</v>
      </c>
      <c r="E178" t="s">
        <v>110</v>
      </c>
      <c r="F178" s="1">
        <v>12</v>
      </c>
      <c r="G178" s="1">
        <v>12</v>
      </c>
      <c r="H178" s="1">
        <v>0</v>
      </c>
      <c r="I178" s="1">
        <v>0</v>
      </c>
      <c r="J178" t="s">
        <v>25</v>
      </c>
      <c r="K178" t="s">
        <v>1139</v>
      </c>
      <c r="L178" t="s">
        <v>3</v>
      </c>
      <c r="M178" t="str">
        <f>VLOOKUP(A178,'Tableau single and bulk'!A:B,2,FALSE)</f>
        <v>NEBAUTO</v>
      </c>
    </row>
    <row r="179" spans="1:13">
      <c r="A179" s="5" t="s">
        <v>728</v>
      </c>
      <c r="B179" s="1">
        <v>35174</v>
      </c>
      <c r="C179" t="s">
        <v>727</v>
      </c>
      <c r="D179" t="s">
        <v>83</v>
      </c>
      <c r="E179" t="s">
        <v>83</v>
      </c>
      <c r="F179" s="1">
        <v>1</v>
      </c>
      <c r="G179" s="1">
        <v>1</v>
      </c>
      <c r="H179" s="1">
        <v>0</v>
      </c>
      <c r="I179" s="1">
        <v>0</v>
      </c>
      <c r="J179" t="s">
        <v>24</v>
      </c>
      <c r="K179" t="s">
        <v>728</v>
      </c>
      <c r="L179" t="s">
        <v>3</v>
      </c>
      <c r="M179" t="str">
        <f>VLOOKUP(A179,'Tableau single and bulk'!A:B,2,FALSE)</f>
        <v>NEBAUTO</v>
      </c>
    </row>
    <row r="180" spans="1:13">
      <c r="A180" s="5" t="s">
        <v>1141</v>
      </c>
      <c r="B180" s="1">
        <v>35269</v>
      </c>
      <c r="C180" t="s">
        <v>1140</v>
      </c>
      <c r="D180" t="s">
        <v>110</v>
      </c>
      <c r="E180" t="s">
        <v>110</v>
      </c>
      <c r="F180" s="1">
        <v>5</v>
      </c>
      <c r="G180" s="1">
        <v>5</v>
      </c>
      <c r="H180" s="1">
        <v>0</v>
      </c>
      <c r="I180" s="1">
        <v>0</v>
      </c>
      <c r="J180" t="s">
        <v>25</v>
      </c>
      <c r="K180" t="s">
        <v>1141</v>
      </c>
      <c r="L180" t="s">
        <v>3</v>
      </c>
      <c r="M180" t="str">
        <f>VLOOKUP(A180,'Tableau single and bulk'!A:B,2,FALSE)</f>
        <v>NEBAUTO</v>
      </c>
    </row>
    <row r="181" spans="1:13">
      <c r="A181" s="5" t="s">
        <v>77</v>
      </c>
      <c r="B181" s="1">
        <v>35133</v>
      </c>
      <c r="C181" t="s">
        <v>76</v>
      </c>
      <c r="D181" t="s">
        <v>72</v>
      </c>
      <c r="E181" t="s">
        <v>72</v>
      </c>
      <c r="F181" s="1">
        <v>2</v>
      </c>
      <c r="G181" s="1">
        <v>2</v>
      </c>
      <c r="H181" s="1">
        <v>0</v>
      </c>
      <c r="I181" s="1">
        <v>0</v>
      </c>
      <c r="J181" t="s">
        <v>33</v>
      </c>
      <c r="K181" t="s">
        <v>77</v>
      </c>
      <c r="L181" t="s">
        <v>3</v>
      </c>
      <c r="M181" t="str">
        <f>VLOOKUP(A181,'Tableau single and bulk'!A:B,2,FALSE)</f>
        <v>NEBAUTO</v>
      </c>
    </row>
    <row r="182" spans="1:13">
      <c r="A182" s="5" t="s">
        <v>940</v>
      </c>
      <c r="B182" s="1">
        <v>35136</v>
      </c>
      <c r="C182" t="s">
        <v>717</v>
      </c>
      <c r="D182" t="s">
        <v>72</v>
      </c>
      <c r="E182" t="s">
        <v>72</v>
      </c>
      <c r="F182" s="1">
        <v>5</v>
      </c>
      <c r="G182" s="1">
        <v>5</v>
      </c>
      <c r="H182" s="1">
        <v>0</v>
      </c>
      <c r="I182" s="1">
        <v>0</v>
      </c>
      <c r="J182" t="s">
        <v>33</v>
      </c>
      <c r="K182" t="s">
        <v>940</v>
      </c>
      <c r="L182" t="s">
        <v>3</v>
      </c>
      <c r="M182" t="str">
        <f>VLOOKUP(A182,'Tableau single and bulk'!A:B,2,FALSE)</f>
        <v>NEBAUTO</v>
      </c>
    </row>
    <row r="183" spans="1:13">
      <c r="A183" s="5" t="s">
        <v>117</v>
      </c>
      <c r="B183" s="1">
        <v>35275</v>
      </c>
      <c r="C183" t="s">
        <v>116</v>
      </c>
      <c r="D183" t="s">
        <v>110</v>
      </c>
      <c r="E183" t="s">
        <v>110</v>
      </c>
      <c r="F183" s="1">
        <v>2</v>
      </c>
      <c r="G183" s="1">
        <v>2</v>
      </c>
      <c r="H183" s="1">
        <v>0</v>
      </c>
      <c r="I183" s="1">
        <v>0</v>
      </c>
      <c r="J183" t="s">
        <v>25</v>
      </c>
      <c r="K183" t="s">
        <v>117</v>
      </c>
      <c r="L183" t="s">
        <v>3</v>
      </c>
      <c r="M183" t="str">
        <f>VLOOKUP(A183,'Tableau single and bulk'!A:B,2,FALSE)</f>
        <v>NEBAUTO</v>
      </c>
    </row>
    <row r="184" spans="1:13">
      <c r="A184" s="5" t="s">
        <v>145</v>
      </c>
      <c r="B184" s="1">
        <v>35338</v>
      </c>
      <c r="C184" t="s">
        <v>144</v>
      </c>
      <c r="D184" t="s">
        <v>134</v>
      </c>
      <c r="E184" t="s">
        <v>134</v>
      </c>
      <c r="F184" s="1">
        <v>5</v>
      </c>
      <c r="G184" s="1">
        <v>5</v>
      </c>
      <c r="H184" s="1">
        <v>0</v>
      </c>
      <c r="I184" s="1">
        <v>0</v>
      </c>
      <c r="J184" t="s">
        <v>28</v>
      </c>
      <c r="K184" t="s">
        <v>145</v>
      </c>
      <c r="L184" t="s">
        <v>3</v>
      </c>
      <c r="M184" t="str">
        <f>VLOOKUP(A184,'Tableau single and bulk'!A:B,2,FALSE)</f>
        <v>NEBAUTO</v>
      </c>
    </row>
    <row r="185" spans="1:13">
      <c r="A185" s="5" t="s">
        <v>485</v>
      </c>
      <c r="B185" s="1">
        <v>35317</v>
      </c>
      <c r="C185" t="s">
        <v>484</v>
      </c>
      <c r="D185" t="s">
        <v>134</v>
      </c>
      <c r="E185" t="s">
        <v>134</v>
      </c>
      <c r="F185" s="1">
        <v>2</v>
      </c>
      <c r="G185" s="1">
        <v>2</v>
      </c>
      <c r="H185" s="1">
        <v>0</v>
      </c>
      <c r="I185" s="1">
        <v>0</v>
      </c>
      <c r="J185" t="s">
        <v>18</v>
      </c>
      <c r="K185" t="s">
        <v>485</v>
      </c>
      <c r="L185" t="s">
        <v>3</v>
      </c>
      <c r="M185" t="str">
        <f>VLOOKUP(A185,'Tableau single and bulk'!A:B,2,FALSE)</f>
        <v>NEBAUTO</v>
      </c>
    </row>
    <row r="186" spans="1:13">
      <c r="A186" s="5" t="s">
        <v>1102</v>
      </c>
      <c r="B186" s="1">
        <v>35188</v>
      </c>
      <c r="C186" t="s">
        <v>1101</v>
      </c>
      <c r="D186" t="s">
        <v>89</v>
      </c>
      <c r="E186" t="s">
        <v>89</v>
      </c>
      <c r="F186" s="1">
        <v>2</v>
      </c>
      <c r="G186" s="1">
        <v>2</v>
      </c>
      <c r="H186" s="1">
        <v>0</v>
      </c>
      <c r="I186" s="1">
        <v>0</v>
      </c>
      <c r="J186" t="s">
        <v>33</v>
      </c>
      <c r="K186" t="s">
        <v>1102</v>
      </c>
      <c r="L186" t="s">
        <v>3</v>
      </c>
      <c r="M186" t="str">
        <f>VLOOKUP(A186,'Tableau single and bulk'!A:B,2,FALSE)</f>
        <v>NEBAUTO</v>
      </c>
    </row>
    <row r="187" spans="1:13">
      <c r="A187" s="5" t="s">
        <v>1031</v>
      </c>
      <c r="B187" s="1">
        <v>35319</v>
      </c>
      <c r="C187" t="s">
        <v>1030</v>
      </c>
      <c r="D187" t="s">
        <v>134</v>
      </c>
      <c r="E187" t="s">
        <v>134</v>
      </c>
      <c r="F187" s="1">
        <v>2</v>
      </c>
      <c r="G187" s="1">
        <v>2</v>
      </c>
      <c r="H187" s="1">
        <v>0</v>
      </c>
      <c r="I187" s="1">
        <v>0</v>
      </c>
      <c r="J187" t="s">
        <v>18</v>
      </c>
      <c r="K187" t="s">
        <v>1031</v>
      </c>
      <c r="L187" t="s">
        <v>3</v>
      </c>
      <c r="M187" t="str">
        <f>VLOOKUP(A187,'Tableau single and bulk'!A:B,2,FALSE)</f>
        <v>NEBAUTO</v>
      </c>
    </row>
    <row r="188" spans="1:13">
      <c r="A188" s="5" t="s">
        <v>81</v>
      </c>
      <c r="B188" s="1">
        <v>35140</v>
      </c>
      <c r="C188" t="s">
        <v>80</v>
      </c>
      <c r="D188" t="s">
        <v>72</v>
      </c>
      <c r="E188" t="s">
        <v>72</v>
      </c>
      <c r="F188" s="1">
        <v>50</v>
      </c>
      <c r="G188" s="1">
        <v>50</v>
      </c>
      <c r="H188" s="1">
        <v>-2</v>
      </c>
      <c r="I188" s="1">
        <v>2</v>
      </c>
      <c r="J188" t="s">
        <v>25</v>
      </c>
      <c r="K188" t="s">
        <v>81</v>
      </c>
      <c r="L188" t="s">
        <v>3</v>
      </c>
      <c r="M188" t="str">
        <f>VLOOKUP(A188,'Tableau single and bulk'!A:B,2,FALSE)</f>
        <v>NEBAUTO</v>
      </c>
    </row>
    <row r="189" spans="1:13">
      <c r="A189" s="5" t="s">
        <v>789</v>
      </c>
      <c r="B189" s="1">
        <v>35141</v>
      </c>
      <c r="C189" t="s">
        <v>788</v>
      </c>
      <c r="D189" t="s">
        <v>72</v>
      </c>
      <c r="E189" t="s">
        <v>72</v>
      </c>
      <c r="F189" s="1">
        <v>1</v>
      </c>
      <c r="G189" s="1">
        <v>1</v>
      </c>
      <c r="H189" s="1">
        <v>0</v>
      </c>
      <c r="I189" s="1">
        <v>0</v>
      </c>
      <c r="J189" t="s">
        <v>25</v>
      </c>
      <c r="K189" t="s">
        <v>789</v>
      </c>
      <c r="L189" t="s">
        <v>3</v>
      </c>
      <c r="M189" t="str">
        <f>VLOOKUP(A189,'Tableau single and bulk'!A:B,2,FALSE)</f>
        <v>NEBAUTO</v>
      </c>
    </row>
    <row r="190" spans="1:13">
      <c r="A190" s="5" t="s">
        <v>147</v>
      </c>
      <c r="B190" s="1">
        <v>35339</v>
      </c>
      <c r="C190" t="s">
        <v>146</v>
      </c>
      <c r="D190" t="s">
        <v>134</v>
      </c>
      <c r="E190" t="s">
        <v>134</v>
      </c>
      <c r="F190" s="1">
        <v>9</v>
      </c>
      <c r="G190" s="1">
        <v>9</v>
      </c>
      <c r="H190" s="1">
        <v>0</v>
      </c>
      <c r="I190" s="1">
        <v>0</v>
      </c>
      <c r="J190" t="s">
        <v>18</v>
      </c>
      <c r="K190" t="s">
        <v>147</v>
      </c>
      <c r="L190" t="s">
        <v>3</v>
      </c>
      <c r="M190" t="str">
        <f>VLOOKUP(A190,'Tableau single and bulk'!A:B,2,FALSE)</f>
        <v>NEBAUTO</v>
      </c>
    </row>
    <row r="191" spans="1:13">
      <c r="A191" s="5" t="s">
        <v>130</v>
      </c>
      <c r="B191" s="1">
        <v>35296</v>
      </c>
      <c r="C191" t="s">
        <v>129</v>
      </c>
      <c r="D191" t="s">
        <v>110</v>
      </c>
      <c r="E191" t="s">
        <v>110</v>
      </c>
      <c r="F191" s="1">
        <v>1</v>
      </c>
      <c r="G191" s="1">
        <v>1</v>
      </c>
      <c r="H191" s="1">
        <v>0</v>
      </c>
      <c r="I191" s="1">
        <v>0</v>
      </c>
      <c r="J191" t="s">
        <v>18</v>
      </c>
      <c r="K191" t="s">
        <v>130</v>
      </c>
      <c r="L191" t="s">
        <v>3</v>
      </c>
      <c r="M191" t="str">
        <f>VLOOKUP(A191,'Tableau single and bulk'!A:B,2,FALSE)</f>
        <v>NEBAUTO</v>
      </c>
    </row>
    <row r="192" spans="1:13">
      <c r="A192" s="5" t="s">
        <v>1104</v>
      </c>
      <c r="B192" s="1">
        <v>35189</v>
      </c>
      <c r="C192" t="s">
        <v>1103</v>
      </c>
      <c r="D192" t="s">
        <v>89</v>
      </c>
      <c r="E192" t="s">
        <v>89</v>
      </c>
      <c r="F192" s="1">
        <v>1</v>
      </c>
      <c r="G192" s="1">
        <v>1</v>
      </c>
      <c r="H192" s="1">
        <v>0</v>
      </c>
      <c r="I192" s="1">
        <v>0</v>
      </c>
      <c r="J192" t="s">
        <v>33</v>
      </c>
      <c r="K192" t="s">
        <v>1104</v>
      </c>
      <c r="L192" t="s">
        <v>3</v>
      </c>
      <c r="M192" t="str">
        <f>VLOOKUP(A192,'Tableau single and bulk'!A:B,2,FALSE)</f>
        <v>NEBAUTO</v>
      </c>
    </row>
    <row r="193" spans="1:13">
      <c r="A193" s="5" t="s">
        <v>1147</v>
      </c>
      <c r="B193" s="1">
        <v>35335</v>
      </c>
      <c r="C193" t="s">
        <v>1146</v>
      </c>
      <c r="D193" t="s">
        <v>134</v>
      </c>
      <c r="E193" t="s">
        <v>134</v>
      </c>
      <c r="F193" s="1">
        <v>1</v>
      </c>
      <c r="G193" s="1">
        <v>1</v>
      </c>
      <c r="H193" s="1">
        <v>0</v>
      </c>
      <c r="I193" s="1">
        <v>0</v>
      </c>
      <c r="J193" t="s">
        <v>18</v>
      </c>
      <c r="K193" t="s">
        <v>1147</v>
      </c>
      <c r="L193" t="s">
        <v>3</v>
      </c>
      <c r="M193" t="str">
        <f>VLOOKUP(A193,'Tableau single and bulk'!A:B,2,FALSE)</f>
        <v>NEBAUTO</v>
      </c>
    </row>
    <row r="194" spans="1:13">
      <c r="A194" s="5" t="s">
        <v>1169</v>
      </c>
      <c r="B194" s="1">
        <v>35414</v>
      </c>
      <c r="C194" t="s">
        <v>1168</v>
      </c>
      <c r="D194" t="s">
        <v>223</v>
      </c>
      <c r="E194" t="s">
        <v>223</v>
      </c>
      <c r="F194" s="1">
        <v>3</v>
      </c>
      <c r="G194" s="1">
        <v>3</v>
      </c>
      <c r="H194" s="1">
        <v>0</v>
      </c>
      <c r="I194" s="1">
        <v>0</v>
      </c>
      <c r="J194" t="s">
        <v>28</v>
      </c>
      <c r="K194" t="s">
        <v>1169</v>
      </c>
      <c r="L194" t="s">
        <v>3</v>
      </c>
      <c r="M194" t="str">
        <f>VLOOKUP(A194,'Tableau single and bulk'!A:B,2,FALSE)</f>
        <v>NEBAUTO</v>
      </c>
    </row>
    <row r="195" spans="1:13">
      <c r="A195" s="5" t="s">
        <v>454</v>
      </c>
      <c r="B195" s="1">
        <v>35173</v>
      </c>
      <c r="C195" t="s">
        <v>453</v>
      </c>
      <c r="D195" t="s">
        <v>83</v>
      </c>
      <c r="E195" t="s">
        <v>83</v>
      </c>
      <c r="F195" s="1">
        <v>1</v>
      </c>
      <c r="G195" s="1">
        <v>1</v>
      </c>
      <c r="H195" s="1">
        <v>0</v>
      </c>
      <c r="I195" s="1">
        <v>0</v>
      </c>
      <c r="J195" t="s">
        <v>24</v>
      </c>
      <c r="K195" t="s">
        <v>454</v>
      </c>
      <c r="L195" t="s">
        <v>3</v>
      </c>
      <c r="M195" t="str">
        <f>VLOOKUP(A195,'Tableau single and bulk'!A:B,2,FALSE)</f>
        <v>NEBAUTO</v>
      </c>
    </row>
    <row r="196" spans="1:13">
      <c r="A196" s="5" t="s">
        <v>90</v>
      </c>
      <c r="B196" s="1">
        <v>35190</v>
      </c>
      <c r="C196" t="s">
        <v>88</v>
      </c>
      <c r="D196" t="s">
        <v>89</v>
      </c>
      <c r="E196" t="s">
        <v>89</v>
      </c>
      <c r="F196" s="1">
        <v>19</v>
      </c>
      <c r="G196" s="1">
        <v>19</v>
      </c>
      <c r="H196" s="1">
        <v>0</v>
      </c>
      <c r="I196" s="1">
        <v>0</v>
      </c>
      <c r="J196" t="s">
        <v>33</v>
      </c>
      <c r="K196" t="s">
        <v>90</v>
      </c>
      <c r="L196" t="s">
        <v>3</v>
      </c>
      <c r="M196" t="str">
        <f>VLOOKUP(A196,'Tableau single and bulk'!A:B,2,FALSE)</f>
        <v>NEBAUTO</v>
      </c>
    </row>
    <row r="197" spans="1:13">
      <c r="A197" s="5" t="s">
        <v>487</v>
      </c>
      <c r="B197" s="1">
        <v>35321</v>
      </c>
      <c r="C197" t="s">
        <v>486</v>
      </c>
      <c r="D197" t="s">
        <v>134</v>
      </c>
      <c r="E197" t="s">
        <v>134</v>
      </c>
      <c r="F197" s="1">
        <v>1</v>
      </c>
      <c r="G197" s="1">
        <v>1</v>
      </c>
      <c r="H197" s="1">
        <v>0</v>
      </c>
      <c r="I197" s="1">
        <v>0</v>
      </c>
      <c r="J197" t="s">
        <v>24</v>
      </c>
      <c r="K197" t="s">
        <v>487</v>
      </c>
      <c r="L197" t="s">
        <v>3</v>
      </c>
      <c r="M197" t="str">
        <f>VLOOKUP(A197,'Tableau single and bulk'!A:B,2,FALSE)</f>
        <v>NEBAUTO</v>
      </c>
    </row>
    <row r="198" spans="1:13">
      <c r="A198" s="5" t="s">
        <v>1033</v>
      </c>
      <c r="B198" s="1">
        <v>35337</v>
      </c>
      <c r="C198" t="s">
        <v>1032</v>
      </c>
      <c r="D198" t="s">
        <v>134</v>
      </c>
      <c r="E198" t="s">
        <v>134</v>
      </c>
      <c r="F198" s="1">
        <v>3</v>
      </c>
      <c r="G198" s="1">
        <v>3</v>
      </c>
      <c r="H198" s="1">
        <v>0</v>
      </c>
      <c r="I198" s="1">
        <v>0</v>
      </c>
      <c r="J198" t="s">
        <v>28</v>
      </c>
      <c r="K198" t="s">
        <v>1033</v>
      </c>
      <c r="L198" t="s">
        <v>3</v>
      </c>
      <c r="M198" t="str">
        <f>VLOOKUP(A198,'Tableau single and bulk'!A:B,2,FALSE)</f>
        <v>NEBAUTO</v>
      </c>
    </row>
    <row r="199" spans="1:13">
      <c r="A199" s="5" t="s">
        <v>489</v>
      </c>
      <c r="B199" s="1">
        <v>35323</v>
      </c>
      <c r="C199" t="s">
        <v>488</v>
      </c>
      <c r="D199" t="s">
        <v>134</v>
      </c>
      <c r="E199" t="s">
        <v>134</v>
      </c>
      <c r="F199" s="1">
        <v>7</v>
      </c>
      <c r="G199" s="1">
        <v>7</v>
      </c>
      <c r="H199" s="1">
        <v>0</v>
      </c>
      <c r="I199" s="1">
        <v>0</v>
      </c>
      <c r="J199" t="s">
        <v>24</v>
      </c>
      <c r="K199" t="s">
        <v>489</v>
      </c>
      <c r="L199" t="s">
        <v>3</v>
      </c>
      <c r="M199" t="str">
        <f>VLOOKUP(A199,'Tableau single and bulk'!A:B,2,FALSE)</f>
        <v>NEBAUTO</v>
      </c>
    </row>
    <row r="200" spans="1:13">
      <c r="A200" s="5" t="s">
        <v>726</v>
      </c>
      <c r="B200" s="1">
        <v>35172</v>
      </c>
      <c r="C200" t="s">
        <v>725</v>
      </c>
      <c r="D200" t="s">
        <v>83</v>
      </c>
      <c r="E200" t="s">
        <v>83</v>
      </c>
      <c r="F200" s="1">
        <v>2</v>
      </c>
      <c r="G200" s="1">
        <v>2</v>
      </c>
      <c r="H200" s="1">
        <v>0</v>
      </c>
      <c r="I200" s="1">
        <v>0</v>
      </c>
      <c r="J200" t="s">
        <v>24</v>
      </c>
      <c r="K200" t="s">
        <v>726</v>
      </c>
      <c r="L200" t="s">
        <v>3</v>
      </c>
      <c r="M200" t="str">
        <f>VLOOKUP(A200,'Tableau single and bulk'!A:B,2,FALSE)</f>
        <v>NEBAUTO</v>
      </c>
    </row>
    <row r="201" spans="1:13">
      <c r="A201" s="5" t="s">
        <v>123</v>
      </c>
      <c r="B201" s="1">
        <v>35284</v>
      </c>
      <c r="C201" t="s">
        <v>122</v>
      </c>
      <c r="D201" t="s">
        <v>110</v>
      </c>
      <c r="E201" t="s">
        <v>110</v>
      </c>
      <c r="F201" s="1">
        <v>2</v>
      </c>
      <c r="G201" s="1">
        <v>2</v>
      </c>
      <c r="H201" s="1">
        <v>0</v>
      </c>
      <c r="I201" s="1">
        <v>0</v>
      </c>
      <c r="J201" t="s">
        <v>25</v>
      </c>
      <c r="K201" t="s">
        <v>123</v>
      </c>
      <c r="L201" t="s">
        <v>3</v>
      </c>
      <c r="M201" t="str">
        <f>VLOOKUP(A201,'Tableau single and bulk'!A:B,2,FALSE)</f>
        <v>NEBAUTO</v>
      </c>
    </row>
    <row r="202" spans="1:13">
      <c r="A202" s="5" t="s">
        <v>462</v>
      </c>
      <c r="B202" s="1">
        <v>35208</v>
      </c>
      <c r="C202" t="s">
        <v>461</v>
      </c>
      <c r="D202" t="s">
        <v>92</v>
      </c>
      <c r="E202" t="s">
        <v>92</v>
      </c>
      <c r="F202" s="1">
        <v>2</v>
      </c>
      <c r="G202" s="1">
        <v>2</v>
      </c>
      <c r="H202" s="1">
        <v>0</v>
      </c>
      <c r="I202" s="1">
        <v>0</v>
      </c>
      <c r="J202" t="s">
        <v>18</v>
      </c>
      <c r="K202" t="s">
        <v>462</v>
      </c>
      <c r="L202" t="s">
        <v>3</v>
      </c>
      <c r="M202" t="str">
        <f>VLOOKUP(A202,'Tableau single and bulk'!A:B,2,FALSE)</f>
        <v>NEBAUTO</v>
      </c>
    </row>
    <row r="203" spans="1:13">
      <c r="A203" s="5" t="s">
        <v>1098</v>
      </c>
      <c r="B203" s="1">
        <v>35166</v>
      </c>
      <c r="C203" t="s">
        <v>1097</v>
      </c>
      <c r="D203" t="s">
        <v>83</v>
      </c>
      <c r="E203" t="s">
        <v>83</v>
      </c>
      <c r="F203" s="1">
        <v>1</v>
      </c>
      <c r="G203" s="1">
        <v>1</v>
      </c>
      <c r="H203" s="1">
        <v>0</v>
      </c>
      <c r="I203" s="1">
        <v>0</v>
      </c>
      <c r="J203" t="s">
        <v>25</v>
      </c>
      <c r="K203" t="s">
        <v>1098</v>
      </c>
      <c r="L203" t="s">
        <v>3</v>
      </c>
      <c r="M203" t="str">
        <f>VLOOKUP(A203,'Tableau single and bulk'!A:B,2,FALSE)</f>
        <v>NEBAUTO</v>
      </c>
    </row>
    <row r="204" spans="1:13">
      <c r="A204" s="5" t="s">
        <v>1100</v>
      </c>
      <c r="B204" s="1">
        <v>35167</v>
      </c>
      <c r="C204" t="s">
        <v>1099</v>
      </c>
      <c r="D204" t="s">
        <v>83</v>
      </c>
      <c r="E204" t="s">
        <v>83</v>
      </c>
      <c r="F204" s="1">
        <v>1</v>
      </c>
      <c r="G204" s="1">
        <v>1</v>
      </c>
      <c r="H204" s="1">
        <v>0</v>
      </c>
      <c r="I204" s="1">
        <v>0</v>
      </c>
      <c r="J204" t="s">
        <v>25</v>
      </c>
      <c r="K204" t="s">
        <v>1100</v>
      </c>
      <c r="L204" t="s">
        <v>3</v>
      </c>
      <c r="M204" t="str">
        <f>VLOOKUP(A204,'Tableau single and bulk'!A:B,2,FALSE)</f>
        <v>NEBAUTO</v>
      </c>
    </row>
    <row r="205" spans="1:13">
      <c r="A205" s="5" t="s">
        <v>722</v>
      </c>
      <c r="B205" s="1">
        <v>35168</v>
      </c>
      <c r="C205" t="s">
        <v>721</v>
      </c>
      <c r="D205" t="s">
        <v>83</v>
      </c>
      <c r="E205" t="s">
        <v>83</v>
      </c>
      <c r="F205" s="1">
        <v>1</v>
      </c>
      <c r="G205" s="1">
        <v>1</v>
      </c>
      <c r="H205" s="1">
        <v>0</v>
      </c>
      <c r="I205" s="1">
        <v>0</v>
      </c>
      <c r="J205" t="s">
        <v>25</v>
      </c>
      <c r="K205" t="s">
        <v>722</v>
      </c>
      <c r="L205" t="s">
        <v>3</v>
      </c>
      <c r="M205" t="str">
        <f>VLOOKUP(A205,'Tableau single and bulk'!A:B,2,FALSE)</f>
        <v>NEBAUTO</v>
      </c>
    </row>
    <row r="206" spans="1:13">
      <c r="A206" s="5" t="s">
        <v>724</v>
      </c>
      <c r="B206" s="1">
        <v>35171</v>
      </c>
      <c r="C206" t="s">
        <v>723</v>
      </c>
      <c r="D206" t="s">
        <v>83</v>
      </c>
      <c r="E206" t="s">
        <v>83</v>
      </c>
      <c r="F206" s="1">
        <v>1</v>
      </c>
      <c r="G206" s="1">
        <v>1</v>
      </c>
      <c r="H206" s="1">
        <v>0</v>
      </c>
      <c r="I206" s="1">
        <v>0</v>
      </c>
      <c r="J206" t="s">
        <v>25</v>
      </c>
      <c r="K206" t="s">
        <v>724</v>
      </c>
      <c r="L206" t="s">
        <v>3</v>
      </c>
      <c r="M206" t="str">
        <f>VLOOKUP(A206,'Tableau single and bulk'!A:B,2,FALSE)</f>
        <v>NEBAUTO</v>
      </c>
    </row>
    <row r="207" spans="1:13">
      <c r="A207" s="5" t="s">
        <v>483</v>
      </c>
      <c r="B207" s="1">
        <v>35316</v>
      </c>
      <c r="C207" t="s">
        <v>482</v>
      </c>
      <c r="D207" t="s">
        <v>134</v>
      </c>
      <c r="E207" t="s">
        <v>134</v>
      </c>
      <c r="F207" s="1">
        <v>2</v>
      </c>
      <c r="G207" s="1">
        <v>2</v>
      </c>
      <c r="H207" s="1">
        <v>0</v>
      </c>
      <c r="I207" s="1">
        <v>0</v>
      </c>
      <c r="J207" t="s">
        <v>24</v>
      </c>
      <c r="K207" t="s">
        <v>483</v>
      </c>
      <c r="L207" t="s">
        <v>3</v>
      </c>
      <c r="M207" t="str">
        <f>VLOOKUP(A207,'Tableau single and bulk'!A:B,2,FALSE)</f>
        <v>NEBAUTO</v>
      </c>
    </row>
    <row r="208" spans="1:13">
      <c r="A208" s="5" t="s">
        <v>848</v>
      </c>
      <c r="B208" s="1">
        <v>35210</v>
      </c>
      <c r="C208" t="s">
        <v>847</v>
      </c>
      <c r="D208" t="s">
        <v>92</v>
      </c>
      <c r="E208" t="s">
        <v>92</v>
      </c>
      <c r="F208" s="1">
        <v>10</v>
      </c>
      <c r="G208" s="1">
        <v>10</v>
      </c>
      <c r="H208" s="1">
        <v>0</v>
      </c>
      <c r="I208" s="1">
        <v>0</v>
      </c>
      <c r="J208" t="s">
        <v>18</v>
      </c>
      <c r="K208" t="s">
        <v>848</v>
      </c>
      <c r="L208" t="s">
        <v>3</v>
      </c>
      <c r="M208" t="str">
        <f>VLOOKUP(A208,'Tableau single and bulk'!A:B,2,FALSE)</f>
        <v>NEBAUTO</v>
      </c>
    </row>
    <row r="209" spans="1:13">
      <c r="A209" s="5" t="s">
        <v>1111</v>
      </c>
      <c r="B209" s="1">
        <v>35221</v>
      </c>
      <c r="C209" t="s">
        <v>1110</v>
      </c>
      <c r="D209" t="s">
        <v>92</v>
      </c>
      <c r="E209" t="s">
        <v>92</v>
      </c>
      <c r="F209" s="1">
        <v>5</v>
      </c>
      <c r="G209" s="1">
        <v>5</v>
      </c>
      <c r="H209" s="1">
        <v>0</v>
      </c>
      <c r="I209" s="1">
        <v>0</v>
      </c>
      <c r="J209" t="s">
        <v>25</v>
      </c>
      <c r="K209" t="s">
        <v>1111</v>
      </c>
      <c r="L209" t="s">
        <v>3</v>
      </c>
      <c r="M209" t="str">
        <f>VLOOKUP(A209,'Tableau single and bulk'!A:B,2,FALSE)</f>
        <v>NEBAUTO</v>
      </c>
    </row>
    <row r="210" spans="1:13">
      <c r="A210" s="5" t="s">
        <v>1115</v>
      </c>
      <c r="B210" s="1">
        <v>35344</v>
      </c>
      <c r="C210" t="s">
        <v>1114</v>
      </c>
      <c r="D210" t="s">
        <v>200</v>
      </c>
      <c r="E210" t="s">
        <v>200</v>
      </c>
      <c r="F210" s="1">
        <v>1</v>
      </c>
      <c r="G210" s="1">
        <v>1</v>
      </c>
      <c r="H210" s="1">
        <v>0</v>
      </c>
      <c r="I210" s="1">
        <v>0</v>
      </c>
      <c r="J210" t="s">
        <v>18</v>
      </c>
      <c r="K210" t="s">
        <v>1115</v>
      </c>
      <c r="L210" t="s">
        <v>3</v>
      </c>
      <c r="M210" t="str">
        <f>VLOOKUP(A210,'Tableau single and bulk'!A:B,2,FALSE)</f>
        <v>NEBAUTO</v>
      </c>
    </row>
    <row r="211" spans="1:13">
      <c r="A211" s="5" t="s">
        <v>862</v>
      </c>
      <c r="B211" s="1">
        <v>35354</v>
      </c>
      <c r="C211" t="s">
        <v>861</v>
      </c>
      <c r="D211" t="s">
        <v>200</v>
      </c>
      <c r="E211" t="s">
        <v>200</v>
      </c>
      <c r="F211" s="1">
        <v>1</v>
      </c>
      <c r="G211" s="1">
        <v>1</v>
      </c>
      <c r="H211" s="1">
        <v>0</v>
      </c>
      <c r="I211" s="1">
        <v>0</v>
      </c>
      <c r="J211" t="s">
        <v>28</v>
      </c>
      <c r="K211" t="s">
        <v>862</v>
      </c>
      <c r="L211" t="s">
        <v>3</v>
      </c>
      <c r="M211" t="str">
        <f>VLOOKUP(A211,'Tableau single and bulk'!A:B,2,FALSE)</f>
        <v>NEBAUTO</v>
      </c>
    </row>
    <row r="212" spans="1:13">
      <c r="A212" s="5" t="s">
        <v>498</v>
      </c>
      <c r="B212" s="1">
        <v>35353</v>
      </c>
      <c r="C212" t="s">
        <v>497</v>
      </c>
      <c r="D212" t="s">
        <v>200</v>
      </c>
      <c r="E212" t="s">
        <v>200</v>
      </c>
      <c r="F212" s="1">
        <v>1</v>
      </c>
      <c r="G212" s="1">
        <v>1</v>
      </c>
      <c r="H212" s="1">
        <v>0</v>
      </c>
      <c r="I212" s="1">
        <v>0</v>
      </c>
      <c r="J212" t="s">
        <v>28</v>
      </c>
      <c r="K212" t="s">
        <v>498</v>
      </c>
      <c r="L212" t="s">
        <v>3</v>
      </c>
      <c r="M212" t="str">
        <f>VLOOKUP(A212,'Tableau single and bulk'!A:B,2,FALSE)</f>
        <v>NEBAUTO</v>
      </c>
    </row>
    <row r="213" spans="1:13">
      <c r="A213" s="5" t="s">
        <v>972</v>
      </c>
      <c r="B213" s="1">
        <v>35236</v>
      </c>
      <c r="C213" t="s">
        <v>971</v>
      </c>
      <c r="D213" t="s">
        <v>92</v>
      </c>
      <c r="E213" t="s">
        <v>92</v>
      </c>
      <c r="F213" s="1">
        <v>1</v>
      </c>
      <c r="G213" s="1">
        <v>1</v>
      </c>
      <c r="H213" s="1">
        <v>0</v>
      </c>
      <c r="I213" s="1">
        <v>0</v>
      </c>
      <c r="J213" t="s">
        <v>24</v>
      </c>
      <c r="K213" t="s">
        <v>972</v>
      </c>
      <c r="L213" t="s">
        <v>3</v>
      </c>
      <c r="M213" t="str">
        <f>VLOOKUP(A213,'Tableau single and bulk'!A:B,2,FALSE)</f>
        <v>NEBAUTO</v>
      </c>
    </row>
    <row r="214" spans="1:13">
      <c r="A214" s="5" t="s">
        <v>472</v>
      </c>
      <c r="B214" s="1">
        <v>35233</v>
      </c>
      <c r="C214" t="s">
        <v>471</v>
      </c>
      <c r="D214" t="s">
        <v>92</v>
      </c>
      <c r="E214" t="s">
        <v>92</v>
      </c>
      <c r="F214" s="1">
        <v>1</v>
      </c>
      <c r="G214" s="1">
        <v>1</v>
      </c>
      <c r="H214" s="1">
        <v>0</v>
      </c>
      <c r="I214" s="1">
        <v>0</v>
      </c>
      <c r="J214" t="s">
        <v>24</v>
      </c>
      <c r="K214" t="s">
        <v>472</v>
      </c>
      <c r="L214" t="s">
        <v>3</v>
      </c>
      <c r="M214" t="str">
        <f>VLOOKUP(A214,'Tableau single and bulk'!A:B,2,FALSE)</f>
        <v>NEBAUTO</v>
      </c>
    </row>
    <row r="215" spans="1:13">
      <c r="A215" s="5" t="s">
        <v>103</v>
      </c>
      <c r="B215" s="1">
        <v>35238</v>
      </c>
      <c r="C215" t="s">
        <v>102</v>
      </c>
      <c r="D215" t="s">
        <v>92</v>
      </c>
      <c r="E215" t="s">
        <v>92</v>
      </c>
      <c r="F215" s="1">
        <v>4</v>
      </c>
      <c r="G215" s="1">
        <v>4</v>
      </c>
      <c r="H215" s="1">
        <v>0</v>
      </c>
      <c r="I215" s="1">
        <v>0</v>
      </c>
      <c r="J215" t="s">
        <v>24</v>
      </c>
      <c r="K215" t="s">
        <v>103</v>
      </c>
      <c r="L215" t="s">
        <v>3</v>
      </c>
      <c r="M215" t="str">
        <f>VLOOKUP(A215,'Tableau single and bulk'!A:B,2,FALSE)</f>
        <v>NEBAUTO</v>
      </c>
    </row>
    <row r="216" spans="1:13">
      <c r="A216" s="5" t="s">
        <v>470</v>
      </c>
      <c r="B216" s="1">
        <v>35231</v>
      </c>
      <c r="C216" t="s">
        <v>469</v>
      </c>
      <c r="D216" t="s">
        <v>92</v>
      </c>
      <c r="E216" t="s">
        <v>92</v>
      </c>
      <c r="F216" s="1">
        <v>1</v>
      </c>
      <c r="G216" s="1">
        <v>1</v>
      </c>
      <c r="H216" s="1">
        <v>0</v>
      </c>
      <c r="I216" s="1">
        <v>0</v>
      </c>
      <c r="J216" t="s">
        <v>24</v>
      </c>
      <c r="K216" t="s">
        <v>470</v>
      </c>
      <c r="L216" t="s">
        <v>3</v>
      </c>
      <c r="M216" t="str">
        <f>VLOOKUP(A216,'Tableau single and bulk'!A:B,2,FALSE)</f>
        <v>NEBAUTO</v>
      </c>
    </row>
    <row r="217" spans="1:13">
      <c r="A217" s="5" t="s">
        <v>976</v>
      </c>
      <c r="B217" s="1">
        <v>35240</v>
      </c>
      <c r="C217" t="s">
        <v>975</v>
      </c>
      <c r="D217" t="s">
        <v>92</v>
      </c>
      <c r="E217" t="s">
        <v>92</v>
      </c>
      <c r="F217" s="1">
        <v>9</v>
      </c>
      <c r="G217" s="1">
        <v>9</v>
      </c>
      <c r="H217" s="1">
        <v>0</v>
      </c>
      <c r="I217" s="1">
        <v>0</v>
      </c>
      <c r="J217" t="s">
        <v>24</v>
      </c>
      <c r="K217" t="s">
        <v>976</v>
      </c>
      <c r="L217" t="s">
        <v>3</v>
      </c>
      <c r="M217" t="str">
        <f>VLOOKUP(A217,'Tableau single and bulk'!A:B,2,FALSE)</f>
        <v>NEBAUTO</v>
      </c>
    </row>
    <row r="218" spans="1:13">
      <c r="A218" s="5" t="s">
        <v>736</v>
      </c>
      <c r="B218" s="1">
        <v>35310</v>
      </c>
      <c r="C218" t="s">
        <v>735</v>
      </c>
      <c r="D218" t="s">
        <v>134</v>
      </c>
      <c r="E218" t="s">
        <v>134</v>
      </c>
      <c r="F218" s="1">
        <v>2</v>
      </c>
      <c r="G218" s="1">
        <v>2</v>
      </c>
      <c r="H218" s="1">
        <v>0</v>
      </c>
      <c r="I218" s="1">
        <v>0</v>
      </c>
      <c r="J218" t="s">
        <v>33</v>
      </c>
      <c r="K218" t="s">
        <v>736</v>
      </c>
      <c r="L218" t="s">
        <v>3</v>
      </c>
      <c r="M218" t="str">
        <f>VLOOKUP(A218,'Tableau single and bulk'!A:B,2,FALSE)</f>
        <v>NEBAUTO</v>
      </c>
    </row>
    <row r="219" spans="1:13">
      <c r="A219" s="5" t="s">
        <v>141</v>
      </c>
      <c r="B219" s="1">
        <v>35315</v>
      </c>
      <c r="C219" t="s">
        <v>140</v>
      </c>
      <c r="D219" t="s">
        <v>134</v>
      </c>
      <c r="E219" t="s">
        <v>134</v>
      </c>
      <c r="F219" s="1">
        <v>14</v>
      </c>
      <c r="G219" s="1">
        <v>14</v>
      </c>
      <c r="H219" s="1">
        <v>-1</v>
      </c>
      <c r="I219" s="1">
        <v>1</v>
      </c>
      <c r="J219" t="s">
        <v>33</v>
      </c>
      <c r="K219" t="s">
        <v>141</v>
      </c>
      <c r="L219" t="s">
        <v>3</v>
      </c>
      <c r="M219" t="str">
        <f>VLOOKUP(A219,'Tableau single and bulk'!A:B,2,FALSE)</f>
        <v>NEBAUTO</v>
      </c>
    </row>
    <row r="220" spans="1:13">
      <c r="A220" s="5" t="s">
        <v>1079</v>
      </c>
      <c r="B220" s="1">
        <v>35358</v>
      </c>
      <c r="C220" t="s">
        <v>1078</v>
      </c>
      <c r="D220" t="s">
        <v>200</v>
      </c>
      <c r="E220" t="s">
        <v>200</v>
      </c>
      <c r="F220" s="1">
        <v>3</v>
      </c>
      <c r="G220" s="1">
        <v>3</v>
      </c>
      <c r="H220" s="1">
        <v>-1</v>
      </c>
      <c r="I220" s="1">
        <v>1</v>
      </c>
      <c r="J220" t="s">
        <v>18</v>
      </c>
      <c r="K220" t="s">
        <v>1079</v>
      </c>
      <c r="L220" t="s">
        <v>3</v>
      </c>
      <c r="M220" t="str">
        <f>VLOOKUP(A220,'Tableau single and bulk'!A:B,2,FALSE)</f>
        <v>NEBAUTO</v>
      </c>
    </row>
    <row r="221" spans="1:13">
      <c r="A221" s="5" t="s">
        <v>967</v>
      </c>
      <c r="B221" s="1">
        <v>35222</v>
      </c>
      <c r="C221" t="s">
        <v>98</v>
      </c>
      <c r="D221" t="s">
        <v>92</v>
      </c>
      <c r="E221" t="s">
        <v>92</v>
      </c>
      <c r="F221" s="1">
        <v>1</v>
      </c>
      <c r="G221" s="1">
        <v>1</v>
      </c>
      <c r="H221" s="1">
        <v>0</v>
      </c>
      <c r="I221" s="1">
        <v>0</v>
      </c>
      <c r="J221" t="s">
        <v>18</v>
      </c>
      <c r="K221" t="s">
        <v>967</v>
      </c>
      <c r="L221" t="s">
        <v>3</v>
      </c>
      <c r="M221" t="str">
        <f>VLOOKUP(A221,'Tableau single and bulk'!A:B,2,FALSE)</f>
        <v>NEBAUTO</v>
      </c>
    </row>
    <row r="222" spans="1:13">
      <c r="A222" s="5" t="s">
        <v>496</v>
      </c>
      <c r="B222" s="1">
        <v>35346</v>
      </c>
      <c r="C222" t="s">
        <v>495</v>
      </c>
      <c r="D222" t="s">
        <v>200</v>
      </c>
      <c r="E222" t="s">
        <v>200</v>
      </c>
      <c r="F222" s="1">
        <v>4</v>
      </c>
      <c r="G222" s="1">
        <v>4</v>
      </c>
      <c r="H222" s="1">
        <v>0</v>
      </c>
      <c r="I222" s="1">
        <v>0</v>
      </c>
      <c r="J222" t="s">
        <v>25</v>
      </c>
      <c r="K222" t="s">
        <v>496</v>
      </c>
      <c r="L222" t="s">
        <v>3</v>
      </c>
      <c r="M222" t="str">
        <f>VLOOKUP(A222,'Tableau single and bulk'!A:B,2,FALSE)</f>
        <v>NEBAUTO</v>
      </c>
    </row>
    <row r="223" spans="1:13">
      <c r="A223" s="5" t="s">
        <v>968</v>
      </c>
      <c r="B223" s="1">
        <v>35223</v>
      </c>
      <c r="C223" t="s">
        <v>98</v>
      </c>
      <c r="D223" t="s">
        <v>92</v>
      </c>
      <c r="E223" t="s">
        <v>92</v>
      </c>
      <c r="F223" s="1">
        <v>1</v>
      </c>
      <c r="G223" s="1">
        <v>1</v>
      </c>
      <c r="H223" s="1">
        <v>0</v>
      </c>
      <c r="I223" s="1">
        <v>0</v>
      </c>
      <c r="J223" t="s">
        <v>18</v>
      </c>
      <c r="K223" t="s">
        <v>968</v>
      </c>
      <c r="L223" t="s">
        <v>3</v>
      </c>
      <c r="M223" t="str">
        <f>VLOOKUP(A223,'Tableau single and bulk'!A:B,2,FALSE)</f>
        <v>NEBAUTO</v>
      </c>
    </row>
    <row r="224" spans="1:13">
      <c r="A224" s="5" t="s">
        <v>859</v>
      </c>
      <c r="B224" s="1">
        <v>35311</v>
      </c>
      <c r="C224" t="s">
        <v>339</v>
      </c>
      <c r="D224" t="s">
        <v>134</v>
      </c>
      <c r="E224" t="s">
        <v>134</v>
      </c>
      <c r="F224" s="1">
        <v>1</v>
      </c>
      <c r="G224" s="1">
        <v>1</v>
      </c>
      <c r="H224" s="1">
        <v>0</v>
      </c>
      <c r="I224" s="1">
        <v>0</v>
      </c>
      <c r="J224" t="s">
        <v>33</v>
      </c>
      <c r="K224" t="s">
        <v>859</v>
      </c>
      <c r="L224" t="s">
        <v>3</v>
      </c>
      <c r="M224" t="str">
        <f>VLOOKUP(A224,'Tableau single and bulk'!A:B,2,FALSE)</f>
        <v>NEBAUTO</v>
      </c>
    </row>
    <row r="225" spans="1:13">
      <c r="A225" s="5" t="s">
        <v>1046</v>
      </c>
      <c r="B225" s="1">
        <v>35385</v>
      </c>
      <c r="C225" t="s">
        <v>211</v>
      </c>
      <c r="D225" t="s">
        <v>200</v>
      </c>
      <c r="E225" t="s">
        <v>200</v>
      </c>
      <c r="F225" s="1">
        <v>13</v>
      </c>
      <c r="G225" s="1">
        <v>13</v>
      </c>
      <c r="H225" s="1">
        <v>0</v>
      </c>
      <c r="I225" s="1">
        <v>0</v>
      </c>
      <c r="J225" t="s">
        <v>18</v>
      </c>
      <c r="K225" t="s">
        <v>1046</v>
      </c>
      <c r="L225" t="s">
        <v>3</v>
      </c>
      <c r="M225" t="str">
        <f>VLOOKUP(A225,'Tableau single and bulk'!A:B,2,FALSE)</f>
        <v>NEBAUTO</v>
      </c>
    </row>
    <row r="226" spans="1:13">
      <c r="A226" s="5" t="s">
        <v>99</v>
      </c>
      <c r="B226" s="1">
        <v>35224</v>
      </c>
      <c r="C226" t="s">
        <v>98</v>
      </c>
      <c r="D226" t="s">
        <v>92</v>
      </c>
      <c r="E226" t="s">
        <v>92</v>
      </c>
      <c r="F226" s="1">
        <v>1</v>
      </c>
      <c r="G226" s="1">
        <v>1</v>
      </c>
      <c r="H226" s="1">
        <v>0</v>
      </c>
      <c r="I226" s="1">
        <v>0</v>
      </c>
      <c r="J226" t="s">
        <v>18</v>
      </c>
      <c r="K226" t="s">
        <v>99</v>
      </c>
      <c r="L226" t="s">
        <v>3</v>
      </c>
      <c r="M226" t="str">
        <f>VLOOKUP(A226,'Tableau single and bulk'!A:B,2,FALSE)</f>
        <v>NEBAUTO</v>
      </c>
    </row>
    <row r="227" spans="1:13">
      <c r="A227" s="5" t="s">
        <v>464</v>
      </c>
      <c r="B227" s="1">
        <v>35226</v>
      </c>
      <c r="C227" t="s">
        <v>463</v>
      </c>
      <c r="D227" t="s">
        <v>92</v>
      </c>
      <c r="E227" t="s">
        <v>92</v>
      </c>
      <c r="F227" s="1">
        <v>1</v>
      </c>
      <c r="G227" s="1">
        <v>1</v>
      </c>
      <c r="H227" s="1">
        <v>0</v>
      </c>
      <c r="I227" s="1">
        <v>0</v>
      </c>
      <c r="J227" t="s">
        <v>25</v>
      </c>
      <c r="K227" t="s">
        <v>464</v>
      </c>
      <c r="L227" t="s">
        <v>3</v>
      </c>
      <c r="M227" t="str">
        <f>VLOOKUP(A227,'Tableau single and bulk'!A:B,2,FALSE)</f>
        <v>NEBAUTO</v>
      </c>
    </row>
    <row r="228" spans="1:13">
      <c r="A228" s="5" t="s">
        <v>466</v>
      </c>
      <c r="B228" s="1">
        <v>35227</v>
      </c>
      <c r="C228" t="s">
        <v>465</v>
      </c>
      <c r="D228" t="s">
        <v>92</v>
      </c>
      <c r="E228" t="s">
        <v>92</v>
      </c>
      <c r="F228" s="1">
        <v>1</v>
      </c>
      <c r="G228" s="1">
        <v>1</v>
      </c>
      <c r="H228" s="1">
        <v>0</v>
      </c>
      <c r="I228" s="1">
        <v>0</v>
      </c>
      <c r="J228" t="s">
        <v>25</v>
      </c>
      <c r="K228" t="s">
        <v>466</v>
      </c>
      <c r="L228" t="s">
        <v>3</v>
      </c>
      <c r="M228" t="str">
        <f>VLOOKUP(A228,'Tableau single and bulk'!A:B,2,FALSE)</f>
        <v>NEBAUTO</v>
      </c>
    </row>
    <row r="229" spans="1:13">
      <c r="A229" s="5" t="s">
        <v>970</v>
      </c>
      <c r="B229" s="1">
        <v>35230</v>
      </c>
      <c r="C229" t="s">
        <v>969</v>
      </c>
      <c r="D229" t="s">
        <v>92</v>
      </c>
      <c r="E229" t="s">
        <v>92</v>
      </c>
      <c r="F229" s="1">
        <v>1</v>
      </c>
      <c r="G229" s="1">
        <v>1</v>
      </c>
      <c r="H229" s="1">
        <v>0</v>
      </c>
      <c r="I229" s="1">
        <v>0</v>
      </c>
      <c r="J229" t="s">
        <v>25</v>
      </c>
      <c r="K229" t="s">
        <v>970</v>
      </c>
      <c r="L229" t="s">
        <v>3</v>
      </c>
      <c r="M229" t="str">
        <f>VLOOKUP(A229,'Tableau single and bulk'!A:B,2,FALSE)</f>
        <v>NEBAUTO</v>
      </c>
    </row>
    <row r="230" spans="1:13">
      <c r="A230" s="5" t="s">
        <v>978</v>
      </c>
      <c r="B230" s="1">
        <v>35242</v>
      </c>
      <c r="C230" t="s">
        <v>977</v>
      </c>
      <c r="D230" t="s">
        <v>92</v>
      </c>
      <c r="E230" t="s">
        <v>92</v>
      </c>
      <c r="F230" s="1">
        <v>3</v>
      </c>
      <c r="G230" s="1">
        <v>3</v>
      </c>
      <c r="H230" s="1">
        <v>-1</v>
      </c>
      <c r="I230" s="1">
        <v>1</v>
      </c>
      <c r="J230" t="s">
        <v>33</v>
      </c>
      <c r="K230" t="s">
        <v>978</v>
      </c>
      <c r="L230" t="s">
        <v>3</v>
      </c>
      <c r="M230" t="str">
        <f>VLOOKUP(A230,'Tableau single and bulk'!A:B,2,FALSE)</f>
        <v>NEBAUTO</v>
      </c>
    </row>
    <row r="231" spans="1:13">
      <c r="A231" s="5" t="s">
        <v>474</v>
      </c>
      <c r="B231" s="1">
        <v>35235</v>
      </c>
      <c r="C231" t="s">
        <v>473</v>
      </c>
      <c r="D231" t="s">
        <v>92</v>
      </c>
      <c r="E231" t="s">
        <v>92</v>
      </c>
      <c r="F231" s="1">
        <v>1</v>
      </c>
      <c r="G231" s="1">
        <v>1</v>
      </c>
      <c r="H231" s="1">
        <v>0</v>
      </c>
      <c r="I231" s="1">
        <v>0</v>
      </c>
      <c r="J231" t="s">
        <v>25</v>
      </c>
      <c r="K231" t="s">
        <v>474</v>
      </c>
      <c r="L231" t="s">
        <v>3</v>
      </c>
      <c r="M231" t="str">
        <f>VLOOKUP(A231,'Tableau single and bulk'!A:B,2,FALSE)</f>
        <v>NEBAUTO</v>
      </c>
    </row>
    <row r="232" spans="1:13">
      <c r="A232" s="5" t="s">
        <v>468</v>
      </c>
      <c r="B232" s="1">
        <v>35228</v>
      </c>
      <c r="C232" t="s">
        <v>467</v>
      </c>
      <c r="D232" t="s">
        <v>92</v>
      </c>
      <c r="E232" t="s">
        <v>92</v>
      </c>
      <c r="F232" s="1">
        <v>12</v>
      </c>
      <c r="G232" s="1">
        <v>12</v>
      </c>
      <c r="H232" s="1">
        <v>0</v>
      </c>
      <c r="I232" s="1">
        <v>0</v>
      </c>
      <c r="J232" t="s">
        <v>28</v>
      </c>
      <c r="K232" t="s">
        <v>468</v>
      </c>
      <c r="L232" t="s">
        <v>3</v>
      </c>
      <c r="M232" t="str">
        <f>VLOOKUP(A232,'Tableau single and bulk'!A:B,2,FALSE)</f>
        <v>NEBAUTO</v>
      </c>
    </row>
    <row r="233" spans="1:13">
      <c r="A233" s="5" t="s">
        <v>974</v>
      </c>
      <c r="B233" s="1">
        <v>35237</v>
      </c>
      <c r="C233" t="s">
        <v>973</v>
      </c>
      <c r="D233" t="s">
        <v>92</v>
      </c>
      <c r="E233" t="s">
        <v>92</v>
      </c>
      <c r="F233" s="1">
        <v>2</v>
      </c>
      <c r="G233" s="1">
        <v>2</v>
      </c>
      <c r="H233" s="1">
        <v>0</v>
      </c>
      <c r="I233" s="1">
        <v>0</v>
      </c>
      <c r="J233" t="s">
        <v>25</v>
      </c>
      <c r="K233" t="s">
        <v>974</v>
      </c>
      <c r="L233" t="s">
        <v>3</v>
      </c>
      <c r="M233" t="str">
        <f>VLOOKUP(A233,'Tableau single and bulk'!A:B,2,FALSE)</f>
        <v>NEBAUTO</v>
      </c>
    </row>
    <row r="234" spans="1:13">
      <c r="A234" s="5" t="s">
        <v>137</v>
      </c>
      <c r="B234" s="1">
        <v>35306</v>
      </c>
      <c r="C234" t="s">
        <v>136</v>
      </c>
      <c r="D234" t="s">
        <v>134</v>
      </c>
      <c r="E234" t="s">
        <v>134</v>
      </c>
      <c r="F234" s="1">
        <v>34</v>
      </c>
      <c r="G234" s="1">
        <v>34</v>
      </c>
      <c r="H234" s="1">
        <v>-4</v>
      </c>
      <c r="I234" s="1">
        <v>4</v>
      </c>
      <c r="J234" t="s">
        <v>33</v>
      </c>
      <c r="K234" t="s">
        <v>137</v>
      </c>
      <c r="L234" t="s">
        <v>3</v>
      </c>
      <c r="M234" t="str">
        <f>VLOOKUP(A234,'Tableau single and bulk'!A:B,2,FALSE)</f>
        <v>NEBAUTO</v>
      </c>
    </row>
    <row r="235" spans="1:13">
      <c r="A235" s="5" t="s">
        <v>1027</v>
      </c>
      <c r="B235" s="1">
        <v>35312</v>
      </c>
      <c r="C235" t="s">
        <v>1026</v>
      </c>
      <c r="D235" t="s">
        <v>134</v>
      </c>
      <c r="E235" t="s">
        <v>134</v>
      </c>
      <c r="F235" s="1">
        <v>8</v>
      </c>
      <c r="G235" s="1">
        <v>8</v>
      </c>
      <c r="H235" s="1">
        <v>0</v>
      </c>
      <c r="I235" s="1">
        <v>0</v>
      </c>
      <c r="J235" t="s">
        <v>33</v>
      </c>
      <c r="K235" t="s">
        <v>1027</v>
      </c>
      <c r="L235" t="s">
        <v>3</v>
      </c>
      <c r="M235" t="str">
        <f>VLOOKUP(A235,'Tableau single and bulk'!A:B,2,FALSE)</f>
        <v>NEBAUTO</v>
      </c>
    </row>
    <row r="236" spans="1:13">
      <c r="A236" s="5" t="s">
        <v>860</v>
      </c>
      <c r="B236" s="1">
        <v>35352</v>
      </c>
      <c r="C236" t="s">
        <v>204</v>
      </c>
      <c r="D236" t="s">
        <v>200</v>
      </c>
      <c r="E236" t="s">
        <v>200</v>
      </c>
      <c r="F236" s="1">
        <v>1</v>
      </c>
      <c r="G236" s="1">
        <v>1</v>
      </c>
      <c r="H236" s="1">
        <v>0</v>
      </c>
      <c r="I236" s="1">
        <v>0</v>
      </c>
      <c r="J236" t="s">
        <v>28</v>
      </c>
      <c r="K236" t="s">
        <v>860</v>
      </c>
      <c r="L236" t="s">
        <v>3</v>
      </c>
      <c r="M236" t="str">
        <f>VLOOKUP(A236,'Tableau single and bulk'!A:B,2,FALSE)</f>
        <v>NEBAUTO</v>
      </c>
    </row>
    <row r="237" spans="1:13">
      <c r="A237" s="5" t="s">
        <v>864</v>
      </c>
      <c r="B237" s="1">
        <v>35356</v>
      </c>
      <c r="C237" t="s">
        <v>863</v>
      </c>
      <c r="D237" t="s">
        <v>200</v>
      </c>
      <c r="E237" t="s">
        <v>200</v>
      </c>
      <c r="F237" s="1">
        <v>26</v>
      </c>
      <c r="G237" s="1">
        <v>26</v>
      </c>
      <c r="H237" s="1">
        <v>0</v>
      </c>
      <c r="I237" s="1">
        <v>0</v>
      </c>
      <c r="J237" t="s">
        <v>28</v>
      </c>
      <c r="K237" t="s">
        <v>864</v>
      </c>
      <c r="L237" t="s">
        <v>3</v>
      </c>
      <c r="M237" t="str">
        <f>VLOOKUP(A237,'Tableau single and bulk'!A:B,2,FALSE)</f>
        <v>NEBAUTO</v>
      </c>
    </row>
    <row r="238" spans="1:13">
      <c r="A238" s="5" t="s">
        <v>850</v>
      </c>
      <c r="B238" s="1">
        <v>35247</v>
      </c>
      <c r="C238" t="s">
        <v>849</v>
      </c>
      <c r="D238" t="s">
        <v>92</v>
      </c>
      <c r="E238" t="s">
        <v>92</v>
      </c>
      <c r="F238" s="1">
        <v>1</v>
      </c>
      <c r="G238" s="1">
        <v>1</v>
      </c>
      <c r="H238" s="1">
        <v>0</v>
      </c>
      <c r="I238" s="1">
        <v>0</v>
      </c>
      <c r="J238" t="s">
        <v>33</v>
      </c>
      <c r="K238" t="s">
        <v>850</v>
      </c>
      <c r="L238" t="s">
        <v>3</v>
      </c>
      <c r="M238" t="str">
        <f>VLOOKUP(A238,'Tableau single and bulk'!A:B,2,FALSE)</f>
        <v>NEBAUTO</v>
      </c>
    </row>
    <row r="239" spans="1:13">
      <c r="A239" s="5" t="s">
        <v>207</v>
      </c>
      <c r="B239" s="1">
        <v>35355</v>
      </c>
      <c r="C239" t="s">
        <v>206</v>
      </c>
      <c r="D239" t="s">
        <v>200</v>
      </c>
      <c r="E239" t="s">
        <v>200</v>
      </c>
      <c r="F239" s="1">
        <v>3</v>
      </c>
      <c r="G239" s="1">
        <v>3</v>
      </c>
      <c r="H239" s="1">
        <v>0</v>
      </c>
      <c r="I239" s="1">
        <v>0</v>
      </c>
      <c r="J239" t="s">
        <v>28</v>
      </c>
      <c r="K239" t="s">
        <v>207</v>
      </c>
      <c r="L239" t="s">
        <v>3</v>
      </c>
      <c r="M239" t="str">
        <f>VLOOKUP(A239,'Tableau single and bulk'!A:B,2,FALSE)</f>
        <v>NEBAUTO</v>
      </c>
    </row>
    <row r="240" spans="1:13">
      <c r="A240" s="5" t="s">
        <v>981</v>
      </c>
      <c r="B240" s="1">
        <v>35244</v>
      </c>
      <c r="C240" t="s">
        <v>980</v>
      </c>
      <c r="D240" t="s">
        <v>92</v>
      </c>
      <c r="E240" t="s">
        <v>92</v>
      </c>
      <c r="F240" s="1">
        <v>1</v>
      </c>
      <c r="G240" s="1">
        <v>1</v>
      </c>
      <c r="H240" s="1">
        <v>0</v>
      </c>
      <c r="I240" s="1">
        <v>0</v>
      </c>
      <c r="J240" t="s">
        <v>25</v>
      </c>
      <c r="K240" t="s">
        <v>981</v>
      </c>
      <c r="L240" t="s">
        <v>3</v>
      </c>
      <c r="M240" t="str">
        <f>VLOOKUP(A240,'Tableau single and bulk'!A:B,2,FALSE)</f>
        <v>NEBAUTO</v>
      </c>
    </row>
    <row r="241" spans="1:13">
      <c r="A241" s="5" t="s">
        <v>983</v>
      </c>
      <c r="B241" s="1">
        <v>35245</v>
      </c>
      <c r="C241" t="s">
        <v>982</v>
      </c>
      <c r="D241" t="s">
        <v>92</v>
      </c>
      <c r="E241" t="s">
        <v>92</v>
      </c>
      <c r="F241" s="1">
        <v>20</v>
      </c>
      <c r="G241" s="1">
        <v>20</v>
      </c>
      <c r="H241" s="1">
        <v>0</v>
      </c>
      <c r="I241" s="1">
        <v>0</v>
      </c>
      <c r="J241" t="s">
        <v>25</v>
      </c>
      <c r="K241" t="s">
        <v>983</v>
      </c>
      <c r="L241" t="s">
        <v>3</v>
      </c>
      <c r="M241" t="str">
        <f>VLOOKUP(A241,'Tableau single and bulk'!A:B,2,FALSE)</f>
        <v>NEBAUTO</v>
      </c>
    </row>
    <row r="242" spans="1:13">
      <c r="A242" s="5" t="s">
        <v>1044</v>
      </c>
      <c r="B242" s="1">
        <v>35378</v>
      </c>
      <c r="C242" t="s">
        <v>1043</v>
      </c>
      <c r="D242" t="s">
        <v>200</v>
      </c>
      <c r="E242" t="s">
        <v>200</v>
      </c>
      <c r="F242" s="1">
        <v>19</v>
      </c>
      <c r="G242" s="1">
        <v>19</v>
      </c>
      <c r="H242" s="1">
        <v>0</v>
      </c>
      <c r="I242" s="1">
        <v>0</v>
      </c>
      <c r="J242" t="s">
        <v>25</v>
      </c>
      <c r="K242" t="s">
        <v>1044</v>
      </c>
      <c r="L242" t="s">
        <v>3</v>
      </c>
      <c r="M242" t="str">
        <f>VLOOKUP(A242,'Tableau single and bulk'!A:B,2,FALSE)</f>
        <v>NEBAUTO</v>
      </c>
    </row>
    <row r="243" spans="1:13">
      <c r="A243" s="5" t="s">
        <v>854</v>
      </c>
      <c r="B243" s="1">
        <v>35256</v>
      </c>
      <c r="C243" t="s">
        <v>853</v>
      </c>
      <c r="D243" t="s">
        <v>110</v>
      </c>
      <c r="E243" t="s">
        <v>110</v>
      </c>
      <c r="F243" s="1">
        <v>1</v>
      </c>
      <c r="G243" s="1">
        <v>1</v>
      </c>
      <c r="H243" s="1">
        <v>0</v>
      </c>
      <c r="I243" s="1">
        <v>0</v>
      </c>
      <c r="J243" t="s">
        <v>33</v>
      </c>
      <c r="K243" t="s">
        <v>854</v>
      </c>
      <c r="L243" t="s">
        <v>3</v>
      </c>
      <c r="M243" t="str">
        <f>VLOOKUP(A243,'Tableau single and bulk'!A:B,2,FALSE)</f>
        <v>NEBAUTO</v>
      </c>
    </row>
    <row r="244" spans="1:13">
      <c r="A244" s="5" t="s">
        <v>979</v>
      </c>
      <c r="B244" s="1">
        <v>35243</v>
      </c>
      <c r="C244" t="s">
        <v>104</v>
      </c>
      <c r="D244" t="s">
        <v>92</v>
      </c>
      <c r="E244" t="s">
        <v>92</v>
      </c>
      <c r="F244" s="1">
        <v>2</v>
      </c>
      <c r="G244" s="1">
        <v>2</v>
      </c>
      <c r="H244" s="1">
        <v>0</v>
      </c>
      <c r="I244" s="1">
        <v>0</v>
      </c>
      <c r="J244" t="s">
        <v>28</v>
      </c>
      <c r="K244" t="s">
        <v>979</v>
      </c>
      <c r="L244" t="s">
        <v>3</v>
      </c>
      <c r="M244" t="str">
        <f>VLOOKUP(A244,'Tableau single and bulk'!A:B,2,FALSE)</f>
        <v>NEBAUTO</v>
      </c>
    </row>
    <row r="245" spans="1:13">
      <c r="A245" s="5" t="s">
        <v>214</v>
      </c>
      <c r="B245" s="1">
        <v>35365</v>
      </c>
      <c r="C245" t="s">
        <v>213</v>
      </c>
      <c r="D245" t="s">
        <v>200</v>
      </c>
      <c r="E245" t="s">
        <v>200</v>
      </c>
      <c r="F245" s="1">
        <v>2</v>
      </c>
      <c r="G245" s="1">
        <v>2</v>
      </c>
      <c r="H245" s="1">
        <v>0</v>
      </c>
      <c r="I245" s="1">
        <v>0</v>
      </c>
      <c r="J245" t="s">
        <v>24</v>
      </c>
      <c r="K245" t="s">
        <v>214</v>
      </c>
      <c r="L245" t="s">
        <v>3</v>
      </c>
      <c r="M245" t="str">
        <f>VLOOKUP(A245,'Tableau single and bulk'!A:B,2,FALSE)</f>
        <v>NEBAUTO</v>
      </c>
    </row>
    <row r="246" spans="1:13">
      <c r="A246" s="5" t="s">
        <v>105</v>
      </c>
      <c r="B246" s="1">
        <v>35246</v>
      </c>
      <c r="C246" t="s">
        <v>104</v>
      </c>
      <c r="D246" t="s">
        <v>92</v>
      </c>
      <c r="E246" t="s">
        <v>92</v>
      </c>
      <c r="F246" s="1">
        <v>2</v>
      </c>
      <c r="G246" s="1">
        <v>2</v>
      </c>
      <c r="H246" s="1">
        <v>0</v>
      </c>
      <c r="I246" s="1">
        <v>0</v>
      </c>
      <c r="J246" t="s">
        <v>28</v>
      </c>
      <c r="K246" t="s">
        <v>105</v>
      </c>
      <c r="L246" t="s">
        <v>3</v>
      </c>
      <c r="M246" t="str">
        <f>VLOOKUP(A246,'Tableau single and bulk'!A:B,2,FALSE)</f>
        <v>NEBAUTO</v>
      </c>
    </row>
    <row r="247" spans="1:13">
      <c r="A247" s="5" t="s">
        <v>212</v>
      </c>
      <c r="B247" s="1">
        <v>35364</v>
      </c>
      <c r="C247" t="s">
        <v>211</v>
      </c>
      <c r="D247" t="s">
        <v>200</v>
      </c>
      <c r="E247" t="s">
        <v>200</v>
      </c>
      <c r="F247" s="1">
        <v>5</v>
      </c>
      <c r="G247" s="1">
        <v>5</v>
      </c>
      <c r="H247" s="1">
        <v>0</v>
      </c>
      <c r="I247" s="1">
        <v>0</v>
      </c>
      <c r="J247" t="s">
        <v>18</v>
      </c>
      <c r="K247" t="s">
        <v>212</v>
      </c>
      <c r="L247" t="s">
        <v>3</v>
      </c>
      <c r="M247" t="str">
        <f>VLOOKUP(A247,'Tableau single and bulk'!A:B,2,FALSE)</f>
        <v>NEBAUTO</v>
      </c>
    </row>
    <row r="248" spans="1:13">
      <c r="A248" s="5" t="s">
        <v>985</v>
      </c>
      <c r="B248" s="1">
        <v>35249</v>
      </c>
      <c r="C248" t="s">
        <v>984</v>
      </c>
      <c r="D248" t="s">
        <v>92</v>
      </c>
      <c r="E248" t="s">
        <v>92</v>
      </c>
      <c r="F248" s="1">
        <v>8</v>
      </c>
      <c r="G248" s="1">
        <v>8</v>
      </c>
      <c r="H248" s="1">
        <v>0</v>
      </c>
      <c r="I248" s="1">
        <v>0</v>
      </c>
      <c r="J248" t="s">
        <v>33</v>
      </c>
      <c r="K248" t="s">
        <v>985</v>
      </c>
      <c r="L248" t="s">
        <v>3</v>
      </c>
      <c r="M248" t="str">
        <f>VLOOKUP(A248,'Tableau single and bulk'!A:B,2,FALSE)</f>
        <v>NEBAUTO</v>
      </c>
    </row>
    <row r="249" spans="1:13">
      <c r="A249" s="5" t="s">
        <v>106</v>
      </c>
      <c r="B249" s="1">
        <v>35248</v>
      </c>
      <c r="C249" t="s">
        <v>98</v>
      </c>
      <c r="D249" t="s">
        <v>92</v>
      </c>
      <c r="E249" t="s">
        <v>92</v>
      </c>
      <c r="F249" s="1">
        <v>1</v>
      </c>
      <c r="G249" s="1">
        <v>1</v>
      </c>
      <c r="H249" s="1">
        <v>0</v>
      </c>
      <c r="I249" s="1">
        <v>0</v>
      </c>
      <c r="J249" t="s">
        <v>18</v>
      </c>
      <c r="K249" t="s">
        <v>106</v>
      </c>
      <c r="L249" t="s">
        <v>3</v>
      </c>
      <c r="M249" t="str">
        <f>VLOOKUP(A249,'Tableau single and bulk'!A:B,2,FALSE)</f>
        <v>NEBAUTO</v>
      </c>
    </row>
    <row r="250" spans="1:13">
      <c r="A250" s="5" t="s">
        <v>205</v>
      </c>
      <c r="B250" s="1">
        <v>35351</v>
      </c>
      <c r="C250" t="s">
        <v>204</v>
      </c>
      <c r="D250" t="s">
        <v>200</v>
      </c>
      <c r="E250" t="s">
        <v>200</v>
      </c>
      <c r="F250" s="1">
        <v>1</v>
      </c>
      <c r="G250" s="1">
        <v>1</v>
      </c>
      <c r="H250" s="1">
        <v>0</v>
      </c>
      <c r="I250" s="1">
        <v>0</v>
      </c>
      <c r="J250" t="s">
        <v>28</v>
      </c>
      <c r="K250" t="s">
        <v>205</v>
      </c>
      <c r="L250" t="s">
        <v>3</v>
      </c>
      <c r="M250" t="str">
        <f>VLOOKUP(A250,'Tableau single and bulk'!A:B,2,FALSE)</f>
        <v>NEBAUTO</v>
      </c>
    </row>
    <row r="251" spans="1:13">
      <c r="A251" s="5" t="s">
        <v>208</v>
      </c>
      <c r="B251" s="1">
        <v>35357</v>
      </c>
      <c r="C251" t="s">
        <v>204</v>
      </c>
      <c r="D251" t="s">
        <v>200</v>
      </c>
      <c r="E251" t="s">
        <v>200</v>
      </c>
      <c r="F251" s="1">
        <v>1</v>
      </c>
      <c r="G251" s="1">
        <v>1</v>
      </c>
      <c r="H251" s="1">
        <v>0</v>
      </c>
      <c r="I251" s="1">
        <v>0</v>
      </c>
      <c r="J251" t="s">
        <v>28</v>
      </c>
      <c r="K251" t="s">
        <v>208</v>
      </c>
      <c r="L251" t="s">
        <v>3</v>
      </c>
      <c r="M251" t="str">
        <f>VLOOKUP(A251,'Tableau single and bulk'!A:B,2,FALSE)</f>
        <v>NEBAUTO</v>
      </c>
    </row>
    <row r="252" spans="1:13">
      <c r="A252" s="5" t="s">
        <v>107</v>
      </c>
      <c r="B252" s="1">
        <v>35250</v>
      </c>
      <c r="C252" t="s">
        <v>98</v>
      </c>
      <c r="D252" t="s">
        <v>92</v>
      </c>
      <c r="E252" t="s">
        <v>92</v>
      </c>
      <c r="F252" s="1">
        <v>1</v>
      </c>
      <c r="G252" s="1">
        <v>1</v>
      </c>
      <c r="H252" s="1">
        <v>0</v>
      </c>
      <c r="I252" s="1">
        <v>0</v>
      </c>
      <c r="J252" t="s">
        <v>18</v>
      </c>
      <c r="K252" t="s">
        <v>107</v>
      </c>
      <c r="L252" t="s">
        <v>3</v>
      </c>
      <c r="M252" t="str">
        <f>VLOOKUP(A252,'Tableau single and bulk'!A:B,2,FALSE)</f>
        <v>NEBAUTO</v>
      </c>
    </row>
    <row r="253" spans="1:13">
      <c r="A253" s="5" t="s">
        <v>1039</v>
      </c>
      <c r="B253" s="1">
        <v>35372</v>
      </c>
      <c r="C253" t="s">
        <v>1038</v>
      </c>
      <c r="D253" t="s">
        <v>200</v>
      </c>
      <c r="E253" t="s">
        <v>200</v>
      </c>
      <c r="F253" s="1">
        <v>1</v>
      </c>
      <c r="G253" s="1">
        <v>1</v>
      </c>
      <c r="H253" s="1">
        <v>0</v>
      </c>
      <c r="I253" s="1">
        <v>0</v>
      </c>
      <c r="J253" t="s">
        <v>24</v>
      </c>
      <c r="K253" t="s">
        <v>1039</v>
      </c>
      <c r="L253" t="s">
        <v>3</v>
      </c>
      <c r="M253" t="str">
        <f>VLOOKUP(A253,'Tableau single and bulk'!A:B,2,FALSE)</f>
        <v>NEBAUTO</v>
      </c>
    </row>
    <row r="254" spans="1:13">
      <c r="A254" s="5" t="s">
        <v>111</v>
      </c>
      <c r="B254" s="1">
        <v>35261</v>
      </c>
      <c r="C254" t="s">
        <v>98</v>
      </c>
      <c r="D254" t="s">
        <v>110</v>
      </c>
      <c r="E254" t="s">
        <v>110</v>
      </c>
      <c r="F254" s="1">
        <v>1</v>
      </c>
      <c r="G254" s="1">
        <v>1</v>
      </c>
      <c r="H254" s="1">
        <v>0</v>
      </c>
      <c r="I254" s="1">
        <v>0</v>
      </c>
      <c r="J254" t="s">
        <v>18</v>
      </c>
      <c r="K254" t="s">
        <v>111</v>
      </c>
      <c r="L254" t="s">
        <v>3</v>
      </c>
      <c r="M254" t="str">
        <f>VLOOKUP(A254,'Tableau single and bulk'!A:B,2,FALSE)</f>
        <v>NEBAUTO</v>
      </c>
    </row>
    <row r="255" spans="1:13">
      <c r="A255" s="5" t="s">
        <v>1077</v>
      </c>
      <c r="B255" s="1">
        <v>35263</v>
      </c>
      <c r="C255" t="s">
        <v>1076</v>
      </c>
      <c r="D255" t="s">
        <v>110</v>
      </c>
      <c r="E255" t="s">
        <v>110</v>
      </c>
      <c r="F255" s="1">
        <v>1</v>
      </c>
      <c r="G255" s="1">
        <v>1</v>
      </c>
      <c r="H255" s="1">
        <v>0</v>
      </c>
      <c r="I255" s="1">
        <v>0</v>
      </c>
      <c r="J255" t="s">
        <v>25</v>
      </c>
      <c r="K255" t="s">
        <v>1077</v>
      </c>
      <c r="L255" t="s">
        <v>3</v>
      </c>
      <c r="M255" t="str">
        <f>VLOOKUP(A255,'Tableau single and bulk'!A:B,2,FALSE)</f>
        <v>NEBAUTO</v>
      </c>
    </row>
    <row r="256" spans="1:13">
      <c r="A256" s="5" t="s">
        <v>1029</v>
      </c>
      <c r="B256" s="1">
        <v>35318</v>
      </c>
      <c r="C256" t="s">
        <v>1028</v>
      </c>
      <c r="D256" t="s">
        <v>134</v>
      </c>
      <c r="E256" t="s">
        <v>134</v>
      </c>
      <c r="F256" s="1">
        <v>3</v>
      </c>
      <c r="G256" s="1">
        <v>3</v>
      </c>
      <c r="H256" s="1">
        <v>0</v>
      </c>
      <c r="I256" s="1">
        <v>0</v>
      </c>
      <c r="J256" t="s">
        <v>33</v>
      </c>
      <c r="K256" t="s">
        <v>1029</v>
      </c>
      <c r="L256" t="s">
        <v>3</v>
      </c>
      <c r="M256" t="str">
        <f>VLOOKUP(A256,'Tableau single and bulk'!A:B,2,FALSE)</f>
        <v>NEBAUTO</v>
      </c>
    </row>
    <row r="257" spans="1:13">
      <c r="A257" s="5" t="s">
        <v>491</v>
      </c>
      <c r="B257" s="1">
        <v>35329</v>
      </c>
      <c r="C257" t="s">
        <v>490</v>
      </c>
      <c r="D257" t="s">
        <v>134</v>
      </c>
      <c r="E257" t="s">
        <v>134</v>
      </c>
      <c r="F257" s="1">
        <v>3</v>
      </c>
      <c r="G257" s="1">
        <v>3</v>
      </c>
      <c r="H257" s="1">
        <v>0</v>
      </c>
      <c r="I257" s="1">
        <v>0</v>
      </c>
      <c r="J257" t="s">
        <v>33</v>
      </c>
      <c r="K257" t="s">
        <v>491</v>
      </c>
      <c r="L257" t="s">
        <v>3</v>
      </c>
      <c r="M257" t="str">
        <f>VLOOKUP(A257,'Tableau single and bulk'!A:B,2,FALSE)</f>
        <v>NEBAUTO</v>
      </c>
    </row>
    <row r="258" spans="1:13">
      <c r="A258" s="5" t="s">
        <v>1175</v>
      </c>
      <c r="B258" s="1">
        <v>35421</v>
      </c>
      <c r="C258" t="s">
        <v>1174</v>
      </c>
      <c r="D258" t="s">
        <v>223</v>
      </c>
      <c r="E258" t="s">
        <v>223</v>
      </c>
      <c r="F258" s="1">
        <v>2</v>
      </c>
      <c r="G258" s="1">
        <v>2</v>
      </c>
      <c r="H258" s="1">
        <v>0</v>
      </c>
      <c r="I258" s="1">
        <v>0</v>
      </c>
      <c r="J258" t="s">
        <v>24</v>
      </c>
      <c r="K258" t="s">
        <v>1175</v>
      </c>
      <c r="L258" t="s">
        <v>3</v>
      </c>
      <c r="M258" t="str">
        <f>VLOOKUP(A258,'Tableau single and bulk'!A:B,2,FALSE)</f>
        <v>NEBAUTO</v>
      </c>
    </row>
    <row r="259" spans="1:13">
      <c r="A259" s="5" t="s">
        <v>1083</v>
      </c>
      <c r="B259" s="1">
        <v>35399</v>
      </c>
      <c r="C259" t="s">
        <v>1082</v>
      </c>
      <c r="D259" t="s">
        <v>223</v>
      </c>
      <c r="E259" t="s">
        <v>223</v>
      </c>
      <c r="F259" s="1">
        <v>1</v>
      </c>
      <c r="G259" s="1">
        <v>1</v>
      </c>
      <c r="H259" s="1">
        <v>0</v>
      </c>
      <c r="I259" s="1">
        <v>0</v>
      </c>
      <c r="J259" t="s">
        <v>24</v>
      </c>
      <c r="K259" t="s">
        <v>1083</v>
      </c>
      <c r="L259" t="s">
        <v>3</v>
      </c>
      <c r="M259" t="str">
        <f>VLOOKUP(A259,'Tableau single and bulk'!A:B,2,FALSE)</f>
        <v>NEBAUTO</v>
      </c>
    </row>
    <row r="260" spans="1:13">
      <c r="A260" s="5" t="s">
        <v>113</v>
      </c>
      <c r="B260" s="1">
        <v>35270</v>
      </c>
      <c r="C260" t="s">
        <v>112</v>
      </c>
      <c r="D260" t="s">
        <v>110</v>
      </c>
      <c r="E260" t="s">
        <v>110</v>
      </c>
      <c r="F260" s="1">
        <v>1</v>
      </c>
      <c r="G260" s="1">
        <v>1</v>
      </c>
      <c r="H260" s="1">
        <v>0</v>
      </c>
      <c r="I260" s="1">
        <v>0</v>
      </c>
      <c r="J260" t="s">
        <v>33</v>
      </c>
      <c r="K260" t="s">
        <v>113</v>
      </c>
      <c r="L260" t="s">
        <v>3</v>
      </c>
      <c r="M260" t="str">
        <f>VLOOKUP(A260,'Tableau single and bulk'!A:B,2,FALSE)</f>
        <v>NEBAUTO</v>
      </c>
    </row>
    <row r="261" spans="1:13">
      <c r="A261" s="5" t="s">
        <v>742</v>
      </c>
      <c r="B261" s="1">
        <v>35406</v>
      </c>
      <c r="C261" t="s">
        <v>741</v>
      </c>
      <c r="D261" t="s">
        <v>223</v>
      </c>
      <c r="E261" t="s">
        <v>223</v>
      </c>
      <c r="F261" s="1">
        <v>2</v>
      </c>
      <c r="G261" s="1">
        <v>2</v>
      </c>
      <c r="H261" s="1">
        <v>0</v>
      </c>
      <c r="I261" s="1">
        <v>0</v>
      </c>
      <c r="J261" t="s">
        <v>24</v>
      </c>
      <c r="K261" t="s">
        <v>742</v>
      </c>
      <c r="L261" t="s">
        <v>3</v>
      </c>
      <c r="M261" t="str">
        <f>VLOOKUP(A261,'Tableau single and bulk'!A:B,2,FALSE)</f>
        <v>NEBAUTO</v>
      </c>
    </row>
    <row r="262" spans="1:13">
      <c r="A262" s="5" t="s">
        <v>797</v>
      </c>
      <c r="B262" s="1">
        <v>35420</v>
      </c>
      <c r="C262" t="s">
        <v>796</v>
      </c>
      <c r="D262" t="s">
        <v>223</v>
      </c>
      <c r="E262" t="s">
        <v>223</v>
      </c>
      <c r="F262" s="1">
        <v>6</v>
      </c>
      <c r="G262" s="1">
        <v>6</v>
      </c>
      <c r="H262" s="1">
        <v>-2</v>
      </c>
      <c r="I262" s="1">
        <v>2</v>
      </c>
      <c r="J262" t="s">
        <v>24</v>
      </c>
      <c r="K262" t="s">
        <v>797</v>
      </c>
      <c r="L262" t="s">
        <v>3</v>
      </c>
      <c r="M262" t="str">
        <f>VLOOKUP(A262,'Tableau single and bulk'!A:B,2,FALSE)</f>
        <v>NEBAUTO</v>
      </c>
    </row>
    <row r="263" spans="1:13">
      <c r="A263" s="5" t="s">
        <v>993</v>
      </c>
      <c r="B263" s="1">
        <v>35271</v>
      </c>
      <c r="C263" t="s">
        <v>992</v>
      </c>
      <c r="D263" t="s">
        <v>110</v>
      </c>
      <c r="E263" t="s">
        <v>110</v>
      </c>
      <c r="F263" s="1">
        <v>1</v>
      </c>
      <c r="G263" s="1">
        <v>1</v>
      </c>
      <c r="H263" s="1">
        <v>0</v>
      </c>
      <c r="I263" s="1">
        <v>0</v>
      </c>
      <c r="J263" t="s">
        <v>18</v>
      </c>
      <c r="K263" t="s">
        <v>993</v>
      </c>
      <c r="L263" t="s">
        <v>3</v>
      </c>
      <c r="M263" t="str">
        <f>VLOOKUP(A263,'Tableau single and bulk'!A:B,2,FALSE)</f>
        <v>NEBAUTO</v>
      </c>
    </row>
    <row r="264" spans="1:13">
      <c r="A264" s="5" t="s">
        <v>119</v>
      </c>
      <c r="B264" s="1">
        <v>35277</v>
      </c>
      <c r="C264" t="s">
        <v>118</v>
      </c>
      <c r="D264" t="s">
        <v>110</v>
      </c>
      <c r="E264" t="s">
        <v>110</v>
      </c>
      <c r="F264" s="1">
        <v>5</v>
      </c>
      <c r="G264" s="1">
        <v>5</v>
      </c>
      <c r="H264" s="1">
        <v>0</v>
      </c>
      <c r="I264" s="1">
        <v>0</v>
      </c>
      <c r="J264" t="s">
        <v>25</v>
      </c>
      <c r="K264" t="s">
        <v>119</v>
      </c>
      <c r="L264" t="s">
        <v>3</v>
      </c>
      <c r="M264" t="str">
        <f>VLOOKUP(A264,'Tableau single and bulk'!A:B,2,FALSE)</f>
        <v>NEBAUTO</v>
      </c>
    </row>
    <row r="265" spans="1:13">
      <c r="A265" s="5" t="s">
        <v>228</v>
      </c>
      <c r="B265" s="1">
        <v>35405</v>
      </c>
      <c r="C265" t="s">
        <v>227</v>
      </c>
      <c r="D265" t="s">
        <v>223</v>
      </c>
      <c r="E265" t="s">
        <v>223</v>
      </c>
      <c r="F265" s="1">
        <v>5</v>
      </c>
      <c r="G265" s="1">
        <v>5</v>
      </c>
      <c r="H265" s="1">
        <v>0</v>
      </c>
      <c r="I265" s="1">
        <v>0</v>
      </c>
      <c r="J265" t="s">
        <v>25</v>
      </c>
      <c r="K265" t="s">
        <v>228</v>
      </c>
      <c r="L265" t="s">
        <v>3</v>
      </c>
      <c r="M265" t="str">
        <f>VLOOKUP(A265,'Tableau single and bulk'!A:B,2,FALSE)</f>
        <v>NEBAUTO</v>
      </c>
    </row>
    <row r="266" spans="1:13">
      <c r="A266" s="5" t="s">
        <v>135</v>
      </c>
      <c r="B266" s="1">
        <v>35305</v>
      </c>
      <c r="C266" t="s">
        <v>133</v>
      </c>
      <c r="D266" t="s">
        <v>134</v>
      </c>
      <c r="E266" t="s">
        <v>134</v>
      </c>
      <c r="F266" s="1">
        <v>2</v>
      </c>
      <c r="G266" s="1">
        <v>2</v>
      </c>
      <c r="H266" s="1">
        <v>0</v>
      </c>
      <c r="I266" s="1">
        <v>0</v>
      </c>
      <c r="J266" t="s">
        <v>24</v>
      </c>
      <c r="K266" t="s">
        <v>135</v>
      </c>
      <c r="L266" t="s">
        <v>3</v>
      </c>
      <c r="M266" t="str">
        <f>VLOOKUP(A266,'Tableau single and bulk'!A:B,2,FALSE)</f>
        <v>NEBAUTO</v>
      </c>
    </row>
    <row r="267" spans="1:13">
      <c r="A267" s="5" t="s">
        <v>224</v>
      </c>
      <c r="B267" s="1">
        <v>35392</v>
      </c>
      <c r="C267" t="s">
        <v>222</v>
      </c>
      <c r="D267" t="s">
        <v>223</v>
      </c>
      <c r="E267" t="s">
        <v>223</v>
      </c>
      <c r="F267" s="1">
        <v>25</v>
      </c>
      <c r="G267" s="1">
        <v>25</v>
      </c>
      <c r="H267" s="1">
        <v>0</v>
      </c>
      <c r="I267" s="1">
        <v>0</v>
      </c>
      <c r="J267" t="s">
        <v>18</v>
      </c>
      <c r="K267" t="s">
        <v>224</v>
      </c>
      <c r="L267" t="s">
        <v>3</v>
      </c>
      <c r="M267" t="str">
        <f>VLOOKUP(A267,'Tableau single and bulk'!A:B,2,FALSE)</f>
        <v>NEBAUTO</v>
      </c>
    </row>
    <row r="268" spans="1:13">
      <c r="A268" s="5" t="s">
        <v>795</v>
      </c>
      <c r="B268" s="1">
        <v>35413</v>
      </c>
      <c r="C268" t="s">
        <v>794</v>
      </c>
      <c r="D268" t="s">
        <v>223</v>
      </c>
      <c r="E268" t="s">
        <v>223</v>
      </c>
      <c r="F268" s="1">
        <v>7</v>
      </c>
      <c r="G268" s="1">
        <v>7</v>
      </c>
      <c r="H268" s="1">
        <v>0</v>
      </c>
      <c r="I268" s="1">
        <v>0</v>
      </c>
      <c r="J268" t="s">
        <v>24</v>
      </c>
      <c r="K268" t="s">
        <v>795</v>
      </c>
      <c r="L268" t="s">
        <v>3</v>
      </c>
      <c r="M268" t="str">
        <f>VLOOKUP(A268,'Tableau single and bulk'!A:B,2,FALSE)</f>
        <v>NEBAUTO</v>
      </c>
    </row>
    <row r="269" spans="1:13">
      <c r="A269" s="5" t="s">
        <v>858</v>
      </c>
      <c r="B269" s="1">
        <v>35289</v>
      </c>
      <c r="C269" t="s">
        <v>857</v>
      </c>
      <c r="D269" t="s">
        <v>110</v>
      </c>
      <c r="E269" t="s">
        <v>110</v>
      </c>
      <c r="F269" s="1">
        <v>1</v>
      </c>
      <c r="G269" s="1">
        <v>1</v>
      </c>
      <c r="H269" s="1">
        <v>0</v>
      </c>
      <c r="I269" s="1">
        <v>0</v>
      </c>
      <c r="J269" t="s">
        <v>33</v>
      </c>
      <c r="K269" t="s">
        <v>858</v>
      </c>
      <c r="L269" t="s">
        <v>3</v>
      </c>
      <c r="M269" t="str">
        <f>VLOOKUP(A269,'Tableau single and bulk'!A:B,2,FALSE)</f>
        <v>NEBAUTO</v>
      </c>
    </row>
    <row r="270" spans="1:13">
      <c r="A270" s="5" t="s">
        <v>1113</v>
      </c>
      <c r="B270" s="1">
        <v>35280</v>
      </c>
      <c r="C270" t="s">
        <v>1112</v>
      </c>
      <c r="D270" t="s">
        <v>110</v>
      </c>
      <c r="E270" t="s">
        <v>110</v>
      </c>
      <c r="F270" s="1">
        <v>2</v>
      </c>
      <c r="G270" s="1">
        <v>2</v>
      </c>
      <c r="H270" s="1">
        <v>0</v>
      </c>
      <c r="I270" s="1">
        <v>0</v>
      </c>
      <c r="J270" t="s">
        <v>25</v>
      </c>
      <c r="K270" t="s">
        <v>1113</v>
      </c>
      <c r="L270" t="s">
        <v>3</v>
      </c>
      <c r="M270" t="str">
        <f>VLOOKUP(A270,'Tableau single and bulk'!A:B,2,FALSE)</f>
        <v>NEBAUTO</v>
      </c>
    </row>
    <row r="271" spans="1:13">
      <c r="A271" s="5" t="s">
        <v>121</v>
      </c>
      <c r="B271" s="1">
        <v>35281</v>
      </c>
      <c r="C271" t="s">
        <v>120</v>
      </c>
      <c r="D271" t="s">
        <v>110</v>
      </c>
      <c r="E271" t="s">
        <v>110</v>
      </c>
      <c r="F271" s="1">
        <v>1</v>
      </c>
      <c r="G271" s="1">
        <v>1</v>
      </c>
      <c r="H271" s="1">
        <v>0</v>
      </c>
      <c r="I271" s="1">
        <v>0</v>
      </c>
      <c r="J271" t="s">
        <v>25</v>
      </c>
      <c r="K271" t="s">
        <v>121</v>
      </c>
      <c r="L271" t="s">
        <v>3</v>
      </c>
      <c r="M271" t="str">
        <f>VLOOKUP(A271,'Tableau single and bulk'!A:B,2,FALSE)</f>
        <v>NEBAUTO</v>
      </c>
    </row>
    <row r="272" spans="1:13">
      <c r="A272" s="5" t="s">
        <v>1167</v>
      </c>
      <c r="B272" s="1">
        <v>35408</v>
      </c>
      <c r="C272" t="s">
        <v>1166</v>
      </c>
      <c r="D272" t="s">
        <v>223</v>
      </c>
      <c r="E272" t="s">
        <v>223</v>
      </c>
      <c r="F272" s="1">
        <v>2</v>
      </c>
      <c r="G272" s="1">
        <v>2</v>
      </c>
      <c r="H272" s="1">
        <v>0</v>
      </c>
      <c r="I272" s="1">
        <v>0</v>
      </c>
      <c r="J272" t="s">
        <v>25</v>
      </c>
      <c r="K272" t="s">
        <v>1167</v>
      </c>
      <c r="L272" t="s">
        <v>3</v>
      </c>
      <c r="M272" t="str">
        <f>VLOOKUP(A272,'Tableau single and bulk'!A:B,2,FALSE)</f>
        <v>NEBAUTO</v>
      </c>
    </row>
    <row r="273" spans="1:13">
      <c r="A273" s="5" t="s">
        <v>740</v>
      </c>
      <c r="B273" s="1">
        <v>35404</v>
      </c>
      <c r="C273" t="s">
        <v>739</v>
      </c>
      <c r="D273" t="s">
        <v>223</v>
      </c>
      <c r="E273" t="s">
        <v>223</v>
      </c>
      <c r="F273" s="1">
        <v>11</v>
      </c>
      <c r="G273" s="1">
        <v>11</v>
      </c>
      <c r="H273" s="1">
        <v>-5</v>
      </c>
      <c r="I273" s="1">
        <v>5</v>
      </c>
      <c r="J273" t="s">
        <v>24</v>
      </c>
      <c r="K273" t="s">
        <v>740</v>
      </c>
      <c r="L273" t="s">
        <v>3</v>
      </c>
      <c r="M273" t="str">
        <f>VLOOKUP(A273,'Tableau single and bulk'!A:B,2,FALSE)</f>
        <v>NEBAUTO</v>
      </c>
    </row>
    <row r="274" spans="1:13">
      <c r="A274" s="5" t="s">
        <v>1048</v>
      </c>
      <c r="B274" s="1">
        <v>35394</v>
      </c>
      <c r="C274" t="s">
        <v>1047</v>
      </c>
      <c r="D274" t="s">
        <v>223</v>
      </c>
      <c r="E274" t="s">
        <v>223</v>
      </c>
      <c r="F274" s="1">
        <v>1</v>
      </c>
      <c r="G274" s="1">
        <v>1</v>
      </c>
      <c r="H274" s="1">
        <v>0</v>
      </c>
      <c r="I274" s="1">
        <v>0</v>
      </c>
      <c r="J274" t="s">
        <v>24</v>
      </c>
      <c r="K274" t="s">
        <v>1048</v>
      </c>
      <c r="L274" t="s">
        <v>3</v>
      </c>
      <c r="M274" t="str">
        <f>VLOOKUP(A274,'Tableau single and bulk'!A:B,2,FALSE)</f>
        <v>NEBAUTO</v>
      </c>
    </row>
    <row r="275" spans="1:13">
      <c r="A275" s="5" t="s">
        <v>870</v>
      </c>
      <c r="B275" s="1">
        <v>35400</v>
      </c>
      <c r="C275" t="s">
        <v>869</v>
      </c>
      <c r="D275" t="s">
        <v>223</v>
      </c>
      <c r="E275" t="s">
        <v>223</v>
      </c>
      <c r="F275" s="1">
        <v>1</v>
      </c>
      <c r="G275" s="1">
        <v>1</v>
      </c>
      <c r="H275" s="1">
        <v>0</v>
      </c>
      <c r="I275" s="1">
        <v>0</v>
      </c>
      <c r="J275" t="s">
        <v>18</v>
      </c>
      <c r="K275" t="s">
        <v>870</v>
      </c>
      <c r="L275" t="s">
        <v>3</v>
      </c>
      <c r="M275" t="str">
        <f>VLOOKUP(A275,'Tableau single and bulk'!A:B,2,FALSE)</f>
        <v>NEBAUTO</v>
      </c>
    </row>
    <row r="276" spans="1:13">
      <c r="A276" s="5" t="s">
        <v>1049</v>
      </c>
      <c r="B276" s="1">
        <v>35395</v>
      </c>
      <c r="C276" t="s">
        <v>1047</v>
      </c>
      <c r="D276" t="s">
        <v>223</v>
      </c>
      <c r="E276" t="s">
        <v>223</v>
      </c>
      <c r="F276" s="1">
        <v>1</v>
      </c>
      <c r="G276" s="1">
        <v>1</v>
      </c>
      <c r="H276" s="1">
        <v>0</v>
      </c>
      <c r="I276" s="1">
        <v>0</v>
      </c>
      <c r="J276" t="s">
        <v>24</v>
      </c>
      <c r="K276" t="s">
        <v>1049</v>
      </c>
      <c r="L276" t="s">
        <v>3</v>
      </c>
      <c r="M276" t="str">
        <f>VLOOKUP(A276,'Tableau single and bulk'!A:B,2,FALSE)</f>
        <v>NEBAUTO</v>
      </c>
    </row>
    <row r="277" spans="1:13">
      <c r="A277" s="5" t="s">
        <v>126</v>
      </c>
      <c r="B277" s="1">
        <v>35291</v>
      </c>
      <c r="C277" t="s">
        <v>125</v>
      </c>
      <c r="D277" t="s">
        <v>110</v>
      </c>
      <c r="E277" t="s">
        <v>110</v>
      </c>
      <c r="F277" s="1">
        <v>8</v>
      </c>
      <c r="G277" s="1">
        <v>8</v>
      </c>
      <c r="H277" s="1">
        <v>0</v>
      </c>
      <c r="I277" s="1">
        <v>0</v>
      </c>
      <c r="J277" t="s">
        <v>28</v>
      </c>
      <c r="K277" t="s">
        <v>126</v>
      </c>
      <c r="L277" t="s">
        <v>3</v>
      </c>
      <c r="M277" t="str">
        <f>VLOOKUP(A277,'Tableau single and bulk'!A:B,2,FALSE)</f>
        <v>NEBAUTO</v>
      </c>
    </row>
    <row r="278" spans="1:13">
      <c r="A278" s="5" t="s">
        <v>1177</v>
      </c>
      <c r="B278" s="1">
        <v>35424</v>
      </c>
      <c r="C278" t="s">
        <v>1176</v>
      </c>
      <c r="D278" t="s">
        <v>223</v>
      </c>
      <c r="E278" t="s">
        <v>223</v>
      </c>
      <c r="F278" s="1">
        <v>2</v>
      </c>
      <c r="G278" s="1">
        <v>2</v>
      </c>
      <c r="H278" s="1">
        <v>0</v>
      </c>
      <c r="I278" s="1">
        <v>0</v>
      </c>
      <c r="J278" t="s">
        <v>24</v>
      </c>
      <c r="K278" t="s">
        <v>1177</v>
      </c>
      <c r="L278" t="s">
        <v>3</v>
      </c>
      <c r="M278" t="str">
        <f>VLOOKUP(A278,'Tableau single and bulk'!A:B,2,FALSE)</f>
        <v>NEBAUTO</v>
      </c>
    </row>
    <row r="279" spans="1:13">
      <c r="A279" s="5" t="s">
        <v>143</v>
      </c>
      <c r="B279" s="1">
        <v>35327</v>
      </c>
      <c r="C279" t="s">
        <v>142</v>
      </c>
      <c r="D279" t="s">
        <v>134</v>
      </c>
      <c r="E279" t="s">
        <v>134</v>
      </c>
      <c r="F279" s="1">
        <v>2</v>
      </c>
      <c r="G279" s="1">
        <v>2</v>
      </c>
      <c r="H279" s="1">
        <v>0</v>
      </c>
      <c r="I279" s="1">
        <v>0</v>
      </c>
      <c r="J279" t="s">
        <v>33</v>
      </c>
      <c r="K279" t="s">
        <v>143</v>
      </c>
      <c r="L279" t="s">
        <v>3</v>
      </c>
      <c r="M279" t="str">
        <f>VLOOKUP(A279,'Tableau single and bulk'!A:B,2,FALSE)</f>
        <v>NEBAUTO</v>
      </c>
    </row>
    <row r="280" spans="1:13">
      <c r="A280" s="5" t="s">
        <v>507</v>
      </c>
      <c r="B280" s="1">
        <v>35423</v>
      </c>
      <c r="C280" t="s">
        <v>229</v>
      </c>
      <c r="D280" t="s">
        <v>223</v>
      </c>
      <c r="E280" t="s">
        <v>223</v>
      </c>
      <c r="F280" s="1">
        <v>1</v>
      </c>
      <c r="G280" s="1">
        <v>1</v>
      </c>
      <c r="H280" s="1">
        <v>0</v>
      </c>
      <c r="I280" s="1">
        <v>0</v>
      </c>
      <c r="J280" t="s">
        <v>28</v>
      </c>
      <c r="K280" t="s">
        <v>507</v>
      </c>
      <c r="L280" t="s">
        <v>3</v>
      </c>
      <c r="M280" t="str">
        <f>VLOOKUP(A280,'Tableau single and bulk'!A:B,2,FALSE)</f>
        <v>NEBAUTO</v>
      </c>
    </row>
    <row r="281" spans="1:13">
      <c r="A281" s="5" t="s">
        <v>132</v>
      </c>
      <c r="B281" s="1">
        <v>35297</v>
      </c>
      <c r="C281" t="s">
        <v>131</v>
      </c>
      <c r="D281" t="s">
        <v>110</v>
      </c>
      <c r="E281" t="s">
        <v>110</v>
      </c>
      <c r="F281" s="1">
        <v>1</v>
      </c>
      <c r="G281" s="1">
        <v>1</v>
      </c>
      <c r="H281" s="1">
        <v>0</v>
      </c>
      <c r="I281" s="1">
        <v>0</v>
      </c>
      <c r="J281" t="s">
        <v>28</v>
      </c>
      <c r="K281" t="s">
        <v>132</v>
      </c>
      <c r="L281" t="s">
        <v>3</v>
      </c>
      <c r="M281" t="str">
        <f>VLOOKUP(A281,'Tableau single and bulk'!A:B,2,FALSE)</f>
        <v>NEBAUTO</v>
      </c>
    </row>
    <row r="282" spans="1:13">
      <c r="A282" s="5" t="s">
        <v>868</v>
      </c>
      <c r="B282" s="1">
        <v>35397</v>
      </c>
      <c r="C282" t="s">
        <v>867</v>
      </c>
      <c r="D282" t="s">
        <v>223</v>
      </c>
      <c r="E282" t="s">
        <v>223</v>
      </c>
      <c r="F282" s="1">
        <v>1</v>
      </c>
      <c r="G282" s="1">
        <v>1</v>
      </c>
      <c r="H282" s="1">
        <v>0</v>
      </c>
      <c r="I282" s="1">
        <v>0</v>
      </c>
      <c r="J282" t="s">
        <v>24</v>
      </c>
      <c r="K282" t="s">
        <v>868</v>
      </c>
      <c r="L282" t="s">
        <v>3</v>
      </c>
      <c r="M282" t="str">
        <f>VLOOKUP(A282,'Tableau single and bulk'!A:B,2,FALSE)</f>
        <v>NEBAUTO</v>
      </c>
    </row>
    <row r="283" spans="1:13">
      <c r="A283" s="5" t="s">
        <v>210</v>
      </c>
      <c r="B283" s="1">
        <v>35360</v>
      </c>
      <c r="C283" t="s">
        <v>209</v>
      </c>
      <c r="D283" t="s">
        <v>200</v>
      </c>
      <c r="E283" t="s">
        <v>200</v>
      </c>
      <c r="F283" s="1">
        <v>1</v>
      </c>
      <c r="G283" s="1">
        <v>1</v>
      </c>
      <c r="H283" s="1">
        <v>0</v>
      </c>
      <c r="I283" s="1">
        <v>0</v>
      </c>
      <c r="J283" t="s">
        <v>18</v>
      </c>
      <c r="K283" t="s">
        <v>210</v>
      </c>
      <c r="L283" t="s">
        <v>3</v>
      </c>
      <c r="M283" t="str">
        <f>VLOOKUP(A283,'Tableau single and bulk'!A:B,2,FALSE)</f>
        <v>NEBAUTO</v>
      </c>
    </row>
    <row r="284" spans="1:13">
      <c r="A284" s="5" t="s">
        <v>1050</v>
      </c>
      <c r="B284" s="1">
        <v>35396</v>
      </c>
      <c r="C284" t="s">
        <v>529</v>
      </c>
      <c r="D284" t="s">
        <v>223</v>
      </c>
      <c r="E284" t="s">
        <v>223</v>
      </c>
      <c r="F284" s="1">
        <v>1</v>
      </c>
      <c r="G284" s="1">
        <v>1</v>
      </c>
      <c r="H284" s="1">
        <v>0</v>
      </c>
      <c r="I284" s="1">
        <v>0</v>
      </c>
      <c r="J284" t="s">
        <v>18</v>
      </c>
      <c r="K284" t="s">
        <v>1050</v>
      </c>
      <c r="L284" t="s">
        <v>3</v>
      </c>
      <c r="M284" t="str">
        <f>VLOOKUP(A284,'Tableau single and bulk'!A:B,2,FALSE)</f>
        <v>NEBAUTO</v>
      </c>
    </row>
    <row r="285" spans="1:13">
      <c r="A285" s="5" t="s">
        <v>1081</v>
      </c>
      <c r="B285" s="1">
        <v>35398</v>
      </c>
      <c r="C285" t="s">
        <v>1080</v>
      </c>
      <c r="D285" t="s">
        <v>223</v>
      </c>
      <c r="E285" t="s">
        <v>223</v>
      </c>
      <c r="F285" s="1">
        <v>3</v>
      </c>
      <c r="G285" s="1">
        <v>3</v>
      </c>
      <c r="H285" s="1">
        <v>0</v>
      </c>
      <c r="I285" s="1">
        <v>0</v>
      </c>
      <c r="J285" t="s">
        <v>18</v>
      </c>
      <c r="K285" t="s">
        <v>1081</v>
      </c>
      <c r="L285" t="s">
        <v>3</v>
      </c>
      <c r="M285" t="str">
        <f>VLOOKUP(A285,'Tableau single and bulk'!A:B,2,FALSE)</f>
        <v>NEBAUTO</v>
      </c>
    </row>
    <row r="286" spans="1:13">
      <c r="A286" s="5" t="s">
        <v>1191</v>
      </c>
      <c r="B286" s="1">
        <v>35417</v>
      </c>
      <c r="C286" t="s">
        <v>1190</v>
      </c>
      <c r="D286" t="s">
        <v>223</v>
      </c>
      <c r="E286" t="s">
        <v>223</v>
      </c>
      <c r="F286" s="1">
        <v>6</v>
      </c>
      <c r="G286" s="1">
        <v>6</v>
      </c>
      <c r="H286" s="1">
        <v>0</v>
      </c>
      <c r="I286" s="1">
        <v>0</v>
      </c>
      <c r="J286" t="s">
        <v>24</v>
      </c>
      <c r="K286" t="s">
        <v>1191</v>
      </c>
      <c r="L286" t="s">
        <v>3</v>
      </c>
      <c r="M286" t="str">
        <f>VLOOKUP(A286,'Tableau single and bulk'!A:B,2,FALSE)</f>
        <v>NEBAUTO</v>
      </c>
    </row>
    <row r="287" spans="1:13">
      <c r="A287" s="5" t="s">
        <v>1203</v>
      </c>
      <c r="B287" s="1">
        <v>35457</v>
      </c>
      <c r="C287" t="s">
        <v>1202</v>
      </c>
      <c r="D287" t="s">
        <v>237</v>
      </c>
      <c r="E287" t="s">
        <v>237</v>
      </c>
      <c r="F287" s="1">
        <v>4</v>
      </c>
      <c r="G287" s="1">
        <v>4</v>
      </c>
      <c r="H287" s="1">
        <v>0</v>
      </c>
      <c r="I287" s="1">
        <v>0</v>
      </c>
      <c r="J287" t="s">
        <v>33</v>
      </c>
      <c r="K287" t="s">
        <v>1203</v>
      </c>
      <c r="L287" t="s">
        <v>3</v>
      </c>
      <c r="M287" t="str">
        <f>VLOOKUP(A287,'Tableau single and bulk'!A:B,2,FALSE)</f>
        <v>NEBAUTO</v>
      </c>
    </row>
    <row r="288" spans="1:13">
      <c r="A288" s="5" t="s">
        <v>1204</v>
      </c>
      <c r="B288" s="1">
        <v>35461</v>
      </c>
      <c r="C288" t="s">
        <v>255</v>
      </c>
      <c r="D288" t="s">
        <v>237</v>
      </c>
      <c r="E288" t="s">
        <v>237</v>
      </c>
      <c r="F288" s="1">
        <v>1</v>
      </c>
      <c r="G288" s="1">
        <v>1</v>
      </c>
      <c r="H288" s="1">
        <v>0</v>
      </c>
      <c r="I288" s="1">
        <v>0</v>
      </c>
      <c r="J288" t="s">
        <v>28</v>
      </c>
      <c r="K288" t="s">
        <v>1204</v>
      </c>
      <c r="L288" t="s">
        <v>3</v>
      </c>
      <c r="M288" t="str">
        <f>VLOOKUP(A288,'Tableau single and bulk'!A:B,2,FALSE)</f>
        <v>NEBAUTO</v>
      </c>
    </row>
    <row r="289" spans="1:13">
      <c r="A289" s="5" t="s">
        <v>1210</v>
      </c>
      <c r="B289" s="1">
        <v>35469</v>
      </c>
      <c r="C289" t="s">
        <v>1209</v>
      </c>
      <c r="D289" t="s">
        <v>237</v>
      </c>
      <c r="E289" t="s">
        <v>237</v>
      </c>
      <c r="F289" s="1">
        <v>4</v>
      </c>
      <c r="G289" s="1">
        <v>4</v>
      </c>
      <c r="H289" s="1">
        <v>0</v>
      </c>
      <c r="I289" s="1">
        <v>0</v>
      </c>
      <c r="J289" t="s">
        <v>28</v>
      </c>
      <c r="K289" t="s">
        <v>1210</v>
      </c>
      <c r="L289" t="s">
        <v>3</v>
      </c>
      <c r="M289" t="str">
        <f>VLOOKUP(A289,'Tableau single and bulk'!A:B,2,FALSE)</f>
        <v>NEBAUTO</v>
      </c>
    </row>
    <row r="290" spans="1:13">
      <c r="A290" s="5" t="s">
        <v>203</v>
      </c>
      <c r="B290" s="1">
        <v>35350</v>
      </c>
      <c r="C290" t="s">
        <v>202</v>
      </c>
      <c r="D290" t="s">
        <v>200</v>
      </c>
      <c r="E290" t="s">
        <v>200</v>
      </c>
      <c r="F290" s="1">
        <v>2</v>
      </c>
      <c r="G290" s="1">
        <v>2</v>
      </c>
      <c r="H290" s="1">
        <v>0</v>
      </c>
      <c r="I290" s="1">
        <v>0</v>
      </c>
      <c r="J290" t="s">
        <v>33</v>
      </c>
      <c r="K290" t="s">
        <v>203</v>
      </c>
      <c r="L290" t="s">
        <v>3</v>
      </c>
      <c r="M290" t="str">
        <f>VLOOKUP(A290,'Tableau single and bulk'!A:B,2,FALSE)</f>
        <v>NEBAUTO</v>
      </c>
    </row>
    <row r="291" spans="1:13">
      <c r="A291" s="5" t="s">
        <v>515</v>
      </c>
      <c r="B291" s="1">
        <v>35454</v>
      </c>
      <c r="C291" t="s">
        <v>514</v>
      </c>
      <c r="D291" t="s">
        <v>237</v>
      </c>
      <c r="E291" t="s">
        <v>237</v>
      </c>
      <c r="F291" s="1">
        <v>1</v>
      </c>
      <c r="G291" s="1">
        <v>1</v>
      </c>
      <c r="H291" s="1">
        <v>0</v>
      </c>
      <c r="I291" s="1">
        <v>0</v>
      </c>
      <c r="J291" t="s">
        <v>33</v>
      </c>
      <c r="K291" t="s">
        <v>515</v>
      </c>
      <c r="L291" t="s">
        <v>3</v>
      </c>
      <c r="M291" t="str">
        <f>VLOOKUP(A291,'Tableau single and bulk'!A:B,2,FALSE)</f>
        <v>NEBAUTO</v>
      </c>
    </row>
    <row r="292" spans="1:13">
      <c r="A292" s="5" t="s">
        <v>235</v>
      </c>
      <c r="B292" s="1">
        <v>35442</v>
      </c>
      <c r="C292" t="s">
        <v>234</v>
      </c>
      <c r="D292" t="s">
        <v>232</v>
      </c>
      <c r="E292" t="s">
        <v>232</v>
      </c>
      <c r="F292" s="1">
        <v>59</v>
      </c>
      <c r="G292" s="1">
        <v>59</v>
      </c>
      <c r="H292" s="1">
        <v>0</v>
      </c>
      <c r="I292" s="1">
        <v>0</v>
      </c>
      <c r="J292" t="s">
        <v>18</v>
      </c>
      <c r="K292" t="s">
        <v>235</v>
      </c>
      <c r="L292" t="s">
        <v>3</v>
      </c>
      <c r="M292" t="str">
        <f>VLOOKUP(A292,'Tableau single and bulk'!A:B,2,FALSE)</f>
        <v>NEBAUTO</v>
      </c>
    </row>
    <row r="293" spans="1:13">
      <c r="A293" s="5" t="s">
        <v>932</v>
      </c>
      <c r="B293" s="1">
        <v>35435</v>
      </c>
      <c r="C293" t="s">
        <v>931</v>
      </c>
      <c r="D293" t="s">
        <v>232</v>
      </c>
      <c r="E293" t="s">
        <v>232</v>
      </c>
      <c r="F293" s="1">
        <v>1</v>
      </c>
      <c r="G293" s="1">
        <v>1</v>
      </c>
      <c r="H293" s="1">
        <v>0</v>
      </c>
      <c r="I293" s="1">
        <v>0</v>
      </c>
      <c r="J293" t="s">
        <v>18</v>
      </c>
      <c r="K293" t="s">
        <v>932</v>
      </c>
      <c r="L293" t="s">
        <v>3</v>
      </c>
      <c r="M293" t="str">
        <f>VLOOKUP(A293,'Tableau single and bulk'!A:B,2,FALSE)</f>
        <v>NEBAUTO</v>
      </c>
    </row>
    <row r="294" spans="1:13">
      <c r="A294" s="5" t="s">
        <v>517</v>
      </c>
      <c r="B294" s="1">
        <v>35458</v>
      </c>
      <c r="C294" t="s">
        <v>516</v>
      </c>
      <c r="D294" t="s">
        <v>237</v>
      </c>
      <c r="E294" t="s">
        <v>237</v>
      </c>
      <c r="F294" s="1">
        <v>3</v>
      </c>
      <c r="G294" s="1">
        <v>3</v>
      </c>
      <c r="H294" s="1">
        <v>0</v>
      </c>
      <c r="I294" s="1">
        <v>0</v>
      </c>
      <c r="J294" t="s">
        <v>28</v>
      </c>
      <c r="K294" t="s">
        <v>517</v>
      </c>
      <c r="L294" t="s">
        <v>3</v>
      </c>
      <c r="M294" t="str">
        <f>VLOOKUP(A294,'Tableau single and bulk'!A:B,2,FALSE)</f>
        <v>NEBAUTO</v>
      </c>
    </row>
    <row r="295" spans="1:13">
      <c r="A295" s="5" t="s">
        <v>1185</v>
      </c>
      <c r="B295" s="1">
        <v>35430</v>
      </c>
      <c r="C295" t="s">
        <v>1184</v>
      </c>
      <c r="D295" t="s">
        <v>509</v>
      </c>
      <c r="E295" t="s">
        <v>509</v>
      </c>
      <c r="F295" s="1">
        <v>1</v>
      </c>
      <c r="G295" s="1">
        <v>1</v>
      </c>
      <c r="H295" s="1">
        <v>0</v>
      </c>
      <c r="I295" s="1">
        <v>0</v>
      </c>
      <c r="J295" t="s">
        <v>25</v>
      </c>
      <c r="K295" t="s">
        <v>1185</v>
      </c>
      <c r="L295" t="s">
        <v>3</v>
      </c>
      <c r="M295" t="str">
        <f>VLOOKUP(A295,'Tableau single and bulk'!A:B,2,FALSE)</f>
        <v>NEBAUTO</v>
      </c>
    </row>
    <row r="296" spans="1:13">
      <c r="A296" s="5" t="s">
        <v>519</v>
      </c>
      <c r="B296" s="1">
        <v>35462</v>
      </c>
      <c r="C296" t="s">
        <v>518</v>
      </c>
      <c r="D296" t="s">
        <v>237</v>
      </c>
      <c r="E296" t="s">
        <v>237</v>
      </c>
      <c r="F296" s="1">
        <v>4</v>
      </c>
      <c r="G296" s="1">
        <v>4</v>
      </c>
      <c r="H296" s="1">
        <v>0</v>
      </c>
      <c r="I296" s="1">
        <v>0</v>
      </c>
      <c r="J296" t="s">
        <v>33</v>
      </c>
      <c r="K296" t="s">
        <v>519</v>
      </c>
      <c r="L296" t="s">
        <v>3</v>
      </c>
      <c r="M296" t="str">
        <f>VLOOKUP(A296,'Tableau single and bulk'!A:B,2,FALSE)</f>
        <v>NEBAUTO</v>
      </c>
    </row>
    <row r="297" spans="1:13">
      <c r="A297" s="5" t="s">
        <v>799</v>
      </c>
      <c r="B297" s="1">
        <v>35436</v>
      </c>
      <c r="C297" t="s">
        <v>798</v>
      </c>
      <c r="D297" t="s">
        <v>232</v>
      </c>
      <c r="E297" t="s">
        <v>232</v>
      </c>
      <c r="F297" s="1">
        <v>2</v>
      </c>
      <c r="G297" s="1">
        <v>2</v>
      </c>
      <c r="H297" s="1">
        <v>0</v>
      </c>
      <c r="I297" s="1">
        <v>0</v>
      </c>
      <c r="J297" t="s">
        <v>18</v>
      </c>
      <c r="K297" t="s">
        <v>799</v>
      </c>
      <c r="L297" t="s">
        <v>3</v>
      </c>
      <c r="M297" t="str">
        <f>VLOOKUP(A297,'Tableau single and bulk'!A:B,2,FALSE)</f>
        <v>NEBAUTO</v>
      </c>
    </row>
    <row r="298" spans="1:13">
      <c r="A298" s="5" t="s">
        <v>523</v>
      </c>
      <c r="B298" s="1">
        <v>35491</v>
      </c>
      <c r="C298" t="s">
        <v>522</v>
      </c>
      <c r="D298" t="s">
        <v>237</v>
      </c>
      <c r="E298" t="s">
        <v>237</v>
      </c>
      <c r="F298" s="1">
        <v>32</v>
      </c>
      <c r="G298" s="1">
        <v>32</v>
      </c>
      <c r="H298" s="1">
        <v>0</v>
      </c>
      <c r="I298" s="1">
        <v>0</v>
      </c>
      <c r="J298" t="s">
        <v>24</v>
      </c>
      <c r="K298" t="s">
        <v>523</v>
      </c>
      <c r="L298" t="s">
        <v>3</v>
      </c>
      <c r="M298" t="str">
        <f>VLOOKUP(A298,'Tableau single and bulk'!A:B,2,FALSE)</f>
        <v>NEBAUTO</v>
      </c>
    </row>
    <row r="299" spans="1:13">
      <c r="A299" s="5" t="s">
        <v>1145</v>
      </c>
      <c r="B299" s="1">
        <v>35334</v>
      </c>
      <c r="C299" t="s">
        <v>1144</v>
      </c>
      <c r="D299" t="s">
        <v>134</v>
      </c>
      <c r="E299" t="s">
        <v>134</v>
      </c>
      <c r="F299" s="1">
        <v>1</v>
      </c>
      <c r="G299" s="1">
        <v>1</v>
      </c>
      <c r="H299" s="1">
        <v>0</v>
      </c>
      <c r="I299" s="1">
        <v>0</v>
      </c>
      <c r="J299" t="s">
        <v>18</v>
      </c>
      <c r="K299" t="s">
        <v>1145</v>
      </c>
      <c r="L299" t="s">
        <v>3</v>
      </c>
      <c r="M299" t="str">
        <f>VLOOKUP(A299,'Tableau single and bulk'!A:B,2,FALSE)</f>
        <v>NEBAUTO</v>
      </c>
    </row>
    <row r="300" spans="1:13">
      <c r="A300" s="5" t="s">
        <v>244</v>
      </c>
      <c r="B300" s="1">
        <v>35463</v>
      </c>
      <c r="C300" t="s">
        <v>243</v>
      </c>
      <c r="D300" t="s">
        <v>237</v>
      </c>
      <c r="E300" t="s">
        <v>237</v>
      </c>
      <c r="F300" s="1">
        <v>6</v>
      </c>
      <c r="G300" s="1">
        <v>6</v>
      </c>
      <c r="H300" s="1">
        <v>0</v>
      </c>
      <c r="I300" s="1">
        <v>0</v>
      </c>
      <c r="J300" t="s">
        <v>33</v>
      </c>
      <c r="K300" t="s">
        <v>244</v>
      </c>
      <c r="L300" t="s">
        <v>3</v>
      </c>
      <c r="M300" t="str">
        <f>VLOOKUP(A300,'Tableau single and bulk'!A:B,2,FALSE)</f>
        <v>NEBAUTO</v>
      </c>
    </row>
    <row r="301" spans="1:13">
      <c r="A301" s="5" t="s">
        <v>1199</v>
      </c>
      <c r="B301" s="1">
        <v>35450</v>
      </c>
      <c r="C301" t="s">
        <v>1198</v>
      </c>
      <c r="D301" t="s">
        <v>237</v>
      </c>
      <c r="E301" t="s">
        <v>237</v>
      </c>
      <c r="F301" s="1">
        <v>32</v>
      </c>
      <c r="G301" s="1">
        <v>32</v>
      </c>
      <c r="H301" s="1">
        <v>0</v>
      </c>
      <c r="I301" s="1">
        <v>0</v>
      </c>
      <c r="J301" t="s">
        <v>28</v>
      </c>
      <c r="K301" t="s">
        <v>1199</v>
      </c>
      <c r="L301" t="s">
        <v>3</v>
      </c>
      <c r="M301" t="str">
        <f>VLOOKUP(A301,'Tableau single and bulk'!A:B,2,FALSE)</f>
        <v>NEBAUTO</v>
      </c>
    </row>
    <row r="302" spans="1:13">
      <c r="A302" s="5" t="s">
        <v>804</v>
      </c>
      <c r="B302" s="1">
        <v>35451</v>
      </c>
      <c r="C302" t="s">
        <v>803</v>
      </c>
      <c r="D302" t="s">
        <v>237</v>
      </c>
      <c r="E302" t="s">
        <v>237</v>
      </c>
      <c r="F302" s="1">
        <v>1</v>
      </c>
      <c r="G302" s="1">
        <v>1</v>
      </c>
      <c r="H302" s="1">
        <v>0</v>
      </c>
      <c r="I302" s="1">
        <v>0</v>
      </c>
      <c r="J302" t="s">
        <v>33</v>
      </c>
      <c r="K302" t="s">
        <v>804</v>
      </c>
      <c r="L302" t="s">
        <v>3</v>
      </c>
      <c r="M302" t="str">
        <f>VLOOKUP(A302,'Tableau single and bulk'!A:B,2,FALSE)</f>
        <v>NEBAUTO</v>
      </c>
    </row>
    <row r="303" spans="1:13">
      <c r="A303" s="5" t="s">
        <v>149</v>
      </c>
      <c r="B303" s="1">
        <v>35342</v>
      </c>
      <c r="C303" t="s">
        <v>148</v>
      </c>
      <c r="D303" t="s">
        <v>134</v>
      </c>
      <c r="E303" t="s">
        <v>134</v>
      </c>
      <c r="F303" s="1">
        <v>3</v>
      </c>
      <c r="G303" s="1">
        <v>3</v>
      </c>
      <c r="H303" s="1">
        <v>0</v>
      </c>
      <c r="I303" s="1">
        <v>0</v>
      </c>
      <c r="J303" t="s">
        <v>18</v>
      </c>
      <c r="K303" t="s">
        <v>149</v>
      </c>
      <c r="L303" t="s">
        <v>3</v>
      </c>
      <c r="M303" t="str">
        <f>VLOOKUP(A303,'Tableau single and bulk'!A:B,2,FALSE)</f>
        <v>NEBAUTO</v>
      </c>
    </row>
    <row r="304" spans="1:13">
      <c r="A304" s="5" t="s">
        <v>1181</v>
      </c>
      <c r="B304" s="1">
        <v>35427</v>
      </c>
      <c r="C304" t="s">
        <v>1180</v>
      </c>
      <c r="D304" t="s">
        <v>509</v>
      </c>
      <c r="E304" t="s">
        <v>509</v>
      </c>
      <c r="F304" s="1">
        <v>1</v>
      </c>
      <c r="G304" s="1">
        <v>1</v>
      </c>
      <c r="H304" s="1">
        <v>0</v>
      </c>
      <c r="I304" s="1">
        <v>0</v>
      </c>
      <c r="J304" t="s">
        <v>25</v>
      </c>
      <c r="K304" t="s">
        <v>1181</v>
      </c>
      <c r="L304" t="s">
        <v>3</v>
      </c>
      <c r="M304" t="str">
        <f>VLOOKUP(A304,'Tableau single and bulk'!A:B,2,FALSE)</f>
        <v>NEBAUTO</v>
      </c>
    </row>
    <row r="305" spans="1:13">
      <c r="A305" s="5" t="s">
        <v>494</v>
      </c>
      <c r="B305" s="1">
        <v>35345</v>
      </c>
      <c r="C305" t="s">
        <v>47</v>
      </c>
      <c r="D305" t="s">
        <v>200</v>
      </c>
      <c r="E305" t="s">
        <v>200</v>
      </c>
      <c r="F305" s="1">
        <v>1</v>
      </c>
      <c r="G305" s="1">
        <v>1</v>
      </c>
      <c r="H305" s="1">
        <v>0</v>
      </c>
      <c r="I305" s="1">
        <v>0</v>
      </c>
      <c r="J305" t="s">
        <v>33</v>
      </c>
      <c r="K305" t="s">
        <v>494</v>
      </c>
      <c r="L305" t="s">
        <v>3</v>
      </c>
      <c r="M305" t="str">
        <f>VLOOKUP(A305,'Tableau single and bulk'!A:B,2,FALSE)</f>
        <v>NEBAUTO</v>
      </c>
    </row>
    <row r="306" spans="1:13">
      <c r="A306" s="5" t="s">
        <v>1206</v>
      </c>
      <c r="B306" s="1">
        <v>35464</v>
      </c>
      <c r="C306" t="s">
        <v>1205</v>
      </c>
      <c r="D306" t="s">
        <v>237</v>
      </c>
      <c r="E306" t="s">
        <v>237</v>
      </c>
      <c r="F306" s="1">
        <v>8</v>
      </c>
      <c r="G306" s="1">
        <v>8</v>
      </c>
      <c r="H306" s="1">
        <v>0</v>
      </c>
      <c r="I306" s="1">
        <v>0</v>
      </c>
      <c r="J306" t="s">
        <v>28</v>
      </c>
      <c r="K306" t="s">
        <v>1206</v>
      </c>
      <c r="L306" t="s">
        <v>3</v>
      </c>
      <c r="M306" t="str">
        <f>VLOOKUP(A306,'Tableau single and bulk'!A:B,2,FALSE)</f>
        <v>NEBAUTO</v>
      </c>
    </row>
    <row r="307" spans="1:13">
      <c r="A307" s="5" t="s">
        <v>201</v>
      </c>
      <c r="B307" s="1">
        <v>35349</v>
      </c>
      <c r="C307" t="s">
        <v>199</v>
      </c>
      <c r="D307" t="s">
        <v>200</v>
      </c>
      <c r="E307" t="s">
        <v>200</v>
      </c>
      <c r="F307" s="1">
        <v>36</v>
      </c>
      <c r="G307" s="1">
        <v>36</v>
      </c>
      <c r="H307" s="1">
        <v>0</v>
      </c>
      <c r="I307" s="1">
        <v>0</v>
      </c>
      <c r="J307" t="s">
        <v>33</v>
      </c>
      <c r="K307" t="s">
        <v>201</v>
      </c>
      <c r="L307" t="s">
        <v>3</v>
      </c>
      <c r="M307" t="str">
        <f>VLOOKUP(A307,'Tableau single and bulk'!A:B,2,FALSE)</f>
        <v>NEBAUTO</v>
      </c>
    </row>
    <row r="308" spans="1:13">
      <c r="A308" s="5" t="s">
        <v>521</v>
      </c>
      <c r="B308" s="1">
        <v>35490</v>
      </c>
      <c r="C308" t="s">
        <v>520</v>
      </c>
      <c r="D308" t="s">
        <v>237</v>
      </c>
      <c r="E308" t="s">
        <v>237</v>
      </c>
      <c r="F308" s="1">
        <v>4</v>
      </c>
      <c r="G308" s="1">
        <v>4</v>
      </c>
      <c r="H308" s="1">
        <v>0</v>
      </c>
      <c r="I308" s="1">
        <v>0</v>
      </c>
      <c r="J308" t="s">
        <v>24</v>
      </c>
      <c r="K308" t="s">
        <v>521</v>
      </c>
      <c r="L308" t="s">
        <v>3</v>
      </c>
      <c r="M308" t="str">
        <f>VLOOKUP(A308,'Tableau single and bulk'!A:B,2,FALSE)</f>
        <v>NEBAUTO</v>
      </c>
    </row>
    <row r="309" spans="1:13">
      <c r="A309" s="5" t="s">
        <v>512</v>
      </c>
      <c r="B309" s="1">
        <v>35431</v>
      </c>
      <c r="C309" t="s">
        <v>511</v>
      </c>
      <c r="D309" t="s">
        <v>232</v>
      </c>
      <c r="E309" t="s">
        <v>232</v>
      </c>
      <c r="F309" s="1">
        <v>1</v>
      </c>
      <c r="G309" s="1">
        <v>1</v>
      </c>
      <c r="H309" s="1">
        <v>0</v>
      </c>
      <c r="I309" s="1">
        <v>0</v>
      </c>
      <c r="J309" t="s">
        <v>18</v>
      </c>
      <c r="K309" t="s">
        <v>512</v>
      </c>
      <c r="L309" t="s">
        <v>3</v>
      </c>
      <c r="M309" t="str">
        <f>VLOOKUP(A309,'Tableau single and bulk'!A:B,2,FALSE)</f>
        <v>NEBAUTO</v>
      </c>
    </row>
    <row r="310" spans="1:13">
      <c r="A310" s="5" t="s">
        <v>1183</v>
      </c>
      <c r="B310" s="1">
        <v>35429</v>
      </c>
      <c r="C310" t="s">
        <v>1182</v>
      </c>
      <c r="D310" t="s">
        <v>509</v>
      </c>
      <c r="E310" t="s">
        <v>509</v>
      </c>
      <c r="F310" s="1">
        <v>3</v>
      </c>
      <c r="G310" s="1">
        <v>3</v>
      </c>
      <c r="H310" s="1">
        <v>0</v>
      </c>
      <c r="I310" s="1">
        <v>0</v>
      </c>
      <c r="J310" t="s">
        <v>25</v>
      </c>
      <c r="K310" t="s">
        <v>1183</v>
      </c>
      <c r="L310" t="s">
        <v>3</v>
      </c>
      <c r="M310" t="str">
        <f>VLOOKUP(A310,'Tableau single and bulk'!A:B,2,FALSE)</f>
        <v>NEBAUTO</v>
      </c>
    </row>
    <row r="311" spans="1:13">
      <c r="A311" s="5" t="s">
        <v>994</v>
      </c>
      <c r="B311" s="1">
        <v>35432</v>
      </c>
      <c r="C311" t="s">
        <v>231</v>
      </c>
      <c r="D311" t="s">
        <v>232</v>
      </c>
      <c r="E311" t="s">
        <v>232</v>
      </c>
      <c r="F311" s="1">
        <v>1</v>
      </c>
      <c r="G311" s="1">
        <v>1</v>
      </c>
      <c r="H311" s="1">
        <v>0</v>
      </c>
      <c r="I311" s="1">
        <v>0</v>
      </c>
      <c r="J311" t="s">
        <v>18</v>
      </c>
      <c r="K311" t="s">
        <v>994</v>
      </c>
      <c r="L311" t="s">
        <v>3</v>
      </c>
      <c r="M311" t="str">
        <f>VLOOKUP(A311,'Tableau single and bulk'!A:B,2,FALSE)</f>
        <v>NEBAUTO</v>
      </c>
    </row>
    <row r="312" spans="1:13">
      <c r="A312" s="5" t="s">
        <v>1201</v>
      </c>
      <c r="B312" s="1">
        <v>35452</v>
      </c>
      <c r="C312" t="s">
        <v>1200</v>
      </c>
      <c r="D312" t="s">
        <v>237</v>
      </c>
      <c r="E312" t="s">
        <v>237</v>
      </c>
      <c r="F312" s="1">
        <v>2</v>
      </c>
      <c r="G312" s="1">
        <v>2</v>
      </c>
      <c r="H312" s="1">
        <v>0</v>
      </c>
      <c r="I312" s="1">
        <v>0</v>
      </c>
      <c r="J312" t="s">
        <v>33</v>
      </c>
      <c r="K312" t="s">
        <v>1201</v>
      </c>
      <c r="L312" t="s">
        <v>3</v>
      </c>
      <c r="M312" t="str">
        <f>VLOOKUP(A312,'Tableau single and bulk'!A:B,2,FALSE)</f>
        <v>NEBAUTO</v>
      </c>
    </row>
    <row r="313" spans="1:13">
      <c r="A313" s="5" t="s">
        <v>238</v>
      </c>
      <c r="B313" s="1">
        <v>35453</v>
      </c>
      <c r="C313" t="s">
        <v>236</v>
      </c>
      <c r="D313" t="s">
        <v>237</v>
      </c>
      <c r="E313" t="s">
        <v>237</v>
      </c>
      <c r="F313" s="1">
        <v>1</v>
      </c>
      <c r="G313" s="1">
        <v>1</v>
      </c>
      <c r="H313" s="1">
        <v>0</v>
      </c>
      <c r="I313" s="1">
        <v>0</v>
      </c>
      <c r="J313" t="s">
        <v>33</v>
      </c>
      <c r="K313" t="s">
        <v>238</v>
      </c>
      <c r="L313" t="s">
        <v>3</v>
      </c>
      <c r="M313" t="str">
        <f>VLOOKUP(A313,'Tableau single and bulk'!A:B,2,FALSE)</f>
        <v>NEBAUTO</v>
      </c>
    </row>
    <row r="314" spans="1:13">
      <c r="A314" s="5" t="s">
        <v>233</v>
      </c>
      <c r="B314" s="1">
        <v>35433</v>
      </c>
      <c r="C314" t="s">
        <v>231</v>
      </c>
      <c r="D314" t="s">
        <v>232</v>
      </c>
      <c r="E314" t="s">
        <v>232</v>
      </c>
      <c r="F314" s="1">
        <v>1</v>
      </c>
      <c r="G314" s="1">
        <v>1</v>
      </c>
      <c r="H314" s="1">
        <v>0</v>
      </c>
      <c r="I314" s="1">
        <v>0</v>
      </c>
      <c r="J314" t="s">
        <v>18</v>
      </c>
      <c r="K314" t="s">
        <v>233</v>
      </c>
      <c r="L314" t="s">
        <v>3</v>
      </c>
      <c r="M314" t="str">
        <f>VLOOKUP(A314,'Tableau single and bulk'!A:B,2,FALSE)</f>
        <v>NEBAUTO</v>
      </c>
    </row>
    <row r="315" spans="1:13">
      <c r="A315" s="5" t="s">
        <v>510</v>
      </c>
      <c r="B315" s="1">
        <v>35428</v>
      </c>
      <c r="C315" t="s">
        <v>508</v>
      </c>
      <c r="D315" t="s">
        <v>509</v>
      </c>
      <c r="E315" t="s">
        <v>509</v>
      </c>
      <c r="F315" s="1">
        <v>5</v>
      </c>
      <c r="G315" s="1">
        <v>5</v>
      </c>
      <c r="H315" s="1">
        <v>0</v>
      </c>
      <c r="I315" s="1">
        <v>0</v>
      </c>
      <c r="J315" t="s">
        <v>25</v>
      </c>
      <c r="K315" t="s">
        <v>510</v>
      </c>
      <c r="L315" t="s">
        <v>3</v>
      </c>
      <c r="M315" t="str">
        <f>VLOOKUP(A315,'Tableau single and bulk'!A:B,2,FALSE)</f>
        <v>NEBAUTO</v>
      </c>
    </row>
    <row r="316" spans="1:13">
      <c r="A316" s="5" t="s">
        <v>269</v>
      </c>
      <c r="B316" s="1">
        <v>35527</v>
      </c>
      <c r="C316" t="s">
        <v>268</v>
      </c>
      <c r="D316" t="s">
        <v>258</v>
      </c>
      <c r="E316" t="s">
        <v>258</v>
      </c>
      <c r="F316" s="1">
        <v>15</v>
      </c>
      <c r="G316" s="1">
        <v>15</v>
      </c>
      <c r="H316" s="1">
        <v>0</v>
      </c>
      <c r="I316" s="1">
        <v>0</v>
      </c>
      <c r="J316" t="s">
        <v>18</v>
      </c>
      <c r="K316" t="s">
        <v>269</v>
      </c>
      <c r="L316" t="s">
        <v>3</v>
      </c>
      <c r="M316" t="str">
        <f>VLOOKUP(A316,'Tableau single and bulk'!A:B,2,FALSE)</f>
        <v>NEBAUTO</v>
      </c>
    </row>
    <row r="317" spans="1:13">
      <c r="A317" s="5" t="s">
        <v>1216</v>
      </c>
      <c r="B317" s="1">
        <v>35500</v>
      </c>
      <c r="C317" t="s">
        <v>1215</v>
      </c>
      <c r="D317" t="s">
        <v>237</v>
      </c>
      <c r="E317" t="s">
        <v>237</v>
      </c>
      <c r="F317" s="1">
        <v>10</v>
      </c>
      <c r="G317" s="1">
        <v>10</v>
      </c>
      <c r="H317" s="1">
        <v>0</v>
      </c>
      <c r="I317" s="1">
        <v>0</v>
      </c>
      <c r="J317" t="s">
        <v>28</v>
      </c>
      <c r="K317" t="s">
        <v>1216</v>
      </c>
      <c r="L317" t="s">
        <v>3</v>
      </c>
      <c r="M317" t="str">
        <f>VLOOKUP(A317,'Tableau single and bulk'!A:B,2,FALSE)</f>
        <v>NEBAUTO</v>
      </c>
    </row>
    <row r="318" spans="1:13">
      <c r="A318" s="5" t="s">
        <v>256</v>
      </c>
      <c r="B318" s="1">
        <v>35497</v>
      </c>
      <c r="C318" t="s">
        <v>255</v>
      </c>
      <c r="D318" t="s">
        <v>237</v>
      </c>
      <c r="E318" t="s">
        <v>237</v>
      </c>
      <c r="F318" s="1">
        <v>1</v>
      </c>
      <c r="G318" s="1">
        <v>1</v>
      </c>
      <c r="H318" s="1">
        <v>0</v>
      </c>
      <c r="I318" s="1">
        <v>0</v>
      </c>
      <c r="J318" t="s">
        <v>28</v>
      </c>
      <c r="K318" t="s">
        <v>256</v>
      </c>
      <c r="L318" t="s">
        <v>3</v>
      </c>
      <c r="M318" t="str">
        <f>VLOOKUP(A318,'Tableau single and bulk'!A:B,2,FALSE)</f>
        <v>NEBAUTO</v>
      </c>
    </row>
    <row r="319" spans="1:13">
      <c r="A319" s="5" t="s">
        <v>1197</v>
      </c>
      <c r="B319" s="1">
        <v>35446</v>
      </c>
      <c r="C319" t="s">
        <v>1196</v>
      </c>
      <c r="D319" t="s">
        <v>237</v>
      </c>
      <c r="E319" t="s">
        <v>237</v>
      </c>
      <c r="F319" s="1">
        <v>2</v>
      </c>
      <c r="G319" s="1">
        <v>2</v>
      </c>
      <c r="H319" s="1">
        <v>0</v>
      </c>
      <c r="I319" s="1">
        <v>0</v>
      </c>
      <c r="J319" t="s">
        <v>33</v>
      </c>
      <c r="K319" t="s">
        <v>1197</v>
      </c>
      <c r="L319" t="s">
        <v>3</v>
      </c>
      <c r="M319" t="str">
        <f>VLOOKUP(A319,'Tableau single and bulk'!A:B,2,FALSE)</f>
        <v>NEBAUTO</v>
      </c>
    </row>
    <row r="320" spans="1:13">
      <c r="A320" s="5" t="s">
        <v>1035</v>
      </c>
      <c r="B320" s="1">
        <v>35362</v>
      </c>
      <c r="C320" t="s">
        <v>1034</v>
      </c>
      <c r="D320" t="s">
        <v>200</v>
      </c>
      <c r="E320" t="s">
        <v>200</v>
      </c>
      <c r="F320" s="1">
        <v>1</v>
      </c>
      <c r="G320" s="1">
        <v>1</v>
      </c>
      <c r="H320" s="1">
        <v>0</v>
      </c>
      <c r="I320" s="1">
        <v>0</v>
      </c>
      <c r="J320" t="s">
        <v>18</v>
      </c>
      <c r="K320" t="s">
        <v>1035</v>
      </c>
      <c r="L320" t="s">
        <v>3</v>
      </c>
      <c r="M320" t="str">
        <f>VLOOKUP(A320,'Tableau single and bulk'!A:B,2,FALSE)</f>
        <v>NEBAUTO</v>
      </c>
    </row>
    <row r="321" spans="1:13">
      <c r="A321" s="5" t="s">
        <v>504</v>
      </c>
      <c r="B321" s="1">
        <v>35383</v>
      </c>
      <c r="C321" t="s">
        <v>503</v>
      </c>
      <c r="D321" t="s">
        <v>200</v>
      </c>
      <c r="E321" t="s">
        <v>200</v>
      </c>
      <c r="F321" s="1">
        <v>3</v>
      </c>
      <c r="G321" s="1">
        <v>3</v>
      </c>
      <c r="H321" s="1">
        <v>0</v>
      </c>
      <c r="I321" s="1">
        <v>0</v>
      </c>
      <c r="J321" t="s">
        <v>33</v>
      </c>
      <c r="K321" t="s">
        <v>504</v>
      </c>
      <c r="L321" t="s">
        <v>3</v>
      </c>
      <c r="M321" t="str">
        <f>VLOOKUP(A321,'Tableau single and bulk'!A:B,2,FALSE)</f>
        <v>NEBAUTO</v>
      </c>
    </row>
    <row r="322" spans="1:13">
      <c r="A322" s="5" t="s">
        <v>506</v>
      </c>
      <c r="B322" s="1">
        <v>35384</v>
      </c>
      <c r="C322" t="s">
        <v>505</v>
      </c>
      <c r="D322" t="s">
        <v>200</v>
      </c>
      <c r="E322" t="s">
        <v>200</v>
      </c>
      <c r="F322" s="1">
        <v>5</v>
      </c>
      <c r="G322" s="1">
        <v>5</v>
      </c>
      <c r="H322" s="1">
        <v>-3</v>
      </c>
      <c r="I322" s="1">
        <v>3</v>
      </c>
      <c r="J322" t="s">
        <v>33</v>
      </c>
      <c r="K322" t="s">
        <v>506</v>
      </c>
      <c r="L322" t="s">
        <v>3</v>
      </c>
      <c r="M322" t="e">
        <f>VLOOKUP(A322,'Tableau single and bulk'!A:B,2,FALSE)</f>
        <v>#N/A</v>
      </c>
    </row>
    <row r="323" spans="1:13">
      <c r="A323" s="5" t="s">
        <v>502</v>
      </c>
      <c r="B323" s="1">
        <v>35381</v>
      </c>
      <c r="C323" t="s">
        <v>501</v>
      </c>
      <c r="D323" t="s">
        <v>200</v>
      </c>
      <c r="E323" t="s">
        <v>200</v>
      </c>
      <c r="F323" s="1">
        <v>2</v>
      </c>
      <c r="G323" s="1">
        <v>2</v>
      </c>
      <c r="H323" s="1">
        <v>0</v>
      </c>
      <c r="I323" s="1">
        <v>0</v>
      </c>
      <c r="J323" t="s">
        <v>33</v>
      </c>
      <c r="K323" t="s">
        <v>502</v>
      </c>
      <c r="L323" t="s">
        <v>3</v>
      </c>
      <c r="M323" t="str">
        <f>VLOOKUP(A323,'Tableau single and bulk'!A:B,2,FALSE)</f>
        <v>NEBAUTO</v>
      </c>
    </row>
    <row r="324" spans="1:13">
      <c r="A324" s="5" t="s">
        <v>277</v>
      </c>
      <c r="B324" s="1">
        <v>35539</v>
      </c>
      <c r="C324" t="s">
        <v>276</v>
      </c>
      <c r="D324" t="s">
        <v>258</v>
      </c>
      <c r="E324" t="s">
        <v>258</v>
      </c>
      <c r="F324" s="1">
        <v>2</v>
      </c>
      <c r="G324" s="1">
        <v>2</v>
      </c>
      <c r="H324" s="1">
        <v>0</v>
      </c>
      <c r="I324" s="1">
        <v>0</v>
      </c>
      <c r="J324" t="s">
        <v>24</v>
      </c>
      <c r="K324" t="s">
        <v>277</v>
      </c>
      <c r="L324" t="s">
        <v>3</v>
      </c>
      <c r="M324" t="str">
        <f>VLOOKUP(A324,'Tableau single and bulk'!A:B,2,FALSE)</f>
        <v>NEBAUTO</v>
      </c>
    </row>
    <row r="325" spans="1:13">
      <c r="A325" s="5" t="s">
        <v>220</v>
      </c>
      <c r="B325" s="1">
        <v>35382</v>
      </c>
      <c r="C325" t="s">
        <v>219</v>
      </c>
      <c r="D325" t="s">
        <v>200</v>
      </c>
      <c r="E325" t="s">
        <v>200</v>
      </c>
      <c r="F325" s="1">
        <v>5</v>
      </c>
      <c r="G325" s="1">
        <v>5</v>
      </c>
      <c r="H325" s="1">
        <v>0</v>
      </c>
      <c r="I325" s="1">
        <v>0</v>
      </c>
      <c r="J325" t="s">
        <v>33</v>
      </c>
      <c r="K325" t="s">
        <v>220</v>
      </c>
      <c r="L325" t="s">
        <v>3</v>
      </c>
      <c r="M325" t="str">
        <f>VLOOKUP(A325,'Tableau single and bulk'!A:B,2,FALSE)</f>
        <v>NEBAUTO</v>
      </c>
    </row>
    <row r="326" spans="1:13">
      <c r="A326" s="5" t="s">
        <v>254</v>
      </c>
      <c r="B326" s="1">
        <v>35494</v>
      </c>
      <c r="C326" t="s">
        <v>253</v>
      </c>
      <c r="D326" t="s">
        <v>237</v>
      </c>
      <c r="E326" t="s">
        <v>237</v>
      </c>
      <c r="F326" s="1">
        <v>2</v>
      </c>
      <c r="G326" s="1">
        <v>2</v>
      </c>
      <c r="H326" s="1">
        <v>0</v>
      </c>
      <c r="I326" s="1">
        <v>0</v>
      </c>
      <c r="J326" t="s">
        <v>28</v>
      </c>
      <c r="K326" t="s">
        <v>254</v>
      </c>
      <c r="L326" t="s">
        <v>3</v>
      </c>
      <c r="M326" t="str">
        <f>VLOOKUP(A326,'Tableau single and bulk'!A:B,2,FALSE)</f>
        <v>NEBAUTO</v>
      </c>
    </row>
    <row r="327" spans="1:13">
      <c r="A327" s="5" t="s">
        <v>1187</v>
      </c>
      <c r="B327" s="1">
        <v>35474</v>
      </c>
      <c r="C327" t="s">
        <v>1186</v>
      </c>
      <c r="D327" t="s">
        <v>237</v>
      </c>
      <c r="E327" t="s">
        <v>237</v>
      </c>
      <c r="F327" s="1">
        <v>5</v>
      </c>
      <c r="G327" s="1">
        <v>5</v>
      </c>
      <c r="H327" s="1">
        <v>0</v>
      </c>
      <c r="I327" s="1">
        <v>0</v>
      </c>
      <c r="J327" t="s">
        <v>33</v>
      </c>
      <c r="K327" t="s">
        <v>1187</v>
      </c>
      <c r="L327" t="s">
        <v>3</v>
      </c>
      <c r="M327" t="str">
        <f>VLOOKUP(A327,'Tableau single and bulk'!A:B,2,FALSE)</f>
        <v>NEBAUTO</v>
      </c>
    </row>
    <row r="328" spans="1:13">
      <c r="A328" s="5" t="s">
        <v>275</v>
      </c>
      <c r="B328" s="1">
        <v>35535</v>
      </c>
      <c r="C328" t="s">
        <v>274</v>
      </c>
      <c r="D328" t="s">
        <v>258</v>
      </c>
      <c r="E328" t="s">
        <v>258</v>
      </c>
      <c r="F328" s="1">
        <v>12</v>
      </c>
      <c r="G328" s="1">
        <v>12</v>
      </c>
      <c r="H328" s="1">
        <v>0</v>
      </c>
      <c r="I328" s="1">
        <v>0</v>
      </c>
      <c r="J328" t="s">
        <v>24</v>
      </c>
      <c r="K328" t="s">
        <v>275</v>
      </c>
      <c r="L328" t="s">
        <v>3</v>
      </c>
      <c r="M328" t="str">
        <f>VLOOKUP(A328,'Tableau single and bulk'!A:B,2,FALSE)</f>
        <v>NEBAUTO</v>
      </c>
    </row>
    <row r="329" spans="1:13">
      <c r="A329" s="5" t="s">
        <v>527</v>
      </c>
      <c r="B329" s="1">
        <v>35493</v>
      </c>
      <c r="C329" t="s">
        <v>526</v>
      </c>
      <c r="D329" t="s">
        <v>237</v>
      </c>
      <c r="E329" t="s">
        <v>237</v>
      </c>
      <c r="F329" s="1">
        <v>12</v>
      </c>
      <c r="G329" s="1">
        <v>12</v>
      </c>
      <c r="H329" s="1">
        <v>0</v>
      </c>
      <c r="I329" s="1">
        <v>0</v>
      </c>
      <c r="J329" t="s">
        <v>28</v>
      </c>
      <c r="K329" t="s">
        <v>527</v>
      </c>
      <c r="L329" t="s">
        <v>3</v>
      </c>
      <c r="M329" t="str">
        <f>VLOOKUP(A329,'Tableau single and bulk'!A:B,2,FALSE)</f>
        <v>NEBAUTO</v>
      </c>
    </row>
    <row r="330" spans="1:13">
      <c r="A330" s="5" t="s">
        <v>1041</v>
      </c>
      <c r="B330" s="1">
        <v>35374</v>
      </c>
      <c r="C330" t="s">
        <v>1040</v>
      </c>
      <c r="D330" t="s">
        <v>200</v>
      </c>
      <c r="E330" t="s">
        <v>200</v>
      </c>
      <c r="F330" s="1">
        <v>9</v>
      </c>
      <c r="G330" s="1">
        <v>9</v>
      </c>
      <c r="H330" s="1">
        <v>0</v>
      </c>
      <c r="I330" s="1">
        <v>0</v>
      </c>
      <c r="J330" t="s">
        <v>18</v>
      </c>
      <c r="K330" t="s">
        <v>1041</v>
      </c>
      <c r="L330" t="s">
        <v>3</v>
      </c>
      <c r="M330" t="str">
        <f>VLOOKUP(A330,'Tableau single and bulk'!A:B,2,FALSE)</f>
        <v>NEBAUTO</v>
      </c>
    </row>
    <row r="331" spans="1:13">
      <c r="A331" s="5" t="s">
        <v>1212</v>
      </c>
      <c r="B331" s="1">
        <v>35498</v>
      </c>
      <c r="C331" t="s">
        <v>1211</v>
      </c>
      <c r="D331" t="s">
        <v>237</v>
      </c>
      <c r="E331" t="s">
        <v>237</v>
      </c>
      <c r="F331" s="1">
        <v>1</v>
      </c>
      <c r="G331" s="1">
        <v>1</v>
      </c>
      <c r="H331" s="1">
        <v>0</v>
      </c>
      <c r="I331" s="1">
        <v>0</v>
      </c>
      <c r="J331" t="s">
        <v>28</v>
      </c>
      <c r="K331" t="s">
        <v>1212</v>
      </c>
      <c r="L331" t="s">
        <v>3</v>
      </c>
      <c r="M331" t="str">
        <f>VLOOKUP(A331,'Tableau single and bulk'!A:B,2,FALSE)</f>
        <v>NEBAUTO</v>
      </c>
    </row>
    <row r="332" spans="1:13">
      <c r="A332" s="5" t="s">
        <v>1056</v>
      </c>
      <c r="B332" s="1">
        <v>35532</v>
      </c>
      <c r="C332" t="s">
        <v>1055</v>
      </c>
      <c r="D332" t="s">
        <v>258</v>
      </c>
      <c r="E332" t="s">
        <v>258</v>
      </c>
      <c r="F332" s="1">
        <v>1</v>
      </c>
      <c r="G332" s="1">
        <v>1</v>
      </c>
      <c r="H332" s="1">
        <v>0</v>
      </c>
      <c r="I332" s="1">
        <v>0</v>
      </c>
      <c r="J332" t="s">
        <v>18</v>
      </c>
      <c r="K332" t="s">
        <v>1056</v>
      </c>
      <c r="L332" t="s">
        <v>3</v>
      </c>
      <c r="M332" t="str">
        <f>VLOOKUP(A332,'Tableau single and bulk'!A:B,2,FALSE)</f>
        <v>NEBAUTO</v>
      </c>
    </row>
    <row r="333" spans="1:13">
      <c r="A333" s="5" t="s">
        <v>866</v>
      </c>
      <c r="B333" s="1">
        <v>35390</v>
      </c>
      <c r="C333" t="s">
        <v>865</v>
      </c>
      <c r="D333" t="s">
        <v>200</v>
      </c>
      <c r="E333" t="s">
        <v>200</v>
      </c>
      <c r="F333" s="1">
        <v>1</v>
      </c>
      <c r="G333" s="1">
        <v>1</v>
      </c>
      <c r="H333" s="1">
        <v>0</v>
      </c>
      <c r="I333" s="1">
        <v>0</v>
      </c>
      <c r="J333" t="s">
        <v>25</v>
      </c>
      <c r="K333" t="s">
        <v>866</v>
      </c>
      <c r="L333" t="s">
        <v>3</v>
      </c>
      <c r="M333" t="str">
        <f>VLOOKUP(A333,'Tableau single and bulk'!A:B,2,FALSE)</f>
        <v>NEBAUTO</v>
      </c>
    </row>
    <row r="334" spans="1:13">
      <c r="A334" s="5" t="s">
        <v>1156</v>
      </c>
      <c r="B334" s="1">
        <v>35510</v>
      </c>
      <c r="C334" t="s">
        <v>1155</v>
      </c>
      <c r="D334" t="s">
        <v>258</v>
      </c>
      <c r="E334" t="s">
        <v>258</v>
      </c>
      <c r="F334" s="1">
        <v>11</v>
      </c>
      <c r="G334" s="1">
        <v>11</v>
      </c>
      <c r="H334" s="1">
        <v>-6</v>
      </c>
      <c r="I334" s="1">
        <v>6</v>
      </c>
      <c r="J334" t="s">
        <v>25</v>
      </c>
      <c r="K334" t="s">
        <v>1156</v>
      </c>
      <c r="L334" t="s">
        <v>3</v>
      </c>
      <c r="M334" t="str">
        <f>VLOOKUP(A334,'Tableau single and bulk'!A:B,2,FALSE)</f>
        <v>NEBAUTO</v>
      </c>
    </row>
    <row r="335" spans="1:13">
      <c r="A335" s="5" t="s">
        <v>1045</v>
      </c>
      <c r="B335" s="1">
        <v>35379</v>
      </c>
      <c r="C335" t="s">
        <v>204</v>
      </c>
      <c r="D335" t="s">
        <v>200</v>
      </c>
      <c r="E335" t="s">
        <v>200</v>
      </c>
      <c r="F335" s="1">
        <v>1</v>
      </c>
      <c r="G335" s="1">
        <v>1</v>
      </c>
      <c r="H335" s="1">
        <v>0</v>
      </c>
      <c r="I335" s="1">
        <v>0</v>
      </c>
      <c r="J335" t="s">
        <v>28</v>
      </c>
      <c r="K335" t="s">
        <v>1045</v>
      </c>
      <c r="L335" t="s">
        <v>3</v>
      </c>
      <c r="M335" t="str">
        <f>VLOOKUP(A335,'Tableau single and bulk'!A:B,2,FALSE)</f>
        <v>NEBAUTO</v>
      </c>
    </row>
    <row r="336" spans="1:13">
      <c r="A336" s="5" t="s">
        <v>811</v>
      </c>
      <c r="B336" s="1">
        <v>35477</v>
      </c>
      <c r="C336" t="s">
        <v>810</v>
      </c>
      <c r="D336" t="s">
        <v>237</v>
      </c>
      <c r="E336" t="s">
        <v>237</v>
      </c>
      <c r="F336" s="1">
        <v>6</v>
      </c>
      <c r="G336" s="1">
        <v>6</v>
      </c>
      <c r="H336" s="1">
        <v>0</v>
      </c>
      <c r="I336" s="1">
        <v>0</v>
      </c>
      <c r="J336" t="s">
        <v>33</v>
      </c>
      <c r="K336" t="s">
        <v>811</v>
      </c>
      <c r="L336" t="s">
        <v>3</v>
      </c>
      <c r="M336" t="str">
        <f>VLOOKUP(A336,'Tableau single and bulk'!A:B,2,FALSE)</f>
        <v>NEBAUTO</v>
      </c>
    </row>
    <row r="337" spans="1:13">
      <c r="A337" s="5" t="s">
        <v>801</v>
      </c>
      <c r="B337" s="1">
        <v>35448</v>
      </c>
      <c r="C337" t="s">
        <v>800</v>
      </c>
      <c r="D337" t="s">
        <v>237</v>
      </c>
      <c r="E337" t="s">
        <v>237</v>
      </c>
      <c r="F337" s="1">
        <v>6</v>
      </c>
      <c r="G337" s="1">
        <v>6</v>
      </c>
      <c r="H337" s="1">
        <v>0</v>
      </c>
      <c r="I337" s="1">
        <v>0</v>
      </c>
      <c r="J337" t="s">
        <v>33</v>
      </c>
      <c r="K337" t="s">
        <v>801</v>
      </c>
      <c r="L337" t="s">
        <v>3</v>
      </c>
      <c r="M337" t="str">
        <f>VLOOKUP(A337,'Tableau single and bulk'!A:B,2,FALSE)</f>
        <v>NEBAUTO</v>
      </c>
    </row>
    <row r="338" spans="1:13">
      <c r="A338" s="5" t="s">
        <v>221</v>
      </c>
      <c r="B338" s="1">
        <v>35388</v>
      </c>
      <c r="C338" t="s">
        <v>204</v>
      </c>
      <c r="D338" t="s">
        <v>200</v>
      </c>
      <c r="E338" t="s">
        <v>200</v>
      </c>
      <c r="F338" s="1">
        <v>1</v>
      </c>
      <c r="G338" s="1">
        <v>1</v>
      </c>
      <c r="H338" s="1">
        <v>0</v>
      </c>
      <c r="I338" s="1">
        <v>0</v>
      </c>
      <c r="J338" t="s">
        <v>28</v>
      </c>
      <c r="K338" t="s">
        <v>221</v>
      </c>
      <c r="L338" t="s">
        <v>3</v>
      </c>
      <c r="M338" t="str">
        <f>VLOOKUP(A338,'Tableau single and bulk'!A:B,2,FALSE)</f>
        <v>NEBAUTO</v>
      </c>
    </row>
    <row r="339" spans="1:13">
      <c r="A339" s="5" t="s">
        <v>1058</v>
      </c>
      <c r="B339" s="1">
        <v>35534</v>
      </c>
      <c r="C339" t="s">
        <v>1057</v>
      </c>
      <c r="D339" t="s">
        <v>258</v>
      </c>
      <c r="E339" t="s">
        <v>258</v>
      </c>
      <c r="F339" s="1">
        <v>1</v>
      </c>
      <c r="G339" s="1">
        <v>1</v>
      </c>
      <c r="H339" s="1">
        <v>0</v>
      </c>
      <c r="I339" s="1">
        <v>0</v>
      </c>
      <c r="J339" t="s">
        <v>18</v>
      </c>
      <c r="K339" t="s">
        <v>1058</v>
      </c>
      <c r="L339" t="s">
        <v>3</v>
      </c>
      <c r="M339" t="str">
        <f>VLOOKUP(A339,'Tableau single and bulk'!A:B,2,FALSE)</f>
        <v>NEBAUTO</v>
      </c>
    </row>
    <row r="340" spans="1:13">
      <c r="A340" s="5" t="s">
        <v>1154</v>
      </c>
      <c r="B340" s="1">
        <v>35509</v>
      </c>
      <c r="C340" t="s">
        <v>1153</v>
      </c>
      <c r="D340" t="s">
        <v>258</v>
      </c>
      <c r="E340" t="s">
        <v>258</v>
      </c>
      <c r="F340" s="1">
        <v>1</v>
      </c>
      <c r="G340" s="1">
        <v>1</v>
      </c>
      <c r="H340" s="1">
        <v>0</v>
      </c>
      <c r="I340" s="1">
        <v>0</v>
      </c>
      <c r="J340" t="s">
        <v>25</v>
      </c>
      <c r="K340" t="s">
        <v>1154</v>
      </c>
      <c r="L340" t="s">
        <v>3</v>
      </c>
      <c r="M340" t="str">
        <f>VLOOKUP(A340,'Tableau single and bulk'!A:B,2,FALSE)</f>
        <v>NEBAUTO</v>
      </c>
    </row>
    <row r="341" spans="1:13">
      <c r="A341" s="5" t="s">
        <v>809</v>
      </c>
      <c r="B341" s="1">
        <v>35476</v>
      </c>
      <c r="C341" t="s">
        <v>808</v>
      </c>
      <c r="D341" t="s">
        <v>237</v>
      </c>
      <c r="E341" t="s">
        <v>237</v>
      </c>
      <c r="F341" s="1">
        <v>2</v>
      </c>
      <c r="G341" s="1">
        <v>2</v>
      </c>
      <c r="H341" s="1">
        <v>0</v>
      </c>
      <c r="I341" s="1">
        <v>0</v>
      </c>
      <c r="J341" t="s">
        <v>33</v>
      </c>
      <c r="K341" t="s">
        <v>809</v>
      </c>
      <c r="L341" t="s">
        <v>3</v>
      </c>
      <c r="M341" t="str">
        <f>VLOOKUP(A341,'Tableau single and bulk'!A:B,2,FALSE)</f>
        <v>NEBAUTO</v>
      </c>
    </row>
    <row r="342" spans="1:13">
      <c r="A342" s="5" t="s">
        <v>1123</v>
      </c>
      <c r="B342" s="1">
        <v>35576</v>
      </c>
      <c r="C342" t="s">
        <v>1122</v>
      </c>
      <c r="D342" t="s">
        <v>302</v>
      </c>
      <c r="E342" t="s">
        <v>302</v>
      </c>
      <c r="F342" s="1">
        <v>2</v>
      </c>
      <c r="G342" s="1">
        <v>2</v>
      </c>
      <c r="H342" s="1">
        <v>0</v>
      </c>
      <c r="I342" s="1">
        <v>0</v>
      </c>
      <c r="J342" t="s">
        <v>18</v>
      </c>
      <c r="K342" t="s">
        <v>1123</v>
      </c>
      <c r="L342" t="s">
        <v>3</v>
      </c>
      <c r="M342" t="str">
        <f>VLOOKUP(A342,'Tableau single and bulk'!A:B,2,FALSE)</f>
        <v>NEBAUTO</v>
      </c>
    </row>
    <row r="343" spans="1:13">
      <c r="A343" s="5" t="s">
        <v>609</v>
      </c>
      <c r="B343" s="1">
        <v>35519</v>
      </c>
      <c r="C343" t="s">
        <v>608</v>
      </c>
      <c r="D343" t="s">
        <v>258</v>
      </c>
      <c r="E343" t="s">
        <v>258</v>
      </c>
      <c r="F343" s="1">
        <v>2</v>
      </c>
      <c r="G343" s="1">
        <v>2</v>
      </c>
      <c r="H343" s="1">
        <v>-1</v>
      </c>
      <c r="I343" s="1">
        <v>1</v>
      </c>
      <c r="J343" t="s">
        <v>18</v>
      </c>
      <c r="K343" t="s">
        <v>609</v>
      </c>
      <c r="L343" t="s">
        <v>3</v>
      </c>
      <c r="M343" t="str">
        <f>VLOOKUP(A343,'Tableau single and bulk'!A:B,2,FALSE)</f>
        <v>NEBAUTO</v>
      </c>
    </row>
    <row r="344" spans="1:13">
      <c r="A344" s="5" t="s">
        <v>1195</v>
      </c>
      <c r="B344" s="1">
        <v>35445</v>
      </c>
      <c r="C344" t="s">
        <v>1194</v>
      </c>
      <c r="D344" t="s">
        <v>237</v>
      </c>
      <c r="E344" t="s">
        <v>237</v>
      </c>
      <c r="F344" s="1">
        <v>3</v>
      </c>
      <c r="G344" s="1">
        <v>3</v>
      </c>
      <c r="H344" s="1">
        <v>0</v>
      </c>
      <c r="I344" s="1">
        <v>0</v>
      </c>
      <c r="J344" t="s">
        <v>25</v>
      </c>
      <c r="K344" t="s">
        <v>1195</v>
      </c>
      <c r="L344" t="s">
        <v>3</v>
      </c>
      <c r="M344" t="str">
        <f>VLOOKUP(A344,'Tableau single and bulk'!A:B,2,FALSE)</f>
        <v>NEBAUTO</v>
      </c>
    </row>
    <row r="345" spans="1:13">
      <c r="A345" s="5" t="s">
        <v>687</v>
      </c>
      <c r="B345" s="1">
        <v>35590</v>
      </c>
      <c r="C345" t="s">
        <v>686</v>
      </c>
      <c r="D345" t="s">
        <v>302</v>
      </c>
      <c r="E345" t="s">
        <v>302</v>
      </c>
      <c r="F345" s="1">
        <v>3</v>
      </c>
      <c r="G345" s="1">
        <v>3</v>
      </c>
      <c r="H345" s="1">
        <v>0</v>
      </c>
      <c r="I345" s="1">
        <v>0</v>
      </c>
      <c r="J345" t="s">
        <v>18</v>
      </c>
      <c r="K345" t="s">
        <v>687</v>
      </c>
      <c r="L345" t="s">
        <v>3</v>
      </c>
      <c r="M345" t="str">
        <f>VLOOKUP(A345,'Tableau single and bulk'!A:B,2,FALSE)</f>
        <v>NEBAUTO</v>
      </c>
    </row>
    <row r="346" spans="1:13">
      <c r="A346" s="5" t="s">
        <v>791</v>
      </c>
      <c r="B346" s="1">
        <v>35407</v>
      </c>
      <c r="C346" t="s">
        <v>790</v>
      </c>
      <c r="D346" t="s">
        <v>223</v>
      </c>
      <c r="E346" t="s">
        <v>223</v>
      </c>
      <c r="F346" s="1">
        <v>1</v>
      </c>
      <c r="G346" s="1">
        <v>1</v>
      </c>
      <c r="H346" s="1">
        <v>0</v>
      </c>
      <c r="I346" s="1">
        <v>0</v>
      </c>
      <c r="J346" t="s">
        <v>18</v>
      </c>
      <c r="K346" t="s">
        <v>791</v>
      </c>
      <c r="L346" t="s">
        <v>3</v>
      </c>
      <c r="M346" t="str">
        <f>VLOOKUP(A346,'Tableau single and bulk'!A:B,2,FALSE)</f>
        <v>NEBAUTO</v>
      </c>
    </row>
    <row r="347" spans="1:13">
      <c r="A347" s="5" t="s">
        <v>1171</v>
      </c>
      <c r="B347" s="1">
        <v>35416</v>
      </c>
      <c r="C347" t="s">
        <v>1170</v>
      </c>
      <c r="D347" t="s">
        <v>223</v>
      </c>
      <c r="E347" t="s">
        <v>223</v>
      </c>
      <c r="F347" s="1">
        <v>1</v>
      </c>
      <c r="G347" s="1">
        <v>1</v>
      </c>
      <c r="H347" s="1">
        <v>0</v>
      </c>
      <c r="I347" s="1">
        <v>0</v>
      </c>
      <c r="J347" t="s">
        <v>18</v>
      </c>
      <c r="K347" t="s">
        <v>1171</v>
      </c>
      <c r="L347" t="s">
        <v>3</v>
      </c>
      <c r="M347" t="str">
        <f>VLOOKUP(A347,'Tableau single and bulk'!A:B,2,FALSE)</f>
        <v>NEBAUTO</v>
      </c>
    </row>
    <row r="348" spans="1:13">
      <c r="A348" s="5" t="s">
        <v>279</v>
      </c>
      <c r="B348" s="1">
        <v>35541</v>
      </c>
      <c r="C348" t="s">
        <v>278</v>
      </c>
      <c r="D348" t="s">
        <v>258</v>
      </c>
      <c r="E348" t="s">
        <v>258</v>
      </c>
      <c r="F348" s="1">
        <v>4</v>
      </c>
      <c r="G348" s="1">
        <v>4</v>
      </c>
      <c r="H348" s="1">
        <v>0</v>
      </c>
      <c r="I348" s="1">
        <v>0</v>
      </c>
      <c r="J348" t="s">
        <v>33</v>
      </c>
      <c r="K348" t="s">
        <v>279</v>
      </c>
      <c r="L348" t="s">
        <v>3</v>
      </c>
      <c r="M348" t="str">
        <f>VLOOKUP(A348,'Tableau single and bulk'!A:B,2,FALSE)</f>
        <v>NEBAUTO</v>
      </c>
    </row>
    <row r="349" spans="1:13">
      <c r="A349" s="5" t="s">
        <v>1059</v>
      </c>
      <c r="B349" s="1">
        <v>35591</v>
      </c>
      <c r="C349" t="s">
        <v>665</v>
      </c>
      <c r="D349" t="s">
        <v>302</v>
      </c>
      <c r="E349" t="s">
        <v>302</v>
      </c>
      <c r="F349" s="1">
        <v>2</v>
      </c>
      <c r="G349" s="1">
        <v>2</v>
      </c>
      <c r="H349" s="1">
        <v>0</v>
      </c>
      <c r="I349" s="1">
        <v>0</v>
      </c>
      <c r="J349" t="s">
        <v>18</v>
      </c>
      <c r="K349" t="s">
        <v>1059</v>
      </c>
      <c r="L349" t="s">
        <v>3</v>
      </c>
      <c r="M349" t="str">
        <f>VLOOKUP(A349,'Tableau single and bulk'!A:B,2,FALSE)</f>
        <v>NEBAUTO</v>
      </c>
    </row>
    <row r="350" spans="1:13">
      <c r="A350" s="5" t="s">
        <v>615</v>
      </c>
      <c r="B350" s="1">
        <v>35526</v>
      </c>
      <c r="C350" t="s">
        <v>614</v>
      </c>
      <c r="D350" t="s">
        <v>258</v>
      </c>
      <c r="E350" t="s">
        <v>258</v>
      </c>
      <c r="F350" s="1">
        <v>1</v>
      </c>
      <c r="G350" s="1">
        <v>1</v>
      </c>
      <c r="H350" s="1">
        <v>0</v>
      </c>
      <c r="I350" s="1">
        <v>0</v>
      </c>
      <c r="J350" t="s">
        <v>33</v>
      </c>
      <c r="K350" t="s">
        <v>615</v>
      </c>
      <c r="L350" t="s">
        <v>3</v>
      </c>
      <c r="M350" t="str">
        <f>VLOOKUP(A350,'Tableau single and bulk'!A:B,2,FALSE)</f>
        <v>NEBAUTO</v>
      </c>
    </row>
    <row r="351" spans="1:13">
      <c r="A351" s="5" t="s">
        <v>689</v>
      </c>
      <c r="B351" s="1">
        <v>35592</v>
      </c>
      <c r="C351" t="s">
        <v>688</v>
      </c>
      <c r="D351" t="s">
        <v>302</v>
      </c>
      <c r="E351" t="s">
        <v>302</v>
      </c>
      <c r="F351" s="1">
        <v>1</v>
      </c>
      <c r="G351" s="1">
        <v>1</v>
      </c>
      <c r="H351" s="1">
        <v>0</v>
      </c>
      <c r="I351" s="1">
        <v>0</v>
      </c>
      <c r="J351" t="s">
        <v>28</v>
      </c>
      <c r="K351" t="s">
        <v>689</v>
      </c>
      <c r="L351" t="s">
        <v>3</v>
      </c>
      <c r="M351" t="str">
        <f>VLOOKUP(A351,'Tableau single and bulk'!A:B,2,FALSE)</f>
        <v>NEBAUTO</v>
      </c>
    </row>
    <row r="352" spans="1:13">
      <c r="A352" s="5" t="s">
        <v>1121</v>
      </c>
      <c r="B352" s="1">
        <v>35574</v>
      </c>
      <c r="C352" t="s">
        <v>1120</v>
      </c>
      <c r="D352" t="s">
        <v>302</v>
      </c>
      <c r="E352" t="s">
        <v>302</v>
      </c>
      <c r="F352" s="1">
        <v>1</v>
      </c>
      <c r="G352" s="1">
        <v>1</v>
      </c>
      <c r="H352" s="1">
        <v>0</v>
      </c>
      <c r="I352" s="1">
        <v>0</v>
      </c>
      <c r="J352" t="s">
        <v>33</v>
      </c>
      <c r="K352" t="s">
        <v>1121</v>
      </c>
      <c r="L352" t="s">
        <v>3</v>
      </c>
      <c r="M352" t="str">
        <f>VLOOKUP(A352,'Tableau single and bulk'!A:B,2,FALSE)</f>
        <v>NEBAUTO</v>
      </c>
    </row>
    <row r="353" spans="1:13">
      <c r="A353" s="5" t="s">
        <v>1062</v>
      </c>
      <c r="B353" s="1">
        <v>35594</v>
      </c>
      <c r="C353" t="s">
        <v>686</v>
      </c>
      <c r="D353" t="s">
        <v>302</v>
      </c>
      <c r="E353" t="s">
        <v>302</v>
      </c>
      <c r="F353" s="1">
        <v>2</v>
      </c>
      <c r="G353" s="1">
        <v>2</v>
      </c>
      <c r="H353" s="1">
        <v>0</v>
      </c>
      <c r="I353" s="1">
        <v>0</v>
      </c>
      <c r="J353" t="s">
        <v>18</v>
      </c>
      <c r="K353" t="s">
        <v>1062</v>
      </c>
      <c r="L353" t="s">
        <v>3</v>
      </c>
      <c r="M353" t="str">
        <f>VLOOKUP(A353,'Tableau single and bulk'!A:B,2,FALSE)</f>
        <v>NEBAUTO</v>
      </c>
    </row>
    <row r="354" spans="1:13">
      <c r="A354" s="5" t="s">
        <v>1189</v>
      </c>
      <c r="B354" s="1">
        <v>35580</v>
      </c>
      <c r="C354" t="s">
        <v>1188</v>
      </c>
      <c r="D354" t="s">
        <v>302</v>
      </c>
      <c r="E354" t="s">
        <v>302</v>
      </c>
      <c r="F354" s="1">
        <v>8</v>
      </c>
      <c r="G354" s="1">
        <v>8</v>
      </c>
      <c r="H354" s="1">
        <v>0</v>
      </c>
      <c r="I354" s="1">
        <v>0</v>
      </c>
      <c r="J354" t="s">
        <v>33</v>
      </c>
      <c r="K354" t="s">
        <v>1189</v>
      </c>
      <c r="L354" t="s">
        <v>3</v>
      </c>
      <c r="M354" t="str">
        <f>VLOOKUP(A354,'Tableau single and bulk'!A:B,2,FALSE)</f>
        <v>NEBAUTO</v>
      </c>
    </row>
    <row r="355" spans="1:13">
      <c r="A355" s="5" t="s">
        <v>611</v>
      </c>
      <c r="B355" s="1">
        <v>35522</v>
      </c>
      <c r="C355" t="s">
        <v>610</v>
      </c>
      <c r="D355" t="s">
        <v>258</v>
      </c>
      <c r="E355" t="s">
        <v>258</v>
      </c>
      <c r="F355" s="1">
        <v>14</v>
      </c>
      <c r="G355" s="1">
        <v>14</v>
      </c>
      <c r="H355" s="1">
        <v>-1</v>
      </c>
      <c r="I355" s="1">
        <v>1</v>
      </c>
      <c r="J355" t="s">
        <v>33</v>
      </c>
      <c r="K355" t="s">
        <v>611</v>
      </c>
      <c r="L355" t="s">
        <v>3</v>
      </c>
      <c r="M355" t="str">
        <f>VLOOKUP(A355,'Tableau single and bulk'!A:B,2,FALSE)</f>
        <v>NEBAUTO</v>
      </c>
    </row>
    <row r="356" spans="1:13">
      <c r="A356" s="5" t="s">
        <v>1087</v>
      </c>
      <c r="B356" s="1">
        <v>35540</v>
      </c>
      <c r="C356" t="s">
        <v>1086</v>
      </c>
      <c r="D356" t="s">
        <v>258</v>
      </c>
      <c r="E356" t="s">
        <v>258</v>
      </c>
      <c r="F356" s="1">
        <v>1</v>
      </c>
      <c r="G356" s="1">
        <v>1</v>
      </c>
      <c r="H356" s="1">
        <v>0</v>
      </c>
      <c r="I356" s="1">
        <v>0</v>
      </c>
      <c r="J356" t="s">
        <v>33</v>
      </c>
      <c r="K356" t="s">
        <v>1087</v>
      </c>
      <c r="L356" t="s">
        <v>3</v>
      </c>
      <c r="M356" t="str">
        <f>VLOOKUP(A356,'Tableau single and bulk'!A:B,2,FALSE)</f>
        <v>NEBAUTO</v>
      </c>
    </row>
    <row r="357" spans="1:13">
      <c r="A357" s="5" t="s">
        <v>683</v>
      </c>
      <c r="B357" s="1">
        <v>35571</v>
      </c>
      <c r="C357" t="s">
        <v>682</v>
      </c>
      <c r="D357" t="s">
        <v>302</v>
      </c>
      <c r="E357" t="s">
        <v>302</v>
      </c>
      <c r="F357" s="1">
        <v>1</v>
      </c>
      <c r="G357" s="1">
        <v>1</v>
      </c>
      <c r="H357" s="1">
        <v>0</v>
      </c>
      <c r="I357" s="1">
        <v>0</v>
      </c>
      <c r="J357" t="s">
        <v>33</v>
      </c>
      <c r="K357" t="s">
        <v>683</v>
      </c>
      <c r="L357" t="s">
        <v>3</v>
      </c>
      <c r="M357" t="str">
        <f>VLOOKUP(A357,'Tableau single and bulk'!A:B,2,FALSE)</f>
        <v>NEBAUTO</v>
      </c>
    </row>
    <row r="358" spans="1:13">
      <c r="A358" s="5" t="s">
        <v>289</v>
      </c>
      <c r="B358" s="1">
        <v>35548</v>
      </c>
      <c r="C358" t="s">
        <v>288</v>
      </c>
      <c r="D358" t="s">
        <v>258</v>
      </c>
      <c r="E358" t="s">
        <v>258</v>
      </c>
      <c r="F358" s="1">
        <v>5</v>
      </c>
      <c r="G358" s="1">
        <v>5</v>
      </c>
      <c r="H358" s="1">
        <v>0</v>
      </c>
      <c r="I358" s="1">
        <v>0</v>
      </c>
      <c r="J358" t="s">
        <v>28</v>
      </c>
      <c r="K358" t="s">
        <v>289</v>
      </c>
      <c r="L358" t="s">
        <v>3</v>
      </c>
      <c r="M358" t="str">
        <f>VLOOKUP(A358,'Tableau single and bulk'!A:B,2,FALSE)</f>
        <v>NEBAUTO</v>
      </c>
    </row>
    <row r="359" spans="1:13">
      <c r="A359" s="5" t="s">
        <v>300</v>
      </c>
      <c r="B359" s="1">
        <v>35565</v>
      </c>
      <c r="C359" t="s">
        <v>299</v>
      </c>
      <c r="D359" t="s">
        <v>258</v>
      </c>
      <c r="E359" t="s">
        <v>258</v>
      </c>
      <c r="F359" s="1">
        <v>1</v>
      </c>
      <c r="G359" s="1">
        <v>1</v>
      </c>
      <c r="H359" s="1">
        <v>0</v>
      </c>
      <c r="I359" s="1">
        <v>0</v>
      </c>
      <c r="J359" t="s">
        <v>18</v>
      </c>
      <c r="K359" t="s">
        <v>300</v>
      </c>
      <c r="L359" t="s">
        <v>3</v>
      </c>
      <c r="M359" t="str">
        <f>VLOOKUP(A359,'Tableau single and bulk'!A:B,2,FALSE)</f>
        <v>NEBAUTO</v>
      </c>
    </row>
    <row r="360" spans="1:13">
      <c r="A360" s="5" t="s">
        <v>267</v>
      </c>
      <c r="B360" s="1">
        <v>35525</v>
      </c>
      <c r="C360" t="s">
        <v>266</v>
      </c>
      <c r="D360" t="s">
        <v>258</v>
      </c>
      <c r="E360" t="s">
        <v>258</v>
      </c>
      <c r="F360" s="1">
        <v>1</v>
      </c>
      <c r="G360" s="1">
        <v>1</v>
      </c>
      <c r="H360" s="1">
        <v>0</v>
      </c>
      <c r="I360" s="1">
        <v>0</v>
      </c>
      <c r="J360" t="s">
        <v>33</v>
      </c>
      <c r="K360" t="s">
        <v>267</v>
      </c>
      <c r="L360" t="s">
        <v>3</v>
      </c>
      <c r="M360" t="str">
        <f>VLOOKUP(A360,'Tableau single and bulk'!A:B,2,FALSE)</f>
        <v>NEBAUTO</v>
      </c>
    </row>
    <row r="361" spans="1:13">
      <c r="A361" s="5" t="s">
        <v>265</v>
      </c>
      <c r="B361" s="1">
        <v>35520</v>
      </c>
      <c r="C361" t="s">
        <v>264</v>
      </c>
      <c r="D361" t="s">
        <v>258</v>
      </c>
      <c r="E361" t="s">
        <v>258</v>
      </c>
      <c r="F361" s="1">
        <v>2</v>
      </c>
      <c r="G361" s="1">
        <v>2</v>
      </c>
      <c r="H361" s="1">
        <v>0</v>
      </c>
      <c r="I361" s="1">
        <v>0</v>
      </c>
      <c r="J361" t="s">
        <v>33</v>
      </c>
      <c r="K361" t="s">
        <v>265</v>
      </c>
      <c r="L361" t="s">
        <v>3</v>
      </c>
      <c r="M361" t="str">
        <f>VLOOKUP(A361,'Tableau single and bulk'!A:B,2,FALSE)</f>
        <v>NEBAUTO</v>
      </c>
    </row>
    <row r="362" spans="1:13">
      <c r="A362" s="5" t="s">
        <v>303</v>
      </c>
      <c r="B362" s="1">
        <v>35582</v>
      </c>
      <c r="C362" t="s">
        <v>301</v>
      </c>
      <c r="D362" t="s">
        <v>302</v>
      </c>
      <c r="E362" t="s">
        <v>302</v>
      </c>
      <c r="F362" s="1">
        <v>1</v>
      </c>
      <c r="G362" s="1">
        <v>1</v>
      </c>
      <c r="H362" s="1">
        <v>0</v>
      </c>
      <c r="I362" s="1">
        <v>0</v>
      </c>
      <c r="J362" t="s">
        <v>33</v>
      </c>
      <c r="K362" t="s">
        <v>303</v>
      </c>
      <c r="L362" t="s">
        <v>3</v>
      </c>
      <c r="M362" t="str">
        <f>VLOOKUP(A362,'Tableau single and bulk'!A:B,2,FALSE)</f>
        <v>NEBAUTO</v>
      </c>
    </row>
    <row r="363" spans="1:13">
      <c r="A363" s="5" t="s">
        <v>678</v>
      </c>
      <c r="B363" s="1">
        <v>35566</v>
      </c>
      <c r="C363" t="s">
        <v>677</v>
      </c>
      <c r="D363" t="s">
        <v>302</v>
      </c>
      <c r="E363" t="s">
        <v>302</v>
      </c>
      <c r="F363" s="1">
        <v>3</v>
      </c>
      <c r="G363" s="1">
        <v>3</v>
      </c>
      <c r="H363" s="1">
        <v>-1</v>
      </c>
      <c r="I363" s="1">
        <v>1</v>
      </c>
      <c r="J363" t="s">
        <v>33</v>
      </c>
      <c r="K363" t="s">
        <v>678</v>
      </c>
      <c r="L363" t="s">
        <v>3</v>
      </c>
      <c r="M363" t="str">
        <f>VLOOKUP(A363,'Tableau single and bulk'!A:B,2,FALSE)</f>
        <v>NEBAUTO</v>
      </c>
    </row>
    <row r="364" spans="1:13">
      <c r="A364" s="5" t="s">
        <v>678</v>
      </c>
      <c r="B364" s="1">
        <v>35567</v>
      </c>
      <c r="C364" t="s">
        <v>679</v>
      </c>
      <c r="D364" t="s">
        <v>302</v>
      </c>
      <c r="E364" t="s">
        <v>302</v>
      </c>
      <c r="F364" s="1">
        <v>1</v>
      </c>
      <c r="G364" s="1">
        <v>1</v>
      </c>
      <c r="H364" s="1">
        <v>0</v>
      </c>
      <c r="I364" s="1">
        <v>0</v>
      </c>
      <c r="J364" t="s">
        <v>33</v>
      </c>
      <c r="K364" t="s">
        <v>678</v>
      </c>
      <c r="L364" t="s">
        <v>3</v>
      </c>
      <c r="M364" t="str">
        <f>VLOOKUP(A364,'Tableau single and bulk'!A:B,2,FALSE)</f>
        <v>NEBAUTO</v>
      </c>
    </row>
    <row r="365" spans="1:13">
      <c r="A365" s="5" t="s">
        <v>676</v>
      </c>
      <c r="B365" s="1">
        <v>35557</v>
      </c>
      <c r="C365" t="s">
        <v>675</v>
      </c>
      <c r="D365" t="s">
        <v>258</v>
      </c>
      <c r="E365" t="s">
        <v>258</v>
      </c>
      <c r="F365" s="1">
        <v>6</v>
      </c>
      <c r="G365" s="1">
        <v>6</v>
      </c>
      <c r="H365" s="1">
        <v>0</v>
      </c>
      <c r="I365" s="1">
        <v>0</v>
      </c>
      <c r="J365" t="s">
        <v>28</v>
      </c>
      <c r="K365" t="s">
        <v>676</v>
      </c>
      <c r="L365" t="s">
        <v>3</v>
      </c>
      <c r="M365" t="str">
        <f>VLOOKUP(A365,'Tableau single and bulk'!A:B,2,FALSE)</f>
        <v>NEBAUTO</v>
      </c>
    </row>
    <row r="366" spans="1:13">
      <c r="A366" s="5" t="s">
        <v>673</v>
      </c>
      <c r="B366" s="1">
        <v>35554</v>
      </c>
      <c r="C366" t="s">
        <v>672</v>
      </c>
      <c r="D366" t="s">
        <v>258</v>
      </c>
      <c r="E366" t="s">
        <v>258</v>
      </c>
      <c r="F366" s="1">
        <v>3</v>
      </c>
      <c r="G366" s="1">
        <v>3</v>
      </c>
      <c r="H366" s="1">
        <v>0</v>
      </c>
      <c r="I366" s="1">
        <v>0</v>
      </c>
      <c r="J366" t="s">
        <v>28</v>
      </c>
      <c r="K366" t="s">
        <v>673</v>
      </c>
      <c r="L366" t="s">
        <v>3</v>
      </c>
      <c r="M366" t="str">
        <f>VLOOKUP(A366,'Tableau single and bulk'!A:B,2,FALSE)</f>
        <v>NEBAUTO</v>
      </c>
    </row>
    <row r="367" spans="1:13">
      <c r="A367" s="5" t="s">
        <v>1119</v>
      </c>
      <c r="B367" s="1">
        <v>35573</v>
      </c>
      <c r="C367" t="s">
        <v>1118</v>
      </c>
      <c r="D367" t="s">
        <v>302</v>
      </c>
      <c r="E367" t="s">
        <v>302</v>
      </c>
      <c r="F367" s="1">
        <v>1</v>
      </c>
      <c r="G367" s="1">
        <v>1</v>
      </c>
      <c r="H367" s="1">
        <v>0</v>
      </c>
      <c r="I367" s="1">
        <v>0</v>
      </c>
      <c r="J367" t="s">
        <v>33</v>
      </c>
      <c r="K367" t="s">
        <v>1119</v>
      </c>
      <c r="L367" t="s">
        <v>3</v>
      </c>
      <c r="M367" t="str">
        <f>VLOOKUP(A367,'Tableau single and bulk'!A:B,2,FALSE)</f>
        <v>NEBAUTO</v>
      </c>
    </row>
    <row r="368" spans="1:13">
      <c r="A368" s="5" t="s">
        <v>1173</v>
      </c>
      <c r="B368" s="1">
        <v>35418</v>
      </c>
      <c r="C368" t="s">
        <v>1172</v>
      </c>
      <c r="D368" t="s">
        <v>223</v>
      </c>
      <c r="E368" t="s">
        <v>223</v>
      </c>
      <c r="F368" s="1">
        <v>3</v>
      </c>
      <c r="G368" s="1">
        <v>3</v>
      </c>
      <c r="H368" s="1">
        <v>0</v>
      </c>
      <c r="I368" s="1">
        <v>0</v>
      </c>
      <c r="J368" t="s">
        <v>28</v>
      </c>
      <c r="K368" t="s">
        <v>1173</v>
      </c>
      <c r="L368" t="s">
        <v>3</v>
      </c>
      <c r="M368" t="str">
        <f>VLOOKUP(A368,'Tableau single and bulk'!A:B,2,FALSE)</f>
        <v>NEBAUTO</v>
      </c>
    </row>
    <row r="369" spans="1:13">
      <c r="A369" s="5" t="s">
        <v>1124</v>
      </c>
      <c r="B369" s="1">
        <v>35577</v>
      </c>
      <c r="C369" t="s">
        <v>304</v>
      </c>
      <c r="D369" t="s">
        <v>302</v>
      </c>
      <c r="E369" t="s">
        <v>302</v>
      </c>
      <c r="F369" s="1">
        <v>13</v>
      </c>
      <c r="G369" s="1">
        <v>13</v>
      </c>
      <c r="H369" s="1">
        <v>0</v>
      </c>
      <c r="I369" s="1">
        <v>0</v>
      </c>
      <c r="J369" t="s">
        <v>28</v>
      </c>
      <c r="K369" t="s">
        <v>1124</v>
      </c>
      <c r="L369" t="s">
        <v>3</v>
      </c>
      <c r="M369" t="str">
        <f>VLOOKUP(A369,'Tableau single and bulk'!A:B,2,FALSE)</f>
        <v>NEBAUTO</v>
      </c>
    </row>
    <row r="370" spans="1:13">
      <c r="A370" s="5" t="s">
        <v>1061</v>
      </c>
      <c r="B370" s="1">
        <v>35593</v>
      </c>
      <c r="C370" t="s">
        <v>1060</v>
      </c>
      <c r="D370" t="s">
        <v>302</v>
      </c>
      <c r="E370" t="s">
        <v>302</v>
      </c>
      <c r="F370" s="1">
        <v>6</v>
      </c>
      <c r="G370" s="1">
        <v>6</v>
      </c>
      <c r="H370" s="1">
        <v>0</v>
      </c>
      <c r="I370" s="1">
        <v>0</v>
      </c>
      <c r="J370" t="s">
        <v>24</v>
      </c>
      <c r="K370" t="s">
        <v>1061</v>
      </c>
      <c r="L370" t="s">
        <v>3</v>
      </c>
      <c r="M370" t="str">
        <f>VLOOKUP(A370,'Tableau single and bulk'!A:B,2,FALSE)</f>
        <v>NEBAUTO</v>
      </c>
    </row>
    <row r="371" spans="1:13">
      <c r="A371" s="5" t="s">
        <v>230</v>
      </c>
      <c r="B371" s="1">
        <v>35425</v>
      </c>
      <c r="C371" t="s">
        <v>229</v>
      </c>
      <c r="D371" t="s">
        <v>223</v>
      </c>
      <c r="E371" t="s">
        <v>223</v>
      </c>
      <c r="F371" s="1">
        <v>1</v>
      </c>
      <c r="G371" s="1">
        <v>1</v>
      </c>
      <c r="H371" s="1">
        <v>0</v>
      </c>
      <c r="I371" s="1">
        <v>0</v>
      </c>
      <c r="J371" t="s">
        <v>28</v>
      </c>
      <c r="K371" t="s">
        <v>230</v>
      </c>
      <c r="L371" t="s">
        <v>3</v>
      </c>
      <c r="M371" t="str">
        <f>VLOOKUP(A371,'Tableau single and bulk'!A:B,2,FALSE)</f>
        <v>NEBAUTO</v>
      </c>
    </row>
    <row r="372" spans="1:13">
      <c r="A372" s="5" t="s">
        <v>681</v>
      </c>
      <c r="B372" s="1">
        <v>35569</v>
      </c>
      <c r="C372" t="s">
        <v>680</v>
      </c>
      <c r="D372" t="s">
        <v>302</v>
      </c>
      <c r="E372" t="s">
        <v>302</v>
      </c>
      <c r="F372" s="1">
        <v>4</v>
      </c>
      <c r="G372" s="1">
        <v>4</v>
      </c>
      <c r="H372" s="1">
        <v>0</v>
      </c>
      <c r="I372" s="1">
        <v>0</v>
      </c>
      <c r="J372" t="s">
        <v>33</v>
      </c>
      <c r="K372" t="s">
        <v>681</v>
      </c>
      <c r="L372" t="s">
        <v>3</v>
      </c>
      <c r="M372" t="str">
        <f>VLOOKUP(A372,'Tableau single and bulk'!A:B,2,FALSE)</f>
        <v>NEBAUTO</v>
      </c>
    </row>
    <row r="373" spans="1:13">
      <c r="A373" s="5" t="s">
        <v>305</v>
      </c>
      <c r="B373" s="1">
        <v>35589</v>
      </c>
      <c r="C373" t="s">
        <v>304</v>
      </c>
      <c r="D373" t="s">
        <v>302</v>
      </c>
      <c r="E373" t="s">
        <v>302</v>
      </c>
      <c r="F373" s="1">
        <v>13</v>
      </c>
      <c r="G373" s="1">
        <v>13</v>
      </c>
      <c r="H373" s="1">
        <v>0</v>
      </c>
      <c r="I373" s="1">
        <v>0</v>
      </c>
      <c r="J373" t="s">
        <v>28</v>
      </c>
      <c r="K373" t="s">
        <v>305</v>
      </c>
      <c r="L373" t="s">
        <v>3</v>
      </c>
      <c r="M373" t="str">
        <f>VLOOKUP(A373,'Tableau single and bulk'!A:B,2,FALSE)</f>
        <v>NEBAUTO</v>
      </c>
    </row>
    <row r="374" spans="1:13">
      <c r="A374" s="5" t="s">
        <v>1193</v>
      </c>
      <c r="B374" s="1">
        <v>35434</v>
      </c>
      <c r="C374" t="s">
        <v>1192</v>
      </c>
      <c r="D374" t="s">
        <v>232</v>
      </c>
      <c r="E374" t="s">
        <v>232</v>
      </c>
      <c r="F374" s="1">
        <v>1</v>
      </c>
      <c r="G374" s="1">
        <v>1</v>
      </c>
      <c r="H374" s="1">
        <v>0</v>
      </c>
      <c r="I374" s="1">
        <v>0</v>
      </c>
      <c r="J374" t="s">
        <v>18</v>
      </c>
      <c r="K374" t="s">
        <v>1193</v>
      </c>
      <c r="L374" t="s">
        <v>3</v>
      </c>
      <c r="M374" t="str">
        <f>VLOOKUP(A374,'Tableau single and bulk'!A:B,2,FALSE)</f>
        <v>NEBAUTO</v>
      </c>
    </row>
    <row r="375" spans="1:13">
      <c r="A375" s="5" t="s">
        <v>1085</v>
      </c>
      <c r="B375" s="1">
        <v>35538</v>
      </c>
      <c r="C375" t="s">
        <v>1084</v>
      </c>
      <c r="D375" t="s">
        <v>258</v>
      </c>
      <c r="E375" t="s">
        <v>258</v>
      </c>
      <c r="F375" s="1">
        <v>14</v>
      </c>
      <c r="G375" s="1">
        <v>14</v>
      </c>
      <c r="H375" s="1">
        <v>0</v>
      </c>
      <c r="I375" s="1">
        <v>0</v>
      </c>
      <c r="J375" t="s">
        <v>33</v>
      </c>
      <c r="K375" t="s">
        <v>1085</v>
      </c>
      <c r="L375" t="s">
        <v>3</v>
      </c>
      <c r="M375" t="str">
        <f>VLOOKUP(A375,'Tableau single and bulk'!A:B,2,FALSE)</f>
        <v>NEBAUTO</v>
      </c>
    </row>
    <row r="376" spans="1:13">
      <c r="A376" s="5" t="s">
        <v>807</v>
      </c>
      <c r="B376" s="1">
        <v>35475</v>
      </c>
      <c r="C376" t="s">
        <v>806</v>
      </c>
      <c r="D376" t="s">
        <v>237</v>
      </c>
      <c r="E376" t="s">
        <v>237</v>
      </c>
      <c r="F376" s="1">
        <v>20</v>
      </c>
      <c r="G376" s="1">
        <v>20</v>
      </c>
      <c r="H376" s="1">
        <v>0</v>
      </c>
      <c r="I376" s="1">
        <v>0</v>
      </c>
      <c r="J376" t="s">
        <v>25</v>
      </c>
      <c r="K376" t="s">
        <v>807</v>
      </c>
      <c r="L376" t="s">
        <v>3</v>
      </c>
      <c r="M376" t="str">
        <f>VLOOKUP(A376,'Tableau single and bulk'!A:B,2,FALSE)</f>
        <v>NEBAUTO</v>
      </c>
    </row>
    <row r="377" spans="1:13">
      <c r="A377" s="5" t="s">
        <v>242</v>
      </c>
      <c r="B377" s="1">
        <v>35459</v>
      </c>
      <c r="C377" t="s">
        <v>241</v>
      </c>
      <c r="D377" t="s">
        <v>237</v>
      </c>
      <c r="E377" t="s">
        <v>237</v>
      </c>
      <c r="F377" s="1">
        <v>1</v>
      </c>
      <c r="G377" s="1">
        <v>1</v>
      </c>
      <c r="H377" s="1">
        <v>0</v>
      </c>
      <c r="I377" s="1">
        <v>0</v>
      </c>
      <c r="J377" t="s">
        <v>25</v>
      </c>
      <c r="K377" t="s">
        <v>242</v>
      </c>
      <c r="L377" t="s">
        <v>3</v>
      </c>
      <c r="M377" t="str">
        <f>VLOOKUP(A377,'Tableau single and bulk'!A:B,2,FALSE)</f>
        <v>NEBAUTO</v>
      </c>
    </row>
    <row r="378" spans="1:13">
      <c r="A378" s="5" t="s">
        <v>1224</v>
      </c>
      <c r="B378" s="1">
        <v>35467</v>
      </c>
      <c r="C378" t="s">
        <v>1223</v>
      </c>
      <c r="D378" t="s">
        <v>237</v>
      </c>
      <c r="E378" t="s">
        <v>237</v>
      </c>
      <c r="F378" s="1">
        <v>2</v>
      </c>
      <c r="G378" s="1">
        <v>2</v>
      </c>
      <c r="H378" s="1">
        <v>-1</v>
      </c>
      <c r="I378" s="1">
        <v>1</v>
      </c>
      <c r="J378" t="s">
        <v>25</v>
      </c>
      <c r="K378" t="s">
        <v>1224</v>
      </c>
      <c r="L378" t="s">
        <v>3</v>
      </c>
      <c r="M378" t="str">
        <f>VLOOKUP(A378,'Tableau single and bulk'!A:B,2,FALSE)</f>
        <v>NEBAUTO</v>
      </c>
    </row>
    <row r="379" spans="1:13">
      <c r="A379" s="5" t="s">
        <v>1224</v>
      </c>
      <c r="B379" s="1">
        <v>35470</v>
      </c>
      <c r="C379" t="s">
        <v>1225</v>
      </c>
      <c r="D379" t="s">
        <v>237</v>
      </c>
      <c r="E379" t="s">
        <v>237</v>
      </c>
      <c r="F379" s="1">
        <v>1</v>
      </c>
      <c r="G379" s="1">
        <v>1</v>
      </c>
      <c r="H379" s="1">
        <v>0</v>
      </c>
      <c r="I379" s="1">
        <v>0</v>
      </c>
      <c r="J379" t="s">
        <v>25</v>
      </c>
      <c r="K379" t="s">
        <v>1224</v>
      </c>
      <c r="L379" t="s">
        <v>3</v>
      </c>
      <c r="M379" t="str">
        <f>VLOOKUP(A379,'Tableau single and bulk'!A:B,2,FALSE)</f>
        <v>NEBAUTO</v>
      </c>
    </row>
    <row r="380" spans="1:13">
      <c r="A380" s="5" t="s">
        <v>240</v>
      </c>
      <c r="B380" s="1">
        <v>35455</v>
      </c>
      <c r="C380" t="s">
        <v>239</v>
      </c>
      <c r="D380" t="s">
        <v>237</v>
      </c>
      <c r="E380" t="s">
        <v>237</v>
      </c>
      <c r="F380" s="1">
        <v>1</v>
      </c>
      <c r="G380" s="1">
        <v>1</v>
      </c>
      <c r="H380" s="1">
        <v>0</v>
      </c>
      <c r="I380" s="1">
        <v>0</v>
      </c>
      <c r="J380" t="s">
        <v>28</v>
      </c>
      <c r="K380" t="s">
        <v>240</v>
      </c>
      <c r="L380" t="s">
        <v>3</v>
      </c>
      <c r="M380" t="str">
        <f>VLOOKUP(A380,'Tableau single and bulk'!A:B,2,FALSE)</f>
        <v>NEBAUTO</v>
      </c>
    </row>
    <row r="381" spans="1:13">
      <c r="A381" s="5" t="s">
        <v>271</v>
      </c>
      <c r="B381" s="1">
        <v>35530</v>
      </c>
      <c r="C381" t="s">
        <v>270</v>
      </c>
      <c r="D381" t="s">
        <v>258</v>
      </c>
      <c r="E381" t="s">
        <v>258</v>
      </c>
      <c r="F381" s="1">
        <v>41</v>
      </c>
      <c r="G381" s="1">
        <v>41</v>
      </c>
      <c r="H381" s="1">
        <v>-1</v>
      </c>
      <c r="I381" s="1">
        <v>1</v>
      </c>
      <c r="J381" t="s">
        <v>33</v>
      </c>
      <c r="K381" t="s">
        <v>271</v>
      </c>
      <c r="L381" t="s">
        <v>3</v>
      </c>
      <c r="M381" t="str">
        <f>VLOOKUP(A381,'Tableau single and bulk'!A:B,2,FALSE)</f>
        <v>NEBAUTO</v>
      </c>
    </row>
    <row r="382" spans="1:13">
      <c r="A382" s="5" t="s">
        <v>617</v>
      </c>
      <c r="B382" s="1">
        <v>35531</v>
      </c>
      <c r="C382" t="s">
        <v>616</v>
      </c>
      <c r="D382" t="s">
        <v>258</v>
      </c>
      <c r="E382" t="s">
        <v>258</v>
      </c>
      <c r="F382" s="1">
        <v>29</v>
      </c>
      <c r="G382" s="1">
        <v>29</v>
      </c>
      <c r="H382" s="1">
        <v>-7</v>
      </c>
      <c r="I382" s="1">
        <v>7</v>
      </c>
      <c r="J382" t="s">
        <v>33</v>
      </c>
      <c r="K382" t="s">
        <v>617</v>
      </c>
      <c r="L382" t="s">
        <v>3</v>
      </c>
      <c r="M382" t="str">
        <f>VLOOKUP(A382,'Tableau single and bulk'!A:B,2,FALSE)</f>
        <v>NEBAUTO</v>
      </c>
    </row>
    <row r="383" spans="1:13">
      <c r="A383" s="5" t="s">
        <v>1052</v>
      </c>
      <c r="B383" s="1">
        <v>35479</v>
      </c>
      <c r="C383" t="s">
        <v>1051</v>
      </c>
      <c r="D383" t="s">
        <v>237</v>
      </c>
      <c r="E383" t="s">
        <v>237</v>
      </c>
      <c r="F383" s="1">
        <v>1</v>
      </c>
      <c r="G383" s="1">
        <v>1</v>
      </c>
      <c r="H383" s="1">
        <v>0</v>
      </c>
      <c r="I383" s="1">
        <v>0</v>
      </c>
      <c r="J383" t="s">
        <v>33</v>
      </c>
      <c r="K383" t="s">
        <v>1052</v>
      </c>
      <c r="L383" t="s">
        <v>3</v>
      </c>
      <c r="M383" t="str">
        <f>VLOOKUP(A383,'Tableau single and bulk'!A:B,2,FALSE)</f>
        <v>NEBAUTO</v>
      </c>
    </row>
    <row r="384" spans="1:13">
      <c r="A384" s="5" t="s">
        <v>246</v>
      </c>
      <c r="B384" s="1">
        <v>35482</v>
      </c>
      <c r="C384" t="s">
        <v>245</v>
      </c>
      <c r="D384" t="s">
        <v>237</v>
      </c>
      <c r="E384" t="s">
        <v>237</v>
      </c>
      <c r="F384" s="1">
        <v>1</v>
      </c>
      <c r="G384" s="1">
        <v>1</v>
      </c>
      <c r="H384" s="1">
        <v>0</v>
      </c>
      <c r="I384" s="1">
        <v>0</v>
      </c>
      <c r="J384" t="s">
        <v>33</v>
      </c>
      <c r="K384" t="s">
        <v>246</v>
      </c>
      <c r="L384" t="s">
        <v>3</v>
      </c>
      <c r="M384" t="str">
        <f>VLOOKUP(A384,'Tableau single and bulk'!A:B,2,FALSE)</f>
        <v>NEBAUTO</v>
      </c>
    </row>
    <row r="385" spans="1:13">
      <c r="A385" s="5" t="s">
        <v>1054</v>
      </c>
      <c r="B385" s="1">
        <v>35480</v>
      </c>
      <c r="C385" t="s">
        <v>1053</v>
      </c>
      <c r="D385" t="s">
        <v>237</v>
      </c>
      <c r="E385" t="s">
        <v>237</v>
      </c>
      <c r="F385" s="1">
        <v>18</v>
      </c>
      <c r="G385" s="1">
        <v>18</v>
      </c>
      <c r="H385" s="1">
        <v>0</v>
      </c>
      <c r="I385" s="1">
        <v>0</v>
      </c>
      <c r="J385" t="s">
        <v>33</v>
      </c>
      <c r="K385" t="s">
        <v>1054</v>
      </c>
      <c r="L385" t="s">
        <v>3</v>
      </c>
      <c r="M385" t="str">
        <f>VLOOKUP(A385,'Tableau single and bulk'!A:B,2,FALSE)</f>
        <v>NEBAUTO</v>
      </c>
    </row>
    <row r="386" spans="1:13">
      <c r="A386" s="5" t="s">
        <v>1218</v>
      </c>
      <c r="B386" s="1">
        <v>35504</v>
      </c>
      <c r="C386" t="s">
        <v>1217</v>
      </c>
      <c r="D386" t="s">
        <v>237</v>
      </c>
      <c r="E386" t="s">
        <v>237</v>
      </c>
      <c r="F386" s="1">
        <v>2</v>
      </c>
      <c r="G386" s="1">
        <v>2</v>
      </c>
      <c r="H386" s="1">
        <v>0</v>
      </c>
      <c r="I386" s="1">
        <v>0</v>
      </c>
      <c r="J386" t="s">
        <v>33</v>
      </c>
      <c r="K386" t="s">
        <v>1218</v>
      </c>
      <c r="L386" t="s">
        <v>3</v>
      </c>
      <c r="M386" t="str">
        <f>VLOOKUP(A386,'Tableau single and bulk'!A:B,2,FALSE)</f>
        <v>NEBAUTO</v>
      </c>
    </row>
    <row r="387" spans="1:13">
      <c r="A387" s="5" t="s">
        <v>805</v>
      </c>
      <c r="B387" s="1">
        <v>35471</v>
      </c>
      <c r="C387" t="s">
        <v>255</v>
      </c>
      <c r="D387" t="s">
        <v>237</v>
      </c>
      <c r="E387" t="s">
        <v>237</v>
      </c>
      <c r="F387" s="1">
        <v>1</v>
      </c>
      <c r="G387" s="1">
        <v>1</v>
      </c>
      <c r="H387" s="1">
        <v>0</v>
      </c>
      <c r="I387" s="1">
        <v>0</v>
      </c>
      <c r="J387" t="s">
        <v>28</v>
      </c>
      <c r="K387" t="s">
        <v>805</v>
      </c>
      <c r="L387" t="s">
        <v>3</v>
      </c>
      <c r="M387" t="str">
        <f>VLOOKUP(A387,'Tableau single and bulk'!A:B,2,FALSE)</f>
        <v>NEBAUTO</v>
      </c>
    </row>
    <row r="388" spans="1:13">
      <c r="A388" s="5" t="s">
        <v>812</v>
      </c>
      <c r="B388" s="1">
        <v>35478</v>
      </c>
      <c r="C388" t="s">
        <v>255</v>
      </c>
      <c r="D388" t="s">
        <v>237</v>
      </c>
      <c r="E388" t="s">
        <v>237</v>
      </c>
      <c r="F388" s="1">
        <v>1</v>
      </c>
      <c r="G388" s="1">
        <v>1</v>
      </c>
      <c r="H388" s="1">
        <v>0</v>
      </c>
      <c r="I388" s="1">
        <v>0</v>
      </c>
      <c r="J388" t="s">
        <v>28</v>
      </c>
      <c r="K388" t="s">
        <v>812</v>
      </c>
      <c r="L388" t="s">
        <v>3</v>
      </c>
      <c r="M388" t="str">
        <f>VLOOKUP(A388,'Tableau single and bulk'!A:B,2,FALSE)</f>
        <v>NEBAUTO</v>
      </c>
    </row>
    <row r="389" spans="1:13">
      <c r="A389" s="5" t="s">
        <v>607</v>
      </c>
      <c r="B389" s="1">
        <v>35495</v>
      </c>
      <c r="C389" t="s">
        <v>606</v>
      </c>
      <c r="D389" t="s">
        <v>237</v>
      </c>
      <c r="E389" t="s">
        <v>237</v>
      </c>
      <c r="F389" s="1">
        <v>6</v>
      </c>
      <c r="G389" s="1">
        <v>6</v>
      </c>
      <c r="H389" s="1">
        <v>0</v>
      </c>
      <c r="I389" s="1">
        <v>0</v>
      </c>
      <c r="J389" t="s">
        <v>12</v>
      </c>
      <c r="K389" t="s">
        <v>607</v>
      </c>
      <c r="L389" t="s">
        <v>3</v>
      </c>
      <c r="M389" t="str">
        <f>VLOOKUP(A389,'Tableau single and bulk'!A:B,2,FALSE)</f>
        <v>NEBAUTO</v>
      </c>
    </row>
    <row r="390" spans="1:13">
      <c r="A390" s="5" t="s">
        <v>248</v>
      </c>
      <c r="B390" s="1">
        <v>35485</v>
      </c>
      <c r="C390" t="s">
        <v>247</v>
      </c>
      <c r="D390" t="s">
        <v>237</v>
      </c>
      <c r="E390" t="s">
        <v>237</v>
      </c>
      <c r="F390" s="1">
        <v>283</v>
      </c>
      <c r="G390" s="1">
        <v>283</v>
      </c>
      <c r="H390" s="1">
        <v>0</v>
      </c>
      <c r="I390" s="1">
        <v>0</v>
      </c>
      <c r="J390" t="s">
        <v>33</v>
      </c>
      <c r="K390" t="s">
        <v>248</v>
      </c>
      <c r="L390" t="s">
        <v>3</v>
      </c>
      <c r="M390" t="str">
        <f>VLOOKUP(A390,'Tableau single and bulk'!A:B,2,FALSE)</f>
        <v>NEBAUTO</v>
      </c>
    </row>
    <row r="391" spans="1:13">
      <c r="A391" s="5" t="s">
        <v>613</v>
      </c>
      <c r="B391" s="1">
        <v>35523</v>
      </c>
      <c r="C391" t="s">
        <v>612</v>
      </c>
      <c r="D391" t="s">
        <v>258</v>
      </c>
      <c r="E391" t="s">
        <v>258</v>
      </c>
      <c r="F391" s="1">
        <v>4</v>
      </c>
      <c r="G391" s="1">
        <v>4</v>
      </c>
      <c r="H391" s="1">
        <v>0</v>
      </c>
      <c r="I391" s="1">
        <v>0</v>
      </c>
      <c r="J391" t="s">
        <v>33</v>
      </c>
      <c r="K391" t="s">
        <v>613</v>
      </c>
      <c r="L391" t="s">
        <v>3</v>
      </c>
      <c r="M391" t="str">
        <f>VLOOKUP(A391,'Tableau single and bulk'!A:B,2,FALSE)</f>
        <v>NEBAUTO</v>
      </c>
    </row>
    <row r="392" spans="1:13">
      <c r="A392" s="5" t="s">
        <v>252</v>
      </c>
      <c r="B392" s="1">
        <v>35489</v>
      </c>
      <c r="C392" t="s">
        <v>251</v>
      </c>
      <c r="D392" t="s">
        <v>237</v>
      </c>
      <c r="E392" t="s">
        <v>237</v>
      </c>
      <c r="F392" s="1">
        <v>1</v>
      </c>
      <c r="G392" s="1">
        <v>1</v>
      </c>
      <c r="H392" s="1">
        <v>0</v>
      </c>
      <c r="I392" s="1">
        <v>0</v>
      </c>
      <c r="J392" t="s">
        <v>25</v>
      </c>
      <c r="K392" t="s">
        <v>252</v>
      </c>
      <c r="L392" t="s">
        <v>3</v>
      </c>
      <c r="M392" t="str">
        <f>VLOOKUP(A392,'Tableau single and bulk'!A:B,2,FALSE)</f>
        <v>NEBAUTO</v>
      </c>
    </row>
    <row r="393" spans="1:13">
      <c r="A393" s="5" t="s">
        <v>250</v>
      </c>
      <c r="B393" s="1">
        <v>35487</v>
      </c>
      <c r="C393" t="s">
        <v>249</v>
      </c>
      <c r="D393" t="s">
        <v>237</v>
      </c>
      <c r="E393" t="s">
        <v>237</v>
      </c>
      <c r="F393" s="1">
        <v>4</v>
      </c>
      <c r="G393" s="1">
        <v>4</v>
      </c>
      <c r="H393" s="1">
        <v>0</v>
      </c>
      <c r="I393" s="1">
        <v>0</v>
      </c>
      <c r="J393" t="s">
        <v>25</v>
      </c>
      <c r="K393" t="s">
        <v>250</v>
      </c>
      <c r="L393" t="s">
        <v>3</v>
      </c>
      <c r="M393" t="str">
        <f>VLOOKUP(A393,'Tableau single and bulk'!A:B,2,FALSE)</f>
        <v>NEBAUTO</v>
      </c>
    </row>
    <row r="394" spans="1:13">
      <c r="A394" s="5" t="s">
        <v>1222</v>
      </c>
      <c r="B394" s="1">
        <v>35563</v>
      </c>
      <c r="C394" t="s">
        <v>1221</v>
      </c>
      <c r="D394" t="s">
        <v>258</v>
      </c>
      <c r="E394" t="s">
        <v>258</v>
      </c>
      <c r="F394" s="1">
        <v>1</v>
      </c>
      <c r="G394" s="1">
        <v>1</v>
      </c>
      <c r="H394" s="1">
        <v>0</v>
      </c>
      <c r="I394" s="1">
        <v>0</v>
      </c>
      <c r="J394" t="s">
        <v>25</v>
      </c>
      <c r="K394" t="s">
        <v>1222</v>
      </c>
      <c r="L394" t="s">
        <v>3</v>
      </c>
      <c r="M394" t="str">
        <f>VLOOKUP(A394,'Tableau single and bulk'!A:B,2,FALSE)</f>
        <v>NEBAUTO</v>
      </c>
    </row>
    <row r="395" spans="1:13">
      <c r="A395" s="5" t="s">
        <v>298</v>
      </c>
      <c r="B395" s="1">
        <v>35564</v>
      </c>
      <c r="C395" t="s">
        <v>297</v>
      </c>
      <c r="D395" t="s">
        <v>258</v>
      </c>
      <c r="E395" t="s">
        <v>258</v>
      </c>
      <c r="F395" s="1">
        <v>1</v>
      </c>
      <c r="G395" s="1">
        <v>1</v>
      </c>
      <c r="H395" s="1">
        <v>0</v>
      </c>
      <c r="I395" s="1">
        <v>0</v>
      </c>
      <c r="J395" t="s">
        <v>25</v>
      </c>
      <c r="K395" t="s">
        <v>298</v>
      </c>
      <c r="L395" t="s">
        <v>3</v>
      </c>
      <c r="M395" t="str">
        <f>VLOOKUP(A395,'Tableau single and bulk'!A:B,2,FALSE)</f>
        <v>NEBAUTO</v>
      </c>
    </row>
    <row r="396" spans="1:13">
      <c r="A396" s="5" t="s">
        <v>998</v>
      </c>
      <c r="B396" s="1">
        <v>35503</v>
      </c>
      <c r="C396" t="s">
        <v>997</v>
      </c>
      <c r="D396" t="s">
        <v>237</v>
      </c>
      <c r="E396" t="s">
        <v>237</v>
      </c>
      <c r="F396" s="1">
        <v>6</v>
      </c>
      <c r="G396" s="1">
        <v>6</v>
      </c>
      <c r="H396" s="1">
        <v>0</v>
      </c>
      <c r="I396" s="1">
        <v>0</v>
      </c>
      <c r="J396" t="s">
        <v>28</v>
      </c>
      <c r="K396" t="s">
        <v>998</v>
      </c>
      <c r="L396" t="s">
        <v>3</v>
      </c>
      <c r="M396" t="str">
        <f>VLOOKUP(A396,'Tableau single and bulk'!A:B,2,FALSE)</f>
        <v>NEBAUTO</v>
      </c>
    </row>
    <row r="397" spans="1:13">
      <c r="A397" s="5" t="s">
        <v>685</v>
      </c>
      <c r="B397" s="1">
        <v>35586</v>
      </c>
      <c r="C397" t="s">
        <v>684</v>
      </c>
      <c r="D397" t="s">
        <v>302</v>
      </c>
      <c r="E397" t="s">
        <v>302</v>
      </c>
      <c r="F397" s="1">
        <v>1</v>
      </c>
      <c r="G397" s="1">
        <v>1</v>
      </c>
      <c r="H397" s="1">
        <v>0</v>
      </c>
      <c r="I397" s="1">
        <v>0</v>
      </c>
      <c r="J397" t="s">
        <v>33</v>
      </c>
      <c r="K397" t="s">
        <v>685</v>
      </c>
      <c r="L397" t="s">
        <v>3</v>
      </c>
      <c r="M397" t="str">
        <f>VLOOKUP(A397,'Tableau single and bulk'!A:B,2,FALSE)</f>
        <v>NEBAUTO</v>
      </c>
    </row>
    <row r="398" spans="1:13">
      <c r="A398" s="5" t="s">
        <v>1129</v>
      </c>
      <c r="B398" s="1">
        <v>35585</v>
      </c>
      <c r="C398" t="s">
        <v>1128</v>
      </c>
      <c r="D398" t="s">
        <v>302</v>
      </c>
      <c r="E398" t="s">
        <v>302</v>
      </c>
      <c r="F398" s="1">
        <v>1</v>
      </c>
      <c r="G398" s="1">
        <v>1</v>
      </c>
      <c r="H398" s="1">
        <v>0</v>
      </c>
      <c r="I398" s="1">
        <v>0</v>
      </c>
      <c r="J398" t="s">
        <v>33</v>
      </c>
      <c r="K398" t="s">
        <v>1129</v>
      </c>
      <c r="L398" t="s">
        <v>3</v>
      </c>
      <c r="M398" t="str">
        <f>VLOOKUP(A398,'Tableau single and bulk'!A:B,2,FALSE)</f>
        <v>NEBAUTO</v>
      </c>
    </row>
    <row r="399" spans="1:13">
      <c r="A399" s="5" t="s">
        <v>1064</v>
      </c>
      <c r="B399" s="1">
        <v>35595</v>
      </c>
      <c r="C399" t="s">
        <v>1063</v>
      </c>
      <c r="D399" t="s">
        <v>302</v>
      </c>
      <c r="E399" t="s">
        <v>302</v>
      </c>
      <c r="F399" s="1">
        <v>6</v>
      </c>
      <c r="G399" s="1">
        <v>6</v>
      </c>
      <c r="H399" s="1">
        <v>0</v>
      </c>
      <c r="I399" s="1">
        <v>0</v>
      </c>
      <c r="J399" t="s">
        <v>33</v>
      </c>
      <c r="K399" t="s">
        <v>1064</v>
      </c>
      <c r="L399" t="s">
        <v>3</v>
      </c>
      <c r="M399" t="e">
        <f>VLOOKUP(A399,'Tableau single and bulk'!A:B,2,FALSE)</f>
        <v>#N/A</v>
      </c>
    </row>
    <row r="400" spans="1:13">
      <c r="A400" s="5" t="s">
        <v>1131</v>
      </c>
      <c r="B400" s="1">
        <v>35588</v>
      </c>
      <c r="C400" t="s">
        <v>1130</v>
      </c>
      <c r="D400" t="s">
        <v>302</v>
      </c>
      <c r="E400" t="s">
        <v>302</v>
      </c>
      <c r="F400" s="1">
        <v>1</v>
      </c>
      <c r="G400" s="1">
        <v>1</v>
      </c>
      <c r="H400" s="1">
        <v>0</v>
      </c>
      <c r="I400" s="1">
        <v>0</v>
      </c>
      <c r="J400" t="s">
        <v>33</v>
      </c>
      <c r="K400" t="s">
        <v>1131</v>
      </c>
      <c r="L400" t="s">
        <v>3</v>
      </c>
      <c r="M400" t="e">
        <f>VLOOKUP(A400,'Tableau single and bulk'!A:B,2,FALSE)</f>
        <v>#N/A</v>
      </c>
    </row>
    <row r="401" spans="1:13">
      <c r="A401" s="5" t="s">
        <v>1117</v>
      </c>
      <c r="B401" s="1">
        <v>35570</v>
      </c>
      <c r="C401" t="s">
        <v>1116</v>
      </c>
      <c r="D401" t="s">
        <v>302</v>
      </c>
      <c r="E401" t="s">
        <v>302</v>
      </c>
      <c r="F401" s="1">
        <v>31</v>
      </c>
      <c r="G401" s="1">
        <v>31</v>
      </c>
      <c r="H401" s="1">
        <v>-2</v>
      </c>
      <c r="I401" s="1">
        <v>2</v>
      </c>
      <c r="J401" t="s">
        <v>28</v>
      </c>
      <c r="K401" t="s">
        <v>1117</v>
      </c>
      <c r="L401" t="s">
        <v>3</v>
      </c>
      <c r="M401" t="str">
        <f>VLOOKUP(A401,'Tableau single and bulk'!A:B,2,FALSE)</f>
        <v>NEBAUTO</v>
      </c>
    </row>
    <row r="402" spans="1:13">
      <c r="A402" s="5" t="s">
        <v>674</v>
      </c>
      <c r="B402" s="1">
        <v>35555</v>
      </c>
      <c r="C402" t="s">
        <v>282</v>
      </c>
      <c r="D402" t="s">
        <v>258</v>
      </c>
      <c r="E402" t="s">
        <v>258</v>
      </c>
      <c r="F402" s="1">
        <v>3</v>
      </c>
      <c r="G402" s="1">
        <v>3</v>
      </c>
      <c r="H402" s="1">
        <v>0</v>
      </c>
      <c r="I402" s="1">
        <v>0</v>
      </c>
      <c r="J402" t="s">
        <v>33</v>
      </c>
      <c r="K402" t="s">
        <v>674</v>
      </c>
      <c r="L402" t="s">
        <v>3</v>
      </c>
      <c r="M402" t="e">
        <f>VLOOKUP(A402,'Tableau single and bulk'!A:B,2,FALSE)</f>
        <v>#N/A</v>
      </c>
    </row>
    <row r="403" spans="1:13">
      <c r="A403" s="5" t="s">
        <v>296</v>
      </c>
      <c r="B403" s="1">
        <v>35561</v>
      </c>
      <c r="C403" t="s">
        <v>295</v>
      </c>
      <c r="D403" t="s">
        <v>258</v>
      </c>
      <c r="E403" t="s">
        <v>258</v>
      </c>
      <c r="F403" s="1">
        <v>1</v>
      </c>
      <c r="G403" s="1">
        <v>1</v>
      </c>
      <c r="H403" s="1">
        <v>0</v>
      </c>
      <c r="I403" s="1">
        <v>0</v>
      </c>
      <c r="J403" t="s">
        <v>25</v>
      </c>
      <c r="K403" t="s">
        <v>296</v>
      </c>
      <c r="L403" t="s">
        <v>3</v>
      </c>
      <c r="M403" t="str">
        <f>VLOOKUP(A403,'Tableau single and bulk'!A:B,2,FALSE)</f>
        <v>NEBAUTO</v>
      </c>
    </row>
    <row r="404" spans="1:13">
      <c r="A404" s="5" t="s">
        <v>1088</v>
      </c>
      <c r="B404" s="1">
        <v>35542</v>
      </c>
      <c r="C404" t="s">
        <v>47</v>
      </c>
      <c r="D404" t="s">
        <v>258</v>
      </c>
      <c r="E404" t="s">
        <v>258</v>
      </c>
      <c r="F404" s="1">
        <v>1</v>
      </c>
      <c r="G404" s="1">
        <v>1</v>
      </c>
      <c r="H404" s="1">
        <v>0</v>
      </c>
      <c r="I404" s="1">
        <v>0</v>
      </c>
      <c r="J404" t="s">
        <v>33</v>
      </c>
      <c r="K404" t="s">
        <v>1088</v>
      </c>
      <c r="L404" t="s">
        <v>3</v>
      </c>
      <c r="M404" t="str">
        <f>VLOOKUP(A404,'Tableau single and bulk'!A:B,2,FALSE)</f>
        <v>NEBAUTO</v>
      </c>
    </row>
    <row r="405" spans="1:13">
      <c r="A405" s="5" t="s">
        <v>291</v>
      </c>
      <c r="B405" s="1">
        <v>35551</v>
      </c>
      <c r="C405" t="s">
        <v>290</v>
      </c>
      <c r="D405" t="s">
        <v>258</v>
      </c>
      <c r="E405" t="s">
        <v>258</v>
      </c>
      <c r="F405" s="1">
        <v>1</v>
      </c>
      <c r="G405" s="1">
        <v>1</v>
      </c>
      <c r="H405" s="1">
        <v>0</v>
      </c>
      <c r="I405" s="1">
        <v>0</v>
      </c>
      <c r="J405" t="s">
        <v>33</v>
      </c>
      <c r="K405" t="s">
        <v>291</v>
      </c>
      <c r="L405" t="s">
        <v>3</v>
      </c>
      <c r="M405" t="e">
        <f>VLOOKUP(A405,'Tableau single and bulk'!A:B,2,FALSE)</f>
        <v>#N/A</v>
      </c>
    </row>
    <row r="406" spans="1:13">
      <c r="A406" s="5" t="s">
        <v>1127</v>
      </c>
      <c r="B406" s="1">
        <v>35584</v>
      </c>
      <c r="C406" t="s">
        <v>1126</v>
      </c>
      <c r="D406" t="s">
        <v>302</v>
      </c>
      <c r="E406" t="s">
        <v>302</v>
      </c>
      <c r="F406" s="1">
        <v>2</v>
      </c>
      <c r="G406" s="1">
        <v>2</v>
      </c>
      <c r="H406" s="1">
        <v>0</v>
      </c>
      <c r="I406" s="1">
        <v>0</v>
      </c>
      <c r="J406" t="s">
        <v>33</v>
      </c>
      <c r="K406" t="s">
        <v>1127</v>
      </c>
      <c r="L406" t="s">
        <v>3</v>
      </c>
      <c r="M406" t="e">
        <f>VLOOKUP(A406,'Tableau single and bulk'!A:B,2,FALSE)</f>
        <v>#N/A</v>
      </c>
    </row>
    <row r="407" spans="1:13">
      <c r="A407" s="5" t="s">
        <v>1220</v>
      </c>
      <c r="B407" s="1">
        <v>35562</v>
      </c>
      <c r="C407" t="s">
        <v>1219</v>
      </c>
      <c r="D407" t="s">
        <v>258</v>
      </c>
      <c r="E407" t="s">
        <v>258</v>
      </c>
      <c r="F407" s="1">
        <v>3</v>
      </c>
      <c r="G407" s="1">
        <v>3</v>
      </c>
      <c r="H407" s="1">
        <v>0</v>
      </c>
      <c r="I407" s="1">
        <v>0</v>
      </c>
      <c r="J407" t="s">
        <v>18</v>
      </c>
      <c r="K407" t="s">
        <v>1220</v>
      </c>
      <c r="L407" t="s">
        <v>3</v>
      </c>
      <c r="M407" t="str">
        <f>VLOOKUP(A407,'Tableau single and bulk'!A:B,2,FALSE)</f>
        <v>NEBAUTO</v>
      </c>
    </row>
    <row r="408" spans="1:13">
      <c r="A408" s="5" t="s">
        <v>1020</v>
      </c>
      <c r="B408" s="1">
        <v>35024</v>
      </c>
      <c r="C408" t="s">
        <v>1019</v>
      </c>
      <c r="D408" t="s">
        <v>27</v>
      </c>
      <c r="E408" t="s">
        <v>27</v>
      </c>
      <c r="F408" s="1">
        <v>5</v>
      </c>
      <c r="G408" s="1">
        <v>5</v>
      </c>
      <c r="H408" s="1">
        <v>0</v>
      </c>
      <c r="I408" s="1">
        <v>0</v>
      </c>
      <c r="J408" t="s">
        <v>33</v>
      </c>
      <c r="K408" t="s">
        <v>1020</v>
      </c>
      <c r="L408" t="s">
        <v>3</v>
      </c>
      <c r="M408" t="str">
        <f>VLOOKUP(A408,'Tableau single and bulk'!A:B,2,FALSE)</f>
        <v>NEBAUTO</v>
      </c>
    </row>
    <row r="409" spans="1:13">
      <c r="A409" s="5" t="s">
        <v>336</v>
      </c>
      <c r="B409" s="1">
        <v>34713</v>
      </c>
      <c r="C409" t="s">
        <v>151</v>
      </c>
      <c r="D409" t="s">
        <v>335</v>
      </c>
      <c r="E409" t="s">
        <v>335</v>
      </c>
      <c r="F409" s="1">
        <v>1</v>
      </c>
      <c r="G409" s="1">
        <v>1</v>
      </c>
      <c r="H409" s="1">
        <v>0</v>
      </c>
      <c r="I409" s="1">
        <v>0</v>
      </c>
      <c r="J409" t="s">
        <v>18</v>
      </c>
      <c r="K409" t="s">
        <v>336</v>
      </c>
      <c r="L409" t="s">
        <v>3</v>
      </c>
      <c r="M409" t="str">
        <f>VLOOKUP(A409,'Tableau single and bulk'!A:B,2,FALSE)</f>
        <v>NEBAUTO</v>
      </c>
    </row>
    <row r="410" spans="1:13">
      <c r="A410" s="5" t="s">
        <v>338</v>
      </c>
      <c r="B410" s="1">
        <v>34687</v>
      </c>
      <c r="C410" t="s">
        <v>337</v>
      </c>
      <c r="D410" t="s">
        <v>153</v>
      </c>
      <c r="E410" t="s">
        <v>153</v>
      </c>
      <c r="F410" s="1">
        <v>1</v>
      </c>
      <c r="G410" s="1">
        <v>1</v>
      </c>
      <c r="H410" s="1">
        <v>0</v>
      </c>
      <c r="I410" s="1">
        <v>0</v>
      </c>
      <c r="J410" t="s">
        <v>18</v>
      </c>
      <c r="K410" t="s">
        <v>338</v>
      </c>
      <c r="L410" t="s">
        <v>3</v>
      </c>
      <c r="M410" t="str">
        <f>VLOOKUP(A410,'Tableau single and bulk'!A:B,2,FALSE)</f>
        <v>NEBAUTO</v>
      </c>
    </row>
    <row r="411" spans="1:13">
      <c r="A411" s="5" t="s">
        <v>757</v>
      </c>
      <c r="B411" s="1">
        <v>34735</v>
      </c>
      <c r="C411" t="s">
        <v>756</v>
      </c>
      <c r="D411" t="s">
        <v>335</v>
      </c>
      <c r="E411" t="s">
        <v>335</v>
      </c>
      <c r="F411" s="1">
        <v>1</v>
      </c>
      <c r="G411" s="1">
        <v>1</v>
      </c>
      <c r="H411" s="1">
        <v>0</v>
      </c>
      <c r="I411" s="1">
        <v>0</v>
      </c>
      <c r="J411" t="s">
        <v>12</v>
      </c>
      <c r="K411" t="s">
        <v>757</v>
      </c>
      <c r="L411" t="s">
        <v>3</v>
      </c>
      <c r="M411" t="str">
        <f>VLOOKUP(A411,'Tableau single and bulk'!A:B,2,FALSE)</f>
        <v>NEBAUTO</v>
      </c>
    </row>
    <row r="412" spans="1:13">
      <c r="A412" s="5" t="s">
        <v>750</v>
      </c>
      <c r="B412" s="1">
        <v>34684</v>
      </c>
      <c r="C412" t="s">
        <v>749</v>
      </c>
      <c r="D412" t="s">
        <v>153</v>
      </c>
      <c r="E412" t="s">
        <v>153</v>
      </c>
      <c r="F412" s="1">
        <v>14</v>
      </c>
      <c r="G412" s="1">
        <v>14</v>
      </c>
      <c r="H412" s="1">
        <v>0</v>
      </c>
      <c r="I412" s="1">
        <v>0</v>
      </c>
      <c r="J412" t="s">
        <v>25</v>
      </c>
      <c r="K412" t="s">
        <v>750</v>
      </c>
      <c r="L412" t="s">
        <v>3</v>
      </c>
      <c r="M412" t="str">
        <f>VLOOKUP(A412,'Tableau single and bulk'!A:B,2,FALSE)</f>
        <v>NEBAUTO</v>
      </c>
    </row>
    <row r="413" spans="1:13">
      <c r="A413" s="5" t="s">
        <v>753</v>
      </c>
      <c r="B413" s="1">
        <v>34706</v>
      </c>
      <c r="C413" t="s">
        <v>752</v>
      </c>
      <c r="D413" t="s">
        <v>317</v>
      </c>
      <c r="E413" t="s">
        <v>317</v>
      </c>
      <c r="F413" s="1">
        <v>1</v>
      </c>
      <c r="G413" s="1">
        <v>1</v>
      </c>
      <c r="H413" s="1">
        <v>0</v>
      </c>
      <c r="I413" s="1">
        <v>0</v>
      </c>
      <c r="J413" t="s">
        <v>12</v>
      </c>
      <c r="K413" t="s">
        <v>753</v>
      </c>
      <c r="L413" t="s">
        <v>3</v>
      </c>
      <c r="M413" t="str">
        <f>VLOOKUP(A413,'Tableau single and bulk'!A:B,2,FALSE)</f>
        <v>NEBAUTO</v>
      </c>
    </row>
    <row r="414" spans="1:13">
      <c r="A414" s="5" t="s">
        <v>826</v>
      </c>
      <c r="B414" s="1">
        <v>34770</v>
      </c>
      <c r="C414" t="s">
        <v>825</v>
      </c>
      <c r="D414" t="s">
        <v>158</v>
      </c>
      <c r="E414" t="s">
        <v>158</v>
      </c>
      <c r="F414" s="1">
        <v>9</v>
      </c>
      <c r="G414" s="1">
        <v>9</v>
      </c>
      <c r="H414" s="1">
        <v>0</v>
      </c>
      <c r="I414" s="1">
        <v>0</v>
      </c>
      <c r="J414" t="s">
        <v>33</v>
      </c>
      <c r="K414" t="s">
        <v>826</v>
      </c>
      <c r="L414" t="s">
        <v>3</v>
      </c>
      <c r="M414" t="str">
        <f>VLOOKUP(A414,'Tableau single and bulk'!A:B,2,FALSE)</f>
        <v>NEBAUTO</v>
      </c>
    </row>
    <row r="415" spans="1:13">
      <c r="A415" s="5" t="s">
        <v>583</v>
      </c>
      <c r="B415" s="1">
        <v>34832</v>
      </c>
      <c r="C415" t="s">
        <v>582</v>
      </c>
      <c r="D415" t="s">
        <v>167</v>
      </c>
      <c r="E415" t="s">
        <v>167</v>
      </c>
      <c r="F415" s="1">
        <v>29</v>
      </c>
      <c r="G415" s="1">
        <v>29</v>
      </c>
      <c r="H415" s="1">
        <v>0</v>
      </c>
      <c r="I415" s="1">
        <v>0</v>
      </c>
      <c r="J415" t="s">
        <v>18</v>
      </c>
      <c r="K415" t="s">
        <v>583</v>
      </c>
      <c r="L415" t="s">
        <v>3</v>
      </c>
      <c r="M415" t="str">
        <f>VLOOKUP(A415,'Tableau single and bulk'!A:B,2,FALSE)</f>
        <v>NEBAUTO</v>
      </c>
    </row>
    <row r="416" spans="1:13">
      <c r="A416" s="5" t="s">
        <v>548</v>
      </c>
      <c r="B416" s="1">
        <v>34741</v>
      </c>
      <c r="C416" t="s">
        <v>547</v>
      </c>
      <c r="D416" t="s">
        <v>335</v>
      </c>
      <c r="E416" t="s">
        <v>335</v>
      </c>
      <c r="F416" s="1">
        <v>1</v>
      </c>
      <c r="G416" s="1">
        <v>1</v>
      </c>
      <c r="H416" s="1">
        <v>0</v>
      </c>
      <c r="I416" s="1">
        <v>0</v>
      </c>
      <c r="J416" t="s">
        <v>12</v>
      </c>
      <c r="K416" t="s">
        <v>548</v>
      </c>
      <c r="L416" t="s">
        <v>3</v>
      </c>
      <c r="M416" t="str">
        <f>VLOOKUP(A416,'Tableau single and bulk'!A:B,2,FALSE)</f>
        <v>NEBAUTO</v>
      </c>
    </row>
    <row r="417" spans="1:13">
      <c r="A417" s="5" t="s">
        <v>533</v>
      </c>
      <c r="B417" s="1">
        <v>34676</v>
      </c>
      <c r="C417" t="s">
        <v>532</v>
      </c>
      <c r="D417" t="s">
        <v>153</v>
      </c>
      <c r="E417" t="s">
        <v>153</v>
      </c>
      <c r="F417" s="1">
        <v>14</v>
      </c>
      <c r="G417" s="1">
        <v>14</v>
      </c>
      <c r="H417" s="1">
        <v>-1</v>
      </c>
      <c r="I417" s="1">
        <v>1</v>
      </c>
      <c r="J417" t="s">
        <v>12</v>
      </c>
      <c r="K417" t="s">
        <v>533</v>
      </c>
      <c r="L417" t="s">
        <v>3</v>
      </c>
      <c r="M417" t="str">
        <f>VLOOKUP(A417,'Tableau single and bulk'!A:B,2,FALSE)</f>
        <v>NEBAUTO</v>
      </c>
    </row>
    <row r="418" spans="1:13">
      <c r="A418" s="5" t="s">
        <v>156</v>
      </c>
      <c r="B418" s="1">
        <v>34671</v>
      </c>
      <c r="C418" t="s">
        <v>155</v>
      </c>
      <c r="D418" t="s">
        <v>153</v>
      </c>
      <c r="E418" t="s">
        <v>153</v>
      </c>
      <c r="F418" s="1">
        <v>3</v>
      </c>
      <c r="G418" s="1">
        <v>3</v>
      </c>
      <c r="H418" s="1">
        <v>0</v>
      </c>
      <c r="I418" s="1">
        <v>0</v>
      </c>
      <c r="J418" t="s">
        <v>25</v>
      </c>
      <c r="K418" t="s">
        <v>156</v>
      </c>
      <c r="L418" t="s">
        <v>3</v>
      </c>
      <c r="M418" t="str">
        <f>VLOOKUP(A418,'Tableau single and bulk'!A:B,2,FALSE)</f>
        <v>NEBAUTO</v>
      </c>
    </row>
    <row r="419" spans="1:13">
      <c r="A419" s="5" t="s">
        <v>311</v>
      </c>
      <c r="B419" s="1">
        <v>34664</v>
      </c>
      <c r="C419" t="s">
        <v>310</v>
      </c>
      <c r="D419" t="s">
        <v>153</v>
      </c>
      <c r="E419" t="s">
        <v>153</v>
      </c>
      <c r="F419" s="1">
        <v>1</v>
      </c>
      <c r="G419" s="1">
        <v>1</v>
      </c>
      <c r="H419" s="1">
        <v>0</v>
      </c>
      <c r="I419" s="1">
        <v>0</v>
      </c>
      <c r="J419" t="s">
        <v>25</v>
      </c>
      <c r="K419" t="s">
        <v>311</v>
      </c>
      <c r="L419" t="s">
        <v>3</v>
      </c>
      <c r="M419" t="str">
        <f>VLOOKUP(A419,'Tableau single and bulk'!A:B,2,FALSE)</f>
        <v>NEBAUTO</v>
      </c>
    </row>
    <row r="420" spans="1:13">
      <c r="A420" s="5" t="s">
        <v>746</v>
      </c>
      <c r="B420" s="1">
        <v>34681</v>
      </c>
      <c r="C420" t="s">
        <v>745</v>
      </c>
      <c r="D420" t="s">
        <v>153</v>
      </c>
      <c r="E420" t="s">
        <v>153</v>
      </c>
      <c r="F420" s="1">
        <v>1</v>
      </c>
      <c r="G420" s="1">
        <v>1</v>
      </c>
      <c r="H420" s="1">
        <v>0</v>
      </c>
      <c r="I420" s="1">
        <v>0</v>
      </c>
      <c r="J420" t="s">
        <v>12</v>
      </c>
      <c r="K420" t="s">
        <v>746</v>
      </c>
      <c r="L420" t="s">
        <v>3</v>
      </c>
      <c r="M420" t="str">
        <f>VLOOKUP(A420,'Tableau single and bulk'!A:B,2,FALSE)</f>
        <v>NEBAUTO</v>
      </c>
    </row>
    <row r="421" spans="1:13">
      <c r="A421" s="5" t="s">
        <v>534</v>
      </c>
      <c r="B421" s="1">
        <v>34677</v>
      </c>
      <c r="C421" t="s">
        <v>309</v>
      </c>
      <c r="D421" t="s">
        <v>153</v>
      </c>
      <c r="E421" t="s">
        <v>153</v>
      </c>
      <c r="F421" s="1">
        <v>2</v>
      </c>
      <c r="G421" s="1">
        <v>2</v>
      </c>
      <c r="H421" s="1">
        <v>0</v>
      </c>
      <c r="I421" s="1">
        <v>0</v>
      </c>
      <c r="J421" t="s">
        <v>12</v>
      </c>
      <c r="K421" t="s">
        <v>534</v>
      </c>
      <c r="L421" t="s">
        <v>3</v>
      </c>
      <c r="M421" t="str">
        <f>VLOOKUP(A421,'Tableau single and bulk'!A:B,2,FALSE)</f>
        <v>NEBAUTO</v>
      </c>
    </row>
    <row r="422" spans="1:13">
      <c r="A422" s="5" t="s">
        <v>744</v>
      </c>
      <c r="B422" s="1">
        <v>34679</v>
      </c>
      <c r="C422" t="s">
        <v>743</v>
      </c>
      <c r="D422" t="s">
        <v>153</v>
      </c>
      <c r="E422" t="s">
        <v>153</v>
      </c>
      <c r="F422" s="1">
        <v>18</v>
      </c>
      <c r="G422" s="1">
        <v>18</v>
      </c>
      <c r="H422" s="1">
        <v>-2</v>
      </c>
      <c r="I422" s="1">
        <v>2</v>
      </c>
      <c r="J422" t="s">
        <v>12</v>
      </c>
      <c r="K422" t="s">
        <v>744</v>
      </c>
      <c r="L422" t="s">
        <v>3</v>
      </c>
      <c r="M422" t="str">
        <f>VLOOKUP(A422,'Tableau single and bulk'!A:B,2,FALSE)</f>
        <v>NEBAUTO</v>
      </c>
    </row>
    <row r="423" spans="1:13">
      <c r="A423" s="5" t="s">
        <v>1236</v>
      </c>
      <c r="B423" s="1">
        <v>34708</v>
      </c>
      <c r="C423" t="s">
        <v>1235</v>
      </c>
      <c r="D423" t="s">
        <v>317</v>
      </c>
      <c r="E423" t="s">
        <v>317</v>
      </c>
      <c r="F423" s="1">
        <v>1</v>
      </c>
      <c r="G423" s="1">
        <v>1</v>
      </c>
      <c r="H423" s="1">
        <v>0</v>
      </c>
      <c r="I423" s="1">
        <v>0</v>
      </c>
      <c r="J423" t="s">
        <v>12</v>
      </c>
      <c r="K423" t="s">
        <v>1236</v>
      </c>
      <c r="L423" t="s">
        <v>3</v>
      </c>
      <c r="M423" t="str">
        <f>VLOOKUP(A423,'Tableau single and bulk'!A:B,2,FALSE)</f>
        <v>NEBAUTO</v>
      </c>
    </row>
    <row r="424" spans="1:13">
      <c r="A424" s="5" t="s">
        <v>748</v>
      </c>
      <c r="B424" s="1">
        <v>34683</v>
      </c>
      <c r="C424" t="s">
        <v>747</v>
      </c>
      <c r="D424" t="s">
        <v>153</v>
      </c>
      <c r="E424" t="s">
        <v>153</v>
      </c>
      <c r="F424" s="1">
        <v>1</v>
      </c>
      <c r="G424" s="1">
        <v>1</v>
      </c>
      <c r="H424" s="1">
        <v>0</v>
      </c>
      <c r="I424" s="1">
        <v>0</v>
      </c>
      <c r="J424" t="s">
        <v>28</v>
      </c>
      <c r="K424" t="s">
        <v>748</v>
      </c>
      <c r="L424" t="s">
        <v>3</v>
      </c>
      <c r="M424" t="str">
        <f>VLOOKUP(A424,'Tableau single and bulk'!A:B,2,FALSE)</f>
        <v>NEBAUTO</v>
      </c>
    </row>
    <row r="425" spans="1:13">
      <c r="A425" s="5" t="s">
        <v>328</v>
      </c>
      <c r="B425" s="1">
        <v>34698</v>
      </c>
      <c r="C425" t="s">
        <v>327</v>
      </c>
      <c r="D425" t="s">
        <v>317</v>
      </c>
      <c r="E425" t="s">
        <v>317</v>
      </c>
      <c r="F425" s="1">
        <v>1</v>
      </c>
      <c r="G425" s="1">
        <v>1</v>
      </c>
      <c r="H425" s="1">
        <v>0</v>
      </c>
      <c r="I425" s="1">
        <v>0</v>
      </c>
      <c r="J425" t="s">
        <v>28</v>
      </c>
      <c r="K425" t="s">
        <v>328</v>
      </c>
      <c r="L425" t="s">
        <v>3</v>
      </c>
      <c r="M425" t="str">
        <f>VLOOKUP(A425,'Tableau single and bulk'!A:B,2,FALSE)</f>
        <v>NEBAUTO</v>
      </c>
    </row>
    <row r="426" spans="1:13">
      <c r="A426" s="5" t="s">
        <v>755</v>
      </c>
      <c r="B426" s="1">
        <v>34707</v>
      </c>
      <c r="C426" t="s">
        <v>754</v>
      </c>
      <c r="D426" t="s">
        <v>317</v>
      </c>
      <c r="E426" t="s">
        <v>317</v>
      </c>
      <c r="F426" s="1">
        <v>3</v>
      </c>
      <c r="G426" s="1">
        <v>3</v>
      </c>
      <c r="H426" s="1">
        <v>-1</v>
      </c>
      <c r="I426" s="1">
        <v>1</v>
      </c>
      <c r="J426" t="s">
        <v>24</v>
      </c>
      <c r="K426" t="s">
        <v>755</v>
      </c>
      <c r="L426" t="s">
        <v>3</v>
      </c>
      <c r="M426" t="str">
        <f>VLOOKUP(A426,'Tableau single and bulk'!A:B,2,FALSE)</f>
        <v>NEBAUTO</v>
      </c>
    </row>
    <row r="427" spans="1:13">
      <c r="A427" s="5" t="s">
        <v>342</v>
      </c>
      <c r="B427" s="1">
        <v>34705</v>
      </c>
      <c r="C427" t="s">
        <v>341</v>
      </c>
      <c r="D427" t="s">
        <v>317</v>
      </c>
      <c r="E427" t="s">
        <v>317</v>
      </c>
      <c r="F427" s="1">
        <v>1</v>
      </c>
      <c r="G427" s="1">
        <v>1</v>
      </c>
      <c r="H427" s="1">
        <v>0</v>
      </c>
      <c r="I427" s="1">
        <v>0</v>
      </c>
      <c r="J427" t="s">
        <v>18</v>
      </c>
      <c r="K427" t="s">
        <v>342</v>
      </c>
      <c r="L427" t="s">
        <v>3</v>
      </c>
      <c r="M427" t="str">
        <f>VLOOKUP(A427,'Tableau single and bulk'!A:B,2,FALSE)</f>
        <v>NEBAUTO</v>
      </c>
    </row>
    <row r="428" spans="1:13">
      <c r="A428" s="5" t="s">
        <v>1066</v>
      </c>
      <c r="B428" s="1">
        <v>34699</v>
      </c>
      <c r="C428" t="s">
        <v>1065</v>
      </c>
      <c r="D428" t="s">
        <v>317</v>
      </c>
      <c r="E428" t="s">
        <v>317</v>
      </c>
      <c r="F428" s="1">
        <v>5</v>
      </c>
      <c r="G428" s="1">
        <v>5</v>
      </c>
      <c r="H428" s="1">
        <v>-1</v>
      </c>
      <c r="I428" s="1">
        <v>1</v>
      </c>
      <c r="J428" t="s">
        <v>12</v>
      </c>
      <c r="K428" t="s">
        <v>1066</v>
      </c>
      <c r="L428" t="s">
        <v>3</v>
      </c>
      <c r="M428" t="str">
        <f>VLOOKUP(A428,'Tableau single and bulk'!A:B,2,FALSE)</f>
        <v>NEBAUTO</v>
      </c>
    </row>
    <row r="429" spans="1:13">
      <c r="A429" s="5" t="s">
        <v>326</v>
      </c>
      <c r="B429" s="1">
        <v>34697</v>
      </c>
      <c r="C429" t="s">
        <v>325</v>
      </c>
      <c r="D429" t="s">
        <v>317</v>
      </c>
      <c r="E429" t="s">
        <v>317</v>
      </c>
      <c r="F429" s="1">
        <v>5</v>
      </c>
      <c r="G429" s="1">
        <v>5</v>
      </c>
      <c r="H429" s="1">
        <v>0</v>
      </c>
      <c r="I429" s="1">
        <v>0</v>
      </c>
      <c r="J429" t="s">
        <v>12</v>
      </c>
      <c r="K429" t="s">
        <v>326</v>
      </c>
      <c r="L429" t="s">
        <v>3</v>
      </c>
      <c r="M429" t="str">
        <f>VLOOKUP(A429,'Tableau single and bulk'!A:B,2,FALSE)</f>
        <v>NEBAUTO</v>
      </c>
    </row>
    <row r="430" spans="1:13">
      <c r="A430" s="5" t="s">
        <v>324</v>
      </c>
      <c r="B430" s="1">
        <v>34696</v>
      </c>
      <c r="C430" t="s">
        <v>323</v>
      </c>
      <c r="D430" t="s">
        <v>317</v>
      </c>
      <c r="E430" t="s">
        <v>317</v>
      </c>
      <c r="F430" s="1">
        <v>1</v>
      </c>
      <c r="G430" s="1">
        <v>1</v>
      </c>
      <c r="H430" s="1">
        <v>0</v>
      </c>
      <c r="I430" s="1">
        <v>0</v>
      </c>
      <c r="J430" t="s">
        <v>18</v>
      </c>
      <c r="K430" t="s">
        <v>324</v>
      </c>
      <c r="L430" t="s">
        <v>3</v>
      </c>
      <c r="M430" t="str">
        <f>VLOOKUP(A430,'Tableau single and bulk'!A:B,2,FALSE)</f>
        <v>NEBAUTO</v>
      </c>
    </row>
    <row r="431" spans="1:13">
      <c r="A431" s="5" t="s">
        <v>820</v>
      </c>
      <c r="B431" s="1">
        <v>34703</v>
      </c>
      <c r="C431" t="s">
        <v>819</v>
      </c>
      <c r="D431" t="s">
        <v>317</v>
      </c>
      <c r="E431" t="s">
        <v>317</v>
      </c>
      <c r="F431" s="1">
        <v>1</v>
      </c>
      <c r="G431" s="1">
        <v>1</v>
      </c>
      <c r="H431" s="1">
        <v>0</v>
      </c>
      <c r="I431" s="1">
        <v>0</v>
      </c>
      <c r="J431" t="s">
        <v>12</v>
      </c>
      <c r="K431" t="s">
        <v>820</v>
      </c>
      <c r="L431" t="s">
        <v>3</v>
      </c>
      <c r="M431" t="str">
        <f>VLOOKUP(A431,'Tableau single and bulk'!A:B,2,FALSE)</f>
        <v>NEBAUTO</v>
      </c>
    </row>
    <row r="432" spans="1:13">
      <c r="A432" s="5" t="s">
        <v>353</v>
      </c>
      <c r="B432" s="1">
        <v>34719</v>
      </c>
      <c r="C432" t="s">
        <v>352</v>
      </c>
      <c r="D432" t="s">
        <v>335</v>
      </c>
      <c r="E432" t="s">
        <v>335</v>
      </c>
      <c r="F432" s="1">
        <v>17</v>
      </c>
      <c r="G432" s="1">
        <v>17</v>
      </c>
      <c r="H432" s="1">
        <v>0</v>
      </c>
      <c r="I432" s="1">
        <v>0</v>
      </c>
      <c r="J432" t="s">
        <v>12</v>
      </c>
      <c r="K432" t="s">
        <v>353</v>
      </c>
      <c r="L432" t="s">
        <v>3</v>
      </c>
      <c r="M432" t="str">
        <f>VLOOKUP(A432,'Tableau single and bulk'!A:B,2,FALSE)</f>
        <v>NEBAUTO</v>
      </c>
    </row>
    <row r="433" spans="1:13">
      <c r="A433" s="5" t="s">
        <v>351</v>
      </c>
      <c r="B433" s="1">
        <v>34717</v>
      </c>
      <c r="C433" t="s">
        <v>350</v>
      </c>
      <c r="D433" t="s">
        <v>335</v>
      </c>
      <c r="E433" t="s">
        <v>335</v>
      </c>
      <c r="F433" s="1">
        <v>3</v>
      </c>
      <c r="G433" s="1">
        <v>3</v>
      </c>
      <c r="H433" s="1">
        <v>0</v>
      </c>
      <c r="I433" s="1">
        <v>0</v>
      </c>
      <c r="J433" t="s">
        <v>12</v>
      </c>
      <c r="K433" t="s">
        <v>351</v>
      </c>
      <c r="L433" t="s">
        <v>3</v>
      </c>
      <c r="M433" t="str">
        <f>VLOOKUP(A433,'Tableau single and bulk'!A:B,2,FALSE)</f>
        <v>NEBAUTO</v>
      </c>
    </row>
    <row r="434" spans="1:13">
      <c r="A434" s="5" t="s">
        <v>346</v>
      </c>
      <c r="B434" s="1">
        <v>34714</v>
      </c>
      <c r="C434" t="s">
        <v>345</v>
      </c>
      <c r="D434" t="s">
        <v>335</v>
      </c>
      <c r="E434" t="s">
        <v>335</v>
      </c>
      <c r="F434" s="1">
        <v>2</v>
      </c>
      <c r="G434" s="1">
        <v>2</v>
      </c>
      <c r="H434" s="1">
        <v>0</v>
      </c>
      <c r="I434" s="1">
        <v>0</v>
      </c>
      <c r="J434" t="s">
        <v>12</v>
      </c>
      <c r="K434" t="s">
        <v>346</v>
      </c>
      <c r="L434" t="s">
        <v>3</v>
      </c>
      <c r="M434" t="str">
        <f>VLOOKUP(A434,'Tableau single and bulk'!A:B,2,FALSE)</f>
        <v>NEBAUTO</v>
      </c>
    </row>
    <row r="435" spans="1:13">
      <c r="A435" s="5" t="s">
        <v>361</v>
      </c>
      <c r="B435" s="1">
        <v>34729</v>
      </c>
      <c r="C435" t="s">
        <v>360</v>
      </c>
      <c r="D435" t="s">
        <v>335</v>
      </c>
      <c r="E435" t="s">
        <v>335</v>
      </c>
      <c r="F435" s="1">
        <v>3</v>
      </c>
      <c r="G435" s="1">
        <v>3</v>
      </c>
      <c r="H435" s="1">
        <v>0</v>
      </c>
      <c r="I435" s="1">
        <v>0</v>
      </c>
      <c r="J435" t="s">
        <v>12</v>
      </c>
      <c r="K435" t="s">
        <v>361</v>
      </c>
      <c r="L435" t="s">
        <v>3</v>
      </c>
      <c r="M435" t="str">
        <f>VLOOKUP(A435,'Tableau single and bulk'!A:B,2,FALSE)</f>
        <v>NEBAUTO</v>
      </c>
    </row>
    <row r="436" spans="1:13">
      <c r="A436" s="5" t="s">
        <v>933</v>
      </c>
      <c r="B436" s="1">
        <v>34666</v>
      </c>
      <c r="C436" t="s">
        <v>20</v>
      </c>
      <c r="D436" t="s">
        <v>153</v>
      </c>
      <c r="E436" t="s">
        <v>153</v>
      </c>
      <c r="F436" s="1">
        <v>1</v>
      </c>
      <c r="G436" s="1">
        <v>1</v>
      </c>
      <c r="H436" s="1">
        <v>0</v>
      </c>
      <c r="I436" s="1">
        <v>0</v>
      </c>
      <c r="J436" t="s">
        <v>25</v>
      </c>
      <c r="K436" t="s">
        <v>933</v>
      </c>
      <c r="L436" t="s">
        <v>3</v>
      </c>
      <c r="M436" t="str">
        <f>VLOOKUP(A436,'Tableau single and bulk'!A:B,2,FALSE)</f>
        <v>NEBAUTO</v>
      </c>
    </row>
    <row r="437" spans="1:13">
      <c r="A437" s="5" t="s">
        <v>347</v>
      </c>
      <c r="B437" s="1">
        <v>34716</v>
      </c>
      <c r="C437" t="s">
        <v>151</v>
      </c>
      <c r="D437" t="s">
        <v>335</v>
      </c>
      <c r="E437" t="s">
        <v>335</v>
      </c>
      <c r="F437" s="1">
        <v>1</v>
      </c>
      <c r="G437" s="1">
        <v>1</v>
      </c>
      <c r="H437" s="1">
        <v>0</v>
      </c>
      <c r="I437" s="1">
        <v>0</v>
      </c>
      <c r="J437" t="s">
        <v>18</v>
      </c>
      <c r="K437" t="s">
        <v>347</v>
      </c>
      <c r="L437" t="s">
        <v>3</v>
      </c>
      <c r="M437" t="str">
        <f>VLOOKUP(A437,'Tableau single and bulk'!A:B,2,FALSE)</f>
        <v>NEBAUTO</v>
      </c>
    </row>
    <row r="438" spans="1:13">
      <c r="A438" s="5" t="s">
        <v>340</v>
      </c>
      <c r="B438" s="1">
        <v>34690</v>
      </c>
      <c r="C438" t="s">
        <v>339</v>
      </c>
      <c r="D438" t="s">
        <v>317</v>
      </c>
      <c r="E438" t="s">
        <v>317</v>
      </c>
      <c r="F438" s="1">
        <v>1</v>
      </c>
      <c r="G438" s="1">
        <v>1</v>
      </c>
      <c r="H438" s="1">
        <v>0</v>
      </c>
      <c r="I438" s="1">
        <v>0</v>
      </c>
      <c r="J438" t="s">
        <v>33</v>
      </c>
      <c r="K438" t="s">
        <v>340</v>
      </c>
      <c r="L438" t="s">
        <v>3</v>
      </c>
      <c r="M438" t="str">
        <f>VLOOKUP(A438,'Tableau single and bulk'!A:B,2,FALSE)</f>
        <v>NEBAUTO</v>
      </c>
    </row>
    <row r="439" spans="1:13">
      <c r="A439" s="5" t="s">
        <v>320</v>
      </c>
      <c r="B439" s="1">
        <v>34692</v>
      </c>
      <c r="C439" t="s">
        <v>319</v>
      </c>
      <c r="D439" t="s">
        <v>317</v>
      </c>
      <c r="E439" t="s">
        <v>317</v>
      </c>
      <c r="F439" s="1">
        <v>25</v>
      </c>
      <c r="G439" s="1">
        <v>25</v>
      </c>
      <c r="H439" s="1">
        <v>-2</v>
      </c>
      <c r="I439" s="1">
        <v>2</v>
      </c>
      <c r="J439" t="s">
        <v>33</v>
      </c>
      <c r="K439" t="s">
        <v>320</v>
      </c>
      <c r="L439" t="s">
        <v>3</v>
      </c>
      <c r="M439" t="str">
        <f>VLOOKUP(A439,'Tableau single and bulk'!A:B,2,FALSE)</f>
        <v>NEBAUTO</v>
      </c>
    </row>
    <row r="440" spans="1:13">
      <c r="A440" s="5" t="s">
        <v>538</v>
      </c>
      <c r="B440" s="1">
        <v>34726</v>
      </c>
      <c r="C440" t="s">
        <v>537</v>
      </c>
      <c r="D440" t="s">
        <v>335</v>
      </c>
      <c r="E440" t="s">
        <v>335</v>
      </c>
      <c r="F440" s="1">
        <v>1</v>
      </c>
      <c r="G440" s="1">
        <v>1</v>
      </c>
      <c r="H440" s="1">
        <v>0</v>
      </c>
      <c r="I440" s="1">
        <v>0</v>
      </c>
      <c r="J440" t="s">
        <v>12</v>
      </c>
      <c r="K440" t="s">
        <v>538</v>
      </c>
      <c r="L440" t="s">
        <v>3</v>
      </c>
      <c r="M440" t="str">
        <f>VLOOKUP(A440,'Tableau single and bulk'!A:B,2,FALSE)</f>
        <v>NEBAUTO</v>
      </c>
    </row>
    <row r="441" spans="1:13">
      <c r="A441" s="5" t="s">
        <v>315</v>
      </c>
      <c r="B441" s="1">
        <v>34682</v>
      </c>
      <c r="C441" t="s">
        <v>314</v>
      </c>
      <c r="D441" t="s">
        <v>153</v>
      </c>
      <c r="E441" t="s">
        <v>153</v>
      </c>
      <c r="F441" s="1">
        <v>2</v>
      </c>
      <c r="G441" s="1">
        <v>2</v>
      </c>
      <c r="H441" s="1">
        <v>0</v>
      </c>
      <c r="I441" s="1">
        <v>0</v>
      </c>
      <c r="J441" t="s">
        <v>33</v>
      </c>
      <c r="K441" t="s">
        <v>315</v>
      </c>
      <c r="L441" t="s">
        <v>3</v>
      </c>
      <c r="M441" t="str">
        <f>VLOOKUP(A441,'Tableau single and bulk'!A:B,2,FALSE)</f>
        <v>NEBAUTO</v>
      </c>
    </row>
    <row r="442" spans="1:13">
      <c r="A442" s="5" t="s">
        <v>822</v>
      </c>
      <c r="B442" s="1">
        <v>34749</v>
      </c>
      <c r="C442" t="s">
        <v>821</v>
      </c>
      <c r="D442" t="s">
        <v>335</v>
      </c>
      <c r="E442" t="s">
        <v>335</v>
      </c>
      <c r="F442" s="1">
        <v>6</v>
      </c>
      <c r="G442" s="1">
        <v>6</v>
      </c>
      <c r="H442" s="1">
        <v>0</v>
      </c>
      <c r="I442" s="1">
        <v>0</v>
      </c>
      <c r="J442" t="s">
        <v>28</v>
      </c>
      <c r="K442" t="s">
        <v>822</v>
      </c>
      <c r="L442" t="s">
        <v>3</v>
      </c>
      <c r="M442" t="str">
        <f>VLOOKUP(A442,'Tableau single and bulk'!A:B,2,FALSE)</f>
        <v>NEBAUTO</v>
      </c>
    </row>
    <row r="443" spans="1:13">
      <c r="A443" s="5" t="s">
        <v>357</v>
      </c>
      <c r="B443" s="1">
        <v>34723</v>
      </c>
      <c r="C443" t="s">
        <v>356</v>
      </c>
      <c r="D443" t="s">
        <v>335</v>
      </c>
      <c r="E443" t="s">
        <v>335</v>
      </c>
      <c r="F443" s="1">
        <v>1</v>
      </c>
      <c r="G443" s="1">
        <v>1</v>
      </c>
      <c r="H443" s="1">
        <v>0</v>
      </c>
      <c r="I443" s="1">
        <v>0</v>
      </c>
      <c r="J443" t="s">
        <v>18</v>
      </c>
      <c r="K443" t="s">
        <v>357</v>
      </c>
      <c r="L443" t="s">
        <v>3</v>
      </c>
      <c r="M443" t="str">
        <f>VLOOKUP(A443,'Tableau single and bulk'!A:B,2,FALSE)</f>
        <v>NEBAUTO</v>
      </c>
    </row>
    <row r="444" spans="1:13">
      <c r="A444" s="5" t="s">
        <v>544</v>
      </c>
      <c r="B444" s="1">
        <v>34733</v>
      </c>
      <c r="C444" t="s">
        <v>543</v>
      </c>
      <c r="D444" t="s">
        <v>335</v>
      </c>
      <c r="E444" t="s">
        <v>335</v>
      </c>
      <c r="F444" s="1">
        <v>1</v>
      </c>
      <c r="G444" s="1">
        <v>1</v>
      </c>
      <c r="H444" s="1">
        <v>0</v>
      </c>
      <c r="I444" s="1">
        <v>0</v>
      </c>
      <c r="J444" t="s">
        <v>12</v>
      </c>
      <c r="K444" t="s">
        <v>544</v>
      </c>
      <c r="L444" t="s">
        <v>3</v>
      </c>
      <c r="M444" t="str">
        <f>VLOOKUP(A444,'Tableau single and bulk'!A:B,2,FALSE)</f>
        <v>NEBAUTO</v>
      </c>
    </row>
    <row r="445" spans="1:13">
      <c r="A445" s="5" t="s">
        <v>349</v>
      </c>
      <c r="B445" s="1">
        <v>34720</v>
      </c>
      <c r="C445" t="s">
        <v>348</v>
      </c>
      <c r="D445" t="s">
        <v>335</v>
      </c>
      <c r="E445" t="s">
        <v>335</v>
      </c>
      <c r="F445" s="1">
        <v>1</v>
      </c>
      <c r="G445" s="1">
        <v>1</v>
      </c>
      <c r="H445" s="1">
        <v>0</v>
      </c>
      <c r="I445" s="1">
        <v>0</v>
      </c>
      <c r="J445" t="s">
        <v>18</v>
      </c>
      <c r="K445" t="s">
        <v>349</v>
      </c>
      <c r="L445" t="s">
        <v>3</v>
      </c>
      <c r="M445" t="str">
        <f>VLOOKUP(A445,'Tableau single and bulk'!A:B,2,FALSE)</f>
        <v>NEBAUTO</v>
      </c>
    </row>
    <row r="446" spans="1:13">
      <c r="A446" s="5" t="s">
        <v>355</v>
      </c>
      <c r="B446" s="1">
        <v>34722</v>
      </c>
      <c r="C446" t="s">
        <v>354</v>
      </c>
      <c r="D446" t="s">
        <v>335</v>
      </c>
      <c r="E446" t="s">
        <v>335</v>
      </c>
      <c r="F446" s="1">
        <v>1</v>
      </c>
      <c r="G446" s="1">
        <v>1</v>
      </c>
      <c r="H446" s="1">
        <v>0</v>
      </c>
      <c r="I446" s="1">
        <v>0</v>
      </c>
      <c r="J446" t="s">
        <v>24</v>
      </c>
      <c r="K446" t="s">
        <v>355</v>
      </c>
      <c r="L446" t="s">
        <v>3</v>
      </c>
      <c r="M446" t="str">
        <f>VLOOKUP(A446,'Tableau single and bulk'!A:B,2,FALSE)</f>
        <v>NEBAUTO</v>
      </c>
    </row>
    <row r="447" spans="1:13">
      <c r="A447" s="5" t="s">
        <v>536</v>
      </c>
      <c r="B447" s="1">
        <v>34721</v>
      </c>
      <c r="C447" t="s">
        <v>535</v>
      </c>
      <c r="D447" t="s">
        <v>335</v>
      </c>
      <c r="E447" t="s">
        <v>335</v>
      </c>
      <c r="F447" s="1">
        <v>1</v>
      </c>
      <c r="G447" s="1">
        <v>1</v>
      </c>
      <c r="H447" s="1">
        <v>0</v>
      </c>
      <c r="I447" s="1">
        <v>0</v>
      </c>
      <c r="J447" t="s">
        <v>24</v>
      </c>
      <c r="K447" t="s">
        <v>536</v>
      </c>
      <c r="L447" t="s">
        <v>3</v>
      </c>
      <c r="M447" t="str">
        <f>VLOOKUP(A447,'Tableau single and bulk'!A:B,2,FALSE)</f>
        <v>NEBAUTO</v>
      </c>
    </row>
    <row r="448" spans="1:13">
      <c r="A448" s="5" t="s">
        <v>154</v>
      </c>
      <c r="B448" s="1">
        <v>34670</v>
      </c>
      <c r="C448" t="s">
        <v>152</v>
      </c>
      <c r="D448" t="s">
        <v>153</v>
      </c>
      <c r="E448" t="s">
        <v>153</v>
      </c>
      <c r="F448" s="1">
        <v>2</v>
      </c>
      <c r="G448" s="1">
        <v>2</v>
      </c>
      <c r="H448" s="1">
        <v>0</v>
      </c>
      <c r="I448" s="1">
        <v>0</v>
      </c>
      <c r="J448" t="s">
        <v>18</v>
      </c>
      <c r="K448" t="s">
        <v>154</v>
      </c>
      <c r="L448" t="s">
        <v>3</v>
      </c>
      <c r="M448" t="str">
        <f>VLOOKUP(A448,'Tableau single and bulk'!A:B,2,FALSE)</f>
        <v>NEBAUTO</v>
      </c>
    </row>
    <row r="449" spans="1:13">
      <c r="A449" s="5" t="s">
        <v>935</v>
      </c>
      <c r="B449" s="1">
        <v>34724</v>
      </c>
      <c r="C449" t="s">
        <v>934</v>
      </c>
      <c r="D449" t="s">
        <v>335</v>
      </c>
      <c r="E449" t="s">
        <v>335</v>
      </c>
      <c r="F449" s="1">
        <v>1</v>
      </c>
      <c r="G449" s="1">
        <v>1</v>
      </c>
      <c r="H449" s="1">
        <v>0</v>
      </c>
      <c r="I449" s="1">
        <v>0</v>
      </c>
      <c r="J449" t="s">
        <v>33</v>
      </c>
      <c r="K449" t="s">
        <v>935</v>
      </c>
      <c r="L449" t="s">
        <v>3</v>
      </c>
      <c r="M449" t="str">
        <f>VLOOKUP(A449,'Tableau single and bulk'!A:B,2,FALSE)</f>
        <v>NEBAUTO</v>
      </c>
    </row>
    <row r="450" spans="1:13">
      <c r="A450" s="5" t="s">
        <v>554</v>
      </c>
      <c r="B450" s="1">
        <v>34760</v>
      </c>
      <c r="C450" t="s">
        <v>553</v>
      </c>
      <c r="D450" t="s">
        <v>158</v>
      </c>
      <c r="E450" t="s">
        <v>158</v>
      </c>
      <c r="F450" s="1">
        <v>1</v>
      </c>
      <c r="G450" s="1">
        <v>1</v>
      </c>
      <c r="H450" s="1">
        <v>0</v>
      </c>
      <c r="I450" s="1">
        <v>0</v>
      </c>
      <c r="J450" t="s">
        <v>24</v>
      </c>
      <c r="K450" t="s">
        <v>554</v>
      </c>
      <c r="L450" t="s">
        <v>3</v>
      </c>
      <c r="M450" t="str">
        <f>VLOOKUP(A450,'Tableau single and bulk'!A:B,2,FALSE)</f>
        <v>NEBAUTO</v>
      </c>
    </row>
    <row r="451" spans="1:13">
      <c r="A451" s="5" t="s">
        <v>763</v>
      </c>
      <c r="B451" s="1">
        <v>34774</v>
      </c>
      <c r="C451" t="s">
        <v>762</v>
      </c>
      <c r="D451" t="s">
        <v>158</v>
      </c>
      <c r="E451" t="s">
        <v>158</v>
      </c>
      <c r="F451" s="1">
        <v>3</v>
      </c>
      <c r="G451" s="1">
        <v>3</v>
      </c>
      <c r="H451" s="1">
        <v>0</v>
      </c>
      <c r="I451" s="1">
        <v>0</v>
      </c>
      <c r="J451" t="s">
        <v>28</v>
      </c>
      <c r="K451" t="s">
        <v>763</v>
      </c>
      <c r="L451" t="s">
        <v>3</v>
      </c>
      <c r="M451" t="str">
        <f>VLOOKUP(A451,'Tableau single and bulk'!A:B,2,FALSE)</f>
        <v>NEBAUTO</v>
      </c>
    </row>
    <row r="452" spans="1:13">
      <c r="A452" s="5" t="s">
        <v>824</v>
      </c>
      <c r="B452" s="1">
        <v>34750</v>
      </c>
      <c r="C452" t="s">
        <v>823</v>
      </c>
      <c r="D452" t="s">
        <v>335</v>
      </c>
      <c r="E452" t="s">
        <v>335</v>
      </c>
      <c r="F452" s="1">
        <v>2</v>
      </c>
      <c r="G452" s="1">
        <v>2</v>
      </c>
      <c r="H452" s="1">
        <v>0</v>
      </c>
      <c r="I452" s="1">
        <v>0</v>
      </c>
      <c r="J452" t="s">
        <v>12</v>
      </c>
      <c r="K452" t="s">
        <v>824</v>
      </c>
      <c r="L452" t="s">
        <v>3</v>
      </c>
      <c r="M452" t="str">
        <f>VLOOKUP(A452,'Tableau single and bulk'!A:B,2,FALSE)</f>
        <v>NEBAUTO</v>
      </c>
    </row>
    <row r="453" spans="1:13">
      <c r="A453" s="5" t="s">
        <v>551</v>
      </c>
      <c r="B453" s="1">
        <v>34751</v>
      </c>
      <c r="C453" t="s">
        <v>550</v>
      </c>
      <c r="D453" t="s">
        <v>335</v>
      </c>
      <c r="E453" t="s">
        <v>335</v>
      </c>
      <c r="F453" s="1">
        <v>2</v>
      </c>
      <c r="G453" s="1">
        <v>2</v>
      </c>
      <c r="H453" s="1">
        <v>0</v>
      </c>
      <c r="I453" s="1">
        <v>0</v>
      </c>
      <c r="J453" t="s">
        <v>12</v>
      </c>
      <c r="K453" t="s">
        <v>551</v>
      </c>
      <c r="L453" t="s">
        <v>3</v>
      </c>
      <c r="M453" t="str">
        <f>VLOOKUP(A453,'Tableau single and bulk'!A:B,2,FALSE)</f>
        <v>NEBAUTO</v>
      </c>
    </row>
    <row r="454" spans="1:13">
      <c r="A454" s="5" t="s">
        <v>1240</v>
      </c>
      <c r="B454" s="1">
        <v>34736</v>
      </c>
      <c r="C454" t="s">
        <v>1239</v>
      </c>
      <c r="D454" t="s">
        <v>335</v>
      </c>
      <c r="E454" t="s">
        <v>335</v>
      </c>
      <c r="F454" s="1">
        <v>1</v>
      </c>
      <c r="G454" s="1">
        <v>1</v>
      </c>
      <c r="H454" s="1">
        <v>0</v>
      </c>
      <c r="I454" s="1">
        <v>0</v>
      </c>
      <c r="J454" t="s">
        <v>33</v>
      </c>
      <c r="K454" t="s">
        <v>1240</v>
      </c>
      <c r="L454" t="s">
        <v>3</v>
      </c>
      <c r="M454" t="str">
        <f>VLOOKUP(A454,'Tableau single and bulk'!A:B,2,FALSE)</f>
        <v>NEBAUTO</v>
      </c>
    </row>
    <row r="455" spans="1:13">
      <c r="A455" s="5" t="s">
        <v>1159</v>
      </c>
      <c r="B455" s="1">
        <v>35513</v>
      </c>
      <c r="C455" t="s">
        <v>1047</v>
      </c>
      <c r="D455" t="s">
        <v>258</v>
      </c>
      <c r="E455" t="s">
        <v>258</v>
      </c>
      <c r="F455" s="1">
        <v>1</v>
      </c>
      <c r="G455" s="1">
        <v>1</v>
      </c>
      <c r="H455" s="1">
        <v>0</v>
      </c>
      <c r="I455" s="1">
        <v>0</v>
      </c>
      <c r="J455" t="s">
        <v>24</v>
      </c>
      <c r="K455" t="s">
        <v>1159</v>
      </c>
      <c r="L455" t="s">
        <v>3</v>
      </c>
      <c r="M455" t="str">
        <f>VLOOKUP(A455,'Tableau single and bulk'!A:B,2,FALSE)</f>
        <v>NEBAUTO</v>
      </c>
    </row>
    <row r="456" spans="1:13">
      <c r="A456" s="5" t="s">
        <v>313</v>
      </c>
      <c r="B456" s="1">
        <v>34680</v>
      </c>
      <c r="C456" t="s">
        <v>312</v>
      </c>
      <c r="D456" t="s">
        <v>153</v>
      </c>
      <c r="E456" t="s">
        <v>153</v>
      </c>
      <c r="F456" s="1">
        <v>1</v>
      </c>
      <c r="G456" s="1">
        <v>1</v>
      </c>
      <c r="H456" s="1">
        <v>0</v>
      </c>
      <c r="I456" s="1">
        <v>0</v>
      </c>
      <c r="J456" t="s">
        <v>18</v>
      </c>
      <c r="K456" t="s">
        <v>313</v>
      </c>
      <c r="L456" t="s">
        <v>3</v>
      </c>
      <c r="M456" t="str">
        <f>VLOOKUP(A456,'Tableau single and bulk'!A:B,2,FALSE)</f>
        <v>NEBAUTO</v>
      </c>
    </row>
    <row r="457" spans="1:13">
      <c r="A457" s="5" t="s">
        <v>560</v>
      </c>
      <c r="B457" s="1">
        <v>34775</v>
      </c>
      <c r="C457" t="s">
        <v>559</v>
      </c>
      <c r="D457" t="s">
        <v>158</v>
      </c>
      <c r="E457" t="s">
        <v>167</v>
      </c>
      <c r="F457" s="1">
        <v>4</v>
      </c>
      <c r="G457" s="1">
        <v>4</v>
      </c>
      <c r="H457" s="1">
        <v>-1</v>
      </c>
      <c r="I457" s="1">
        <v>1</v>
      </c>
      <c r="J457" t="s">
        <v>24</v>
      </c>
      <c r="K457" t="s">
        <v>560</v>
      </c>
      <c r="L457" t="s">
        <v>3</v>
      </c>
      <c r="M457" t="str">
        <f>VLOOKUP(A457,'Tableau single and bulk'!A:B,2,FALSE)</f>
        <v>NEBAUTO</v>
      </c>
    </row>
    <row r="458" spans="1:13">
      <c r="A458" s="5" t="s">
        <v>1133</v>
      </c>
      <c r="B458" s="1">
        <v>34740</v>
      </c>
      <c r="C458" t="s">
        <v>1132</v>
      </c>
      <c r="D458" t="s">
        <v>335</v>
      </c>
      <c r="E458" t="s">
        <v>335</v>
      </c>
      <c r="F458" s="1">
        <v>12</v>
      </c>
      <c r="G458" s="1">
        <v>12</v>
      </c>
      <c r="H458" s="1">
        <v>-1</v>
      </c>
      <c r="I458" s="1">
        <v>1</v>
      </c>
      <c r="J458" t="s">
        <v>33</v>
      </c>
      <c r="K458" t="s">
        <v>1133</v>
      </c>
      <c r="L458" t="s">
        <v>3</v>
      </c>
      <c r="M458" t="str">
        <f>VLOOKUP(A458,'Tableau single and bulk'!A:B,2,FALSE)</f>
        <v>NEBAUTO</v>
      </c>
    </row>
    <row r="459" spans="1:13">
      <c r="A459" s="5" t="s">
        <v>318</v>
      </c>
      <c r="B459" s="1">
        <v>34689</v>
      </c>
      <c r="C459" t="s">
        <v>316</v>
      </c>
      <c r="D459" t="s">
        <v>317</v>
      </c>
      <c r="E459" t="s">
        <v>317</v>
      </c>
      <c r="F459" s="1">
        <v>28</v>
      </c>
      <c r="G459" s="1">
        <v>28</v>
      </c>
      <c r="H459" s="1">
        <v>-1</v>
      </c>
      <c r="I459" s="1">
        <v>1</v>
      </c>
      <c r="J459" t="s">
        <v>12</v>
      </c>
      <c r="K459" t="s">
        <v>318</v>
      </c>
      <c r="L459" t="s">
        <v>3</v>
      </c>
      <c r="M459" t="str">
        <f>VLOOKUP(A459,'Tableau single and bulk'!A:B,2,FALSE)</f>
        <v>NEBAUTO</v>
      </c>
    </row>
    <row r="460" spans="1:13">
      <c r="A460" s="5" t="s">
        <v>1246</v>
      </c>
      <c r="B460" s="1">
        <v>34761</v>
      </c>
      <c r="C460" t="s">
        <v>1245</v>
      </c>
      <c r="D460" t="s">
        <v>158</v>
      </c>
      <c r="E460" t="s">
        <v>158</v>
      </c>
      <c r="F460" s="1">
        <v>2</v>
      </c>
      <c r="G460" s="1">
        <v>2</v>
      </c>
      <c r="H460" s="1">
        <v>0</v>
      </c>
      <c r="I460" s="1">
        <v>0</v>
      </c>
      <c r="J460" t="s">
        <v>24</v>
      </c>
      <c r="K460" t="s">
        <v>1246</v>
      </c>
      <c r="L460" t="s">
        <v>3</v>
      </c>
      <c r="M460" t="str">
        <f>VLOOKUP(A460,'Tableau single and bulk'!A:B,2,FALSE)</f>
        <v>NEBAUTO</v>
      </c>
    </row>
    <row r="461" spans="1:13">
      <c r="A461" s="5" t="s">
        <v>542</v>
      </c>
      <c r="B461" s="1">
        <v>34732</v>
      </c>
      <c r="C461" t="s">
        <v>541</v>
      </c>
      <c r="D461" t="s">
        <v>335</v>
      </c>
      <c r="E461" t="s">
        <v>335</v>
      </c>
      <c r="F461" s="1">
        <v>4</v>
      </c>
      <c r="G461" s="1">
        <v>4</v>
      </c>
      <c r="H461" s="1">
        <v>0</v>
      </c>
      <c r="I461" s="1">
        <v>0</v>
      </c>
      <c r="J461" t="s">
        <v>33</v>
      </c>
      <c r="K461" t="s">
        <v>542</v>
      </c>
      <c r="L461" t="s">
        <v>3</v>
      </c>
      <c r="M461" t="str">
        <f>VLOOKUP(A461,'Tableau single and bulk'!A:B,2,FALSE)</f>
        <v>NEBAUTO</v>
      </c>
    </row>
    <row r="462" spans="1:13">
      <c r="A462" s="5" t="s">
        <v>1000</v>
      </c>
      <c r="B462" s="1">
        <v>34742</v>
      </c>
      <c r="C462" t="s">
        <v>999</v>
      </c>
      <c r="D462" t="s">
        <v>335</v>
      </c>
      <c r="E462" t="s">
        <v>335</v>
      </c>
      <c r="F462" s="1">
        <v>5</v>
      </c>
      <c r="G462" s="1">
        <v>5</v>
      </c>
      <c r="H462" s="1">
        <v>0</v>
      </c>
      <c r="I462" s="1">
        <v>0</v>
      </c>
      <c r="J462" t="s">
        <v>18</v>
      </c>
      <c r="K462" t="s">
        <v>1000</v>
      </c>
      <c r="L462" t="s">
        <v>3</v>
      </c>
      <c r="M462" t="str">
        <f>VLOOKUP(A462,'Tableau single and bulk'!A:B,2,FALSE)</f>
        <v>NEBAUTO</v>
      </c>
    </row>
    <row r="463" spans="1:13">
      <c r="A463" s="5" t="s">
        <v>1002</v>
      </c>
      <c r="B463" s="1">
        <v>34763</v>
      </c>
      <c r="C463" t="s">
        <v>1001</v>
      </c>
      <c r="D463" t="s">
        <v>158</v>
      </c>
      <c r="E463" t="s">
        <v>158</v>
      </c>
      <c r="F463" s="1">
        <v>72</v>
      </c>
      <c r="G463" s="1">
        <v>72</v>
      </c>
      <c r="H463" s="1">
        <v>-1</v>
      </c>
      <c r="I463" s="1">
        <v>1</v>
      </c>
      <c r="J463" t="s">
        <v>24</v>
      </c>
      <c r="K463" t="s">
        <v>1002</v>
      </c>
      <c r="L463" t="s">
        <v>3</v>
      </c>
      <c r="M463" t="str">
        <f>VLOOKUP(A463,'Tableau single and bulk'!A:B,2,FALSE)</f>
        <v>NEBAUTO</v>
      </c>
    </row>
    <row r="464" spans="1:13">
      <c r="A464" s="5" t="s">
        <v>1242</v>
      </c>
      <c r="B464" s="1">
        <v>34752</v>
      </c>
      <c r="C464" t="s">
        <v>1241</v>
      </c>
      <c r="D464" t="s">
        <v>335</v>
      </c>
      <c r="E464" t="s">
        <v>335</v>
      </c>
      <c r="F464" s="1">
        <v>1</v>
      </c>
      <c r="G464" s="1">
        <v>1</v>
      </c>
      <c r="H464" s="1">
        <v>0</v>
      </c>
      <c r="I464" s="1">
        <v>0</v>
      </c>
      <c r="J464" t="s">
        <v>18</v>
      </c>
      <c r="K464" t="s">
        <v>1242</v>
      </c>
      <c r="L464" t="s">
        <v>3</v>
      </c>
      <c r="M464" t="str">
        <f>VLOOKUP(A464,'Tableau single and bulk'!A:B,2,FALSE)</f>
        <v>NEBAUTO</v>
      </c>
    </row>
    <row r="465" spans="1:13">
      <c r="A465" s="5" t="s">
        <v>1234</v>
      </c>
      <c r="B465" s="1">
        <v>34688</v>
      </c>
      <c r="C465" t="s">
        <v>1233</v>
      </c>
      <c r="D465" t="s">
        <v>153</v>
      </c>
      <c r="E465" t="s">
        <v>153</v>
      </c>
      <c r="F465" s="1">
        <v>1</v>
      </c>
      <c r="G465" s="1">
        <v>1</v>
      </c>
      <c r="H465" s="1">
        <v>0</v>
      </c>
      <c r="I465" s="1">
        <v>0</v>
      </c>
      <c r="J465" t="s">
        <v>18</v>
      </c>
      <c r="K465" t="s">
        <v>1234</v>
      </c>
      <c r="L465" t="s">
        <v>3</v>
      </c>
      <c r="M465" t="str">
        <f>VLOOKUP(A465,'Tableau single and bulk'!A:B,2,FALSE)</f>
        <v>NEBAUTO</v>
      </c>
    </row>
    <row r="466" spans="1:13">
      <c r="A466" s="5" t="s">
        <v>564</v>
      </c>
      <c r="B466" s="1">
        <v>34777</v>
      </c>
      <c r="C466" t="s">
        <v>563</v>
      </c>
      <c r="D466" t="s">
        <v>161</v>
      </c>
      <c r="E466" t="s">
        <v>161</v>
      </c>
      <c r="F466" s="1">
        <v>3</v>
      </c>
      <c r="G466" s="1">
        <v>3</v>
      </c>
      <c r="H466" s="1">
        <v>0</v>
      </c>
      <c r="I466" s="1">
        <v>0</v>
      </c>
      <c r="J466" t="s">
        <v>12</v>
      </c>
      <c r="K466" t="s">
        <v>564</v>
      </c>
      <c r="L466" t="s">
        <v>3</v>
      </c>
      <c r="M466" t="str">
        <f>VLOOKUP(A466,'Tableau single and bulk'!A:B,2,FALSE)</f>
        <v>NEBAUTO</v>
      </c>
    </row>
    <row r="467" spans="1:13">
      <c r="A467" s="5" t="s">
        <v>562</v>
      </c>
      <c r="B467" s="1">
        <v>34776</v>
      </c>
      <c r="C467" t="s">
        <v>561</v>
      </c>
      <c r="D467" t="s">
        <v>161</v>
      </c>
      <c r="E467" t="s">
        <v>161</v>
      </c>
      <c r="F467" s="1">
        <v>1</v>
      </c>
      <c r="G467" s="1">
        <v>1</v>
      </c>
      <c r="H467" s="1">
        <v>0</v>
      </c>
      <c r="I467" s="1">
        <v>0</v>
      </c>
      <c r="J467" t="s">
        <v>12</v>
      </c>
      <c r="K467" t="s">
        <v>562</v>
      </c>
      <c r="L467" t="s">
        <v>3</v>
      </c>
      <c r="M467" t="str">
        <f>VLOOKUP(A467,'Tableau single and bulk'!A:B,2,FALSE)</f>
        <v>NEBAUTO</v>
      </c>
    </row>
    <row r="468" spans="1:13">
      <c r="A468" s="5" t="s">
        <v>165</v>
      </c>
      <c r="B468" s="1">
        <v>34795</v>
      </c>
      <c r="C468" t="s">
        <v>164</v>
      </c>
      <c r="D468" t="s">
        <v>161</v>
      </c>
      <c r="E468" t="s">
        <v>161</v>
      </c>
      <c r="F468" s="1">
        <v>8</v>
      </c>
      <c r="G468" s="1">
        <v>8</v>
      </c>
      <c r="H468" s="1">
        <v>0</v>
      </c>
      <c r="I468" s="1">
        <v>0</v>
      </c>
      <c r="J468" t="s">
        <v>12</v>
      </c>
      <c r="K468" t="s">
        <v>165</v>
      </c>
      <c r="L468" t="s">
        <v>3</v>
      </c>
      <c r="M468" t="str">
        <f>VLOOKUP(A468,'Tableau single and bulk'!A:B,2,FALSE)</f>
        <v>NEBAUTO</v>
      </c>
    </row>
    <row r="469" spans="1:13">
      <c r="A469" s="5" t="s">
        <v>1254</v>
      </c>
      <c r="B469" s="1">
        <v>34793</v>
      </c>
      <c r="C469" t="s">
        <v>1253</v>
      </c>
      <c r="D469" t="s">
        <v>161</v>
      </c>
      <c r="E469" t="s">
        <v>161</v>
      </c>
      <c r="F469" s="1">
        <v>9</v>
      </c>
      <c r="G469" s="1">
        <v>9</v>
      </c>
      <c r="H469" s="1">
        <v>0</v>
      </c>
      <c r="I469" s="1">
        <v>0</v>
      </c>
      <c r="J469" t="s">
        <v>12</v>
      </c>
      <c r="K469" t="s">
        <v>1254</v>
      </c>
      <c r="L469" t="s">
        <v>3</v>
      </c>
      <c r="M469" t="str">
        <f>VLOOKUP(A469,'Tableau single and bulk'!A:B,2,FALSE)</f>
        <v>NEBAUTO</v>
      </c>
    </row>
    <row r="470" spans="1:13">
      <c r="A470" s="5" t="s">
        <v>874</v>
      </c>
      <c r="B470" s="1">
        <v>34856</v>
      </c>
      <c r="C470" t="s">
        <v>602</v>
      </c>
      <c r="D470" t="s">
        <v>174</v>
      </c>
      <c r="E470" t="s">
        <v>174</v>
      </c>
      <c r="F470" s="1">
        <v>1</v>
      </c>
      <c r="G470" s="1">
        <v>1</v>
      </c>
      <c r="H470" s="1">
        <v>0</v>
      </c>
      <c r="I470" s="1">
        <v>0</v>
      </c>
      <c r="J470" t="s">
        <v>28</v>
      </c>
      <c r="K470" t="s">
        <v>874</v>
      </c>
      <c r="L470" t="s">
        <v>3</v>
      </c>
      <c r="M470" t="str">
        <f>VLOOKUP(A470,'Tableau single and bulk'!A:B,2,FALSE)</f>
        <v>NEBAUTO</v>
      </c>
    </row>
    <row r="471" spans="1:13">
      <c r="A471" s="5" t="s">
        <v>1247</v>
      </c>
      <c r="B471" s="1">
        <v>34779</v>
      </c>
      <c r="C471" t="s">
        <v>563</v>
      </c>
      <c r="D471" t="s">
        <v>161</v>
      </c>
      <c r="E471" t="s">
        <v>161</v>
      </c>
      <c r="F471" s="1">
        <v>3</v>
      </c>
      <c r="G471" s="1">
        <v>3</v>
      </c>
      <c r="H471" s="1">
        <v>0</v>
      </c>
      <c r="I471" s="1">
        <v>0</v>
      </c>
      <c r="J471" t="s">
        <v>12</v>
      </c>
      <c r="K471" t="s">
        <v>1247</v>
      </c>
      <c r="L471" t="s">
        <v>3</v>
      </c>
      <c r="M471" t="str">
        <f>VLOOKUP(A471,'Tableau single and bulk'!A:B,2,FALSE)</f>
        <v>NEBAUTO</v>
      </c>
    </row>
    <row r="472" spans="1:13">
      <c r="A472" s="5" t="s">
        <v>334</v>
      </c>
      <c r="B472" s="1">
        <v>34712</v>
      </c>
      <c r="C472" t="s">
        <v>333</v>
      </c>
      <c r="D472" t="s">
        <v>317</v>
      </c>
      <c r="E472" t="s">
        <v>317</v>
      </c>
      <c r="F472" s="1">
        <v>2</v>
      </c>
      <c r="G472" s="1">
        <v>2</v>
      </c>
      <c r="H472" s="1">
        <v>-1</v>
      </c>
      <c r="I472" s="1">
        <v>1</v>
      </c>
      <c r="J472" t="s">
        <v>18</v>
      </c>
      <c r="K472" t="s">
        <v>334</v>
      </c>
      <c r="L472" t="s">
        <v>3</v>
      </c>
      <c r="M472" t="str">
        <f>VLOOKUP(A472,'Tableau single and bulk'!A:B,2,FALSE)</f>
        <v>NEBAUTO</v>
      </c>
    </row>
    <row r="473" spans="1:13">
      <c r="A473" s="5" t="s">
        <v>332</v>
      </c>
      <c r="B473" s="1">
        <v>34710</v>
      </c>
      <c r="C473" t="s">
        <v>331</v>
      </c>
      <c r="D473" t="s">
        <v>317</v>
      </c>
      <c r="E473" t="s">
        <v>317</v>
      </c>
      <c r="F473" s="1">
        <v>21</v>
      </c>
      <c r="G473" s="1">
        <v>21</v>
      </c>
      <c r="H473" s="1">
        <v>-2</v>
      </c>
      <c r="I473" s="1">
        <v>2</v>
      </c>
      <c r="J473" t="s">
        <v>18</v>
      </c>
      <c r="K473" t="s">
        <v>332</v>
      </c>
      <c r="L473" t="s">
        <v>3</v>
      </c>
      <c r="M473" t="str">
        <f>VLOOKUP(A473,'Tableau single and bulk'!A:B,2,FALSE)</f>
        <v>NEBAUTO</v>
      </c>
    </row>
    <row r="474" spans="1:13">
      <c r="A474" s="5" t="s">
        <v>1252</v>
      </c>
      <c r="B474" s="1">
        <v>34790</v>
      </c>
      <c r="C474" t="s">
        <v>1251</v>
      </c>
      <c r="D474" t="s">
        <v>161</v>
      </c>
      <c r="E474" t="s">
        <v>161</v>
      </c>
      <c r="F474" s="1">
        <v>1</v>
      </c>
      <c r="G474" s="1">
        <v>1</v>
      </c>
      <c r="H474" s="1">
        <v>0</v>
      </c>
      <c r="I474" s="1">
        <v>0</v>
      </c>
      <c r="J474" t="s">
        <v>18</v>
      </c>
      <c r="K474" t="s">
        <v>1252</v>
      </c>
      <c r="L474" t="s">
        <v>3</v>
      </c>
      <c r="M474" t="str">
        <f>VLOOKUP(A474,'Tableau single and bulk'!A:B,2,FALSE)</f>
        <v>NEBAUTO</v>
      </c>
    </row>
    <row r="475" spans="1:13">
      <c r="A475" s="5" t="s">
        <v>765</v>
      </c>
      <c r="B475" s="1">
        <v>34801</v>
      </c>
      <c r="C475" t="s">
        <v>764</v>
      </c>
      <c r="D475" t="s">
        <v>161</v>
      </c>
      <c r="E475" t="s">
        <v>161</v>
      </c>
      <c r="F475" s="1">
        <v>1</v>
      </c>
      <c r="G475" s="1">
        <v>1</v>
      </c>
      <c r="H475" s="1">
        <v>0</v>
      </c>
      <c r="I475" s="1">
        <v>0</v>
      </c>
      <c r="J475" t="s">
        <v>18</v>
      </c>
      <c r="K475" t="s">
        <v>765</v>
      </c>
      <c r="L475" t="s">
        <v>3</v>
      </c>
      <c r="M475" t="str">
        <f>VLOOKUP(A475,'Tableau single and bulk'!A:B,2,FALSE)</f>
        <v>NEBAUTO</v>
      </c>
    </row>
    <row r="476" spans="1:13">
      <c r="A476" s="5" t="s">
        <v>1256</v>
      </c>
      <c r="B476" s="1">
        <v>34797</v>
      </c>
      <c r="C476" t="s">
        <v>1255</v>
      </c>
      <c r="D476" t="s">
        <v>161</v>
      </c>
      <c r="E476" t="s">
        <v>161</v>
      </c>
      <c r="F476" s="1">
        <v>1</v>
      </c>
      <c r="G476" s="1">
        <v>1</v>
      </c>
      <c r="H476" s="1">
        <v>0</v>
      </c>
      <c r="I476" s="1">
        <v>0</v>
      </c>
      <c r="J476" t="s">
        <v>18</v>
      </c>
      <c r="K476" t="s">
        <v>1256</v>
      </c>
      <c r="L476" t="s">
        <v>3</v>
      </c>
      <c r="M476" t="str">
        <f>VLOOKUP(A476,'Tableau single and bulk'!A:B,2,FALSE)</f>
        <v>NEBAUTO</v>
      </c>
    </row>
    <row r="477" spans="1:13">
      <c r="A477" s="5" t="s">
        <v>1249</v>
      </c>
      <c r="B477" s="1">
        <v>34783</v>
      </c>
      <c r="C477" t="s">
        <v>1248</v>
      </c>
      <c r="D477" t="s">
        <v>161</v>
      </c>
      <c r="E477" t="s">
        <v>161</v>
      </c>
      <c r="F477" s="1">
        <v>1</v>
      </c>
      <c r="G477" s="1">
        <v>1</v>
      </c>
      <c r="H477" s="1">
        <v>0</v>
      </c>
      <c r="I477" s="1">
        <v>0</v>
      </c>
      <c r="J477" t="s">
        <v>18</v>
      </c>
      <c r="K477" t="s">
        <v>1249</v>
      </c>
      <c r="L477" t="s">
        <v>3</v>
      </c>
      <c r="M477" t="str">
        <f>VLOOKUP(A477,'Tableau single and bulk'!A:B,2,FALSE)</f>
        <v>NEBAUTO</v>
      </c>
    </row>
    <row r="478" spans="1:13">
      <c r="A478" s="5" t="s">
        <v>372</v>
      </c>
      <c r="B478" s="1">
        <v>34814</v>
      </c>
      <c r="C478" t="s">
        <v>371</v>
      </c>
      <c r="D478" t="s">
        <v>161</v>
      </c>
      <c r="E478" t="s">
        <v>161</v>
      </c>
      <c r="F478" s="1">
        <v>2</v>
      </c>
      <c r="G478" s="1">
        <v>2</v>
      </c>
      <c r="H478" s="1">
        <v>0</v>
      </c>
      <c r="I478" s="1">
        <v>0</v>
      </c>
      <c r="J478" t="s">
        <v>18</v>
      </c>
      <c r="K478" t="s">
        <v>372</v>
      </c>
      <c r="L478" t="s">
        <v>3</v>
      </c>
      <c r="M478" t="str">
        <f>VLOOKUP(A478,'Tableau single and bulk'!A:B,2,FALSE)</f>
        <v>NEBAUTO</v>
      </c>
    </row>
    <row r="479" spans="1:13">
      <c r="A479" s="5" t="s">
        <v>1067</v>
      </c>
      <c r="B479" s="1">
        <v>34820</v>
      </c>
      <c r="C479" t="s">
        <v>176</v>
      </c>
      <c r="D479" t="s">
        <v>167</v>
      </c>
      <c r="E479" t="s">
        <v>167</v>
      </c>
      <c r="F479" s="1">
        <v>4</v>
      </c>
      <c r="G479" s="1">
        <v>4</v>
      </c>
      <c r="H479" s="1">
        <v>0</v>
      </c>
      <c r="I479" s="1">
        <v>0</v>
      </c>
      <c r="J479" t="s">
        <v>12</v>
      </c>
      <c r="K479" t="s">
        <v>1067</v>
      </c>
      <c r="L479" t="s">
        <v>3</v>
      </c>
      <c r="M479" t="str">
        <f>VLOOKUP(A479,'Tableau single and bulk'!A:B,2,FALSE)</f>
        <v>NEBAUTO</v>
      </c>
    </row>
    <row r="480" spans="1:13">
      <c r="A480" s="5" t="s">
        <v>585</v>
      </c>
      <c r="B480" s="1">
        <v>34838</v>
      </c>
      <c r="C480" t="s">
        <v>584</v>
      </c>
      <c r="D480" t="s">
        <v>167</v>
      </c>
      <c r="E480" t="s">
        <v>167</v>
      </c>
      <c r="F480" s="1">
        <v>2</v>
      </c>
      <c r="G480" s="1">
        <v>2</v>
      </c>
      <c r="H480" s="1">
        <v>0</v>
      </c>
      <c r="I480" s="1">
        <v>0</v>
      </c>
      <c r="J480" t="s">
        <v>24</v>
      </c>
      <c r="K480" t="s">
        <v>585</v>
      </c>
      <c r="L480" t="s">
        <v>3</v>
      </c>
      <c r="M480" t="str">
        <f>VLOOKUP(A480,'Tableau single and bulk'!A:B,2,FALSE)</f>
        <v>NEBAUTO</v>
      </c>
    </row>
    <row r="481" spans="1:13">
      <c r="A481" s="5" t="s">
        <v>359</v>
      </c>
      <c r="B481" s="1">
        <v>34727</v>
      </c>
      <c r="C481" t="s">
        <v>358</v>
      </c>
      <c r="D481" t="s">
        <v>335</v>
      </c>
      <c r="E481" t="s">
        <v>335</v>
      </c>
      <c r="F481" s="1">
        <v>1</v>
      </c>
      <c r="G481" s="1">
        <v>1</v>
      </c>
      <c r="H481" s="1">
        <v>0</v>
      </c>
      <c r="I481" s="1">
        <v>0</v>
      </c>
      <c r="J481" t="s">
        <v>18</v>
      </c>
      <c r="K481" t="s">
        <v>359</v>
      </c>
      <c r="L481" t="s">
        <v>3</v>
      </c>
      <c r="M481" t="str">
        <f>VLOOKUP(A481,'Tableau single and bulk'!A:B,2,FALSE)</f>
        <v>NEBAUTO</v>
      </c>
    </row>
    <row r="482" spans="1:13">
      <c r="A482" s="5" t="s">
        <v>832</v>
      </c>
      <c r="B482" s="1">
        <v>34813</v>
      </c>
      <c r="C482" t="s">
        <v>831</v>
      </c>
      <c r="D482" t="s">
        <v>161</v>
      </c>
      <c r="E482" t="s">
        <v>161</v>
      </c>
      <c r="F482" s="1">
        <v>144</v>
      </c>
      <c r="G482" s="1">
        <v>144</v>
      </c>
      <c r="H482" s="1">
        <v>0</v>
      </c>
      <c r="I482" s="1">
        <v>0</v>
      </c>
      <c r="J482" t="s">
        <v>12</v>
      </c>
      <c r="K482" t="s">
        <v>832</v>
      </c>
      <c r="L482" t="s">
        <v>3</v>
      </c>
      <c r="M482" t="str">
        <f>VLOOKUP(A482,'Tableau single and bulk'!A:B,2,FALSE)</f>
        <v>NEBAUTO</v>
      </c>
    </row>
    <row r="483" spans="1:13">
      <c r="A483" s="5" t="s">
        <v>168</v>
      </c>
      <c r="B483" s="1">
        <v>34823</v>
      </c>
      <c r="C483" t="s">
        <v>166</v>
      </c>
      <c r="D483" t="s">
        <v>167</v>
      </c>
      <c r="E483" t="s">
        <v>167</v>
      </c>
      <c r="F483" s="1">
        <v>55</v>
      </c>
      <c r="G483" s="1">
        <v>55</v>
      </c>
      <c r="H483" s="1">
        <v>-1</v>
      </c>
      <c r="I483" s="1">
        <v>1</v>
      </c>
      <c r="J483" t="s">
        <v>12</v>
      </c>
      <c r="K483" t="s">
        <v>168</v>
      </c>
      <c r="L483" t="s">
        <v>3</v>
      </c>
      <c r="M483" t="str">
        <f>VLOOKUP(A483,'Tableau single and bulk'!A:B,2,FALSE)</f>
        <v>NEBAUTO</v>
      </c>
    </row>
    <row r="484" spans="1:13">
      <c r="A484" s="5" t="s">
        <v>587</v>
      </c>
      <c r="B484" s="1">
        <v>34840</v>
      </c>
      <c r="C484" t="s">
        <v>586</v>
      </c>
      <c r="D484" t="s">
        <v>167</v>
      </c>
      <c r="E484" t="s">
        <v>167</v>
      </c>
      <c r="F484" s="1">
        <v>1</v>
      </c>
      <c r="G484" s="1">
        <v>1</v>
      </c>
      <c r="H484" s="1">
        <v>0</v>
      </c>
      <c r="I484" s="1">
        <v>0</v>
      </c>
      <c r="J484" t="s">
        <v>12</v>
      </c>
      <c r="K484" t="s">
        <v>587</v>
      </c>
      <c r="L484" t="s">
        <v>3</v>
      </c>
      <c r="M484" t="str">
        <f>VLOOKUP(A484,'Tableau single and bulk'!A:B,2,FALSE)</f>
        <v>NEBAUTO</v>
      </c>
    </row>
    <row r="485" spans="1:13">
      <c r="A485" s="5" t="s">
        <v>546</v>
      </c>
      <c r="B485" s="1">
        <v>34738</v>
      </c>
      <c r="C485" t="s">
        <v>545</v>
      </c>
      <c r="D485" t="s">
        <v>335</v>
      </c>
      <c r="E485" t="s">
        <v>335</v>
      </c>
      <c r="F485" s="1">
        <v>18</v>
      </c>
      <c r="G485" s="1">
        <v>18</v>
      </c>
      <c r="H485" s="1">
        <v>0</v>
      </c>
      <c r="I485" s="1">
        <v>0</v>
      </c>
      <c r="J485" t="s">
        <v>18</v>
      </c>
      <c r="K485" t="s">
        <v>546</v>
      </c>
      <c r="L485" t="s">
        <v>3</v>
      </c>
      <c r="M485" t="str">
        <f>VLOOKUP(A485,'Tableau single and bulk'!A:B,2,FALSE)</f>
        <v>NEBAUTO</v>
      </c>
    </row>
    <row r="486" spans="1:13">
      <c r="A486" s="5" t="s">
        <v>386</v>
      </c>
      <c r="B486" s="1">
        <v>34831</v>
      </c>
      <c r="C486" t="s">
        <v>385</v>
      </c>
      <c r="D486" t="s">
        <v>167</v>
      </c>
      <c r="E486" t="s">
        <v>167</v>
      </c>
      <c r="F486" s="1">
        <v>2</v>
      </c>
      <c r="G486" s="1">
        <v>2</v>
      </c>
      <c r="H486" s="1">
        <v>0</v>
      </c>
      <c r="I486" s="1">
        <v>0</v>
      </c>
      <c r="J486" t="s">
        <v>12</v>
      </c>
      <c r="K486" t="s">
        <v>386</v>
      </c>
      <c r="L486" t="s">
        <v>3</v>
      </c>
      <c r="M486" t="str">
        <f>VLOOKUP(A486,'Tableau single and bulk'!A:B,2,FALSE)</f>
        <v>NEBAUTO</v>
      </c>
    </row>
    <row r="487" spans="1:13">
      <c r="A487" s="5" t="s">
        <v>579</v>
      </c>
      <c r="B487" s="1">
        <v>34816</v>
      </c>
      <c r="C487" t="s">
        <v>578</v>
      </c>
      <c r="D487" t="s">
        <v>161</v>
      </c>
      <c r="E487" t="s">
        <v>161</v>
      </c>
      <c r="F487" s="1">
        <v>1</v>
      </c>
      <c r="G487" s="1">
        <v>1</v>
      </c>
      <c r="H487" s="1">
        <v>0</v>
      </c>
      <c r="I487" s="1">
        <v>0</v>
      </c>
      <c r="J487" t="s">
        <v>18</v>
      </c>
      <c r="K487" t="s">
        <v>579</v>
      </c>
      <c r="L487" t="s">
        <v>3</v>
      </c>
      <c r="M487" t="str">
        <f>VLOOKUP(A487,'Tableau single and bulk'!A:B,2,FALSE)</f>
        <v>NEBAUTO</v>
      </c>
    </row>
    <row r="488" spans="1:13">
      <c r="A488" s="5" t="s">
        <v>828</v>
      </c>
      <c r="B488" s="1">
        <v>34810</v>
      </c>
      <c r="C488" t="s">
        <v>160</v>
      </c>
      <c r="D488" t="s">
        <v>161</v>
      </c>
      <c r="E488" t="s">
        <v>161</v>
      </c>
      <c r="F488" s="1">
        <v>1</v>
      </c>
      <c r="G488" s="1">
        <v>1</v>
      </c>
      <c r="H488" s="1">
        <v>0</v>
      </c>
      <c r="I488" s="1">
        <v>0</v>
      </c>
      <c r="J488" t="s">
        <v>28</v>
      </c>
      <c r="K488" t="s">
        <v>828</v>
      </c>
      <c r="L488" t="s">
        <v>3</v>
      </c>
      <c r="M488" t="str">
        <f>VLOOKUP(A488,'Tableau single and bulk'!A:B,2,FALSE)</f>
        <v>NEBAUTO</v>
      </c>
    </row>
    <row r="489" spans="1:13">
      <c r="A489" s="5" t="s">
        <v>370</v>
      </c>
      <c r="B489" s="1">
        <v>34812</v>
      </c>
      <c r="C489" t="s">
        <v>369</v>
      </c>
      <c r="D489" t="s">
        <v>161</v>
      </c>
      <c r="E489" t="s">
        <v>161</v>
      </c>
      <c r="F489" s="1">
        <v>2</v>
      </c>
      <c r="G489" s="1">
        <v>2</v>
      </c>
      <c r="H489" s="1">
        <v>0</v>
      </c>
      <c r="I489" s="1">
        <v>0</v>
      </c>
      <c r="J489" t="s">
        <v>18</v>
      </c>
      <c r="K489" t="s">
        <v>370</v>
      </c>
      <c r="L489" t="s">
        <v>3</v>
      </c>
      <c r="M489" t="str">
        <f>VLOOKUP(A489,'Tableau single and bulk'!A:B,2,FALSE)</f>
        <v>NEBAUTO</v>
      </c>
    </row>
    <row r="490" spans="1:13">
      <c r="A490" s="5" t="s">
        <v>373</v>
      </c>
      <c r="B490" s="1">
        <v>34819</v>
      </c>
      <c r="C490" t="s">
        <v>176</v>
      </c>
      <c r="D490" t="s">
        <v>167</v>
      </c>
      <c r="E490" t="s">
        <v>167</v>
      </c>
      <c r="F490" s="1">
        <v>7</v>
      </c>
      <c r="G490" s="1">
        <v>7</v>
      </c>
      <c r="H490" s="1">
        <v>-5</v>
      </c>
      <c r="I490" s="1">
        <v>5</v>
      </c>
      <c r="J490" t="s">
        <v>12</v>
      </c>
      <c r="K490" t="s">
        <v>373</v>
      </c>
      <c r="L490" t="s">
        <v>3</v>
      </c>
      <c r="M490" t="str">
        <f>VLOOKUP(A490,'Tableau single and bulk'!A:B,2,FALSE)</f>
        <v>NEBAUTO</v>
      </c>
    </row>
    <row r="491" spans="1:13">
      <c r="A491" s="5" t="s">
        <v>1244</v>
      </c>
      <c r="B491" s="1">
        <v>34753</v>
      </c>
      <c r="C491" t="s">
        <v>1243</v>
      </c>
      <c r="D491" t="s">
        <v>335</v>
      </c>
      <c r="E491" t="s">
        <v>335</v>
      </c>
      <c r="F491" s="1">
        <v>3</v>
      </c>
      <c r="G491" s="1">
        <v>3</v>
      </c>
      <c r="H491" s="1">
        <v>0</v>
      </c>
      <c r="I491" s="1">
        <v>0</v>
      </c>
      <c r="J491" t="s">
        <v>18</v>
      </c>
      <c r="K491" t="s">
        <v>1244</v>
      </c>
      <c r="L491" t="s">
        <v>3</v>
      </c>
      <c r="M491" t="str">
        <f>VLOOKUP(A491,'Tableau single and bulk'!A:B,2,FALSE)</f>
        <v>NEBAUTO</v>
      </c>
    </row>
    <row r="492" spans="1:13">
      <c r="A492" s="5" t="s">
        <v>556</v>
      </c>
      <c r="B492" s="1">
        <v>34766</v>
      </c>
      <c r="C492" t="s">
        <v>555</v>
      </c>
      <c r="D492" t="s">
        <v>158</v>
      </c>
      <c r="E492" t="s">
        <v>158</v>
      </c>
      <c r="F492" s="1">
        <v>1</v>
      </c>
      <c r="G492" s="1">
        <v>1</v>
      </c>
      <c r="H492" s="1">
        <v>0</v>
      </c>
      <c r="I492" s="1">
        <v>0</v>
      </c>
      <c r="J492" t="s">
        <v>33</v>
      </c>
      <c r="K492" t="s">
        <v>556</v>
      </c>
      <c r="L492" t="s">
        <v>3</v>
      </c>
      <c r="M492" t="str">
        <f>VLOOKUP(A492,'Tableau single and bulk'!A:B,2,FALSE)</f>
        <v>NEBAUTO</v>
      </c>
    </row>
    <row r="493" spans="1:13">
      <c r="A493" s="5" t="s">
        <v>919</v>
      </c>
      <c r="B493" s="1">
        <v>35067</v>
      </c>
      <c r="C493" t="s">
        <v>918</v>
      </c>
      <c r="D493" t="s">
        <v>39</v>
      </c>
      <c r="E493" t="s">
        <v>39</v>
      </c>
      <c r="F493" s="1">
        <v>2</v>
      </c>
      <c r="G493" s="1">
        <v>2</v>
      </c>
      <c r="H493" s="1">
        <v>0</v>
      </c>
      <c r="I493" s="1">
        <v>0</v>
      </c>
      <c r="J493" t="s">
        <v>28</v>
      </c>
      <c r="K493" t="s">
        <v>919</v>
      </c>
      <c r="L493" t="s">
        <v>3</v>
      </c>
      <c r="M493" t="str">
        <f>VLOOKUP(A493,'Tableau single and bulk'!A:B,2,FALSE)</f>
        <v>NEBAUTO</v>
      </c>
    </row>
    <row r="494" spans="1:13">
      <c r="A494" s="5" t="s">
        <v>567</v>
      </c>
      <c r="B494" s="1">
        <v>34780</v>
      </c>
      <c r="C494" t="s">
        <v>563</v>
      </c>
      <c r="D494" t="s">
        <v>161</v>
      </c>
      <c r="E494" t="s">
        <v>161</v>
      </c>
      <c r="F494" s="1">
        <v>3</v>
      </c>
      <c r="G494" s="1">
        <v>3</v>
      </c>
      <c r="H494" s="1">
        <v>-1</v>
      </c>
      <c r="I494" s="1">
        <v>1</v>
      </c>
      <c r="J494" t="s">
        <v>12</v>
      </c>
      <c r="K494" t="s">
        <v>567</v>
      </c>
      <c r="L494" t="s">
        <v>3</v>
      </c>
      <c r="M494" t="str">
        <f>VLOOKUP(A494,'Tableau single and bulk'!A:B,2,FALSE)</f>
        <v>NEBAUTO</v>
      </c>
    </row>
    <row r="495" spans="1:13">
      <c r="A495" s="5" t="s">
        <v>566</v>
      </c>
      <c r="B495" s="1">
        <v>34778</v>
      </c>
      <c r="C495" t="s">
        <v>565</v>
      </c>
      <c r="D495" t="s">
        <v>161</v>
      </c>
      <c r="E495" t="s">
        <v>161</v>
      </c>
      <c r="F495" s="1">
        <v>1</v>
      </c>
      <c r="G495" s="1">
        <v>1</v>
      </c>
      <c r="H495" s="1">
        <v>0</v>
      </c>
      <c r="I495" s="1">
        <v>0</v>
      </c>
      <c r="J495" t="s">
        <v>12</v>
      </c>
      <c r="K495" t="s">
        <v>566</v>
      </c>
      <c r="L495" t="s">
        <v>3</v>
      </c>
      <c r="M495" t="str">
        <f>VLOOKUP(A495,'Tableau single and bulk'!A:B,2,FALSE)</f>
        <v>NEBAUTO</v>
      </c>
    </row>
    <row r="496" spans="1:13">
      <c r="A496" s="5" t="s">
        <v>362</v>
      </c>
      <c r="B496" s="1">
        <v>34754</v>
      </c>
      <c r="C496" t="s">
        <v>260</v>
      </c>
      <c r="D496" t="s">
        <v>335</v>
      </c>
      <c r="E496" t="s">
        <v>335</v>
      </c>
      <c r="F496" s="1">
        <v>11</v>
      </c>
      <c r="G496" s="1">
        <v>11</v>
      </c>
      <c r="H496" s="1">
        <v>0</v>
      </c>
      <c r="I496" s="1">
        <v>0</v>
      </c>
      <c r="J496" t="s">
        <v>18</v>
      </c>
      <c r="K496" t="s">
        <v>362</v>
      </c>
      <c r="L496" t="s">
        <v>3</v>
      </c>
      <c r="M496" t="str">
        <f>VLOOKUP(A496,'Tableau single and bulk'!A:B,2,FALSE)</f>
        <v>NEBAUTO</v>
      </c>
    </row>
    <row r="497" spans="1:13">
      <c r="A497" s="5" t="s">
        <v>552</v>
      </c>
      <c r="B497" s="1">
        <v>34758</v>
      </c>
      <c r="C497" t="s">
        <v>260</v>
      </c>
      <c r="D497" t="s">
        <v>158</v>
      </c>
      <c r="E497" t="s">
        <v>158</v>
      </c>
      <c r="F497" s="1">
        <v>7</v>
      </c>
      <c r="G497" s="1">
        <v>7</v>
      </c>
      <c r="H497" s="1">
        <v>0</v>
      </c>
      <c r="I497" s="1">
        <v>0</v>
      </c>
      <c r="J497" t="s">
        <v>18</v>
      </c>
      <c r="K497" t="s">
        <v>552</v>
      </c>
      <c r="L497" t="s">
        <v>3</v>
      </c>
      <c r="M497" t="str">
        <f>VLOOKUP(A497,'Tableau single and bulk'!A:B,2,FALSE)</f>
        <v>NEBAUTO</v>
      </c>
    </row>
    <row r="498" spans="1:13">
      <c r="A498" s="5" t="s">
        <v>827</v>
      </c>
      <c r="B498" s="1">
        <v>34809</v>
      </c>
      <c r="C498" t="s">
        <v>160</v>
      </c>
      <c r="D498" t="s">
        <v>161</v>
      </c>
      <c r="E498" t="s">
        <v>161</v>
      </c>
      <c r="F498" s="1">
        <v>1</v>
      </c>
      <c r="G498" s="1">
        <v>1</v>
      </c>
      <c r="H498" s="1">
        <v>0</v>
      </c>
      <c r="I498" s="1">
        <v>0</v>
      </c>
      <c r="J498" t="s">
        <v>28</v>
      </c>
      <c r="K498" t="s">
        <v>827</v>
      </c>
      <c r="L498" t="s">
        <v>3</v>
      </c>
      <c r="M498" t="str">
        <f>VLOOKUP(A498,'Tableau single and bulk'!A:B,2,FALSE)</f>
        <v>NEBAUTO</v>
      </c>
    </row>
    <row r="499" spans="1:13">
      <c r="A499" s="5" t="s">
        <v>170</v>
      </c>
      <c r="B499" s="1">
        <v>34830</v>
      </c>
      <c r="C499" t="s">
        <v>169</v>
      </c>
      <c r="D499" t="s">
        <v>167</v>
      </c>
      <c r="E499" t="s">
        <v>167</v>
      </c>
      <c r="F499" s="1">
        <v>6</v>
      </c>
      <c r="G499" s="1">
        <v>6</v>
      </c>
      <c r="H499" s="1">
        <v>0</v>
      </c>
      <c r="I499" s="1">
        <v>0</v>
      </c>
      <c r="J499" t="s">
        <v>12</v>
      </c>
      <c r="K499" t="s">
        <v>170</v>
      </c>
      <c r="L499" t="s">
        <v>3</v>
      </c>
      <c r="M499" t="str">
        <f>VLOOKUP(A499,'Tableau single and bulk'!A:B,2,FALSE)</f>
        <v>NEBAUTO</v>
      </c>
    </row>
    <row r="500" spans="1:13">
      <c r="A500" s="5" t="s">
        <v>159</v>
      </c>
      <c r="B500" s="1">
        <v>34757</v>
      </c>
      <c r="C500" t="s">
        <v>157</v>
      </c>
      <c r="D500" t="s">
        <v>158</v>
      </c>
      <c r="E500" t="s">
        <v>158</v>
      </c>
      <c r="F500" s="1">
        <v>1</v>
      </c>
      <c r="G500" s="1">
        <v>1</v>
      </c>
      <c r="H500" s="1">
        <v>0</v>
      </c>
      <c r="I500" s="1">
        <v>0</v>
      </c>
      <c r="J500" t="s">
        <v>18</v>
      </c>
      <c r="K500" t="s">
        <v>159</v>
      </c>
      <c r="L500" t="s">
        <v>3</v>
      </c>
      <c r="M500" t="str">
        <f>VLOOKUP(A500,'Tableau single and bulk'!A:B,2,FALSE)</f>
        <v>NEBAUTO</v>
      </c>
    </row>
    <row r="501" spans="1:13">
      <c r="A501" s="5" t="s">
        <v>1004</v>
      </c>
      <c r="B501" s="1">
        <v>34764</v>
      </c>
      <c r="C501" t="s">
        <v>1003</v>
      </c>
      <c r="D501" t="s">
        <v>158</v>
      </c>
      <c r="E501" t="s">
        <v>158</v>
      </c>
      <c r="F501" s="1">
        <v>5</v>
      </c>
      <c r="G501" s="1">
        <v>5</v>
      </c>
      <c r="H501" s="1">
        <v>-1</v>
      </c>
      <c r="I501" s="1">
        <v>1</v>
      </c>
      <c r="J501" t="s">
        <v>33</v>
      </c>
      <c r="K501" t="s">
        <v>1004</v>
      </c>
      <c r="L501" t="s">
        <v>3</v>
      </c>
      <c r="M501" t="str">
        <f>VLOOKUP(A501,'Tableau single and bulk'!A:B,2,FALSE)</f>
        <v>NEBAUTO</v>
      </c>
    </row>
    <row r="502" spans="1:13">
      <c r="A502" s="5" t="s">
        <v>878</v>
      </c>
      <c r="B502" s="1">
        <v>34860</v>
      </c>
      <c r="C502" t="s">
        <v>877</v>
      </c>
      <c r="D502" t="s">
        <v>174</v>
      </c>
      <c r="E502" t="s">
        <v>174</v>
      </c>
      <c r="F502" s="1">
        <v>4</v>
      </c>
      <c r="G502" s="1">
        <v>4</v>
      </c>
      <c r="H502" s="1">
        <v>0</v>
      </c>
      <c r="I502" s="1">
        <v>0</v>
      </c>
      <c r="J502" t="s">
        <v>28</v>
      </c>
      <c r="K502" t="s">
        <v>878</v>
      </c>
      <c r="L502" t="s">
        <v>3</v>
      </c>
      <c r="M502" t="str">
        <f>VLOOKUP(A502,'Tableau single and bulk'!A:B,2,FALSE)</f>
        <v>NEBAUTO</v>
      </c>
    </row>
    <row r="503" spans="1:13">
      <c r="A503" s="5" t="s">
        <v>834</v>
      </c>
      <c r="B503" s="1">
        <v>34845</v>
      </c>
      <c r="C503" t="s">
        <v>833</v>
      </c>
      <c r="D503" t="s">
        <v>167</v>
      </c>
      <c r="E503" t="s">
        <v>167</v>
      </c>
      <c r="F503" s="1">
        <v>16</v>
      </c>
      <c r="G503" s="1">
        <v>16</v>
      </c>
      <c r="H503" s="1">
        <v>0</v>
      </c>
      <c r="I503" s="1">
        <v>0</v>
      </c>
      <c r="J503" t="s">
        <v>12</v>
      </c>
      <c r="K503" t="s">
        <v>834</v>
      </c>
      <c r="L503" t="s">
        <v>3</v>
      </c>
      <c r="M503" t="str">
        <f>VLOOKUP(A503,'Tableau single and bulk'!A:B,2,FALSE)</f>
        <v>NEBAUTO</v>
      </c>
    </row>
    <row r="504" spans="1:13">
      <c r="A504" s="5" t="s">
        <v>838</v>
      </c>
      <c r="B504" s="1">
        <v>34851</v>
      </c>
      <c r="C504" t="s">
        <v>176</v>
      </c>
      <c r="D504" t="s">
        <v>167</v>
      </c>
      <c r="E504" t="s">
        <v>167</v>
      </c>
      <c r="F504" s="1">
        <v>13</v>
      </c>
      <c r="G504" s="1">
        <v>13</v>
      </c>
      <c r="H504" s="1">
        <v>0</v>
      </c>
      <c r="I504" s="1">
        <v>0</v>
      </c>
      <c r="J504" t="s">
        <v>12</v>
      </c>
      <c r="K504" t="s">
        <v>838</v>
      </c>
      <c r="L504" t="s">
        <v>3</v>
      </c>
      <c r="M504" t="str">
        <f>VLOOKUP(A504,'Tableau single and bulk'!A:B,2,FALSE)</f>
        <v>NEBAUTO</v>
      </c>
    </row>
    <row r="505" spans="1:13">
      <c r="A505" s="5" t="s">
        <v>876</v>
      </c>
      <c r="B505" s="1">
        <v>34859</v>
      </c>
      <c r="C505" t="s">
        <v>875</v>
      </c>
      <c r="D505" t="s">
        <v>174</v>
      </c>
      <c r="E505" t="s">
        <v>174</v>
      </c>
      <c r="F505" s="1">
        <v>2</v>
      </c>
      <c r="G505" s="1">
        <v>2</v>
      </c>
      <c r="H505" s="1">
        <v>0</v>
      </c>
      <c r="I505" s="1">
        <v>0</v>
      </c>
      <c r="J505" t="s">
        <v>28</v>
      </c>
      <c r="K505" t="s">
        <v>876</v>
      </c>
      <c r="L505" t="s">
        <v>3</v>
      </c>
      <c r="M505" t="str">
        <f>VLOOKUP(A505,'Tableau single and bulk'!A:B,2,FALSE)</f>
        <v>NEBAUTO</v>
      </c>
    </row>
    <row r="506" spans="1:13">
      <c r="A506" s="5" t="s">
        <v>601</v>
      </c>
      <c r="B506" s="1">
        <v>34878</v>
      </c>
      <c r="C506" t="s">
        <v>600</v>
      </c>
      <c r="D506" t="s">
        <v>174</v>
      </c>
      <c r="E506" t="s">
        <v>174</v>
      </c>
      <c r="F506" s="1">
        <v>12</v>
      </c>
      <c r="G506" s="1">
        <v>12</v>
      </c>
      <c r="H506" s="1">
        <v>-2</v>
      </c>
      <c r="I506" s="1">
        <v>2</v>
      </c>
      <c r="J506" t="s">
        <v>24</v>
      </c>
      <c r="K506" t="s">
        <v>601</v>
      </c>
      <c r="L506" t="s">
        <v>3</v>
      </c>
      <c r="M506" t="str">
        <f>VLOOKUP(A506,'Tableau single and bulk'!A:B,2,FALSE)</f>
        <v>NEBAUTO</v>
      </c>
    </row>
    <row r="507" spans="1:13">
      <c r="A507" s="5" t="s">
        <v>175</v>
      </c>
      <c r="B507" s="1">
        <v>34882</v>
      </c>
      <c r="C507" t="s">
        <v>173</v>
      </c>
      <c r="D507" t="s">
        <v>174</v>
      </c>
      <c r="E507" t="s">
        <v>174</v>
      </c>
      <c r="F507" s="1">
        <v>5</v>
      </c>
      <c r="G507" s="1">
        <v>5</v>
      </c>
      <c r="H507" s="1">
        <v>0</v>
      </c>
      <c r="I507" s="1">
        <v>0</v>
      </c>
      <c r="J507" t="s">
        <v>12</v>
      </c>
      <c r="K507" t="s">
        <v>175</v>
      </c>
      <c r="L507" t="s">
        <v>3</v>
      </c>
      <c r="M507" t="str">
        <f>VLOOKUP(A507,'Tableau single and bulk'!A:B,2,FALSE)</f>
        <v>NEBAUTO</v>
      </c>
    </row>
    <row r="508" spans="1:13">
      <c r="A508" s="5" t="s">
        <v>397</v>
      </c>
      <c r="B508" s="1">
        <v>34870</v>
      </c>
      <c r="C508" t="s">
        <v>396</v>
      </c>
      <c r="D508" t="s">
        <v>174</v>
      </c>
      <c r="E508" t="s">
        <v>174</v>
      </c>
      <c r="F508" s="1">
        <v>7</v>
      </c>
      <c r="G508" s="1">
        <v>7</v>
      </c>
      <c r="H508" s="1">
        <v>-2</v>
      </c>
      <c r="I508" s="1">
        <v>2</v>
      </c>
      <c r="J508" t="s">
        <v>24</v>
      </c>
      <c r="K508" t="s">
        <v>397</v>
      </c>
      <c r="L508" t="s">
        <v>3</v>
      </c>
      <c r="M508" t="str">
        <f>VLOOKUP(A508,'Tableau single and bulk'!A:B,2,FALSE)</f>
        <v>NEBAUTO</v>
      </c>
    </row>
    <row r="509" spans="1:13">
      <c r="A509" s="5" t="s">
        <v>767</v>
      </c>
      <c r="B509" s="1">
        <v>34803</v>
      </c>
      <c r="C509" t="s">
        <v>766</v>
      </c>
      <c r="D509" t="s">
        <v>161</v>
      </c>
      <c r="E509" t="s">
        <v>161</v>
      </c>
      <c r="F509" s="1">
        <v>2</v>
      </c>
      <c r="G509" s="1">
        <v>2</v>
      </c>
      <c r="H509" s="1">
        <v>0</v>
      </c>
      <c r="I509" s="1">
        <v>0</v>
      </c>
      <c r="J509" t="s">
        <v>33</v>
      </c>
      <c r="K509" t="s">
        <v>767</v>
      </c>
      <c r="L509" t="s">
        <v>3</v>
      </c>
      <c r="M509" t="str">
        <f>VLOOKUP(A509,'Tableau single and bulk'!A:B,2,FALSE)</f>
        <v>NEBAUTO</v>
      </c>
    </row>
    <row r="510" spans="1:13">
      <c r="A510" s="5" t="s">
        <v>599</v>
      </c>
      <c r="B510" s="1">
        <v>34874</v>
      </c>
      <c r="C510" t="s">
        <v>598</v>
      </c>
      <c r="D510" t="s">
        <v>174</v>
      </c>
      <c r="E510" t="s">
        <v>174</v>
      </c>
      <c r="F510" s="1">
        <v>1</v>
      </c>
      <c r="G510" s="1">
        <v>1</v>
      </c>
      <c r="H510" s="1">
        <v>0</v>
      </c>
      <c r="I510" s="1">
        <v>0</v>
      </c>
      <c r="J510" t="s">
        <v>18</v>
      </c>
      <c r="K510" t="s">
        <v>599</v>
      </c>
      <c r="L510" t="s">
        <v>3</v>
      </c>
      <c r="M510" t="str">
        <f>VLOOKUP(A510,'Tableau single and bulk'!A:B,2,FALSE)</f>
        <v>NEBAUTO</v>
      </c>
    </row>
    <row r="511" spans="1:13">
      <c r="A511" s="5" t="s">
        <v>392</v>
      </c>
      <c r="B511" s="1">
        <v>34854</v>
      </c>
      <c r="C511" t="s">
        <v>391</v>
      </c>
      <c r="D511" t="s">
        <v>174</v>
      </c>
      <c r="E511" t="s">
        <v>174</v>
      </c>
      <c r="F511" s="1">
        <v>8</v>
      </c>
      <c r="G511" s="1">
        <v>8</v>
      </c>
      <c r="H511" s="1">
        <v>0</v>
      </c>
      <c r="I511" s="1">
        <v>0</v>
      </c>
      <c r="J511" t="s">
        <v>18</v>
      </c>
      <c r="K511" t="s">
        <v>392</v>
      </c>
      <c r="L511" t="s">
        <v>3</v>
      </c>
      <c r="M511" t="str">
        <f>VLOOKUP(A511,'Tableau single and bulk'!A:B,2,FALSE)</f>
        <v>NEBAUTO</v>
      </c>
    </row>
    <row r="512" spans="1:13">
      <c r="A512" s="5" t="s">
        <v>595</v>
      </c>
      <c r="B512" s="1">
        <v>34864</v>
      </c>
      <c r="C512" t="s">
        <v>594</v>
      </c>
      <c r="D512" t="s">
        <v>174</v>
      </c>
      <c r="E512" t="s">
        <v>174</v>
      </c>
      <c r="F512" s="1">
        <v>9</v>
      </c>
      <c r="G512" s="1">
        <v>9</v>
      </c>
      <c r="H512" s="1">
        <v>0</v>
      </c>
      <c r="I512" s="1">
        <v>0</v>
      </c>
      <c r="J512" t="s">
        <v>24</v>
      </c>
      <c r="K512" t="s">
        <v>595</v>
      </c>
      <c r="L512" t="s">
        <v>3</v>
      </c>
      <c r="M512" t="str">
        <f>VLOOKUP(A512,'Tableau single and bulk'!A:B,2,FALSE)</f>
        <v>NEBAUTO</v>
      </c>
    </row>
    <row r="513" spans="1:13">
      <c r="A513" s="5" t="s">
        <v>400</v>
      </c>
      <c r="B513" s="1">
        <v>34895</v>
      </c>
      <c r="C513" t="s">
        <v>41</v>
      </c>
      <c r="D513" t="s">
        <v>183</v>
      </c>
      <c r="E513" t="s">
        <v>183</v>
      </c>
      <c r="F513" s="1">
        <v>1</v>
      </c>
      <c r="G513" s="1">
        <v>1</v>
      </c>
      <c r="H513" s="1">
        <v>0</v>
      </c>
      <c r="I513" s="1">
        <v>0</v>
      </c>
      <c r="J513" t="s">
        <v>25</v>
      </c>
      <c r="K513" t="s">
        <v>400</v>
      </c>
      <c r="L513" t="s">
        <v>3</v>
      </c>
      <c r="M513" t="str">
        <f>VLOOKUP(A513,'Tableau single and bulk'!A:B,2,FALSE)</f>
        <v>NEBAUTO</v>
      </c>
    </row>
    <row r="514" spans="1:13">
      <c r="A514" s="5" t="s">
        <v>885</v>
      </c>
      <c r="B514" s="1">
        <v>34914</v>
      </c>
      <c r="C514" t="s">
        <v>884</v>
      </c>
      <c r="D514" t="s">
        <v>183</v>
      </c>
      <c r="E514" t="s">
        <v>183</v>
      </c>
      <c r="F514" s="1">
        <v>1</v>
      </c>
      <c r="G514" s="1">
        <v>1</v>
      </c>
      <c r="H514" s="1">
        <v>0</v>
      </c>
      <c r="I514" s="1">
        <v>0</v>
      </c>
      <c r="J514" t="s">
        <v>24</v>
      </c>
      <c r="K514" t="s">
        <v>885</v>
      </c>
      <c r="L514" t="s">
        <v>3</v>
      </c>
      <c r="M514" t="str">
        <f>VLOOKUP(A514,'Tableau single and bulk'!A:B,2,FALSE)</f>
        <v>NEBAUTO</v>
      </c>
    </row>
    <row r="515" spans="1:13">
      <c r="A515" s="5" t="s">
        <v>568</v>
      </c>
      <c r="B515" s="1">
        <v>34781</v>
      </c>
      <c r="C515" t="s">
        <v>263</v>
      </c>
      <c r="D515" t="s">
        <v>161</v>
      </c>
      <c r="E515" t="s">
        <v>161</v>
      </c>
      <c r="F515" s="1">
        <v>4</v>
      </c>
      <c r="G515" s="1">
        <v>4</v>
      </c>
      <c r="H515" s="1">
        <v>-1</v>
      </c>
      <c r="I515" s="1">
        <v>1</v>
      </c>
      <c r="J515" t="s">
        <v>18</v>
      </c>
      <c r="K515" t="s">
        <v>568</v>
      </c>
      <c r="L515" t="s">
        <v>3</v>
      </c>
      <c r="M515" t="str">
        <f>VLOOKUP(A515,'Tableau single and bulk'!A:B,2,FALSE)</f>
        <v>NEBAUTO</v>
      </c>
    </row>
    <row r="516" spans="1:13">
      <c r="A516" s="5" t="s">
        <v>1006</v>
      </c>
      <c r="B516" s="1">
        <v>34880</v>
      </c>
      <c r="C516" t="s">
        <v>1005</v>
      </c>
      <c r="D516" t="s">
        <v>174</v>
      </c>
      <c r="E516" t="s">
        <v>174</v>
      </c>
      <c r="F516" s="1">
        <v>3</v>
      </c>
      <c r="G516" s="1">
        <v>3</v>
      </c>
      <c r="H516" s="1">
        <v>0</v>
      </c>
      <c r="I516" s="1">
        <v>0</v>
      </c>
      <c r="J516" t="s">
        <v>25</v>
      </c>
      <c r="K516" t="s">
        <v>1006</v>
      </c>
      <c r="L516" t="s">
        <v>3</v>
      </c>
      <c r="M516" t="str">
        <f>VLOOKUP(A516,'Tableau single and bulk'!A:B,2,FALSE)</f>
        <v>NEBAUTO</v>
      </c>
    </row>
    <row r="517" spans="1:13">
      <c r="A517" s="5" t="s">
        <v>364</v>
      </c>
      <c r="B517" s="1">
        <v>34782</v>
      </c>
      <c r="C517" t="s">
        <v>363</v>
      </c>
      <c r="D517" t="s">
        <v>161</v>
      </c>
      <c r="E517" t="s">
        <v>161</v>
      </c>
      <c r="F517" s="1">
        <v>5</v>
      </c>
      <c r="G517" s="1">
        <v>5</v>
      </c>
      <c r="H517" s="1">
        <v>0</v>
      </c>
      <c r="I517" s="1">
        <v>0</v>
      </c>
      <c r="J517" t="s">
        <v>28</v>
      </c>
      <c r="K517" t="s">
        <v>364</v>
      </c>
      <c r="L517" t="s">
        <v>3</v>
      </c>
      <c r="M517" t="str">
        <f>VLOOKUP(A517,'Tableau single and bulk'!A:B,2,FALSE)</f>
        <v>NEBAUTO</v>
      </c>
    </row>
    <row r="518" spans="1:13">
      <c r="A518" s="5" t="s">
        <v>177</v>
      </c>
      <c r="B518" s="1">
        <v>34885</v>
      </c>
      <c r="C518" t="s">
        <v>176</v>
      </c>
      <c r="D518" t="s">
        <v>174</v>
      </c>
      <c r="E518" t="s">
        <v>174</v>
      </c>
      <c r="F518" s="1">
        <v>7</v>
      </c>
      <c r="G518" s="1">
        <v>7</v>
      </c>
      <c r="H518" s="1">
        <v>-2</v>
      </c>
      <c r="I518" s="1">
        <v>2</v>
      </c>
      <c r="J518" t="s">
        <v>12</v>
      </c>
      <c r="K518" t="s">
        <v>177</v>
      </c>
      <c r="L518" t="s">
        <v>3</v>
      </c>
      <c r="M518" t="str">
        <f>VLOOKUP(A518,'Tableau single and bulk'!A:B,2,FALSE)</f>
        <v>NEBAUTO</v>
      </c>
    </row>
    <row r="519" spans="1:13">
      <c r="A519" s="5" t="s">
        <v>881</v>
      </c>
      <c r="B519" s="1">
        <v>34888</v>
      </c>
      <c r="C519" t="s">
        <v>385</v>
      </c>
      <c r="D519" t="s">
        <v>174</v>
      </c>
      <c r="E519" t="s">
        <v>174</v>
      </c>
      <c r="F519" s="1">
        <v>2</v>
      </c>
      <c r="G519" s="1">
        <v>2</v>
      </c>
      <c r="H519" s="1">
        <v>0</v>
      </c>
      <c r="I519" s="1">
        <v>0</v>
      </c>
      <c r="J519" t="s">
        <v>12</v>
      </c>
      <c r="K519" t="s">
        <v>881</v>
      </c>
      <c r="L519" t="s">
        <v>3</v>
      </c>
      <c r="M519" t="str">
        <f>VLOOKUP(A519,'Tableau single and bulk'!A:B,2,FALSE)</f>
        <v>NEBAUTO</v>
      </c>
    </row>
    <row r="520" spans="1:13">
      <c r="A520" s="5" t="s">
        <v>198</v>
      </c>
      <c r="B520" s="1">
        <v>35016</v>
      </c>
      <c r="C520" t="s">
        <v>197</v>
      </c>
      <c r="D520" t="s">
        <v>27</v>
      </c>
      <c r="E520" t="s">
        <v>27</v>
      </c>
      <c r="F520" s="1">
        <v>3</v>
      </c>
      <c r="G520" s="1">
        <v>3</v>
      </c>
      <c r="H520" s="1">
        <v>-1</v>
      </c>
      <c r="I520" s="1">
        <v>1</v>
      </c>
      <c r="J520" t="s">
        <v>33</v>
      </c>
      <c r="K520" t="s">
        <v>198</v>
      </c>
      <c r="L520" t="s">
        <v>3</v>
      </c>
      <c r="M520" t="str">
        <f>VLOOKUP(A520,'Tableau single and bulk'!A:B,2,FALSE)</f>
        <v>NEBAUTO</v>
      </c>
    </row>
    <row r="521" spans="1:13">
      <c r="A521" s="5" t="s">
        <v>571</v>
      </c>
      <c r="B521" s="1">
        <v>34785</v>
      </c>
      <c r="C521" t="s">
        <v>570</v>
      </c>
      <c r="D521" t="s">
        <v>161</v>
      </c>
      <c r="E521" t="s">
        <v>161</v>
      </c>
      <c r="F521" s="1">
        <v>1</v>
      </c>
      <c r="G521" s="1">
        <v>1</v>
      </c>
      <c r="H521" s="1">
        <v>0</v>
      </c>
      <c r="I521" s="1">
        <v>0</v>
      </c>
      <c r="J521" t="s">
        <v>33</v>
      </c>
      <c r="K521" t="s">
        <v>571</v>
      </c>
      <c r="L521" t="s">
        <v>3</v>
      </c>
      <c r="M521" t="str">
        <f>VLOOKUP(A521,'Tableau single and bulk'!A:B,2,FALSE)</f>
        <v>NEBAUTO</v>
      </c>
    </row>
    <row r="522" spans="1:13">
      <c r="A522" s="5" t="s">
        <v>573</v>
      </c>
      <c r="B522" s="1">
        <v>34789</v>
      </c>
      <c r="C522" t="s">
        <v>572</v>
      </c>
      <c r="D522" t="s">
        <v>161</v>
      </c>
      <c r="E522" t="s">
        <v>161</v>
      </c>
      <c r="F522" s="1">
        <v>1</v>
      </c>
      <c r="G522" s="1">
        <v>1</v>
      </c>
      <c r="H522" s="1">
        <v>0</v>
      </c>
      <c r="I522" s="1">
        <v>0</v>
      </c>
      <c r="J522" t="s">
        <v>33</v>
      </c>
      <c r="K522" t="s">
        <v>573</v>
      </c>
      <c r="L522" t="s">
        <v>3</v>
      </c>
      <c r="M522" t="str">
        <f>VLOOKUP(A522,'Tableau single and bulk'!A:B,2,FALSE)</f>
        <v>NEBAUTO</v>
      </c>
    </row>
    <row r="523" spans="1:13">
      <c r="A523" s="5" t="s">
        <v>569</v>
      </c>
      <c r="B523" s="1">
        <v>34784</v>
      </c>
      <c r="C523" t="s">
        <v>160</v>
      </c>
      <c r="D523" t="s">
        <v>161</v>
      </c>
      <c r="E523" t="s">
        <v>161</v>
      </c>
      <c r="F523" s="1">
        <v>1</v>
      </c>
      <c r="G523" s="1">
        <v>1</v>
      </c>
      <c r="H523" s="1">
        <v>0</v>
      </c>
      <c r="I523" s="1">
        <v>0</v>
      </c>
      <c r="J523" t="s">
        <v>28</v>
      </c>
      <c r="K523" t="s">
        <v>569</v>
      </c>
      <c r="L523" t="s">
        <v>3</v>
      </c>
      <c r="M523" t="str">
        <f>VLOOKUP(A523,'Tableau single and bulk'!A:B,2,FALSE)</f>
        <v>NEBAUTO</v>
      </c>
    </row>
    <row r="524" spans="1:13">
      <c r="A524" s="5" t="s">
        <v>186</v>
      </c>
      <c r="B524" s="1">
        <v>34907</v>
      </c>
      <c r="C524" t="s">
        <v>185</v>
      </c>
      <c r="D524" t="s">
        <v>183</v>
      </c>
      <c r="E524" t="s">
        <v>183</v>
      </c>
      <c r="F524" s="1">
        <v>63</v>
      </c>
      <c r="G524" s="1">
        <v>63</v>
      </c>
      <c r="H524" s="1">
        <v>-1</v>
      </c>
      <c r="I524" s="1">
        <v>1</v>
      </c>
      <c r="J524" t="s">
        <v>24</v>
      </c>
      <c r="K524" t="s">
        <v>186</v>
      </c>
      <c r="L524" t="s">
        <v>3</v>
      </c>
      <c r="M524" t="str">
        <f>VLOOKUP(A524,'Tableau single and bulk'!A:B,2,FALSE)</f>
        <v>NEBAUTO</v>
      </c>
    </row>
    <row r="525" spans="1:13">
      <c r="A525" s="5" t="s">
        <v>366</v>
      </c>
      <c r="B525" s="1">
        <v>34804</v>
      </c>
      <c r="C525" t="s">
        <v>365</v>
      </c>
      <c r="D525" t="s">
        <v>161</v>
      </c>
      <c r="E525" t="s">
        <v>161</v>
      </c>
      <c r="F525" s="1">
        <v>8</v>
      </c>
      <c r="G525" s="1">
        <v>8</v>
      </c>
      <c r="H525" s="1">
        <v>0</v>
      </c>
      <c r="I525" s="1">
        <v>0</v>
      </c>
      <c r="J525" t="s">
        <v>33</v>
      </c>
      <c r="K525" t="s">
        <v>366</v>
      </c>
      <c r="L525" t="s">
        <v>3</v>
      </c>
      <c r="M525" t="str">
        <f>VLOOKUP(A525,'Tableau single and bulk'!A:B,2,FALSE)</f>
        <v>NEBAUTO</v>
      </c>
    </row>
    <row r="526" spans="1:13">
      <c r="A526" s="5" t="s">
        <v>887</v>
      </c>
      <c r="B526" s="1">
        <v>34915</v>
      </c>
      <c r="C526" t="s">
        <v>886</v>
      </c>
      <c r="D526" t="s">
        <v>183</v>
      </c>
      <c r="E526" t="s">
        <v>183</v>
      </c>
      <c r="F526" s="1">
        <v>13</v>
      </c>
      <c r="G526" s="1">
        <v>13</v>
      </c>
      <c r="H526" s="1">
        <v>0</v>
      </c>
      <c r="I526" s="1">
        <v>0</v>
      </c>
      <c r="J526" t="s">
        <v>24</v>
      </c>
      <c r="K526" t="s">
        <v>887</v>
      </c>
      <c r="L526" t="s">
        <v>3</v>
      </c>
      <c r="M526" t="str">
        <f>VLOOKUP(A526,'Tableau single and bulk'!A:B,2,FALSE)</f>
        <v>NEBAUTO</v>
      </c>
    </row>
    <row r="527" spans="1:13">
      <c r="A527" s="5" t="s">
        <v>368</v>
      </c>
      <c r="B527" s="1">
        <v>34805</v>
      </c>
      <c r="C527" t="s">
        <v>367</v>
      </c>
      <c r="D527" t="s">
        <v>161</v>
      </c>
      <c r="E527" t="s">
        <v>161</v>
      </c>
      <c r="F527" s="1">
        <v>1</v>
      </c>
      <c r="G527" s="1">
        <v>1</v>
      </c>
      <c r="H527" s="1">
        <v>0</v>
      </c>
      <c r="I527" s="1">
        <v>0</v>
      </c>
      <c r="J527" t="s">
        <v>33</v>
      </c>
      <c r="K527" t="s">
        <v>368</v>
      </c>
      <c r="L527" t="s">
        <v>3</v>
      </c>
      <c r="M527" t="str">
        <f>VLOOKUP(A527,'Tableau single and bulk'!A:B,2,FALSE)</f>
        <v>NEBAUTO</v>
      </c>
    </row>
    <row r="528" spans="1:13">
      <c r="A528" s="5" t="s">
        <v>575</v>
      </c>
      <c r="B528" s="1">
        <v>34799</v>
      </c>
      <c r="C528" t="s">
        <v>574</v>
      </c>
      <c r="D528" t="s">
        <v>161</v>
      </c>
      <c r="E528" t="s">
        <v>161</v>
      </c>
      <c r="F528" s="1">
        <v>2</v>
      </c>
      <c r="G528" s="1">
        <v>2</v>
      </c>
      <c r="H528" s="1">
        <v>0</v>
      </c>
      <c r="I528" s="1">
        <v>0</v>
      </c>
      <c r="J528" t="s">
        <v>33</v>
      </c>
      <c r="K528" t="s">
        <v>575</v>
      </c>
      <c r="L528" t="s">
        <v>3</v>
      </c>
      <c r="M528" t="str">
        <f>VLOOKUP(A528,'Tableau single and bulk'!A:B,2,FALSE)</f>
        <v>NEBAUTO</v>
      </c>
    </row>
    <row r="529" spans="1:13">
      <c r="A529" s="5" t="s">
        <v>770</v>
      </c>
      <c r="B529" s="1">
        <v>34886</v>
      </c>
      <c r="C529" t="s">
        <v>602</v>
      </c>
      <c r="D529" t="s">
        <v>174</v>
      </c>
      <c r="E529" t="s">
        <v>174</v>
      </c>
      <c r="F529" s="1">
        <v>1</v>
      </c>
      <c r="G529" s="1">
        <v>1</v>
      </c>
      <c r="H529" s="1">
        <v>0</v>
      </c>
      <c r="I529" s="1">
        <v>0</v>
      </c>
      <c r="J529" t="s">
        <v>28</v>
      </c>
      <c r="K529" t="s">
        <v>770</v>
      </c>
      <c r="L529" t="s">
        <v>3</v>
      </c>
      <c r="M529" t="str">
        <f>VLOOKUP(A529,'Tableau single and bulk'!A:B,2,FALSE)</f>
        <v>NEBAUTO</v>
      </c>
    </row>
    <row r="530" spans="1:13">
      <c r="A530" s="5" t="s">
        <v>771</v>
      </c>
      <c r="B530" s="1">
        <v>34890</v>
      </c>
      <c r="C530" t="s">
        <v>602</v>
      </c>
      <c r="D530" t="s">
        <v>174</v>
      </c>
      <c r="E530" t="s">
        <v>174</v>
      </c>
      <c r="F530" s="1">
        <v>1</v>
      </c>
      <c r="G530" s="1">
        <v>1</v>
      </c>
      <c r="H530" s="1">
        <v>0</v>
      </c>
      <c r="I530" s="1">
        <v>0</v>
      </c>
      <c r="J530" t="s">
        <v>28</v>
      </c>
      <c r="K530" t="s">
        <v>771</v>
      </c>
      <c r="L530" t="s">
        <v>3</v>
      </c>
      <c r="M530" t="str">
        <f>VLOOKUP(A530,'Tableau single and bulk'!A:B,2,FALSE)</f>
        <v>NEBAUTO</v>
      </c>
    </row>
    <row r="531" spans="1:13">
      <c r="A531" s="5" t="s">
        <v>1008</v>
      </c>
      <c r="B531" s="1">
        <v>34897</v>
      </c>
      <c r="C531" t="s">
        <v>1007</v>
      </c>
      <c r="D531" t="s">
        <v>183</v>
      </c>
      <c r="E531" t="s">
        <v>183</v>
      </c>
      <c r="F531" s="1">
        <v>1</v>
      </c>
      <c r="G531" s="1">
        <v>1</v>
      </c>
      <c r="H531" s="1">
        <v>0</v>
      </c>
      <c r="I531" s="1">
        <v>0</v>
      </c>
      <c r="J531" t="s">
        <v>25</v>
      </c>
      <c r="K531" t="s">
        <v>1008</v>
      </c>
      <c r="L531" t="s">
        <v>3</v>
      </c>
      <c r="M531" t="str">
        <f>VLOOKUP(A531,'Tableau single and bulk'!A:B,2,FALSE)</f>
        <v>NEBAUTO</v>
      </c>
    </row>
    <row r="532" spans="1:13">
      <c r="A532" s="5" t="s">
        <v>1010</v>
      </c>
      <c r="B532" s="1">
        <v>34913</v>
      </c>
      <c r="C532" t="s">
        <v>1009</v>
      </c>
      <c r="D532" t="s">
        <v>183</v>
      </c>
      <c r="E532" t="s">
        <v>183</v>
      </c>
      <c r="F532" s="1">
        <v>1</v>
      </c>
      <c r="G532" s="1">
        <v>1</v>
      </c>
      <c r="H532" s="1">
        <v>0</v>
      </c>
      <c r="I532" s="1">
        <v>0</v>
      </c>
      <c r="J532" t="s">
        <v>24</v>
      </c>
      <c r="K532" t="s">
        <v>1010</v>
      </c>
      <c r="L532" t="s">
        <v>3</v>
      </c>
      <c r="M532" t="str">
        <f>VLOOKUP(A532,'Tableau single and bulk'!A:B,2,FALSE)</f>
        <v>NEBAUTO</v>
      </c>
    </row>
    <row r="533" spans="1:13">
      <c r="A533" s="5" t="s">
        <v>577</v>
      </c>
      <c r="B533" s="1">
        <v>34802</v>
      </c>
      <c r="C533" t="s">
        <v>576</v>
      </c>
      <c r="D533" t="s">
        <v>161</v>
      </c>
      <c r="E533" t="s">
        <v>161</v>
      </c>
      <c r="F533" s="1">
        <v>25</v>
      </c>
      <c r="G533" s="1">
        <v>25</v>
      </c>
      <c r="H533" s="1">
        <v>0</v>
      </c>
      <c r="I533" s="1">
        <v>0</v>
      </c>
      <c r="J533" t="s">
        <v>28</v>
      </c>
      <c r="K533" t="s">
        <v>577</v>
      </c>
      <c r="L533" t="s">
        <v>3</v>
      </c>
      <c r="M533" t="str">
        <f>VLOOKUP(A533,'Tableau single and bulk'!A:B,2,FALSE)</f>
        <v>NEBAUTO</v>
      </c>
    </row>
    <row r="534" spans="1:13">
      <c r="A534" s="5" t="s">
        <v>172</v>
      </c>
      <c r="B534" s="1">
        <v>34848</v>
      </c>
      <c r="C534" t="s">
        <v>171</v>
      </c>
      <c r="D534" t="s">
        <v>167</v>
      </c>
      <c r="E534" t="s">
        <v>167</v>
      </c>
      <c r="F534" s="1">
        <v>3</v>
      </c>
      <c r="G534" s="1">
        <v>3</v>
      </c>
      <c r="H534" s="1">
        <v>0</v>
      </c>
      <c r="I534" s="1">
        <v>0</v>
      </c>
      <c r="J534" t="s">
        <v>33</v>
      </c>
      <c r="K534" t="s">
        <v>172</v>
      </c>
      <c r="L534" t="s">
        <v>3</v>
      </c>
      <c r="M534" t="str">
        <f>VLOOKUP(A534,'Tableau single and bulk'!A:B,2,FALSE)</f>
        <v>NEBAUTO</v>
      </c>
    </row>
    <row r="535" spans="1:13">
      <c r="A535" s="5" t="s">
        <v>179</v>
      </c>
      <c r="B535" s="1">
        <v>34887</v>
      </c>
      <c r="C535" t="s">
        <v>178</v>
      </c>
      <c r="D535" t="s">
        <v>174</v>
      </c>
      <c r="E535" t="s">
        <v>174</v>
      </c>
      <c r="F535" s="1">
        <v>3</v>
      </c>
      <c r="G535" s="1">
        <v>3</v>
      </c>
      <c r="H535" s="1">
        <v>0</v>
      </c>
      <c r="I535" s="1">
        <v>0</v>
      </c>
      <c r="J535" t="s">
        <v>28</v>
      </c>
      <c r="K535" t="s">
        <v>179</v>
      </c>
      <c r="L535" t="s">
        <v>3</v>
      </c>
      <c r="M535" t="str">
        <f>VLOOKUP(A535,'Tableau single and bulk'!A:B,2,FALSE)</f>
        <v>NEBAUTO</v>
      </c>
    </row>
    <row r="536" spans="1:13">
      <c r="A536" s="5" t="s">
        <v>603</v>
      </c>
      <c r="B536" s="1">
        <v>34892</v>
      </c>
      <c r="C536" t="s">
        <v>602</v>
      </c>
      <c r="D536" t="s">
        <v>174</v>
      </c>
      <c r="E536" t="s">
        <v>174</v>
      </c>
      <c r="F536" s="1">
        <v>1</v>
      </c>
      <c r="G536" s="1">
        <v>1</v>
      </c>
      <c r="H536" s="1">
        <v>0</v>
      </c>
      <c r="I536" s="1">
        <v>0</v>
      </c>
      <c r="J536" t="s">
        <v>28</v>
      </c>
      <c r="K536" t="s">
        <v>603</v>
      </c>
      <c r="L536" t="s">
        <v>3</v>
      </c>
      <c r="M536" t="str">
        <f>VLOOKUP(A536,'Tableau single and bulk'!A:B,2,FALSE)</f>
        <v>NEBAUTO</v>
      </c>
    </row>
    <row r="537" spans="1:13">
      <c r="A537" s="5" t="s">
        <v>194</v>
      </c>
      <c r="B537" s="1">
        <v>34954</v>
      </c>
      <c r="C537" t="s">
        <v>193</v>
      </c>
      <c r="D537" t="s">
        <v>191</v>
      </c>
      <c r="E537" t="s">
        <v>191</v>
      </c>
      <c r="F537" s="1">
        <v>4</v>
      </c>
      <c r="G537" s="1">
        <v>4</v>
      </c>
      <c r="H537" s="1">
        <v>0</v>
      </c>
      <c r="I537" s="1">
        <v>0</v>
      </c>
      <c r="J537" t="s">
        <v>28</v>
      </c>
      <c r="K537" t="s">
        <v>194</v>
      </c>
      <c r="L537" t="s">
        <v>3</v>
      </c>
      <c r="M537" t="str">
        <f>VLOOKUP(A537,'Tableau single and bulk'!A:B,2,FALSE)</f>
        <v>NEBAUTO</v>
      </c>
    </row>
    <row r="538" spans="1:13">
      <c r="A538" s="5" t="s">
        <v>375</v>
      </c>
      <c r="B538" s="1">
        <v>34822</v>
      </c>
      <c r="C538" t="s">
        <v>374</v>
      </c>
      <c r="D538" t="s">
        <v>167</v>
      </c>
      <c r="E538" t="s">
        <v>167</v>
      </c>
      <c r="F538" s="1">
        <v>2</v>
      </c>
      <c r="G538" s="1">
        <v>2</v>
      </c>
      <c r="H538" s="1">
        <v>0</v>
      </c>
      <c r="I538" s="1">
        <v>0</v>
      </c>
      <c r="J538" t="s">
        <v>33</v>
      </c>
      <c r="K538" t="s">
        <v>375</v>
      </c>
      <c r="L538" t="s">
        <v>3</v>
      </c>
      <c r="M538" t="str">
        <f>VLOOKUP(A538,'Tableau single and bulk'!A:B,2,FALSE)</f>
        <v>NEBAUTO</v>
      </c>
    </row>
    <row r="539" spans="1:13">
      <c r="A539" s="5" t="s">
        <v>880</v>
      </c>
      <c r="B539" s="1">
        <v>34862</v>
      </c>
      <c r="C539" t="s">
        <v>879</v>
      </c>
      <c r="D539" t="s">
        <v>174</v>
      </c>
      <c r="E539" t="s">
        <v>174</v>
      </c>
      <c r="F539" s="1">
        <v>4</v>
      </c>
      <c r="G539" s="1">
        <v>4</v>
      </c>
      <c r="H539" s="1">
        <v>0</v>
      </c>
      <c r="I539" s="1">
        <v>0</v>
      </c>
      <c r="J539" t="s">
        <v>33</v>
      </c>
      <c r="K539" t="s">
        <v>880</v>
      </c>
      <c r="L539" t="s">
        <v>3</v>
      </c>
      <c r="M539" t="str">
        <f>VLOOKUP(A539,'Tableau single and bulk'!A:B,2,FALSE)</f>
        <v>NEBAUTO</v>
      </c>
    </row>
    <row r="540" spans="1:13">
      <c r="A540" s="5" t="s">
        <v>188</v>
      </c>
      <c r="B540" s="1">
        <v>34912</v>
      </c>
      <c r="C540" t="s">
        <v>187</v>
      </c>
      <c r="D540" t="s">
        <v>183</v>
      </c>
      <c r="E540" t="s">
        <v>183</v>
      </c>
      <c r="F540" s="1">
        <v>8</v>
      </c>
      <c r="G540" s="1">
        <v>8</v>
      </c>
      <c r="H540" s="1">
        <v>-2</v>
      </c>
      <c r="I540" s="1">
        <v>2</v>
      </c>
      <c r="J540" t="s">
        <v>24</v>
      </c>
      <c r="K540" t="s">
        <v>188</v>
      </c>
      <c r="L540" t="s">
        <v>3</v>
      </c>
      <c r="M540" t="str">
        <f>VLOOKUP(A540,'Tableau single and bulk'!A:B,2,FALSE)</f>
        <v>NEBAUTO</v>
      </c>
    </row>
    <row r="541" spans="1:13">
      <c r="A541" s="5" t="s">
        <v>1268</v>
      </c>
      <c r="B541" s="1">
        <v>34894</v>
      </c>
      <c r="C541" t="s">
        <v>1267</v>
      </c>
      <c r="D541" t="s">
        <v>174</v>
      </c>
      <c r="E541" t="s">
        <v>174</v>
      </c>
      <c r="F541" s="1">
        <v>8</v>
      </c>
      <c r="G541" s="1">
        <v>8</v>
      </c>
      <c r="H541" s="1">
        <v>0</v>
      </c>
      <c r="I541" s="1">
        <v>0</v>
      </c>
      <c r="J541" t="s">
        <v>18</v>
      </c>
      <c r="K541" t="s">
        <v>1268</v>
      </c>
      <c r="L541" t="s">
        <v>3</v>
      </c>
      <c r="M541" t="str">
        <f>VLOOKUP(A541,'Tableau single and bulk'!A:B,2,FALSE)</f>
        <v>NEBAUTO</v>
      </c>
    </row>
    <row r="542" spans="1:13">
      <c r="A542" s="5" t="s">
        <v>1261</v>
      </c>
      <c r="B542" s="1">
        <v>34815</v>
      </c>
      <c r="C542" t="s">
        <v>1260</v>
      </c>
      <c r="D542" t="s">
        <v>161</v>
      </c>
      <c r="E542" t="s">
        <v>161</v>
      </c>
      <c r="F542" s="1">
        <v>2</v>
      </c>
      <c r="G542" s="1">
        <v>2</v>
      </c>
      <c r="H542" s="1">
        <v>0</v>
      </c>
      <c r="I542" s="1">
        <v>0</v>
      </c>
      <c r="J542" t="s">
        <v>18</v>
      </c>
      <c r="K542" t="s">
        <v>1261</v>
      </c>
      <c r="L542" t="s">
        <v>3</v>
      </c>
      <c r="M542" t="str">
        <f>VLOOKUP(A542,'Tableau single and bulk'!A:B,2,FALSE)</f>
        <v>NEBAUTO</v>
      </c>
    </row>
    <row r="543" spans="1:13">
      <c r="A543" s="5" t="s">
        <v>402</v>
      </c>
      <c r="B543" s="1">
        <v>34906</v>
      </c>
      <c r="C543" t="s">
        <v>401</v>
      </c>
      <c r="D543" t="s">
        <v>183</v>
      </c>
      <c r="E543" t="s">
        <v>183</v>
      </c>
      <c r="F543" s="1">
        <v>14</v>
      </c>
      <c r="G543" s="1">
        <v>14</v>
      </c>
      <c r="H543" s="1">
        <v>-1</v>
      </c>
      <c r="I543" s="1">
        <v>1</v>
      </c>
      <c r="J543" t="s">
        <v>18</v>
      </c>
      <c r="K543" t="s">
        <v>402</v>
      </c>
      <c r="L543" t="s">
        <v>3</v>
      </c>
      <c r="M543" t="str">
        <f>VLOOKUP(A543,'Tableau single and bulk'!A:B,2,FALSE)</f>
        <v>NEBAUTO</v>
      </c>
    </row>
    <row r="544" spans="1:13">
      <c r="A544" s="5" t="s">
        <v>873</v>
      </c>
      <c r="B544" s="1">
        <v>34855</v>
      </c>
      <c r="C544" t="s">
        <v>872</v>
      </c>
      <c r="D544" t="s">
        <v>174</v>
      </c>
      <c r="E544" t="s">
        <v>174</v>
      </c>
      <c r="F544" s="1">
        <v>2</v>
      </c>
      <c r="G544" s="1">
        <v>2</v>
      </c>
      <c r="H544" s="1">
        <v>0</v>
      </c>
      <c r="I544" s="1">
        <v>0</v>
      </c>
      <c r="J544" t="s">
        <v>25</v>
      </c>
      <c r="K544" t="s">
        <v>873</v>
      </c>
      <c r="L544" t="s">
        <v>3</v>
      </c>
      <c r="M544" t="str">
        <f>VLOOKUP(A544,'Tableau single and bulk'!A:B,2,FALSE)</f>
        <v>NEBAUTO</v>
      </c>
    </row>
    <row r="545" spans="1:13">
      <c r="A545" s="5" t="s">
        <v>581</v>
      </c>
      <c r="B545" s="1">
        <v>34824</v>
      </c>
      <c r="C545" t="s">
        <v>580</v>
      </c>
      <c r="D545" t="s">
        <v>167</v>
      </c>
      <c r="E545" t="s">
        <v>167</v>
      </c>
      <c r="F545" s="1">
        <v>1</v>
      </c>
      <c r="G545" s="1">
        <v>1</v>
      </c>
      <c r="H545" s="1">
        <v>0</v>
      </c>
      <c r="I545" s="1">
        <v>0</v>
      </c>
      <c r="J545" t="s">
        <v>18</v>
      </c>
      <c r="K545" t="s">
        <v>581</v>
      </c>
      <c r="L545" t="s">
        <v>3</v>
      </c>
      <c r="M545" t="str">
        <f>VLOOKUP(A545,'Tableau single and bulk'!A:B,2,FALSE)</f>
        <v>NEBAUTO</v>
      </c>
    </row>
    <row r="546" spans="1:13">
      <c r="A546" s="5" t="s">
        <v>14</v>
      </c>
      <c r="B546" s="1">
        <v>35286</v>
      </c>
      <c r="C546" t="s">
        <v>124</v>
      </c>
      <c r="D546" t="s">
        <v>110</v>
      </c>
      <c r="E546" t="s">
        <v>110</v>
      </c>
      <c r="F546" s="1">
        <v>4</v>
      </c>
      <c r="G546" s="1">
        <v>4</v>
      </c>
      <c r="H546" s="1">
        <v>0</v>
      </c>
      <c r="I546" s="1">
        <v>0</v>
      </c>
      <c r="J546" t="s">
        <v>13</v>
      </c>
      <c r="K546" t="s">
        <v>14</v>
      </c>
      <c r="L546" t="s">
        <v>3</v>
      </c>
      <c r="M546" t="e">
        <f>VLOOKUP(A546,'Tableau single and bulk'!A:B,2,FALSE)</f>
        <v>#N/A</v>
      </c>
    </row>
    <row r="547" spans="1:13">
      <c r="A547" s="5" t="s">
        <v>344</v>
      </c>
      <c r="B547" s="1">
        <v>34709</v>
      </c>
      <c r="C547" t="s">
        <v>343</v>
      </c>
      <c r="D547" t="s">
        <v>317</v>
      </c>
      <c r="E547" t="s">
        <v>317</v>
      </c>
      <c r="F547" s="1">
        <v>2</v>
      </c>
      <c r="G547" s="1">
        <v>2</v>
      </c>
      <c r="H547" s="1">
        <v>0</v>
      </c>
      <c r="I547" s="1">
        <v>0</v>
      </c>
      <c r="J547" t="s">
        <v>12</v>
      </c>
      <c r="K547" t="s">
        <v>344</v>
      </c>
      <c r="L547" t="s">
        <v>3</v>
      </c>
      <c r="M547" t="str">
        <f>VLOOKUP(A547,'Tableau single and bulk'!A:B,2,FALSE)</f>
        <v>NEBAUTO</v>
      </c>
    </row>
    <row r="548" spans="1:13">
      <c r="A548" s="5" t="s">
        <v>330</v>
      </c>
      <c r="B548" s="1">
        <v>34700</v>
      </c>
      <c r="C548" t="s">
        <v>329</v>
      </c>
      <c r="D548" t="s">
        <v>317</v>
      </c>
      <c r="E548" t="s">
        <v>317</v>
      </c>
      <c r="F548" s="1">
        <v>1</v>
      </c>
      <c r="G548" s="1">
        <v>1</v>
      </c>
      <c r="H548" s="1">
        <v>0</v>
      </c>
      <c r="I548" s="1">
        <v>0</v>
      </c>
      <c r="J548" t="s">
        <v>12</v>
      </c>
      <c r="K548" t="s">
        <v>330</v>
      </c>
      <c r="L548" t="s">
        <v>3</v>
      </c>
      <c r="M548" t="str">
        <f>VLOOKUP(A548,'Tableau single and bulk'!A:B,2,FALSE)</f>
        <v>NEBAUTO</v>
      </c>
    </row>
    <row r="549" spans="1:13">
      <c r="A549" s="5" t="s">
        <v>549</v>
      </c>
      <c r="B549" s="1">
        <v>34748</v>
      </c>
      <c r="C549" t="s">
        <v>309</v>
      </c>
      <c r="D549" t="s">
        <v>335</v>
      </c>
      <c r="E549" t="s">
        <v>335</v>
      </c>
      <c r="F549" s="1">
        <v>2</v>
      </c>
      <c r="G549" s="1">
        <v>2</v>
      </c>
      <c r="H549" s="1">
        <v>0</v>
      </c>
      <c r="I549" s="1">
        <v>0</v>
      </c>
      <c r="J549" t="s">
        <v>12</v>
      </c>
      <c r="K549" t="s">
        <v>549</v>
      </c>
      <c r="L549" t="s">
        <v>3</v>
      </c>
      <c r="M549" t="str">
        <f>VLOOKUP(A549,'Tableau single and bulk'!A:B,2,FALSE)</f>
        <v>NEBAUTO</v>
      </c>
    </row>
    <row r="550" spans="1:13">
      <c r="A550" s="5" t="s">
        <v>1228</v>
      </c>
      <c r="B550" s="1">
        <v>34665</v>
      </c>
      <c r="C550" t="s">
        <v>1227</v>
      </c>
      <c r="D550" t="s">
        <v>153</v>
      </c>
      <c r="E550" t="s">
        <v>153</v>
      </c>
      <c r="F550" s="1">
        <v>2</v>
      </c>
      <c r="G550" s="1">
        <v>2</v>
      </c>
      <c r="H550" s="1">
        <v>0</v>
      </c>
      <c r="I550" s="1">
        <v>0</v>
      </c>
      <c r="J550" t="s">
        <v>25</v>
      </c>
      <c r="K550" t="s">
        <v>1228</v>
      </c>
      <c r="L550" t="s">
        <v>3</v>
      </c>
      <c r="M550" t="str">
        <f>VLOOKUP(A550,'Tableau single and bulk'!A:B,2,FALSE)</f>
        <v>NEBAUTO</v>
      </c>
    </row>
    <row r="551" spans="1:13">
      <c r="A551" s="5" t="s">
        <v>1238</v>
      </c>
      <c r="B551" s="1">
        <v>34734</v>
      </c>
      <c r="C551" t="s">
        <v>1237</v>
      </c>
      <c r="D551" t="s">
        <v>335</v>
      </c>
      <c r="E551" t="s">
        <v>335</v>
      </c>
      <c r="F551" s="1">
        <v>1</v>
      </c>
      <c r="G551" s="1">
        <v>1</v>
      </c>
      <c r="H551" s="1">
        <v>0</v>
      </c>
      <c r="I551" s="1">
        <v>0</v>
      </c>
      <c r="J551" t="s">
        <v>12</v>
      </c>
      <c r="K551" t="s">
        <v>1238</v>
      </c>
      <c r="L551" t="s">
        <v>3</v>
      </c>
      <c r="M551" t="str">
        <f>VLOOKUP(A551,'Tableau single and bulk'!A:B,2,FALSE)</f>
        <v>NEBAUTO</v>
      </c>
    </row>
    <row r="552" spans="1:13">
      <c r="A552" s="5" t="s">
        <v>1232</v>
      </c>
      <c r="B552" s="1">
        <v>34675</v>
      </c>
      <c r="C552" t="s">
        <v>1230</v>
      </c>
      <c r="D552" t="s">
        <v>153</v>
      </c>
      <c r="E552" t="s">
        <v>153</v>
      </c>
      <c r="F552" s="1">
        <v>7</v>
      </c>
      <c r="G552" s="1">
        <v>7</v>
      </c>
      <c r="H552" s="1">
        <v>0</v>
      </c>
      <c r="I552" s="1">
        <v>0</v>
      </c>
      <c r="J552" t="s">
        <v>1231</v>
      </c>
      <c r="K552" t="s">
        <v>1232</v>
      </c>
      <c r="L552" t="s">
        <v>3</v>
      </c>
      <c r="M552" t="str">
        <f>VLOOKUP(A552,'Tableau single and bulk'!A:B,2,FALSE)</f>
        <v>NEBAUTO</v>
      </c>
    </row>
    <row r="553" spans="1:13">
      <c r="A553" s="5" t="s">
        <v>540</v>
      </c>
      <c r="B553" s="1">
        <v>34730</v>
      </c>
      <c r="C553" t="s">
        <v>539</v>
      </c>
      <c r="D553" t="s">
        <v>335</v>
      </c>
      <c r="E553" t="s">
        <v>335</v>
      </c>
      <c r="F553" s="1">
        <v>1</v>
      </c>
      <c r="G553" s="1">
        <v>1</v>
      </c>
      <c r="H553" s="1">
        <v>0</v>
      </c>
      <c r="I553" s="1">
        <v>0</v>
      </c>
      <c r="J553" t="s">
        <v>12</v>
      </c>
      <c r="K553" t="s">
        <v>540</v>
      </c>
      <c r="L553" t="s">
        <v>3</v>
      </c>
      <c r="M553" t="str">
        <f>VLOOKUP(A553,'Tableau single and bulk'!A:B,2,FALSE)</f>
        <v>NEBAUTO</v>
      </c>
    </row>
    <row r="554" spans="1:13">
      <c r="A554" s="5" t="s">
        <v>531</v>
      </c>
      <c r="B554" s="1">
        <v>34669</v>
      </c>
      <c r="C554" t="s">
        <v>530</v>
      </c>
      <c r="D554" t="s">
        <v>153</v>
      </c>
      <c r="E554" t="s">
        <v>153</v>
      </c>
      <c r="F554" s="1">
        <v>1</v>
      </c>
      <c r="G554" s="1">
        <v>1</v>
      </c>
      <c r="H554" s="1">
        <v>0</v>
      </c>
      <c r="I554" s="1">
        <v>0</v>
      </c>
      <c r="J554" t="s">
        <v>25</v>
      </c>
      <c r="K554" t="s">
        <v>531</v>
      </c>
      <c r="L554" t="s">
        <v>3</v>
      </c>
      <c r="M554" t="str">
        <f>VLOOKUP(A554,'Tableau single and bulk'!A:B,2,FALSE)</f>
        <v>NEBAUTO</v>
      </c>
    </row>
    <row r="555" spans="1:13">
      <c r="A555" s="5" t="s">
        <v>1229</v>
      </c>
      <c r="B555" s="1">
        <v>34672</v>
      </c>
      <c r="C555" t="s">
        <v>888</v>
      </c>
      <c r="D555" t="s">
        <v>153</v>
      </c>
      <c r="E555" t="s">
        <v>153</v>
      </c>
      <c r="F555" s="1">
        <v>9</v>
      </c>
      <c r="G555" s="1">
        <v>9</v>
      </c>
      <c r="H555" s="1">
        <v>0</v>
      </c>
      <c r="I555" s="1">
        <v>0</v>
      </c>
      <c r="J555" t="s">
        <v>15</v>
      </c>
      <c r="K555" t="s">
        <v>1229</v>
      </c>
      <c r="L555" t="s">
        <v>3</v>
      </c>
      <c r="M555" t="str">
        <f>VLOOKUP(A555,'Tableau single and bulk'!A:B,2,FALSE)</f>
        <v>NEBAUTO</v>
      </c>
    </row>
    <row r="556" spans="1:13">
      <c r="A556" s="5" t="s">
        <v>162</v>
      </c>
      <c r="B556" s="1">
        <v>34791</v>
      </c>
      <c r="C556" t="s">
        <v>160</v>
      </c>
      <c r="D556" t="s">
        <v>161</v>
      </c>
      <c r="E556" t="s">
        <v>161</v>
      </c>
      <c r="F556" s="1">
        <v>1</v>
      </c>
      <c r="G556" s="1">
        <v>1</v>
      </c>
      <c r="H556" s="1">
        <v>0</v>
      </c>
      <c r="I556" s="1">
        <v>0</v>
      </c>
      <c r="J556" t="s">
        <v>28</v>
      </c>
      <c r="K556" t="s">
        <v>162</v>
      </c>
      <c r="L556" t="s">
        <v>3</v>
      </c>
      <c r="M556" t="str">
        <f>VLOOKUP(A556,'Tableau single and bulk'!A:B,2,FALSE)</f>
        <v>NEBAUTO</v>
      </c>
    </row>
    <row r="557" spans="1:13">
      <c r="A557" s="5" t="s">
        <v>818</v>
      </c>
      <c r="B557" s="1">
        <v>34678</v>
      </c>
      <c r="C557" t="s">
        <v>817</v>
      </c>
      <c r="D557" t="s">
        <v>153</v>
      </c>
      <c r="E557" t="s">
        <v>153</v>
      </c>
      <c r="F557" s="1">
        <v>1</v>
      </c>
      <c r="G557" s="1">
        <v>1</v>
      </c>
      <c r="H557" s="1">
        <v>0</v>
      </c>
      <c r="I557" s="1">
        <v>0</v>
      </c>
      <c r="J557" t="s">
        <v>25</v>
      </c>
      <c r="K557" t="s">
        <v>818</v>
      </c>
      <c r="L557" t="s">
        <v>3</v>
      </c>
      <c r="M557" t="str">
        <f>VLOOKUP(A557,'Tableau single and bulk'!A:B,2,FALSE)</f>
        <v>NEBAUTO</v>
      </c>
    </row>
    <row r="558" spans="1:13">
      <c r="A558" s="5" t="s">
        <v>759</v>
      </c>
      <c r="B558" s="1">
        <v>34756</v>
      </c>
      <c r="C558" t="s">
        <v>758</v>
      </c>
      <c r="D558" t="s">
        <v>158</v>
      </c>
      <c r="E558" t="s">
        <v>158</v>
      </c>
      <c r="F558" s="1">
        <v>1</v>
      </c>
      <c r="G558" s="1">
        <v>1</v>
      </c>
      <c r="H558" s="1">
        <v>0</v>
      </c>
      <c r="I558" s="1">
        <v>0</v>
      </c>
      <c r="J558" t="s">
        <v>12</v>
      </c>
      <c r="K558" t="s">
        <v>759</v>
      </c>
      <c r="L558" t="s">
        <v>3</v>
      </c>
      <c r="M558" t="str">
        <f>VLOOKUP(A558,'Tableau single and bulk'!A:B,2,FALSE)</f>
        <v>NEBAUTO</v>
      </c>
    </row>
    <row r="559" spans="1:13">
      <c r="A559" s="5" t="s">
        <v>1023</v>
      </c>
      <c r="B559" s="1">
        <v>35029</v>
      </c>
      <c r="C559" t="s">
        <v>1022</v>
      </c>
      <c r="D559" t="s">
        <v>27</v>
      </c>
      <c r="E559" t="s">
        <v>27</v>
      </c>
      <c r="F559" s="1">
        <v>1</v>
      </c>
      <c r="G559" s="1">
        <v>1</v>
      </c>
      <c r="H559" s="1">
        <v>0</v>
      </c>
      <c r="I559" s="1">
        <v>0</v>
      </c>
      <c r="J559" t="s">
        <v>33</v>
      </c>
      <c r="K559" t="s">
        <v>1023</v>
      </c>
      <c r="L559" t="s">
        <v>3</v>
      </c>
      <c r="M559" t="str">
        <f>VLOOKUP(A559,'Tableau single and bulk'!A:B,2,FALSE)</f>
        <v>NEBAUTO</v>
      </c>
    </row>
    <row r="560" spans="1:13">
      <c r="A560" s="5" t="s">
        <v>322</v>
      </c>
      <c r="B560" s="1">
        <v>34695</v>
      </c>
      <c r="C560" t="s">
        <v>321</v>
      </c>
      <c r="D560" t="s">
        <v>317</v>
      </c>
      <c r="E560" t="s">
        <v>317</v>
      </c>
      <c r="F560" s="1">
        <v>2</v>
      </c>
      <c r="G560" s="1">
        <v>2</v>
      </c>
      <c r="H560" s="1">
        <v>0</v>
      </c>
      <c r="I560" s="1">
        <v>0</v>
      </c>
      <c r="J560" t="s">
        <v>12</v>
      </c>
      <c r="K560" t="s">
        <v>322</v>
      </c>
      <c r="L560" t="s">
        <v>3</v>
      </c>
      <c r="M560" t="str">
        <f>VLOOKUP(A560,'Tableau single and bulk'!A:B,2,FALSE)</f>
        <v>NEBAUTO</v>
      </c>
    </row>
    <row r="561" spans="1:13">
      <c r="A561" s="5" t="s">
        <v>751</v>
      </c>
      <c r="B561" s="1">
        <v>34701</v>
      </c>
      <c r="C561" t="s">
        <v>323</v>
      </c>
      <c r="D561" t="s">
        <v>317</v>
      </c>
      <c r="E561" t="s">
        <v>317</v>
      </c>
      <c r="F561" s="1">
        <v>1</v>
      </c>
      <c r="G561" s="1">
        <v>1</v>
      </c>
      <c r="H561" s="1">
        <v>0</v>
      </c>
      <c r="I561" s="1">
        <v>0</v>
      </c>
      <c r="J561" t="s">
        <v>18</v>
      </c>
      <c r="K561" t="s">
        <v>751</v>
      </c>
      <c r="L561" t="s">
        <v>3</v>
      </c>
      <c r="M561" t="str">
        <f>VLOOKUP(A561,'Tableau single and bulk'!A:B,2,FALSE)</f>
        <v>NEBAUTO</v>
      </c>
    </row>
    <row r="562" spans="1:13">
      <c r="A562" s="5" t="s">
        <v>1152</v>
      </c>
      <c r="B562" s="1">
        <v>35507</v>
      </c>
      <c r="C562" t="s">
        <v>1151</v>
      </c>
      <c r="D562" t="s">
        <v>258</v>
      </c>
      <c r="E562" t="s">
        <v>258</v>
      </c>
      <c r="F562" s="1">
        <v>1</v>
      </c>
      <c r="G562" s="1">
        <v>1</v>
      </c>
      <c r="H562" s="1">
        <v>0</v>
      </c>
      <c r="I562" s="1">
        <v>0</v>
      </c>
      <c r="J562" t="s">
        <v>18</v>
      </c>
      <c r="K562" t="s">
        <v>1152</v>
      </c>
      <c r="L562" t="s">
        <v>3</v>
      </c>
      <c r="M562" t="str">
        <f>VLOOKUP(A562,'Tableau single and bulk'!A:B,2,FALSE)</f>
        <v>NEBAUTO</v>
      </c>
    </row>
    <row r="563" spans="1:13">
      <c r="A563" s="5" t="s">
        <v>1250</v>
      </c>
      <c r="B563" s="1">
        <v>34786</v>
      </c>
      <c r="C563" t="s">
        <v>150</v>
      </c>
      <c r="D563" t="s">
        <v>161</v>
      </c>
      <c r="E563" t="s">
        <v>161</v>
      </c>
      <c r="F563" s="1">
        <v>4</v>
      </c>
      <c r="G563" s="1">
        <v>4</v>
      </c>
      <c r="H563" s="1">
        <v>0</v>
      </c>
      <c r="I563" s="1">
        <v>0</v>
      </c>
      <c r="J563" t="s">
        <v>12</v>
      </c>
      <c r="K563" t="s">
        <v>1250</v>
      </c>
      <c r="L563" t="s">
        <v>3</v>
      </c>
      <c r="M563" t="str">
        <f>VLOOKUP(A563,'Tableau single and bulk'!A:B,2,FALSE)</f>
        <v>NEBAUTO</v>
      </c>
    </row>
    <row r="564" spans="1:13">
      <c r="A564" s="5" t="s">
        <v>1258</v>
      </c>
      <c r="B564" s="1">
        <v>34806</v>
      </c>
      <c r="C564" t="s">
        <v>1257</v>
      </c>
      <c r="D564" t="s">
        <v>161</v>
      </c>
      <c r="E564" t="s">
        <v>161</v>
      </c>
      <c r="F564" s="1">
        <v>2</v>
      </c>
      <c r="G564" s="1">
        <v>2</v>
      </c>
      <c r="H564" s="1">
        <v>-1</v>
      </c>
      <c r="I564" s="1">
        <v>1</v>
      </c>
      <c r="J564" t="s">
        <v>12</v>
      </c>
      <c r="K564" t="s">
        <v>1258</v>
      </c>
      <c r="L564" t="s">
        <v>3</v>
      </c>
      <c r="M564" t="str">
        <f>VLOOKUP(A564,'Tableau single and bulk'!A:B,2,FALSE)</f>
        <v>NEBAUTO</v>
      </c>
    </row>
    <row r="565" spans="1:13">
      <c r="A565" s="5" t="s">
        <v>1259</v>
      </c>
      <c r="B565" s="1">
        <v>34807</v>
      </c>
      <c r="C565" t="s">
        <v>21</v>
      </c>
      <c r="D565" t="s">
        <v>161</v>
      </c>
      <c r="E565" t="s">
        <v>161</v>
      </c>
      <c r="F565" s="1">
        <v>2</v>
      </c>
      <c r="G565" s="1">
        <v>2</v>
      </c>
      <c r="H565" s="1">
        <v>0</v>
      </c>
      <c r="I565" s="1">
        <v>0</v>
      </c>
      <c r="J565" t="s">
        <v>12</v>
      </c>
      <c r="K565" t="s">
        <v>1259</v>
      </c>
      <c r="L565" t="s">
        <v>3</v>
      </c>
      <c r="M565" t="str">
        <f>VLOOKUP(A565,'Tableau single and bulk'!A:B,2,FALSE)</f>
        <v>NEBAUTO</v>
      </c>
    </row>
    <row r="566" spans="1:13">
      <c r="A566" s="5" t="s">
        <v>1263</v>
      </c>
      <c r="B566" s="1">
        <v>34837</v>
      </c>
      <c r="C566" t="s">
        <v>1262</v>
      </c>
      <c r="D566" t="s">
        <v>167</v>
      </c>
      <c r="E566" t="s">
        <v>167</v>
      </c>
      <c r="F566" s="1">
        <v>1</v>
      </c>
      <c r="G566" s="1">
        <v>1</v>
      </c>
      <c r="H566" s="1">
        <v>0</v>
      </c>
      <c r="I566" s="1">
        <v>0</v>
      </c>
      <c r="J566" t="s">
        <v>12</v>
      </c>
      <c r="K566" t="s">
        <v>1263</v>
      </c>
      <c r="L566" t="s">
        <v>3</v>
      </c>
      <c r="M566" t="str">
        <f>VLOOKUP(A566,'Tableau single and bulk'!A:B,2,FALSE)</f>
        <v>NEBAUTO</v>
      </c>
    </row>
    <row r="567" spans="1:13">
      <c r="A567" s="5" t="s">
        <v>761</v>
      </c>
      <c r="B567" s="1">
        <v>34773</v>
      </c>
      <c r="C567" t="s">
        <v>760</v>
      </c>
      <c r="D567" t="s">
        <v>158</v>
      </c>
      <c r="E567" t="s">
        <v>158</v>
      </c>
      <c r="F567" s="1">
        <v>33</v>
      </c>
      <c r="G567" s="1">
        <v>33</v>
      </c>
      <c r="H567" s="1">
        <v>0</v>
      </c>
      <c r="I567" s="1">
        <v>0</v>
      </c>
      <c r="J567" t="s">
        <v>12</v>
      </c>
      <c r="K567" t="s">
        <v>761</v>
      </c>
      <c r="L567" t="s">
        <v>3</v>
      </c>
      <c r="M567" t="str">
        <f>VLOOKUP(A567,'Tableau single and bulk'!A:B,2,FALSE)</f>
        <v>NEBAUTO</v>
      </c>
    </row>
    <row r="568" spans="1:13">
      <c r="A568" s="5" t="s">
        <v>1266</v>
      </c>
      <c r="B568" s="1">
        <v>34883</v>
      </c>
      <c r="C568" t="s">
        <v>1265</v>
      </c>
      <c r="D568" t="s">
        <v>174</v>
      </c>
      <c r="E568" t="s">
        <v>174</v>
      </c>
      <c r="F568" s="1">
        <v>1</v>
      </c>
      <c r="G568" s="1">
        <v>1</v>
      </c>
      <c r="H568" s="1">
        <v>0</v>
      </c>
      <c r="I568" s="1">
        <v>0</v>
      </c>
      <c r="J568" t="s">
        <v>12</v>
      </c>
      <c r="K568" t="s">
        <v>1266</v>
      </c>
      <c r="L568" t="s">
        <v>3</v>
      </c>
      <c r="M568" t="str">
        <f>VLOOKUP(A568,'Tableau single and bulk'!A:B,2,FALSE)</f>
        <v>NEBAUTO</v>
      </c>
    </row>
    <row r="569" spans="1:13">
      <c r="A569" s="5" t="s">
        <v>593</v>
      </c>
      <c r="B569" s="1">
        <v>34858</v>
      </c>
      <c r="C569" t="s">
        <v>592</v>
      </c>
      <c r="D569" t="s">
        <v>174</v>
      </c>
      <c r="E569" t="s">
        <v>174</v>
      </c>
      <c r="F569" s="1">
        <v>3</v>
      </c>
      <c r="G569" s="1">
        <v>3</v>
      </c>
      <c r="H569" s="1">
        <v>0</v>
      </c>
      <c r="I569" s="1">
        <v>0</v>
      </c>
      <c r="J569" t="s">
        <v>24</v>
      </c>
      <c r="K569" t="s">
        <v>593</v>
      </c>
      <c r="L569" t="s">
        <v>3</v>
      </c>
      <c r="M569" t="str">
        <f>VLOOKUP(A569,'Tableau single and bulk'!A:B,2,FALSE)</f>
        <v>NEBAUTO</v>
      </c>
    </row>
    <row r="570" spans="1:13">
      <c r="A570" s="5" t="s">
        <v>558</v>
      </c>
      <c r="B570" s="1">
        <v>34768</v>
      </c>
      <c r="C570" t="s">
        <v>557</v>
      </c>
      <c r="D570" t="s">
        <v>158</v>
      </c>
      <c r="E570" t="s">
        <v>158</v>
      </c>
      <c r="F570" s="1">
        <v>1</v>
      </c>
      <c r="G570" s="1">
        <v>1</v>
      </c>
      <c r="H570" s="1">
        <v>0</v>
      </c>
      <c r="I570" s="1">
        <v>0</v>
      </c>
      <c r="J570" t="s">
        <v>12</v>
      </c>
      <c r="K570" t="s">
        <v>558</v>
      </c>
      <c r="L570" t="s">
        <v>3</v>
      </c>
      <c r="M570" t="str">
        <f>VLOOKUP(A570,'Tableau single and bulk'!A:B,2,FALSE)</f>
        <v>NEBAUTO</v>
      </c>
    </row>
    <row r="571" spans="1:13">
      <c r="A571" s="5" t="s">
        <v>597</v>
      </c>
      <c r="B571" s="1">
        <v>34873</v>
      </c>
      <c r="C571" t="s">
        <v>422</v>
      </c>
      <c r="D571" t="s">
        <v>174</v>
      </c>
      <c r="E571" t="s">
        <v>174</v>
      </c>
      <c r="F571" s="1">
        <v>1</v>
      </c>
      <c r="G571" s="1">
        <v>1</v>
      </c>
      <c r="H571" s="1">
        <v>0</v>
      </c>
      <c r="I571" s="1">
        <v>0</v>
      </c>
      <c r="J571" t="s">
        <v>33</v>
      </c>
      <c r="K571" t="s">
        <v>597</v>
      </c>
      <c r="L571" t="s">
        <v>3</v>
      </c>
      <c r="M571" t="str">
        <f>VLOOKUP(A571,'Tableau single and bulk'!A:B,2,FALSE)</f>
        <v>NEBAUTO</v>
      </c>
    </row>
    <row r="572" spans="1:13">
      <c r="A572" s="5" t="s">
        <v>163</v>
      </c>
      <c r="B572" s="1">
        <v>34794</v>
      </c>
      <c r="C572" t="s">
        <v>160</v>
      </c>
      <c r="D572" t="s">
        <v>161</v>
      </c>
      <c r="E572" t="s">
        <v>161</v>
      </c>
      <c r="F572" s="1">
        <v>1</v>
      </c>
      <c r="G572" s="1">
        <v>1</v>
      </c>
      <c r="H572" s="1">
        <v>0</v>
      </c>
      <c r="I572" s="1">
        <v>0</v>
      </c>
      <c r="J572" t="s">
        <v>28</v>
      </c>
      <c r="K572" t="s">
        <v>163</v>
      </c>
      <c r="L572" t="s">
        <v>3</v>
      </c>
      <c r="M572" t="e">
        <f>VLOOKUP(A572,'Tableau single and bulk'!A:B,2,FALSE)</f>
        <v>#N/A</v>
      </c>
    </row>
    <row r="573" spans="1:13">
      <c r="A573" s="5" t="s">
        <v>830</v>
      </c>
      <c r="B573" s="1">
        <v>34811</v>
      </c>
      <c r="C573" t="s">
        <v>829</v>
      </c>
      <c r="D573" t="s">
        <v>161</v>
      </c>
      <c r="E573" t="s">
        <v>161</v>
      </c>
      <c r="F573" s="1">
        <v>3</v>
      </c>
      <c r="G573" s="1">
        <v>3</v>
      </c>
      <c r="H573" s="1">
        <v>0</v>
      </c>
      <c r="I573" s="1">
        <v>0</v>
      </c>
      <c r="J573" t="s">
        <v>33</v>
      </c>
      <c r="K573" t="s">
        <v>830</v>
      </c>
      <c r="L573" t="s">
        <v>3</v>
      </c>
      <c r="M573" t="str">
        <f>VLOOKUP(A573,'Tableau single and bulk'!A:B,2,FALSE)</f>
        <v>NEBAUTO</v>
      </c>
    </row>
    <row r="574" spans="1:13">
      <c r="A574" s="5" t="s">
        <v>380</v>
      </c>
      <c r="B574" s="1">
        <v>34827</v>
      </c>
      <c r="C574" t="s">
        <v>378</v>
      </c>
      <c r="D574" t="s">
        <v>167</v>
      </c>
      <c r="E574" t="s">
        <v>167</v>
      </c>
      <c r="F574" s="1">
        <v>15</v>
      </c>
      <c r="G574" s="1">
        <v>15</v>
      </c>
      <c r="H574" s="1">
        <v>0</v>
      </c>
      <c r="I574" s="1">
        <v>0</v>
      </c>
      <c r="J574" t="s">
        <v>379</v>
      </c>
      <c r="K574" t="s">
        <v>380</v>
      </c>
      <c r="L574" t="s">
        <v>3</v>
      </c>
      <c r="M574" t="str">
        <f>VLOOKUP(A574,'Tableau single and bulk'!A:B,2,FALSE)</f>
        <v>NEBAUTO</v>
      </c>
    </row>
    <row r="575" spans="1:13">
      <c r="A575" s="5" t="s">
        <v>384</v>
      </c>
      <c r="B575" s="1">
        <v>34829</v>
      </c>
      <c r="C575" t="s">
        <v>383</v>
      </c>
      <c r="D575" t="s">
        <v>167</v>
      </c>
      <c r="E575" t="s">
        <v>167</v>
      </c>
      <c r="F575" s="1">
        <v>2</v>
      </c>
      <c r="G575" s="1">
        <v>2</v>
      </c>
      <c r="H575" s="1">
        <v>0</v>
      </c>
      <c r="I575" s="1">
        <v>0</v>
      </c>
      <c r="J575" t="s">
        <v>33</v>
      </c>
      <c r="K575" t="s">
        <v>384</v>
      </c>
      <c r="L575" t="s">
        <v>3</v>
      </c>
      <c r="M575" t="str">
        <f>VLOOKUP(A575,'Tableau single and bulk'!A:B,2,FALSE)</f>
        <v>NEBAUTO</v>
      </c>
    </row>
    <row r="576" spans="1:13">
      <c r="A576" s="5" t="s">
        <v>377</v>
      </c>
      <c r="B576" s="1">
        <v>34826</v>
      </c>
      <c r="C576" t="s">
        <v>376</v>
      </c>
      <c r="D576" t="s">
        <v>167</v>
      </c>
      <c r="E576" t="s">
        <v>167</v>
      </c>
      <c r="F576" s="1">
        <v>1</v>
      </c>
      <c r="G576" s="1">
        <v>1</v>
      </c>
      <c r="H576" s="1">
        <v>0</v>
      </c>
      <c r="I576" s="1">
        <v>0</v>
      </c>
      <c r="J576" t="s">
        <v>33</v>
      </c>
      <c r="K576" t="s">
        <v>377</v>
      </c>
      <c r="L576" t="s">
        <v>3</v>
      </c>
      <c r="M576" t="str">
        <f>VLOOKUP(A576,'Tableau single and bulk'!A:B,2,FALSE)</f>
        <v>NEBAUTO</v>
      </c>
    </row>
    <row r="577" spans="1:13">
      <c r="A577" s="5" t="s">
        <v>382</v>
      </c>
      <c r="B577" s="1">
        <v>34828</v>
      </c>
      <c r="C577" t="s">
        <v>381</v>
      </c>
      <c r="D577" t="s">
        <v>167</v>
      </c>
      <c r="E577" t="s">
        <v>167</v>
      </c>
      <c r="F577" s="1">
        <v>1</v>
      </c>
      <c r="G577" s="1">
        <v>1</v>
      </c>
      <c r="H577" s="1">
        <v>0</v>
      </c>
      <c r="I577" s="1">
        <v>0</v>
      </c>
      <c r="J577" t="s">
        <v>33</v>
      </c>
      <c r="K577" t="s">
        <v>382</v>
      </c>
      <c r="L577" t="s">
        <v>3</v>
      </c>
      <c r="M577" t="str">
        <f>VLOOKUP(A577,'Tableau single and bulk'!A:B,2,FALSE)</f>
        <v>NEBAUTO</v>
      </c>
    </row>
    <row r="578" spans="1:13">
      <c r="A578" s="5" t="s">
        <v>388</v>
      </c>
      <c r="B578" s="1">
        <v>34833</v>
      </c>
      <c r="C578" t="s">
        <v>387</v>
      </c>
      <c r="D578" t="s">
        <v>167</v>
      </c>
      <c r="E578" t="s">
        <v>167</v>
      </c>
      <c r="F578" s="1">
        <v>1</v>
      </c>
      <c r="G578" s="1">
        <v>1</v>
      </c>
      <c r="H578" s="1">
        <v>0</v>
      </c>
      <c r="I578" s="1">
        <v>0</v>
      </c>
      <c r="J578" t="s">
        <v>11</v>
      </c>
      <c r="K578" t="s">
        <v>388</v>
      </c>
      <c r="L578" t="s">
        <v>3</v>
      </c>
      <c r="M578" t="str">
        <f>VLOOKUP(A578,'Tableau single and bulk'!A:B,2,FALSE)</f>
        <v>NEBAUTO</v>
      </c>
    </row>
    <row r="579" spans="1:13">
      <c r="A579" s="5" t="s">
        <v>591</v>
      </c>
      <c r="B579" s="1">
        <v>34849</v>
      </c>
      <c r="C579" t="s">
        <v>590</v>
      </c>
      <c r="D579" t="s">
        <v>167</v>
      </c>
      <c r="E579" t="s">
        <v>167</v>
      </c>
      <c r="F579" s="1">
        <v>236</v>
      </c>
      <c r="G579" s="1">
        <v>236</v>
      </c>
      <c r="H579" s="1">
        <v>0</v>
      </c>
      <c r="I579" s="1">
        <v>0</v>
      </c>
      <c r="J579" t="s">
        <v>19</v>
      </c>
      <c r="K579" t="s">
        <v>591</v>
      </c>
      <c r="L579" t="s">
        <v>3</v>
      </c>
      <c r="M579" t="str">
        <f>VLOOKUP(A579,'Tableau single and bulk'!A:B,2,FALSE)</f>
        <v>NEBAUTO</v>
      </c>
    </row>
    <row r="580" spans="1:13">
      <c r="A580" s="5" t="s">
        <v>399</v>
      </c>
      <c r="B580" s="1">
        <v>34876</v>
      </c>
      <c r="C580" t="s">
        <v>398</v>
      </c>
      <c r="D580" t="s">
        <v>174</v>
      </c>
      <c r="E580" t="s">
        <v>174</v>
      </c>
      <c r="F580" s="1">
        <v>41</v>
      </c>
      <c r="G580" s="1">
        <v>41</v>
      </c>
      <c r="H580" s="1">
        <v>0</v>
      </c>
      <c r="I580" s="1">
        <v>0</v>
      </c>
      <c r="J580" t="s">
        <v>12</v>
      </c>
      <c r="K580" t="s">
        <v>399</v>
      </c>
      <c r="L580" t="s">
        <v>3</v>
      </c>
      <c r="M580" t="str">
        <f>VLOOKUP(A580,'Tableau single and bulk'!A:B,2,FALSE)</f>
        <v>NEBAUTO</v>
      </c>
    </row>
    <row r="581" spans="1:13">
      <c r="A581" s="5" t="s">
        <v>1264</v>
      </c>
      <c r="B581" s="1">
        <v>34881</v>
      </c>
      <c r="C581" t="s">
        <v>16</v>
      </c>
      <c r="D581" t="s">
        <v>174</v>
      </c>
      <c r="E581" t="s">
        <v>174</v>
      </c>
      <c r="F581" s="1">
        <v>1</v>
      </c>
      <c r="G581" s="1">
        <v>1</v>
      </c>
      <c r="H581" s="1">
        <v>0</v>
      </c>
      <c r="I581" s="1">
        <v>0</v>
      </c>
      <c r="J581" t="s">
        <v>17</v>
      </c>
      <c r="K581" t="s">
        <v>1264</v>
      </c>
      <c r="L581" t="s">
        <v>3</v>
      </c>
      <c r="M581" t="str">
        <f>VLOOKUP(A581,'Tableau single and bulk'!A:B,2,FALSE)</f>
        <v>NEBAUTO</v>
      </c>
    </row>
    <row r="582" spans="1:13">
      <c r="A582" s="5" t="s">
        <v>627</v>
      </c>
      <c r="B582" s="1">
        <v>34959</v>
      </c>
      <c r="C582" t="s">
        <v>626</v>
      </c>
      <c r="D582" t="s">
        <v>191</v>
      </c>
      <c r="E582" t="s">
        <v>191</v>
      </c>
      <c r="F582" s="1">
        <v>1</v>
      </c>
      <c r="G582" s="1">
        <v>1</v>
      </c>
      <c r="H582" s="1">
        <v>0</v>
      </c>
      <c r="I582" s="1">
        <v>0</v>
      </c>
      <c r="J582" t="s">
        <v>24</v>
      </c>
      <c r="K582" t="s">
        <v>627</v>
      </c>
      <c r="L582" t="s">
        <v>3</v>
      </c>
      <c r="M582" t="str">
        <f>VLOOKUP(A582,'Tableau single and bulk'!A:B,2,FALSE)</f>
        <v>NEBAUTO</v>
      </c>
    </row>
    <row r="583" spans="1:13">
      <c r="A583" s="5" t="s">
        <v>630</v>
      </c>
      <c r="B583" s="1">
        <v>34965</v>
      </c>
      <c r="C583" t="s">
        <v>176</v>
      </c>
      <c r="D583" t="s">
        <v>408</v>
      </c>
      <c r="E583" t="s">
        <v>408</v>
      </c>
      <c r="F583" s="1">
        <v>8</v>
      </c>
      <c r="G583" s="1">
        <v>8</v>
      </c>
      <c r="H583" s="1">
        <v>0</v>
      </c>
      <c r="I583" s="1">
        <v>0</v>
      </c>
      <c r="J583" t="s">
        <v>12</v>
      </c>
      <c r="K583" t="s">
        <v>630</v>
      </c>
      <c r="L583" t="s">
        <v>3</v>
      </c>
      <c r="M583" t="str">
        <f>VLOOKUP(A583,'Tableau single and bulk'!A:B,2,FALSE)</f>
        <v>NEBAUTO</v>
      </c>
    </row>
    <row r="584" spans="1:13">
      <c r="A584" s="5" t="s">
        <v>423</v>
      </c>
      <c r="B584" s="1">
        <v>35014</v>
      </c>
      <c r="C584" t="s">
        <v>422</v>
      </c>
      <c r="D584" t="s">
        <v>27</v>
      </c>
      <c r="E584" t="s">
        <v>27</v>
      </c>
      <c r="F584" s="1">
        <v>1</v>
      </c>
      <c r="G584" s="1">
        <v>1</v>
      </c>
      <c r="H584" s="1">
        <v>0</v>
      </c>
      <c r="I584" s="1">
        <v>0</v>
      </c>
      <c r="J584" t="s">
        <v>33</v>
      </c>
      <c r="K584" t="s">
        <v>423</v>
      </c>
      <c r="L584" t="s">
        <v>3</v>
      </c>
      <c r="M584" t="str">
        <f>VLOOKUP(A584,'Tableau single and bulk'!A:B,2,FALSE)</f>
        <v>NEBAUTO</v>
      </c>
    </row>
    <row r="585" spans="1:13">
      <c r="A585" s="5" t="s">
        <v>889</v>
      </c>
      <c r="B585" s="1">
        <v>34932</v>
      </c>
      <c r="C585" t="s">
        <v>888</v>
      </c>
      <c r="D585" t="s">
        <v>191</v>
      </c>
      <c r="E585" t="s">
        <v>191</v>
      </c>
      <c r="F585" s="1">
        <v>2</v>
      </c>
      <c r="G585" s="1">
        <v>2</v>
      </c>
      <c r="H585" s="1">
        <v>0</v>
      </c>
      <c r="I585" s="1">
        <v>0</v>
      </c>
      <c r="J585" t="s">
        <v>15</v>
      </c>
      <c r="K585" t="s">
        <v>889</v>
      </c>
      <c r="L585" t="s">
        <v>3</v>
      </c>
      <c r="M585" t="str">
        <f>VLOOKUP(A585,'Tableau single and bulk'!A:B,2,FALSE)</f>
        <v>NEBAUTO</v>
      </c>
    </row>
    <row r="586" spans="1:13">
      <c r="A586" s="5" t="s">
        <v>1069</v>
      </c>
      <c r="B586" s="1">
        <v>34978</v>
      </c>
      <c r="C586" t="s">
        <v>1068</v>
      </c>
      <c r="D586" t="s">
        <v>408</v>
      </c>
      <c r="E586" t="s">
        <v>408</v>
      </c>
      <c r="F586" s="1">
        <v>3</v>
      </c>
      <c r="G586" s="1">
        <v>3</v>
      </c>
      <c r="H586" s="1">
        <v>0</v>
      </c>
      <c r="I586" s="1">
        <v>0</v>
      </c>
      <c r="J586" t="s">
        <v>25</v>
      </c>
      <c r="K586" t="s">
        <v>1069</v>
      </c>
      <c r="L586" t="s">
        <v>3</v>
      </c>
      <c r="M586" t="str">
        <f>VLOOKUP(A586,'Tableau single and bulk'!A:B,2,FALSE)</f>
        <v>NEBAUTO</v>
      </c>
    </row>
    <row r="587" spans="1:13">
      <c r="A587" s="5" t="s">
        <v>645</v>
      </c>
      <c r="B587" s="1">
        <v>34981</v>
      </c>
      <c r="C587" t="s">
        <v>644</v>
      </c>
      <c r="D587" t="s">
        <v>408</v>
      </c>
      <c r="E587" t="s">
        <v>408</v>
      </c>
      <c r="F587" s="1">
        <v>1</v>
      </c>
      <c r="G587" s="1">
        <v>1</v>
      </c>
      <c r="H587" s="1">
        <v>0</v>
      </c>
      <c r="I587" s="1">
        <v>0</v>
      </c>
      <c r="J587" t="s">
        <v>33</v>
      </c>
      <c r="K587" t="s">
        <v>645</v>
      </c>
      <c r="L587" t="s">
        <v>3</v>
      </c>
      <c r="M587" t="str">
        <f>VLOOKUP(A587,'Tableau single and bulk'!A:B,2,FALSE)</f>
        <v>NEBAUTO</v>
      </c>
    </row>
    <row r="588" spans="1:13">
      <c r="A588" s="5" t="s">
        <v>714</v>
      </c>
      <c r="B588" s="1">
        <v>35125</v>
      </c>
      <c r="C588" t="s">
        <v>713</v>
      </c>
      <c r="D588" t="s">
        <v>72</v>
      </c>
      <c r="E588" t="s">
        <v>72</v>
      </c>
      <c r="F588" s="1">
        <v>2</v>
      </c>
      <c r="G588" s="1">
        <v>2</v>
      </c>
      <c r="H588" s="1">
        <v>0</v>
      </c>
      <c r="I588" s="1">
        <v>0</v>
      </c>
      <c r="J588" t="s">
        <v>18</v>
      </c>
      <c r="K588" t="s">
        <v>714</v>
      </c>
      <c r="L588" t="s">
        <v>3</v>
      </c>
      <c r="M588" t="str">
        <f>VLOOKUP(A588,'Tableau single and bulk'!A:B,2,FALSE)</f>
        <v>NEBAUTO</v>
      </c>
    </row>
    <row r="589" spans="1:13">
      <c r="A589" s="5" t="s">
        <v>431</v>
      </c>
      <c r="B589" s="1">
        <v>35051</v>
      </c>
      <c r="C589" t="s">
        <v>430</v>
      </c>
      <c r="D589" t="s">
        <v>39</v>
      </c>
      <c r="E589" t="s">
        <v>39</v>
      </c>
      <c r="F589" s="1">
        <v>3</v>
      </c>
      <c r="G589" s="1">
        <v>3</v>
      </c>
      <c r="H589" s="1">
        <v>-1</v>
      </c>
      <c r="I589" s="1">
        <v>1</v>
      </c>
      <c r="J589" t="s">
        <v>25</v>
      </c>
      <c r="K589" t="s">
        <v>431</v>
      </c>
      <c r="L589" t="s">
        <v>3</v>
      </c>
      <c r="M589" t="str">
        <f>VLOOKUP(A589,'Tableau single and bulk'!A:B,2,FALSE)</f>
        <v>NEBAUTO</v>
      </c>
    </row>
    <row r="590" spans="1:13">
      <c r="A590" s="5" t="s">
        <v>929</v>
      </c>
      <c r="B590" s="1">
        <v>35082</v>
      </c>
      <c r="C590" t="s">
        <v>928</v>
      </c>
      <c r="D590" t="s">
        <v>39</v>
      </c>
      <c r="E590" t="s">
        <v>39</v>
      </c>
      <c r="F590" s="1">
        <v>1</v>
      </c>
      <c r="G590" s="1">
        <v>1</v>
      </c>
      <c r="H590" s="1">
        <v>0</v>
      </c>
      <c r="I590" s="1">
        <v>0</v>
      </c>
      <c r="J590" t="s">
        <v>24</v>
      </c>
      <c r="K590" t="s">
        <v>929</v>
      </c>
      <c r="L590" t="s">
        <v>3</v>
      </c>
      <c r="M590" t="str">
        <f>VLOOKUP(A590,'Tableau single and bulk'!A:B,2,FALSE)</f>
        <v>NEBAUTO</v>
      </c>
    </row>
    <row r="591" spans="1:13">
      <c r="A591" s="5" t="s">
        <v>989</v>
      </c>
      <c r="B591" s="1">
        <v>35264</v>
      </c>
      <c r="C591" t="s">
        <v>988</v>
      </c>
      <c r="D591" t="s">
        <v>110</v>
      </c>
      <c r="E591" t="s">
        <v>110</v>
      </c>
      <c r="F591" s="1">
        <v>2</v>
      </c>
      <c r="G591" s="1">
        <v>2</v>
      </c>
      <c r="H591" s="1">
        <v>0</v>
      </c>
      <c r="I591" s="1">
        <v>0</v>
      </c>
      <c r="J591" t="s">
        <v>33</v>
      </c>
      <c r="K591" t="s">
        <v>989</v>
      </c>
      <c r="L591" t="s">
        <v>3</v>
      </c>
      <c r="M591" t="str">
        <f>VLOOKUP(A591,'Tableau single and bulk'!A:B,2,FALSE)</f>
        <v>NEBAUTO</v>
      </c>
    </row>
    <row r="592" spans="1:13">
      <c r="A592" s="5" t="s">
        <v>700</v>
      </c>
      <c r="B592" s="1">
        <v>35037</v>
      </c>
      <c r="C592" t="s">
        <v>699</v>
      </c>
      <c r="D592" t="s">
        <v>27</v>
      </c>
      <c r="E592" t="s">
        <v>27</v>
      </c>
      <c r="F592" s="1">
        <v>2</v>
      </c>
      <c r="G592" s="1">
        <v>2</v>
      </c>
      <c r="H592" s="1">
        <v>0</v>
      </c>
      <c r="I592" s="1">
        <v>0</v>
      </c>
      <c r="J592" t="s">
        <v>33</v>
      </c>
      <c r="K592" t="s">
        <v>700</v>
      </c>
      <c r="L592" t="s">
        <v>3</v>
      </c>
      <c r="M592" t="str">
        <f>VLOOKUP(A592,'Tableau single and bulk'!A:B,2,FALSE)</f>
        <v>NEBAUTO</v>
      </c>
    </row>
    <row r="593" spans="1:13">
      <c r="A593" s="5" t="s">
        <v>37</v>
      </c>
      <c r="B593" s="1">
        <v>35047</v>
      </c>
      <c r="C593" t="s">
        <v>26</v>
      </c>
      <c r="D593" t="s">
        <v>27</v>
      </c>
      <c r="E593" t="s">
        <v>27</v>
      </c>
      <c r="F593" s="1">
        <v>1</v>
      </c>
      <c r="G593" s="1">
        <v>1</v>
      </c>
      <c r="H593" s="1">
        <v>0</v>
      </c>
      <c r="I593" s="1">
        <v>0</v>
      </c>
      <c r="J593" t="s">
        <v>28</v>
      </c>
      <c r="K593" t="s">
        <v>37</v>
      </c>
      <c r="L593" t="s">
        <v>3</v>
      </c>
      <c r="M593" t="str">
        <f>VLOOKUP(A593,'Tableau single and bulk'!A:B,2,FALSE)</f>
        <v>NEBAUTO</v>
      </c>
    </row>
    <row r="594" spans="1:13">
      <c r="A594" s="5" t="s">
        <v>910</v>
      </c>
      <c r="B594" s="1">
        <v>35056</v>
      </c>
      <c r="C594" t="s">
        <v>909</v>
      </c>
      <c r="D594" t="s">
        <v>39</v>
      </c>
      <c r="E594" t="s">
        <v>39</v>
      </c>
      <c r="F594" s="1">
        <v>1</v>
      </c>
      <c r="G594" s="1">
        <v>1</v>
      </c>
      <c r="H594" s="1">
        <v>0</v>
      </c>
      <c r="I594" s="1">
        <v>0</v>
      </c>
      <c r="J594" t="s">
        <v>15</v>
      </c>
      <c r="K594" t="s">
        <v>910</v>
      </c>
      <c r="L594" t="s">
        <v>3</v>
      </c>
      <c r="M594" t="str">
        <f>VLOOKUP(A594,'Tableau single and bulk'!A:B,2,FALSE)</f>
        <v>NEBAUTO</v>
      </c>
    </row>
    <row r="595" spans="1:13">
      <c r="A595" s="5" t="s">
        <v>908</v>
      </c>
      <c r="B595" s="1">
        <v>35054</v>
      </c>
      <c r="C595" t="s">
        <v>907</v>
      </c>
      <c r="D595" t="s">
        <v>39</v>
      </c>
      <c r="E595" t="s">
        <v>39</v>
      </c>
      <c r="F595" s="1">
        <v>2</v>
      </c>
      <c r="G595" s="1">
        <v>2</v>
      </c>
      <c r="H595" s="1">
        <v>0</v>
      </c>
      <c r="I595" s="1">
        <v>0</v>
      </c>
      <c r="J595" t="s">
        <v>15</v>
      </c>
      <c r="K595" t="s">
        <v>908</v>
      </c>
      <c r="L595" t="s">
        <v>3</v>
      </c>
      <c r="M595" t="str">
        <f>VLOOKUP(A595,'Tableau single and bulk'!A:B,2,FALSE)</f>
        <v>NEBAUTO</v>
      </c>
    </row>
    <row r="596" spans="1:13">
      <c r="A596" s="5" t="s">
        <v>912</v>
      </c>
      <c r="B596" s="1">
        <v>35059</v>
      </c>
      <c r="C596" t="s">
        <v>911</v>
      </c>
      <c r="D596" t="s">
        <v>39</v>
      </c>
      <c r="E596" t="s">
        <v>39</v>
      </c>
      <c r="F596" s="1">
        <v>1</v>
      </c>
      <c r="G596" s="1">
        <v>1</v>
      </c>
      <c r="H596" s="1">
        <v>0</v>
      </c>
      <c r="I596" s="1">
        <v>0</v>
      </c>
      <c r="J596" t="s">
        <v>15</v>
      </c>
      <c r="K596" t="s">
        <v>912</v>
      </c>
      <c r="L596" t="s">
        <v>3</v>
      </c>
      <c r="M596" t="str">
        <f>VLOOKUP(A596,'Tableau single and bulk'!A:B,2,FALSE)</f>
        <v>NEBAUTO</v>
      </c>
    </row>
    <row r="597" spans="1:13">
      <c r="A597" s="5" t="s">
        <v>923</v>
      </c>
      <c r="B597" s="1">
        <v>35077</v>
      </c>
      <c r="C597" t="s">
        <v>922</v>
      </c>
      <c r="D597" t="s">
        <v>39</v>
      </c>
      <c r="E597" t="s">
        <v>39</v>
      </c>
      <c r="F597" s="1">
        <v>4</v>
      </c>
      <c r="G597" s="1">
        <v>4</v>
      </c>
      <c r="H597" s="1">
        <v>0</v>
      </c>
      <c r="I597" s="1">
        <v>0</v>
      </c>
      <c r="J597" t="s">
        <v>12</v>
      </c>
      <c r="K597" t="s">
        <v>923</v>
      </c>
      <c r="L597" t="s">
        <v>3</v>
      </c>
      <c r="M597" t="str">
        <f>VLOOKUP(A597,'Tableau single and bulk'!A:B,2,FALSE)</f>
        <v>NEBAUTO</v>
      </c>
    </row>
    <row r="598" spans="1:13">
      <c r="A598" s="5" t="s">
        <v>46</v>
      </c>
      <c r="B598" s="1">
        <v>35071</v>
      </c>
      <c r="C598" t="s">
        <v>23</v>
      </c>
      <c r="D598" t="s">
        <v>39</v>
      </c>
      <c r="E598" t="s">
        <v>39</v>
      </c>
      <c r="F598" s="1">
        <v>3</v>
      </c>
      <c r="G598" s="1">
        <v>3</v>
      </c>
      <c r="H598" s="1">
        <v>0</v>
      </c>
      <c r="I598" s="1">
        <v>0</v>
      </c>
      <c r="J598" t="s">
        <v>12</v>
      </c>
      <c r="K598" t="s">
        <v>46</v>
      </c>
      <c r="L598" t="s">
        <v>3</v>
      </c>
      <c r="M598" t="str">
        <f>VLOOKUP(A598,'Tableau single and bulk'!A:B,2,FALSE)</f>
        <v>NEBAUTO</v>
      </c>
    </row>
    <row r="599" spans="1:13">
      <c r="A599" s="5" t="s">
        <v>50</v>
      </c>
      <c r="B599" s="1">
        <v>35074</v>
      </c>
      <c r="C599" t="s">
        <v>49</v>
      </c>
      <c r="D599" t="s">
        <v>39</v>
      </c>
      <c r="E599" t="s">
        <v>39</v>
      </c>
      <c r="F599" s="1">
        <v>5</v>
      </c>
      <c r="G599" s="1">
        <v>5</v>
      </c>
      <c r="H599" s="1">
        <v>-1</v>
      </c>
      <c r="I599" s="1">
        <v>1</v>
      </c>
      <c r="J599" t="s">
        <v>12</v>
      </c>
      <c r="K599" t="s">
        <v>50</v>
      </c>
      <c r="L599" t="s">
        <v>3</v>
      </c>
      <c r="M599" t="str">
        <f>VLOOKUP(A599,'Tableau single and bulk'!A:B,2,FALSE)</f>
        <v>NEBAUTO</v>
      </c>
    </row>
    <row r="600" spans="1:13">
      <c r="A600" s="5" t="s">
        <v>48</v>
      </c>
      <c r="B600" s="1">
        <v>35072</v>
      </c>
      <c r="C600" t="s">
        <v>47</v>
      </c>
      <c r="D600" t="s">
        <v>39</v>
      </c>
      <c r="E600" t="s">
        <v>39</v>
      </c>
      <c r="F600" s="1">
        <v>1</v>
      </c>
      <c r="G600" s="1">
        <v>1</v>
      </c>
      <c r="H600" s="1">
        <v>0</v>
      </c>
      <c r="I600" s="1">
        <v>0</v>
      </c>
      <c r="J600" t="s">
        <v>33</v>
      </c>
      <c r="K600" t="s">
        <v>48</v>
      </c>
      <c r="L600" t="s">
        <v>3</v>
      </c>
      <c r="M600" t="str">
        <f>VLOOKUP(A600,'Tableau single and bulk'!A:B,2,FALSE)</f>
        <v>NEBAUTO</v>
      </c>
    </row>
    <row r="601" spans="1:13">
      <c r="A601" s="5" t="s">
        <v>109</v>
      </c>
      <c r="B601" s="1">
        <v>35251</v>
      </c>
      <c r="C601" t="s">
        <v>108</v>
      </c>
      <c r="D601" t="s">
        <v>92</v>
      </c>
      <c r="E601" t="s">
        <v>92</v>
      </c>
      <c r="F601" s="1">
        <v>1</v>
      </c>
      <c r="G601" s="1">
        <v>1</v>
      </c>
      <c r="H601" s="1">
        <v>0</v>
      </c>
      <c r="I601" s="1">
        <v>0</v>
      </c>
      <c r="J601" t="s">
        <v>25</v>
      </c>
      <c r="K601" t="s">
        <v>109</v>
      </c>
      <c r="L601" t="s">
        <v>3</v>
      </c>
      <c r="M601" t="str">
        <f>VLOOKUP(A601,'Tableau single and bulk'!A:B,2,FALSE)</f>
        <v>NEBAUTO</v>
      </c>
    </row>
    <row r="602" spans="1:13">
      <c r="A602" s="5" t="s">
        <v>70</v>
      </c>
      <c r="B602" s="1">
        <v>35113</v>
      </c>
      <c r="C602" t="s">
        <v>69</v>
      </c>
      <c r="D602" t="s">
        <v>39</v>
      </c>
      <c r="E602" t="s">
        <v>39</v>
      </c>
      <c r="F602" s="1">
        <v>1</v>
      </c>
      <c r="G602" s="1">
        <v>1</v>
      </c>
      <c r="H602" s="1">
        <v>0</v>
      </c>
      <c r="I602" s="1">
        <v>0</v>
      </c>
      <c r="J602" t="s">
        <v>25</v>
      </c>
      <c r="K602" t="s">
        <v>70</v>
      </c>
      <c r="L602" t="s">
        <v>3</v>
      </c>
      <c r="M602" t="str">
        <f>VLOOKUP(A602,'Tableau single and bulk'!A:B,2,FALSE)</f>
        <v>NEBAUTO</v>
      </c>
    </row>
    <row r="603" spans="1:13">
      <c r="A603" s="5" t="s">
        <v>718</v>
      </c>
      <c r="B603" s="1">
        <v>35130</v>
      </c>
      <c r="C603" t="s">
        <v>717</v>
      </c>
      <c r="D603" t="s">
        <v>72</v>
      </c>
      <c r="E603" t="s">
        <v>72</v>
      </c>
      <c r="F603" s="1">
        <v>5</v>
      </c>
      <c r="G603" s="1">
        <v>5</v>
      </c>
      <c r="H603" s="1">
        <v>0</v>
      </c>
      <c r="I603" s="1">
        <v>0</v>
      </c>
      <c r="J603" t="s">
        <v>33</v>
      </c>
      <c r="K603" t="s">
        <v>718</v>
      </c>
      <c r="L603" t="s">
        <v>3</v>
      </c>
      <c r="M603" t="str">
        <f>VLOOKUP(A603,'Tableau single and bulk'!A:B,2,FALSE)</f>
        <v>NEBAUTO</v>
      </c>
    </row>
    <row r="604" spans="1:13">
      <c r="A604" s="5" t="s">
        <v>115</v>
      </c>
      <c r="B604" s="1">
        <v>35272</v>
      </c>
      <c r="C604" t="s">
        <v>114</v>
      </c>
      <c r="D604" t="s">
        <v>110</v>
      </c>
      <c r="E604" t="s">
        <v>110</v>
      </c>
      <c r="F604" s="1">
        <v>5</v>
      </c>
      <c r="G604" s="1">
        <v>5</v>
      </c>
      <c r="H604" s="1">
        <v>0</v>
      </c>
      <c r="I604" s="1">
        <v>0</v>
      </c>
      <c r="J604" t="s">
        <v>33</v>
      </c>
      <c r="K604" t="s">
        <v>115</v>
      </c>
      <c r="L604" t="s">
        <v>3</v>
      </c>
      <c r="M604" t="str">
        <f>VLOOKUP(A604,'Tableau single and bulk'!A:B,2,FALSE)</f>
        <v>NEBAUTO</v>
      </c>
    </row>
    <row r="605" spans="1:13">
      <c r="A605" s="5" t="s">
        <v>840</v>
      </c>
      <c r="B605" s="1">
        <v>35145</v>
      </c>
      <c r="C605" t="s">
        <v>839</v>
      </c>
      <c r="D605" t="s">
        <v>72</v>
      </c>
      <c r="E605" t="s">
        <v>72</v>
      </c>
      <c r="F605" s="1">
        <v>3</v>
      </c>
      <c r="G605" s="1">
        <v>3</v>
      </c>
      <c r="H605" s="1">
        <v>0</v>
      </c>
      <c r="I605" s="1">
        <v>0</v>
      </c>
      <c r="J605" t="s">
        <v>28</v>
      </c>
      <c r="K605" t="s">
        <v>840</v>
      </c>
      <c r="L605" t="s">
        <v>3</v>
      </c>
      <c r="M605" t="str">
        <f>VLOOKUP(A605,'Tableau single and bulk'!A:B,2,FALSE)</f>
        <v>NEBAUTO</v>
      </c>
    </row>
    <row r="606" spans="1:13">
      <c r="A606" s="5" t="s">
        <v>944</v>
      </c>
      <c r="B606" s="1">
        <v>35146</v>
      </c>
      <c r="C606" t="s">
        <v>943</v>
      </c>
      <c r="D606" t="s">
        <v>72</v>
      </c>
      <c r="E606" t="s">
        <v>72</v>
      </c>
      <c r="F606" s="1">
        <v>2</v>
      </c>
      <c r="G606" s="1">
        <v>2</v>
      </c>
      <c r="H606" s="1">
        <v>0</v>
      </c>
      <c r="I606" s="1">
        <v>0</v>
      </c>
      <c r="J606" t="s">
        <v>28</v>
      </c>
      <c r="K606" t="s">
        <v>944</v>
      </c>
      <c r="L606" t="s">
        <v>3</v>
      </c>
      <c r="M606" t="str">
        <f>VLOOKUP(A606,'Tableau single and bulk'!A:B,2,FALSE)</f>
        <v>NEBAUTO</v>
      </c>
    </row>
    <row r="607" spans="1:13">
      <c r="A607" s="5" t="s">
        <v>85</v>
      </c>
      <c r="B607" s="1">
        <v>35153</v>
      </c>
      <c r="C607" t="s">
        <v>82</v>
      </c>
      <c r="D607" t="s">
        <v>83</v>
      </c>
      <c r="E607" t="s">
        <v>83</v>
      </c>
      <c r="F607" s="1">
        <v>5</v>
      </c>
      <c r="G607" s="1">
        <v>5</v>
      </c>
      <c r="H607" s="1">
        <v>0</v>
      </c>
      <c r="I607" s="1">
        <v>0</v>
      </c>
      <c r="J607" t="s">
        <v>84</v>
      </c>
      <c r="K607" t="s">
        <v>85</v>
      </c>
      <c r="L607" t="s">
        <v>3</v>
      </c>
      <c r="M607" t="str">
        <f>VLOOKUP(A607,'Tableau single and bulk'!A:B,2,FALSE)</f>
        <v>NEBAUTO</v>
      </c>
    </row>
    <row r="608" spans="1:13">
      <c r="A608" s="5" t="s">
        <v>730</v>
      </c>
      <c r="B608" s="1">
        <v>35175</v>
      </c>
      <c r="C608" t="s">
        <v>729</v>
      </c>
      <c r="D608" t="s">
        <v>83</v>
      </c>
      <c r="E608" t="s">
        <v>83</v>
      </c>
      <c r="F608" s="1">
        <v>1</v>
      </c>
      <c r="G608" s="1">
        <v>1</v>
      </c>
      <c r="H608" s="1">
        <v>0</v>
      </c>
      <c r="I608" s="1">
        <v>0</v>
      </c>
      <c r="J608" t="s">
        <v>84</v>
      </c>
      <c r="K608" t="s">
        <v>730</v>
      </c>
      <c r="L608" t="s">
        <v>3</v>
      </c>
      <c r="M608" t="str">
        <f>VLOOKUP(A608,'Tableau single and bulk'!A:B,2,FALSE)</f>
        <v>NEBAUTO</v>
      </c>
    </row>
    <row r="609" spans="1:13">
      <c r="A609" s="5" t="s">
        <v>954</v>
      </c>
      <c r="B609" s="1">
        <v>35191</v>
      </c>
      <c r="C609" t="s">
        <v>953</v>
      </c>
      <c r="D609" t="s">
        <v>89</v>
      </c>
      <c r="E609" t="s">
        <v>89</v>
      </c>
      <c r="F609" s="1">
        <v>1</v>
      </c>
      <c r="G609" s="1">
        <v>1</v>
      </c>
      <c r="H609" s="1">
        <v>0</v>
      </c>
      <c r="I609" s="1">
        <v>0</v>
      </c>
      <c r="J609" t="s">
        <v>33</v>
      </c>
      <c r="K609" t="s">
        <v>954</v>
      </c>
      <c r="L609" t="s">
        <v>3</v>
      </c>
      <c r="M609" t="str">
        <f>VLOOKUP(A609,'Tableau single and bulk'!A:B,2,FALSE)</f>
        <v>NEBAUTO</v>
      </c>
    </row>
    <row r="610" spans="1:13">
      <c r="A610" s="5" t="s">
        <v>1106</v>
      </c>
      <c r="B610" s="1">
        <v>35192</v>
      </c>
      <c r="C610" t="s">
        <v>1105</v>
      </c>
      <c r="D610" t="s">
        <v>89</v>
      </c>
      <c r="E610" t="s">
        <v>89</v>
      </c>
      <c r="F610" s="1">
        <v>1</v>
      </c>
      <c r="G610" s="1">
        <v>1</v>
      </c>
      <c r="H610" s="1">
        <v>0</v>
      </c>
      <c r="I610" s="1">
        <v>0</v>
      </c>
      <c r="J610" t="s">
        <v>33</v>
      </c>
      <c r="K610" t="s">
        <v>1106</v>
      </c>
      <c r="L610" t="s">
        <v>3</v>
      </c>
      <c r="M610" t="str">
        <f>VLOOKUP(A610,'Tableau single and bulk'!A:B,2,FALSE)</f>
        <v>NEBAUTO</v>
      </c>
    </row>
    <row r="611" spans="1:13">
      <c r="A611" s="5" t="s">
        <v>844</v>
      </c>
      <c r="B611" s="1">
        <v>35207</v>
      </c>
      <c r="C611" t="s">
        <v>843</v>
      </c>
      <c r="D611" t="s">
        <v>92</v>
      </c>
      <c r="E611" t="s">
        <v>92</v>
      </c>
      <c r="F611" s="1">
        <v>7</v>
      </c>
      <c r="G611" s="1">
        <v>7</v>
      </c>
      <c r="H611" s="1">
        <v>0</v>
      </c>
      <c r="I611" s="1">
        <v>0</v>
      </c>
      <c r="J611" t="s">
        <v>33</v>
      </c>
      <c r="K611" t="s">
        <v>844</v>
      </c>
      <c r="L611" t="s">
        <v>3</v>
      </c>
      <c r="M611" t="str">
        <f>VLOOKUP(A611,'Tableau single and bulk'!A:B,2,FALSE)</f>
        <v>NEBAUTO</v>
      </c>
    </row>
    <row r="612" spans="1:13">
      <c r="A612" s="5" t="s">
        <v>95</v>
      </c>
      <c r="B612" s="1">
        <v>35211</v>
      </c>
      <c r="C612" t="s">
        <v>94</v>
      </c>
      <c r="D612" t="s">
        <v>92</v>
      </c>
      <c r="E612" t="s">
        <v>92</v>
      </c>
      <c r="F612" s="1">
        <v>8</v>
      </c>
      <c r="G612" s="1">
        <v>8</v>
      </c>
      <c r="H612" s="1">
        <v>0</v>
      </c>
      <c r="I612" s="1">
        <v>0</v>
      </c>
      <c r="J612" t="s">
        <v>33</v>
      </c>
      <c r="K612" t="s">
        <v>95</v>
      </c>
      <c r="L612" t="s">
        <v>3</v>
      </c>
      <c r="M612" t="str">
        <f>VLOOKUP(A612,'Tableau single and bulk'!A:B,2,FALSE)</f>
        <v>NEBAUTO</v>
      </c>
    </row>
    <row r="613" spans="1:13">
      <c r="A613" s="5" t="s">
        <v>97</v>
      </c>
      <c r="B613" s="1">
        <v>35217</v>
      </c>
      <c r="C613" t="s">
        <v>96</v>
      </c>
      <c r="D613" t="s">
        <v>92</v>
      </c>
      <c r="E613" t="s">
        <v>92</v>
      </c>
      <c r="F613" s="1">
        <v>19</v>
      </c>
      <c r="G613" s="1">
        <v>19</v>
      </c>
      <c r="H613" s="1">
        <v>0</v>
      </c>
      <c r="I613" s="1">
        <v>0</v>
      </c>
      <c r="J613" t="s">
        <v>33</v>
      </c>
      <c r="K613" t="s">
        <v>97</v>
      </c>
      <c r="L613" t="s">
        <v>3</v>
      </c>
      <c r="M613" t="str">
        <f>VLOOKUP(A613,'Tableau single and bulk'!A:B,2,FALSE)</f>
        <v>NEBAUTO</v>
      </c>
    </row>
    <row r="614" spans="1:13">
      <c r="A614" s="5" t="s">
        <v>962</v>
      </c>
      <c r="B614" s="1">
        <v>35212</v>
      </c>
      <c r="C614" t="s">
        <v>961</v>
      </c>
      <c r="D614" t="s">
        <v>92</v>
      </c>
      <c r="E614" t="s">
        <v>92</v>
      </c>
      <c r="F614" s="1">
        <v>3</v>
      </c>
      <c r="G614" s="1">
        <v>3</v>
      </c>
      <c r="H614" s="1">
        <v>0</v>
      </c>
      <c r="I614" s="1">
        <v>0</v>
      </c>
      <c r="J614" t="s">
        <v>33</v>
      </c>
      <c r="K614" t="s">
        <v>962</v>
      </c>
      <c r="L614" t="s">
        <v>3</v>
      </c>
      <c r="M614" t="str">
        <f>VLOOKUP(A614,'Tableau single and bulk'!A:B,2,FALSE)</f>
        <v>NEBAUTO</v>
      </c>
    </row>
    <row r="615" spans="1:13">
      <c r="A615" s="5" t="s">
        <v>734</v>
      </c>
      <c r="B615" s="1">
        <v>35214</v>
      </c>
      <c r="C615" t="s">
        <v>733</v>
      </c>
      <c r="D615" t="s">
        <v>92</v>
      </c>
      <c r="E615" t="s">
        <v>92</v>
      </c>
      <c r="F615" s="1">
        <v>9</v>
      </c>
      <c r="G615" s="1">
        <v>9</v>
      </c>
      <c r="H615" s="1">
        <v>0</v>
      </c>
      <c r="I615" s="1">
        <v>0</v>
      </c>
      <c r="J615" t="s">
        <v>33</v>
      </c>
      <c r="K615" t="s">
        <v>734</v>
      </c>
      <c r="L615" t="s">
        <v>3</v>
      </c>
      <c r="M615" t="str">
        <f>VLOOKUP(A615,'Tableau single and bulk'!A:B,2,FALSE)</f>
        <v>NEBAUTO</v>
      </c>
    </row>
    <row r="616" spans="1:13">
      <c r="A616" s="5" t="s">
        <v>101</v>
      </c>
      <c r="B616" s="1">
        <v>35234</v>
      </c>
      <c r="C616" t="s">
        <v>100</v>
      </c>
      <c r="D616" t="s">
        <v>92</v>
      </c>
      <c r="E616" t="s">
        <v>92</v>
      </c>
      <c r="F616" s="1">
        <v>2</v>
      </c>
      <c r="G616" s="1">
        <v>2</v>
      </c>
      <c r="H616" s="1">
        <v>-1</v>
      </c>
      <c r="I616" s="1">
        <v>1</v>
      </c>
      <c r="J616" t="s">
        <v>33</v>
      </c>
      <c r="K616" t="s">
        <v>101</v>
      </c>
      <c r="L616" t="s">
        <v>3</v>
      </c>
      <c r="M616" t="str">
        <f>VLOOKUP(A616,'Tableau single and bulk'!A:B,2,FALSE)</f>
        <v>NEBAUTO</v>
      </c>
    </row>
    <row r="617" spans="1:13">
      <c r="A617" s="5" t="s">
        <v>1143</v>
      </c>
      <c r="B617" s="1">
        <v>35300</v>
      </c>
      <c r="C617" t="s">
        <v>1142</v>
      </c>
      <c r="D617" t="s">
        <v>134</v>
      </c>
      <c r="E617" t="s">
        <v>134</v>
      </c>
      <c r="F617" s="1">
        <v>1</v>
      </c>
      <c r="G617" s="1">
        <v>1</v>
      </c>
      <c r="H617" s="1">
        <v>0</v>
      </c>
      <c r="I617" s="1">
        <v>0</v>
      </c>
      <c r="J617" t="s">
        <v>25</v>
      </c>
      <c r="K617" t="s">
        <v>1143</v>
      </c>
      <c r="L617" t="s">
        <v>3</v>
      </c>
      <c r="M617" t="str">
        <f>VLOOKUP(A617,'Tableau single and bulk'!A:B,2,FALSE)</f>
        <v>NEBAUTO</v>
      </c>
    </row>
    <row r="618" spans="1:13">
      <c r="A618" s="5" t="s">
        <v>481</v>
      </c>
      <c r="B618" s="1">
        <v>35298</v>
      </c>
      <c r="C618" t="s">
        <v>480</v>
      </c>
      <c r="D618" t="s">
        <v>110</v>
      </c>
      <c r="E618" t="s">
        <v>110</v>
      </c>
      <c r="F618" s="1">
        <v>1</v>
      </c>
      <c r="G618" s="1">
        <v>1</v>
      </c>
      <c r="H618" s="1">
        <v>0</v>
      </c>
      <c r="I618" s="1">
        <v>0</v>
      </c>
      <c r="J618" t="s">
        <v>18</v>
      </c>
      <c r="K618" t="s">
        <v>481</v>
      </c>
      <c r="L618" t="s">
        <v>3</v>
      </c>
      <c r="M618" t="str">
        <f>VLOOKUP(A618,'Tableau single and bulk'!A:B,2,FALSE)</f>
        <v>NEBAUTO</v>
      </c>
    </row>
    <row r="619" spans="1:13">
      <c r="A619" s="5" t="s">
        <v>738</v>
      </c>
      <c r="B619" s="1">
        <v>35340</v>
      </c>
      <c r="C619" t="s">
        <v>737</v>
      </c>
      <c r="D619" t="s">
        <v>134</v>
      </c>
      <c r="E619" t="s">
        <v>134</v>
      </c>
      <c r="F619" s="1">
        <v>14</v>
      </c>
      <c r="G619" s="1">
        <v>14</v>
      </c>
      <c r="H619" s="1">
        <v>0</v>
      </c>
      <c r="I619" s="1">
        <v>0</v>
      </c>
      <c r="J619" t="s">
        <v>11</v>
      </c>
      <c r="K619" t="s">
        <v>738</v>
      </c>
      <c r="L619" t="s">
        <v>3</v>
      </c>
      <c r="M619" t="str">
        <f>VLOOKUP(A619,'Tableau single and bulk'!A:B,2,FALSE)</f>
        <v>NEBAUTO</v>
      </c>
    </row>
    <row r="620" spans="1:13">
      <c r="A620" s="5" t="s">
        <v>525</v>
      </c>
      <c r="B620" s="1">
        <v>35492</v>
      </c>
      <c r="C620" t="s">
        <v>524</v>
      </c>
      <c r="D620" t="s">
        <v>237</v>
      </c>
      <c r="E620" t="s">
        <v>237</v>
      </c>
      <c r="F620" s="1">
        <v>30</v>
      </c>
      <c r="G620" s="1">
        <v>30</v>
      </c>
      <c r="H620" s="1">
        <v>-2</v>
      </c>
      <c r="I620" s="1">
        <v>2</v>
      </c>
      <c r="J620" t="s">
        <v>12</v>
      </c>
      <c r="K620" t="s">
        <v>525</v>
      </c>
      <c r="L620" t="s">
        <v>3</v>
      </c>
      <c r="M620" t="str">
        <f>VLOOKUP(A620,'Tableau single and bulk'!A:B,2,FALSE)</f>
        <v>NEBAUTO</v>
      </c>
    </row>
    <row r="621" spans="1:13">
      <c r="A621" s="5" t="s">
        <v>216</v>
      </c>
      <c r="B621" s="1">
        <v>35367</v>
      </c>
      <c r="C621" t="s">
        <v>215</v>
      </c>
      <c r="D621" t="s">
        <v>200</v>
      </c>
      <c r="E621" t="s">
        <v>200</v>
      </c>
      <c r="F621" s="1">
        <v>8</v>
      </c>
      <c r="G621" s="1">
        <v>8</v>
      </c>
      <c r="H621" s="1">
        <v>-2</v>
      </c>
      <c r="I621" s="1">
        <v>2</v>
      </c>
      <c r="J621" t="s">
        <v>33</v>
      </c>
      <c r="K621" t="s">
        <v>216</v>
      </c>
      <c r="L621" t="s">
        <v>3</v>
      </c>
      <c r="M621" t="str">
        <f>VLOOKUP(A621,'Tableau single and bulk'!A:B,2,FALSE)</f>
        <v>NEBAUTO</v>
      </c>
    </row>
    <row r="622" spans="1:13">
      <c r="A622" s="5" t="s">
        <v>1036</v>
      </c>
      <c r="B622" s="1">
        <v>35369</v>
      </c>
      <c r="C622" t="s">
        <v>930</v>
      </c>
      <c r="D622" t="s">
        <v>200</v>
      </c>
      <c r="E622" t="s">
        <v>200</v>
      </c>
      <c r="F622" s="1">
        <v>13</v>
      </c>
      <c r="G622" s="1">
        <v>13</v>
      </c>
      <c r="H622" s="1">
        <v>-4</v>
      </c>
      <c r="I622" s="1">
        <v>4</v>
      </c>
      <c r="J622" t="s">
        <v>33</v>
      </c>
      <c r="K622" t="s">
        <v>1036</v>
      </c>
      <c r="L622" t="s">
        <v>3</v>
      </c>
      <c r="M622" t="str">
        <f>VLOOKUP(A622,'Tableau single and bulk'!A:B,2,FALSE)</f>
        <v>NEBAUTO</v>
      </c>
    </row>
    <row r="623" spans="1:13">
      <c r="A623" s="5" t="s">
        <v>1037</v>
      </c>
      <c r="B623" s="1">
        <v>35370</v>
      </c>
      <c r="C623" t="s">
        <v>616</v>
      </c>
      <c r="D623" t="s">
        <v>200</v>
      </c>
      <c r="E623" t="s">
        <v>200</v>
      </c>
      <c r="F623" s="1">
        <v>13</v>
      </c>
      <c r="G623" s="1">
        <v>13</v>
      </c>
      <c r="H623" s="1">
        <v>-2</v>
      </c>
      <c r="I623" s="1">
        <v>2</v>
      </c>
      <c r="J623" t="s">
        <v>33</v>
      </c>
      <c r="K623" t="s">
        <v>1037</v>
      </c>
      <c r="L623" t="s">
        <v>3</v>
      </c>
      <c r="M623" t="str">
        <f>VLOOKUP(A623,'Tableau single and bulk'!A:B,2,FALSE)</f>
        <v>NEBAUTO</v>
      </c>
    </row>
    <row r="624" spans="1:13">
      <c r="A624" s="5" t="s">
        <v>1042</v>
      </c>
      <c r="B624" s="1">
        <v>35377</v>
      </c>
      <c r="C624" t="s">
        <v>272</v>
      </c>
      <c r="D624" t="s">
        <v>200</v>
      </c>
      <c r="E624" t="s">
        <v>200</v>
      </c>
      <c r="F624" s="1">
        <v>6</v>
      </c>
      <c r="G624" s="1">
        <v>6</v>
      </c>
      <c r="H624" s="1">
        <v>-2</v>
      </c>
      <c r="I624" s="1">
        <v>2</v>
      </c>
      <c r="J624" t="s">
        <v>33</v>
      </c>
      <c r="K624" t="s">
        <v>1042</v>
      </c>
      <c r="L624" t="s">
        <v>3</v>
      </c>
      <c r="M624" t="str">
        <f>VLOOKUP(A624,'Tableau single and bulk'!A:B,2,FALSE)</f>
        <v>NEBAUTO</v>
      </c>
    </row>
    <row r="625" spans="1:13">
      <c r="A625" s="5" t="s">
        <v>218</v>
      </c>
      <c r="B625" s="1">
        <v>35376</v>
      </c>
      <c r="C625" t="s">
        <v>217</v>
      </c>
      <c r="D625" t="s">
        <v>200</v>
      </c>
      <c r="E625" t="s">
        <v>200</v>
      </c>
      <c r="F625" s="1">
        <v>11</v>
      </c>
      <c r="G625" s="1">
        <v>11</v>
      </c>
      <c r="H625" s="1">
        <v>-2</v>
      </c>
      <c r="I625" s="1">
        <v>2</v>
      </c>
      <c r="J625" t="s">
        <v>33</v>
      </c>
      <c r="K625" t="s">
        <v>218</v>
      </c>
      <c r="L625" t="s">
        <v>3</v>
      </c>
      <c r="M625" t="str">
        <f>VLOOKUP(A625,'Tableau single and bulk'!A:B,2,FALSE)</f>
        <v>NEBAUTO</v>
      </c>
    </row>
    <row r="626" spans="1:13">
      <c r="A626" s="5" t="s">
        <v>493</v>
      </c>
      <c r="B626" s="1">
        <v>35333</v>
      </c>
      <c r="C626" t="s">
        <v>492</v>
      </c>
      <c r="D626" t="s">
        <v>134</v>
      </c>
      <c r="E626" t="s">
        <v>134</v>
      </c>
      <c r="F626" s="1">
        <v>1</v>
      </c>
      <c r="G626" s="1">
        <v>1</v>
      </c>
      <c r="H626" s="1">
        <v>0</v>
      </c>
      <c r="I626" s="1">
        <v>0</v>
      </c>
      <c r="J626" t="s">
        <v>33</v>
      </c>
      <c r="K626" t="s">
        <v>493</v>
      </c>
      <c r="L626" t="s">
        <v>3</v>
      </c>
      <c r="M626" t="str">
        <f>VLOOKUP(A626,'Tableau single and bulk'!A:B,2,FALSE)</f>
        <v>NEBAUTO</v>
      </c>
    </row>
    <row r="627" spans="1:13">
      <c r="A627" s="5" t="s">
        <v>996</v>
      </c>
      <c r="B627" s="1">
        <v>35501</v>
      </c>
      <c r="C627" t="s">
        <v>995</v>
      </c>
      <c r="D627" t="s">
        <v>237</v>
      </c>
      <c r="E627" t="s">
        <v>237</v>
      </c>
      <c r="F627" s="1">
        <v>1</v>
      </c>
      <c r="G627" s="1">
        <v>1</v>
      </c>
      <c r="H627" s="1">
        <v>0</v>
      </c>
      <c r="I627" s="1">
        <v>0</v>
      </c>
      <c r="J627" t="s">
        <v>33</v>
      </c>
      <c r="K627" t="s">
        <v>996</v>
      </c>
      <c r="L627" t="s">
        <v>3</v>
      </c>
      <c r="M627" t="str">
        <f>VLOOKUP(A627,'Tableau single and bulk'!A:B,2,FALSE)</f>
        <v>NEBAUTO</v>
      </c>
    </row>
    <row r="628" spans="1:13">
      <c r="A628" s="5" t="s">
        <v>1148</v>
      </c>
      <c r="B628" s="1">
        <v>35502</v>
      </c>
      <c r="C628" t="s">
        <v>215</v>
      </c>
      <c r="D628" t="s">
        <v>237</v>
      </c>
      <c r="E628" t="s">
        <v>237</v>
      </c>
      <c r="F628" s="1">
        <v>1</v>
      </c>
      <c r="G628" s="1">
        <v>1</v>
      </c>
      <c r="H628" s="1">
        <v>0</v>
      </c>
      <c r="I628" s="1">
        <v>0</v>
      </c>
      <c r="J628" t="s">
        <v>33</v>
      </c>
      <c r="K628" t="s">
        <v>1148</v>
      </c>
      <c r="L628" t="s">
        <v>3</v>
      </c>
      <c r="M628" t="str">
        <f>VLOOKUP(A628,'Tableau single and bulk'!A:B,2,FALSE)</f>
        <v>NEBAUTO</v>
      </c>
    </row>
    <row r="629" spans="1:13">
      <c r="A629" s="5" t="s">
        <v>500</v>
      </c>
      <c r="B629" s="1">
        <v>35371</v>
      </c>
      <c r="C629" t="s">
        <v>499</v>
      </c>
      <c r="D629" t="s">
        <v>200</v>
      </c>
      <c r="E629" t="s">
        <v>200</v>
      </c>
      <c r="F629" s="1">
        <v>1</v>
      </c>
      <c r="G629" s="1">
        <v>1</v>
      </c>
      <c r="H629" s="1">
        <v>0</v>
      </c>
      <c r="I629" s="1">
        <v>0</v>
      </c>
      <c r="J629" t="s">
        <v>33</v>
      </c>
      <c r="K629" t="s">
        <v>500</v>
      </c>
      <c r="L629" t="s">
        <v>3</v>
      </c>
      <c r="M629" t="str">
        <f>VLOOKUP(A629,'Tableau single and bulk'!A:B,2,FALSE)</f>
        <v>NEBAUTO</v>
      </c>
    </row>
    <row r="630" spans="1:13">
      <c r="A630" s="5" t="s">
        <v>226</v>
      </c>
      <c r="B630" s="1">
        <v>35393</v>
      </c>
      <c r="C630" t="s">
        <v>225</v>
      </c>
      <c r="D630" t="s">
        <v>223</v>
      </c>
      <c r="E630" t="s">
        <v>223</v>
      </c>
      <c r="F630" s="1">
        <v>21</v>
      </c>
      <c r="G630" s="1">
        <v>21</v>
      </c>
      <c r="H630" s="1">
        <v>0</v>
      </c>
      <c r="I630" s="1">
        <v>0</v>
      </c>
      <c r="J630" t="s">
        <v>25</v>
      </c>
      <c r="K630" t="s">
        <v>226</v>
      </c>
      <c r="L630" t="s">
        <v>3</v>
      </c>
      <c r="M630" t="str">
        <f>VLOOKUP(A630,'Tableau single and bulk'!A:B,2,FALSE)</f>
        <v>NEBAUTO</v>
      </c>
    </row>
    <row r="631" spans="1:13">
      <c r="A631" s="5" t="s">
        <v>1179</v>
      </c>
      <c r="B631" s="1">
        <v>35426</v>
      </c>
      <c r="C631" t="s">
        <v>1178</v>
      </c>
      <c r="D631" t="s">
        <v>223</v>
      </c>
      <c r="E631" t="s">
        <v>223</v>
      </c>
      <c r="F631" s="1">
        <v>1</v>
      </c>
      <c r="G631" s="1">
        <v>1</v>
      </c>
      <c r="H631" s="1">
        <v>0</v>
      </c>
      <c r="I631" s="1">
        <v>0</v>
      </c>
      <c r="J631" t="s">
        <v>18</v>
      </c>
      <c r="K631" t="s">
        <v>1179</v>
      </c>
      <c r="L631" t="s">
        <v>3</v>
      </c>
      <c r="M631" t="str">
        <f>VLOOKUP(A631,'Tableau single and bulk'!A:B,2,FALSE)</f>
        <v>NEBAUTO</v>
      </c>
    </row>
    <row r="632" spans="1:13">
      <c r="A632" s="5" t="s">
        <v>513</v>
      </c>
      <c r="B632" s="1">
        <v>35444</v>
      </c>
      <c r="C632" t="s">
        <v>234</v>
      </c>
      <c r="D632" t="s">
        <v>232</v>
      </c>
      <c r="E632" t="s">
        <v>232</v>
      </c>
      <c r="F632" s="1">
        <v>72</v>
      </c>
      <c r="G632" s="1">
        <v>72</v>
      </c>
      <c r="H632" s="1">
        <v>0</v>
      </c>
      <c r="I632" s="1">
        <v>0</v>
      </c>
      <c r="J632" t="s">
        <v>18</v>
      </c>
      <c r="K632" t="s">
        <v>513</v>
      </c>
      <c r="L632" t="s">
        <v>3</v>
      </c>
      <c r="M632" t="str">
        <f>VLOOKUP(A632,'Tableau single and bulk'!A:B,2,FALSE)</f>
        <v>NEBAUTO</v>
      </c>
    </row>
    <row r="633" spans="1:13">
      <c r="A633" s="5" t="s">
        <v>802</v>
      </c>
      <c r="B633" s="1">
        <v>35449</v>
      </c>
      <c r="C633" t="s">
        <v>47</v>
      </c>
      <c r="D633" t="s">
        <v>237</v>
      </c>
      <c r="E633" t="s">
        <v>237</v>
      </c>
      <c r="F633" s="1">
        <v>1</v>
      </c>
      <c r="G633" s="1">
        <v>1</v>
      </c>
      <c r="H633" s="1">
        <v>0</v>
      </c>
      <c r="I633" s="1">
        <v>0</v>
      </c>
      <c r="J633" t="s">
        <v>33</v>
      </c>
      <c r="K633" t="s">
        <v>802</v>
      </c>
      <c r="L633" t="s">
        <v>3</v>
      </c>
      <c r="M633" t="str">
        <f>VLOOKUP(A633,'Tableau single and bulk'!A:B,2,FALSE)</f>
        <v>NEBAUTO</v>
      </c>
    </row>
    <row r="634" spans="1:13">
      <c r="A634" s="5" t="s">
        <v>1214</v>
      </c>
      <c r="B634" s="1">
        <v>35499</v>
      </c>
      <c r="C634" t="s">
        <v>1213</v>
      </c>
      <c r="D634" t="s">
        <v>237</v>
      </c>
      <c r="E634" t="s">
        <v>237</v>
      </c>
      <c r="F634" s="1">
        <v>2</v>
      </c>
      <c r="G634" s="1">
        <v>2</v>
      </c>
      <c r="H634" s="1">
        <v>0</v>
      </c>
      <c r="I634" s="1">
        <v>0</v>
      </c>
      <c r="J634" t="s">
        <v>11</v>
      </c>
      <c r="K634" t="s">
        <v>1214</v>
      </c>
      <c r="L634" t="s">
        <v>3</v>
      </c>
      <c r="M634" t="str">
        <f>VLOOKUP(A634,'Tableau single and bulk'!A:B,2,FALSE)</f>
        <v>NEBAUTO</v>
      </c>
    </row>
    <row r="635" spans="1:13">
      <c r="A635" s="5" t="s">
        <v>1150</v>
      </c>
      <c r="B635" s="1">
        <v>35505</v>
      </c>
      <c r="C635" t="s">
        <v>1149</v>
      </c>
      <c r="D635" t="s">
        <v>237</v>
      </c>
      <c r="E635" t="s">
        <v>237</v>
      </c>
      <c r="F635" s="1">
        <v>1</v>
      </c>
      <c r="G635" s="1">
        <v>1</v>
      </c>
      <c r="H635" s="1">
        <v>0</v>
      </c>
      <c r="I635" s="1">
        <v>0</v>
      </c>
      <c r="J635" t="s">
        <v>33</v>
      </c>
      <c r="K635" t="s">
        <v>1150</v>
      </c>
      <c r="L635" t="s">
        <v>3</v>
      </c>
      <c r="M635" t="str">
        <f>VLOOKUP(A635,'Tableau single and bulk'!A:B,2,FALSE)</f>
        <v>NEBAUTO</v>
      </c>
    </row>
    <row r="636" spans="1:13">
      <c r="A636" s="5" t="s">
        <v>1158</v>
      </c>
      <c r="B636" s="1">
        <v>35512</v>
      </c>
      <c r="C636" t="s">
        <v>1157</v>
      </c>
      <c r="D636" t="s">
        <v>258</v>
      </c>
      <c r="E636" t="s">
        <v>258</v>
      </c>
      <c r="F636" s="1">
        <v>1</v>
      </c>
      <c r="G636" s="1">
        <v>1</v>
      </c>
      <c r="H636" s="1">
        <v>0</v>
      </c>
      <c r="I636" s="1">
        <v>0</v>
      </c>
      <c r="J636" t="s">
        <v>25</v>
      </c>
      <c r="K636" t="s">
        <v>1158</v>
      </c>
      <c r="L636" t="s">
        <v>3</v>
      </c>
      <c r="M636" t="str">
        <f>VLOOKUP(A636,'Tableau single and bulk'!A:B,2,FALSE)</f>
        <v>NEBAUTO</v>
      </c>
    </row>
    <row r="637" spans="1:13">
      <c r="A637" s="5" t="s">
        <v>259</v>
      </c>
      <c r="B637" s="1">
        <v>35515</v>
      </c>
      <c r="C637" t="s">
        <v>257</v>
      </c>
      <c r="D637" t="s">
        <v>258</v>
      </c>
      <c r="E637" t="s">
        <v>258</v>
      </c>
      <c r="F637" s="1">
        <v>3</v>
      </c>
      <c r="G637" s="1">
        <v>3</v>
      </c>
      <c r="H637" s="1">
        <v>0</v>
      </c>
      <c r="I637" s="1">
        <v>0</v>
      </c>
      <c r="J637" t="s">
        <v>25</v>
      </c>
      <c r="K637" t="s">
        <v>259</v>
      </c>
      <c r="L637" t="s">
        <v>3</v>
      </c>
      <c r="M637" t="str">
        <f>VLOOKUP(A637,'Tableau single and bulk'!A:B,2,FALSE)</f>
        <v>NEBAUTO</v>
      </c>
    </row>
    <row r="638" spans="1:13">
      <c r="A638" s="5" t="s">
        <v>273</v>
      </c>
      <c r="B638" s="1">
        <v>35533</v>
      </c>
      <c r="C638" t="s">
        <v>272</v>
      </c>
      <c r="D638" t="s">
        <v>258</v>
      </c>
      <c r="E638" t="s">
        <v>258</v>
      </c>
      <c r="F638" s="1">
        <v>4</v>
      </c>
      <c r="G638" s="1">
        <v>4</v>
      </c>
      <c r="H638" s="1">
        <v>0</v>
      </c>
      <c r="I638" s="1">
        <v>0</v>
      </c>
      <c r="J638" t="s">
        <v>33</v>
      </c>
      <c r="K638" t="s">
        <v>273</v>
      </c>
      <c r="L638" t="s">
        <v>3</v>
      </c>
      <c r="M638" t="e">
        <f>VLOOKUP(A638,'Tableau single and bulk'!A:B,2,FALSE)</f>
        <v>#N/A</v>
      </c>
    </row>
    <row r="639" spans="1:13">
      <c r="A639" s="5" t="s">
        <v>287</v>
      </c>
      <c r="B639" s="1">
        <v>35547</v>
      </c>
      <c r="C639" t="s">
        <v>286</v>
      </c>
      <c r="D639" t="s">
        <v>258</v>
      </c>
      <c r="E639" t="s">
        <v>258</v>
      </c>
      <c r="F639" s="1">
        <v>6</v>
      </c>
      <c r="G639" s="1">
        <v>6</v>
      </c>
      <c r="H639" s="1">
        <v>-1</v>
      </c>
      <c r="I639" s="1">
        <v>1</v>
      </c>
      <c r="J639" t="s">
        <v>33</v>
      </c>
      <c r="K639" t="s">
        <v>287</v>
      </c>
      <c r="L639" t="s">
        <v>3</v>
      </c>
      <c r="M639" t="e">
        <f>VLOOKUP(A639,'Tableau single and bulk'!A:B,2,FALSE)</f>
        <v>#N/A</v>
      </c>
    </row>
    <row r="640" spans="1:13">
      <c r="A640" s="5" t="s">
        <v>283</v>
      </c>
      <c r="B640" s="1">
        <v>35545</v>
      </c>
      <c r="C640" t="s">
        <v>282</v>
      </c>
      <c r="D640" t="s">
        <v>258</v>
      </c>
      <c r="E640" t="s">
        <v>258</v>
      </c>
      <c r="F640" s="1">
        <v>1</v>
      </c>
      <c r="G640" s="1">
        <v>1</v>
      </c>
      <c r="H640" s="1">
        <v>0</v>
      </c>
      <c r="I640" s="1">
        <v>0</v>
      </c>
      <c r="J640" t="s">
        <v>33</v>
      </c>
      <c r="K640" t="s">
        <v>283</v>
      </c>
      <c r="L640" t="s">
        <v>3</v>
      </c>
      <c r="M640" t="str">
        <f>VLOOKUP(A640,'Tableau single and bulk'!A:B,2,FALSE)</f>
        <v>NEBAUTO</v>
      </c>
    </row>
    <row r="641" spans="1:14">
      <c r="A641" s="5" t="s">
        <v>285</v>
      </c>
      <c r="B641" s="1">
        <v>35546</v>
      </c>
      <c r="C641" t="s">
        <v>284</v>
      </c>
      <c r="D641" t="s">
        <v>258</v>
      </c>
      <c r="E641" t="s">
        <v>258</v>
      </c>
      <c r="F641" s="1">
        <v>1</v>
      </c>
      <c r="G641" s="1">
        <v>1</v>
      </c>
      <c r="H641" s="1">
        <v>0</v>
      </c>
      <c r="I641" s="1">
        <v>0</v>
      </c>
      <c r="J641" t="s">
        <v>33</v>
      </c>
      <c r="K641" t="s">
        <v>285</v>
      </c>
      <c r="L641" t="s">
        <v>3</v>
      </c>
      <c r="M641" t="e">
        <f>VLOOKUP(A641,'Tableau single and bulk'!A:B,2,FALSE)</f>
        <v>#N/A</v>
      </c>
    </row>
    <row r="642" spans="1:14">
      <c r="A642" s="5" t="s">
        <v>293</v>
      </c>
      <c r="B642" s="1">
        <v>35559</v>
      </c>
      <c r="C642" t="s">
        <v>292</v>
      </c>
      <c r="D642" t="s">
        <v>258</v>
      </c>
      <c r="E642" t="s">
        <v>258</v>
      </c>
      <c r="F642" s="1">
        <v>3</v>
      </c>
      <c r="G642" s="1">
        <v>3</v>
      </c>
      <c r="H642" s="1">
        <v>0</v>
      </c>
      <c r="I642" s="1">
        <v>0</v>
      </c>
      <c r="J642" t="s">
        <v>33</v>
      </c>
      <c r="K642" t="s">
        <v>293</v>
      </c>
      <c r="L642" t="s">
        <v>3</v>
      </c>
      <c r="M642" t="e">
        <f>VLOOKUP(A642,'Tableau single and bulk'!A:B,2,FALSE)</f>
        <v>#N/A</v>
      </c>
    </row>
    <row r="643" spans="1:14">
      <c r="A643" s="5" t="s">
        <v>294</v>
      </c>
      <c r="B643" s="1">
        <v>35560</v>
      </c>
      <c r="C643" t="s">
        <v>286</v>
      </c>
      <c r="D643" t="s">
        <v>258</v>
      </c>
      <c r="E643" t="s">
        <v>258</v>
      </c>
      <c r="F643" s="1">
        <v>7</v>
      </c>
      <c r="G643" s="1">
        <v>7</v>
      </c>
      <c r="H643" s="1">
        <v>0</v>
      </c>
      <c r="I643" s="1">
        <v>0</v>
      </c>
      <c r="J643" t="s">
        <v>33</v>
      </c>
      <c r="K643" t="s">
        <v>294</v>
      </c>
      <c r="L643" t="s">
        <v>3</v>
      </c>
      <c r="M643" t="e">
        <f>VLOOKUP(A643,'Tableau single and bulk'!A:B,2,FALSE)</f>
        <v>#N/A</v>
      </c>
      <c r="N643" t="s">
        <v>10475</v>
      </c>
    </row>
    <row r="644" spans="1:14">
      <c r="A644" s="5" t="s">
        <v>1125</v>
      </c>
      <c r="B644" s="1">
        <v>35581</v>
      </c>
      <c r="C644" t="s">
        <v>306</v>
      </c>
      <c r="D644" t="s">
        <v>302</v>
      </c>
      <c r="E644" t="s">
        <v>302</v>
      </c>
      <c r="F644" s="1">
        <v>3</v>
      </c>
      <c r="G644" s="1">
        <v>3</v>
      </c>
      <c r="H644" s="1">
        <v>0</v>
      </c>
      <c r="I644" s="1">
        <v>0</v>
      </c>
      <c r="J644" t="s">
        <v>18</v>
      </c>
      <c r="K644" t="s">
        <v>1125</v>
      </c>
      <c r="L644" t="s">
        <v>3</v>
      </c>
      <c r="M644" t="str">
        <f>VLOOKUP(A644,'Tableau single and bulk'!A:B,2,FALSE)</f>
        <v>NEBAUTO</v>
      </c>
    </row>
  </sheetData>
  <autoFilter ref="A1:M644" xr:uid="{00000000-0001-0000-0000-000000000000}"/>
  <sortState xmlns:xlrd2="http://schemas.microsoft.com/office/spreadsheetml/2017/richdata2" ref="A2:L647">
    <sortCondition ref="A2:A647"/>
  </sortState>
  <conditionalFormatting sqref="A1:A1048576">
    <cfRule type="duplicateValues" dxfId="5" priority="1"/>
    <cfRule type="duplicateValues" dxfId="4" priority="2"/>
  </conditionalFormatting>
  <conditionalFormatting sqref="K1:K1048576">
    <cfRule type="duplicateValues" dxfId="3" priority="3"/>
    <cfRule type="duplicateValues" dxfId="2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857E-E794-4200-BC7A-9FCF3F1BAE93}">
  <dimension ref="A3:B9"/>
  <sheetViews>
    <sheetView workbookViewId="0">
      <selection activeCell="F14" sqref="F14"/>
    </sheetView>
  </sheetViews>
  <sheetFormatPr defaultRowHeight="14.5"/>
  <cols>
    <col min="1" max="1" width="13.453125" bestFit="1" customWidth="1"/>
    <col min="2" max="2" width="29.453125" bestFit="1" customWidth="1"/>
  </cols>
  <sheetData>
    <row r="3" spans="1:2">
      <c r="A3" s="11" t="s">
        <v>10480</v>
      </c>
      <c r="B3" t="s">
        <v>10484</v>
      </c>
    </row>
    <row r="4" spans="1:2">
      <c r="A4" s="12" t="s">
        <v>10469</v>
      </c>
      <c r="B4">
        <v>1</v>
      </c>
    </row>
    <row r="5" spans="1:2">
      <c r="A5" s="12" t="s">
        <v>2377</v>
      </c>
      <c r="B5">
        <v>294</v>
      </c>
    </row>
    <row r="6" spans="1:2">
      <c r="A6" s="12" t="s">
        <v>2389</v>
      </c>
      <c r="B6">
        <v>224</v>
      </c>
    </row>
    <row r="7" spans="1:2">
      <c r="A7" s="12" t="s">
        <v>10481</v>
      </c>
      <c r="B7">
        <v>8</v>
      </c>
    </row>
    <row r="8" spans="1:2">
      <c r="A8" s="12" t="s">
        <v>10482</v>
      </c>
    </row>
    <row r="9" spans="1:2">
      <c r="A9" s="12" t="s">
        <v>10483</v>
      </c>
      <c r="B9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0E61-EDD2-40D6-B344-72054C69068A}">
  <sheetPr filterMode="1"/>
  <dimension ref="A1:O1762"/>
  <sheetViews>
    <sheetView workbookViewId="0">
      <selection activeCell="A4" sqref="A4"/>
    </sheetView>
  </sheetViews>
  <sheetFormatPr defaultRowHeight="14.5"/>
  <cols>
    <col min="1" max="1" width="15.54296875" style="5" customWidth="1"/>
    <col min="2" max="2" width="53.54296875" bestFit="1" customWidth="1"/>
    <col min="3" max="3" width="15.54296875" customWidth="1"/>
    <col min="4" max="4" width="35.54296875" customWidth="1"/>
    <col min="5" max="5" width="15.54296875" customWidth="1"/>
    <col min="6" max="6" width="34.81640625" customWidth="1"/>
    <col min="7" max="7" width="26.1796875" customWidth="1"/>
    <col min="8" max="8" width="28.7265625" customWidth="1"/>
    <col min="9" max="9" width="20.54296875" customWidth="1"/>
    <col min="10" max="10" width="17" bestFit="1" customWidth="1"/>
    <col min="11" max="11" width="10.453125" style="9" bestFit="1" customWidth="1"/>
    <col min="12" max="12" width="14.1796875" style="9" bestFit="1" customWidth="1"/>
    <col min="13" max="13" width="33.54296875" style="9" customWidth="1"/>
    <col min="14" max="14" width="17" bestFit="1" customWidth="1"/>
  </cols>
  <sheetData>
    <row r="1" spans="1:14">
      <c r="A1" s="6" t="s">
        <v>9</v>
      </c>
      <c r="B1" s="4" t="s">
        <v>1271</v>
      </c>
      <c r="C1" s="4" t="s">
        <v>1272</v>
      </c>
      <c r="D1" s="4" t="s">
        <v>1273</v>
      </c>
      <c r="E1" s="4" t="s">
        <v>1274</v>
      </c>
      <c r="F1" s="4" t="s">
        <v>1275</v>
      </c>
      <c r="G1" s="4" t="s">
        <v>1276</v>
      </c>
      <c r="H1" s="3" t="s">
        <v>10478</v>
      </c>
      <c r="I1" s="4" t="s">
        <v>10470</v>
      </c>
      <c r="J1" s="4" t="s">
        <v>10468</v>
      </c>
      <c r="K1" s="10" t="s">
        <v>1278</v>
      </c>
      <c r="L1" s="3" t="s">
        <v>2345</v>
      </c>
      <c r="M1" s="10" t="s">
        <v>2361</v>
      </c>
    </row>
    <row r="2" spans="1:14" hidden="1">
      <c r="A2" s="7" t="s">
        <v>1674</v>
      </c>
      <c r="B2" s="2" t="s">
        <v>1290</v>
      </c>
      <c r="C2" s="2" t="s">
        <v>1309</v>
      </c>
      <c r="D2" s="2" t="s">
        <v>1673</v>
      </c>
      <c r="E2" s="2" t="s">
        <v>1674</v>
      </c>
      <c r="F2" s="2" t="s">
        <v>1278</v>
      </c>
      <c r="G2" s="2" t="s">
        <v>1279</v>
      </c>
      <c r="H2" t="e">
        <f>VLOOKUP(A2,'Export Worksheet'!A:L,6,FALSE)</f>
        <v>#N/A</v>
      </c>
      <c r="I2" t="str">
        <f>VLOOKUP(A2,'Tableau single and bulk'!A:B,2,FALSE)</f>
        <v>NESAUTO</v>
      </c>
      <c r="K2" s="9">
        <f>VLOOKUP(A2,'Tableau single and bulk'!A:I,9,FALSE)</f>
        <v>45943.593101851853</v>
      </c>
      <c r="L2">
        <f>VLOOKUP(A2,'Tableau single and bulk'!A:L,12,FALSE)</f>
        <v>603757</v>
      </c>
      <c r="M2" t="str">
        <f>VLOOKUP(A2,'Tableau single and bulk'!A:AA,27,FALSE)</f>
        <v>eircom Limited AVC Scheme</v>
      </c>
      <c r="N2" t="s">
        <v>10469</v>
      </c>
    </row>
    <row r="3" spans="1:14">
      <c r="A3" s="7" t="s">
        <v>898</v>
      </c>
      <c r="B3" s="2" t="s">
        <v>1533</v>
      </c>
      <c r="C3" s="2" t="s">
        <v>1309</v>
      </c>
      <c r="D3" s="2" t="s">
        <v>1663</v>
      </c>
      <c r="E3" s="2" t="s">
        <v>898</v>
      </c>
      <c r="F3" s="2" t="s">
        <v>1278</v>
      </c>
      <c r="G3" s="2" t="s">
        <v>1279</v>
      </c>
      <c r="H3">
        <f>VLOOKUP(A3,'Export Worksheet'!A:L,6,FALSE)</f>
        <v>1</v>
      </c>
      <c r="I3" t="str">
        <f>VLOOKUP(A3,'Tableau single and bulk'!A:B,2,FALSE)</f>
        <v>NEBAUTO</v>
      </c>
      <c r="K3" s="9">
        <f>VLOOKUP(A3,'Tableau single and bulk'!A:I,9,FALSE)</f>
        <v>45943.643379629626</v>
      </c>
      <c r="L3">
        <f>VLOOKUP(A3,'Tableau single and bulk'!A:L,12,FALSE)</f>
        <v>603026</v>
      </c>
      <c r="M3" t="str">
        <f>VLOOKUP(A3,'Tableau single and bulk'!A:AA,27,FALSE)</f>
        <v>Vestas Ireland Limited</v>
      </c>
    </row>
    <row r="4" spans="1:14">
      <c r="A4" s="7" t="s">
        <v>623</v>
      </c>
      <c r="B4" s="2" t="s">
        <v>1573</v>
      </c>
      <c r="C4" s="2" t="s">
        <v>1309</v>
      </c>
      <c r="D4" s="2" t="s">
        <v>1682</v>
      </c>
      <c r="E4" s="2" t="s">
        <v>623</v>
      </c>
      <c r="F4" s="2" t="s">
        <v>1278</v>
      </c>
      <c r="G4" s="2" t="s">
        <v>1279</v>
      </c>
      <c r="H4">
        <f>VLOOKUP(A4,'Export Worksheet'!A:L,6,FALSE)</f>
        <v>27</v>
      </c>
      <c r="I4" t="str">
        <f>VLOOKUP(A4,'Tableau single and bulk'!A:B,2,FALSE)</f>
        <v>NEBAUTO</v>
      </c>
      <c r="K4" s="9">
        <f>VLOOKUP(A4,'Tableau single and bulk'!A:I,9,FALSE)</f>
        <v>45943.513773148145</v>
      </c>
      <c r="L4">
        <f>VLOOKUP(A4,'Tableau single and bulk'!A:L,12,FALSE)</f>
        <v>605376</v>
      </c>
      <c r="M4" t="str">
        <f>VLOOKUP(A4,'Tableau single and bulk'!A:AA,27,FALSE)</f>
        <v>Kerry Dairy Holdings (Ireland) Limited</v>
      </c>
    </row>
    <row r="5" spans="1:14">
      <c r="A5" s="7" t="s">
        <v>190</v>
      </c>
      <c r="B5" s="2" t="s">
        <v>1437</v>
      </c>
      <c r="C5" s="2" t="s">
        <v>1309</v>
      </c>
      <c r="D5" s="2" t="s">
        <v>1740</v>
      </c>
      <c r="E5" s="2" t="s">
        <v>190</v>
      </c>
      <c r="F5" s="2" t="s">
        <v>1278</v>
      </c>
      <c r="G5" s="2" t="s">
        <v>1279</v>
      </c>
      <c r="H5">
        <f>VLOOKUP(A5,'Export Worksheet'!A:L,6,FALSE)</f>
        <v>1</v>
      </c>
      <c r="I5" t="str">
        <f>VLOOKUP(A5,'Tableau single and bulk'!A:B,2,FALSE)</f>
        <v>NEBAUTO</v>
      </c>
      <c r="K5" s="9">
        <f>VLOOKUP(A5,'Tableau single and bulk'!A:I,9,FALSE)</f>
        <v>45940.65587962963</v>
      </c>
      <c r="L5">
        <f>VLOOKUP(A5,'Tableau single and bulk'!A:L,12,FALSE)</f>
        <v>609763</v>
      </c>
      <c r="M5" t="str">
        <f>VLOOKUP(A5,'Tableau single and bulk'!A:AA,27,FALSE)</f>
        <v>Belvedere College SJ</v>
      </c>
    </row>
    <row r="6" spans="1:14">
      <c r="A6" s="7" t="s">
        <v>896</v>
      </c>
      <c r="B6" s="2" t="s">
        <v>871</v>
      </c>
      <c r="C6" s="2" t="s">
        <v>1309</v>
      </c>
      <c r="D6" s="2" t="s">
        <v>1667</v>
      </c>
      <c r="E6" s="2" t="s">
        <v>896</v>
      </c>
      <c r="F6" s="2" t="s">
        <v>1278</v>
      </c>
      <c r="G6" s="2" t="s">
        <v>1279</v>
      </c>
      <c r="H6">
        <f>VLOOKUP(A6,'Export Worksheet'!A:L,6,FALSE)</f>
        <v>66</v>
      </c>
      <c r="I6" t="str">
        <f>VLOOKUP(A6,'Tableau single and bulk'!A:B,2,FALSE)</f>
        <v>NEBAUTO</v>
      </c>
      <c r="K6" s="9">
        <f>VLOOKUP(A6,'Tableau single and bulk'!A:I,9,FALSE)</f>
        <v>45943.630752314813</v>
      </c>
      <c r="L6">
        <f>VLOOKUP(A6,'Tableau single and bulk'!A:L,12,FALSE)</f>
        <v>603990</v>
      </c>
      <c r="M6" t="str">
        <f>VLOOKUP(A6,'Tableau single and bulk'!A:AA,27,FALSE)</f>
        <v>Stryker Ireland DC Pension Plan</v>
      </c>
    </row>
    <row r="7" spans="1:14">
      <c r="A7" s="7" t="s">
        <v>778</v>
      </c>
      <c r="B7" s="2" t="s">
        <v>871</v>
      </c>
      <c r="C7" s="2" t="s">
        <v>1309</v>
      </c>
      <c r="D7" s="2" t="s">
        <v>1685</v>
      </c>
      <c r="E7" s="2" t="s">
        <v>778</v>
      </c>
      <c r="F7" s="2" t="s">
        <v>1278</v>
      </c>
      <c r="G7" s="2" t="s">
        <v>1279</v>
      </c>
      <c r="H7">
        <f>VLOOKUP(A7,'Export Worksheet'!A:L,6,FALSE)</f>
        <v>2</v>
      </c>
      <c r="I7" t="str">
        <f>VLOOKUP(A7,'Tableau single and bulk'!A:B,2,FALSE)</f>
        <v>NEBAUTO</v>
      </c>
      <c r="K7" s="9">
        <f>VLOOKUP(A7,'Tableau single and bulk'!A:I,9,FALSE)</f>
        <v>45943.49559027778</v>
      </c>
      <c r="L7">
        <f>VLOOKUP(A7,'Tableau single and bulk'!A:L,12,FALSE)</f>
        <v>602167</v>
      </c>
      <c r="M7" t="str">
        <f>VLOOKUP(A7,'Tableau single and bulk'!A:AA,27,FALSE)</f>
        <v>Stryker Ireland Limited Pension Scheme</v>
      </c>
    </row>
    <row r="8" spans="1:14" hidden="1">
      <c r="A8" s="7" t="s">
        <v>1803</v>
      </c>
      <c r="B8" s="2" t="s">
        <v>1801</v>
      </c>
      <c r="C8" s="2" t="s">
        <v>1309</v>
      </c>
      <c r="D8" s="2" t="s">
        <v>1802</v>
      </c>
      <c r="E8" s="2" t="s">
        <v>1803</v>
      </c>
      <c r="F8" s="2" t="s">
        <v>1278</v>
      </c>
      <c r="G8" s="2" t="s">
        <v>1279</v>
      </c>
      <c r="H8" t="e">
        <f>VLOOKUP(A8,'Export Worksheet'!A:L,6,FALSE)</f>
        <v>#N/A</v>
      </c>
      <c r="I8" t="str">
        <f>VLOOKUP(A8,'Tableau single and bulk'!A:B,2,FALSE)</f>
        <v>NESAUTO</v>
      </c>
      <c r="K8" s="9">
        <f>VLOOKUP(A8,'Tableau single and bulk'!A:I,9,FALSE)</f>
        <v>45939.869629629633</v>
      </c>
      <c r="L8">
        <f>VLOOKUP(A8,'Tableau single and bulk'!A:L,12,FALSE)</f>
        <v>609838</v>
      </c>
      <c r="M8" t="str">
        <f>VLOOKUP(A8,'Tableau single and bulk'!A:AA,27,FALSE)</f>
        <v>PHX Ireland Group Limited</v>
      </c>
    </row>
    <row r="9" spans="1:14">
      <c r="A9" s="7" t="s">
        <v>192</v>
      </c>
      <c r="B9" s="2" t="s">
        <v>1573</v>
      </c>
      <c r="C9" s="2" t="s">
        <v>1309</v>
      </c>
      <c r="D9" s="2" t="s">
        <v>1679</v>
      </c>
      <c r="E9" s="2" t="s">
        <v>192</v>
      </c>
      <c r="F9" s="2" t="s">
        <v>1278</v>
      </c>
      <c r="G9" s="2" t="s">
        <v>1279</v>
      </c>
      <c r="H9">
        <f>VLOOKUP(A9,'Export Worksheet'!A:L,6,FALSE)</f>
        <v>50</v>
      </c>
      <c r="I9" t="str">
        <f>VLOOKUP(A9,'Tableau single and bulk'!A:B,2,FALSE)</f>
        <v>NEBAUTO</v>
      </c>
      <c r="K9" s="9">
        <f>VLOOKUP(A9,'Tableau single and bulk'!A:I,9,FALSE)</f>
        <v>45943.537303240744</v>
      </c>
      <c r="L9">
        <f>VLOOKUP(A9,'Tableau single and bulk'!A:L,12,FALSE)</f>
        <v>603888</v>
      </c>
      <c r="M9" t="str">
        <f>VLOOKUP(A9,'Tableau single and bulk'!A:AA,27,FALSE)</f>
        <v>Kerry Group Plc</v>
      </c>
    </row>
    <row r="10" spans="1:14" hidden="1">
      <c r="A10" s="7" t="s">
        <v>1723</v>
      </c>
      <c r="B10" s="2" t="s">
        <v>1324</v>
      </c>
      <c r="C10" s="2" t="s">
        <v>1309</v>
      </c>
      <c r="D10" s="2" t="s">
        <v>1722</v>
      </c>
      <c r="E10" s="2" t="s">
        <v>1723</v>
      </c>
      <c r="F10" s="2" t="s">
        <v>1278</v>
      </c>
      <c r="G10" s="2" t="s">
        <v>1279</v>
      </c>
      <c r="H10" t="e">
        <f>VLOOKUP(A10,'Export Worksheet'!A:L,6,FALSE)</f>
        <v>#N/A</v>
      </c>
      <c r="I10" t="str">
        <f>VLOOKUP(A10,'Tableau single and bulk'!A:B,2,FALSE)</f>
        <v>NESAUTO</v>
      </c>
      <c r="K10" s="9">
        <f>VLOOKUP(A10,'Tableau single and bulk'!A:I,9,FALSE)</f>
        <v>45940.727743055555</v>
      </c>
      <c r="L10">
        <f>VLOOKUP(A10,'Tableau single and bulk'!A:L,12,FALSE)</f>
        <v>609805</v>
      </c>
      <c r="M10" t="str">
        <f>VLOOKUP(A10,'Tableau single and bulk'!A:AA,27,FALSE)</f>
        <v>Aztec Financial Services (Irl) Limited</v>
      </c>
    </row>
    <row r="11" spans="1:14" hidden="1">
      <c r="A11" s="7" t="s">
        <v>1704</v>
      </c>
      <c r="B11" s="2" t="s">
        <v>1324</v>
      </c>
      <c r="C11" s="2" t="s">
        <v>1309</v>
      </c>
      <c r="D11" s="2" t="s">
        <v>1703</v>
      </c>
      <c r="E11" s="2" t="s">
        <v>1704</v>
      </c>
      <c r="F11" s="2" t="s">
        <v>1278</v>
      </c>
      <c r="G11" s="2" t="s">
        <v>1279</v>
      </c>
      <c r="H11" t="e">
        <f>VLOOKUP(A11,'Export Worksheet'!A:L,6,FALSE)</f>
        <v>#N/A</v>
      </c>
      <c r="I11" t="str">
        <f>VLOOKUP(A11,'Tableau single and bulk'!A:B,2,FALSE)</f>
        <v>NESAUTO</v>
      </c>
      <c r="K11" s="9">
        <f>VLOOKUP(A11,'Tableau single and bulk'!A:I,9,FALSE)</f>
        <v>45943.412939814814</v>
      </c>
      <c r="L11">
        <f>VLOOKUP(A11,'Tableau single and bulk'!A:L,12,FALSE)</f>
        <v>609805</v>
      </c>
      <c r="M11" t="str">
        <f>VLOOKUP(A11,'Tableau single and bulk'!A:AA,27,FALSE)</f>
        <v>Aztec Financial Services (Irl) Limited</v>
      </c>
    </row>
    <row r="12" spans="1:14" hidden="1">
      <c r="A12" s="7" t="s">
        <v>1684</v>
      </c>
      <c r="B12" s="2" t="s">
        <v>1368</v>
      </c>
      <c r="C12" s="2" t="s">
        <v>1309</v>
      </c>
      <c r="D12" s="2" t="s">
        <v>1683</v>
      </c>
      <c r="E12" s="2" t="s">
        <v>1684</v>
      </c>
      <c r="F12" s="2" t="s">
        <v>1278</v>
      </c>
      <c r="G12" s="2" t="s">
        <v>1279</v>
      </c>
      <c r="H12" t="e">
        <f>VLOOKUP(A12,'Export Worksheet'!A:L,6,FALSE)</f>
        <v>#N/A</v>
      </c>
      <c r="I12" t="str">
        <f>VLOOKUP(A12,'Tableau single and bulk'!A:B,2,FALSE)</f>
        <v>NESAUTO</v>
      </c>
      <c r="K12" s="9">
        <f>VLOOKUP(A12,'Tableau single and bulk'!A:I,9,FALSE)</f>
        <v>45943.500925925924</v>
      </c>
      <c r="L12">
        <f>VLOOKUP(A12,'Tableau single and bulk'!A:L,12,FALSE)</f>
        <v>603261</v>
      </c>
      <c r="M12" t="str">
        <f>VLOOKUP(A12,'Tableau single and bulk'!A:AA,27,FALSE)</f>
        <v>Euler Hermes Services Ireland Ltd</v>
      </c>
    </row>
    <row r="13" spans="1:14">
      <c r="A13" s="7" t="s">
        <v>895</v>
      </c>
      <c r="B13" s="2" t="s">
        <v>1277</v>
      </c>
      <c r="C13" s="2" t="s">
        <v>1309</v>
      </c>
      <c r="D13" s="2" t="s">
        <v>1655</v>
      </c>
      <c r="E13" s="2" t="s">
        <v>895</v>
      </c>
      <c r="F13" s="2" t="s">
        <v>1278</v>
      </c>
      <c r="G13" s="2" t="s">
        <v>1279</v>
      </c>
      <c r="H13">
        <f>VLOOKUP(A13,'Export Worksheet'!A:L,6,FALSE)</f>
        <v>1</v>
      </c>
      <c r="I13" t="str">
        <f>VLOOKUP(A13,'Tableau single and bulk'!A:B,2,FALSE)</f>
        <v>NEBAUTO</v>
      </c>
      <c r="K13" s="9">
        <f>VLOOKUP(A13,'Tableau single and bulk'!A:I,9,FALSE)</f>
        <v>45943.664120370369</v>
      </c>
      <c r="L13">
        <f>VLOOKUP(A13,'Tableau single and bulk'!A:L,12,FALSE)</f>
        <v>603616</v>
      </c>
      <c r="M13" t="str">
        <f>VLOOKUP(A13,'Tableau single and bulk'!A:AA,27,FALSE)</f>
        <v>Google Ireland Limited</v>
      </c>
    </row>
    <row r="14" spans="1:14">
      <c r="A14" s="7" t="s">
        <v>589</v>
      </c>
      <c r="B14" s="2" t="s">
        <v>1277</v>
      </c>
      <c r="C14" s="2" t="s">
        <v>1309</v>
      </c>
      <c r="D14" s="2" t="s">
        <v>1983</v>
      </c>
      <c r="E14" s="2" t="s">
        <v>589</v>
      </c>
      <c r="F14" s="2" t="s">
        <v>1278</v>
      </c>
      <c r="G14" s="2" t="s">
        <v>1279</v>
      </c>
      <c r="H14">
        <f>VLOOKUP(A14,'Export Worksheet'!A:L,6,FALSE)</f>
        <v>1</v>
      </c>
      <c r="I14" t="str">
        <f>VLOOKUP(A14,'Tableau single and bulk'!A:B,2,FALSE)</f>
        <v>NEBAUTO</v>
      </c>
      <c r="K14" s="9">
        <f>VLOOKUP(A14,'Tableau single and bulk'!A:I,9,FALSE)</f>
        <v>45938.624131944445</v>
      </c>
      <c r="L14">
        <f>VLOOKUP(A14,'Tableau single and bulk'!A:L,12,FALSE)</f>
        <v>603640</v>
      </c>
      <c r="M14" t="str">
        <f>VLOOKUP(A14,'Tableau single and bulk'!A:AA,27,FALSE)</f>
        <v>Petrogas Group Limited</v>
      </c>
    </row>
    <row r="15" spans="1:14">
      <c r="A15" s="7" t="s">
        <v>1785</v>
      </c>
      <c r="B15" s="2" t="s">
        <v>1277</v>
      </c>
      <c r="C15" s="2" t="s">
        <v>1309</v>
      </c>
      <c r="D15" s="2" t="s">
        <v>1784</v>
      </c>
      <c r="E15" s="2" t="s">
        <v>1785</v>
      </c>
      <c r="F15" s="2" t="s">
        <v>1278</v>
      </c>
      <c r="G15" s="2" t="s">
        <v>1279</v>
      </c>
      <c r="H15" t="e">
        <f>VLOOKUP(A15,'Export Worksheet'!A:L,6,FALSE)</f>
        <v>#N/A</v>
      </c>
      <c r="I15" t="str">
        <f>VLOOKUP(A15,'Tableau single and bulk'!A:B,2,FALSE)</f>
        <v>NEBAUTO</v>
      </c>
      <c r="K15" s="9">
        <f>VLOOKUP(A15,'Tableau single and bulk'!A:I,9,FALSE)</f>
        <v>45940.440428240741</v>
      </c>
      <c r="L15">
        <f>VLOOKUP(A15,'Tableau single and bulk'!A:L,12,FALSE)</f>
        <v>608020</v>
      </c>
      <c r="M15" t="str">
        <f>VLOOKUP(A15,'Tableau single and bulk'!A:AA,27,FALSE)</f>
        <v>Renaissance Services of Europe Limited</v>
      </c>
      <c r="N15" s="2" t="s">
        <v>2334</v>
      </c>
    </row>
    <row r="16" spans="1:14">
      <c r="A16" s="7" t="s">
        <v>835</v>
      </c>
      <c r="B16" s="2" t="s">
        <v>1277</v>
      </c>
      <c r="C16" s="2" t="s">
        <v>1309</v>
      </c>
      <c r="D16" s="2" t="s">
        <v>1982</v>
      </c>
      <c r="E16" s="2" t="s">
        <v>835</v>
      </c>
      <c r="F16" s="2" t="s">
        <v>1278</v>
      </c>
      <c r="G16" s="2" t="s">
        <v>1279</v>
      </c>
      <c r="H16">
        <f>VLOOKUP(A16,'Export Worksheet'!A:L,6,FALSE)</f>
        <v>1</v>
      </c>
      <c r="I16" t="str">
        <f>VLOOKUP(A16,'Tableau single and bulk'!A:B,2,FALSE)</f>
        <v>NEBAUTO</v>
      </c>
      <c r="K16" s="9">
        <f>VLOOKUP(A16,'Tableau single and bulk'!A:I,9,FALSE)</f>
        <v>45938.626782407409</v>
      </c>
      <c r="L16">
        <f>VLOOKUP(A16,'Tableau single and bulk'!A:L,12,FALSE)</f>
        <v>603640</v>
      </c>
      <c r="M16" t="str">
        <f>VLOOKUP(A16,'Tableau single and bulk'!A:AA,27,FALSE)</f>
        <v>Petrogas Group Limited</v>
      </c>
    </row>
    <row r="17" spans="1:15">
      <c r="A17" s="7" t="s">
        <v>404</v>
      </c>
      <c r="B17" s="2" t="s">
        <v>1277</v>
      </c>
      <c r="C17" s="2" t="s">
        <v>1309</v>
      </c>
      <c r="D17" s="2" t="s">
        <v>1763</v>
      </c>
      <c r="E17" s="2" t="s">
        <v>404</v>
      </c>
      <c r="F17" s="2" t="s">
        <v>1278</v>
      </c>
      <c r="G17" s="2" t="s">
        <v>1279</v>
      </c>
      <c r="H17">
        <f>VLOOKUP(A17,'Export Worksheet'!A:L,6,FALSE)</f>
        <v>29</v>
      </c>
      <c r="I17" t="str">
        <f>VLOOKUP(A17,'Tableau single and bulk'!A:B,2,FALSE)</f>
        <v>NEBAUTO</v>
      </c>
      <c r="K17" s="9">
        <f>VLOOKUP(A17,'Tableau single and bulk'!A:I,9,FALSE)</f>
        <v>45940.502581018518</v>
      </c>
      <c r="L17">
        <f>VLOOKUP(A17,'Tableau single and bulk'!A:L,12,FALSE)</f>
        <v>609862</v>
      </c>
      <c r="M17" t="str">
        <f>VLOOKUP(A17,'Tableau single and bulk'!A:AA,27,FALSE)</f>
        <v>Dunnes Stores Unlimited Company</v>
      </c>
    </row>
    <row r="18" spans="1:15" hidden="1">
      <c r="A18" s="7" t="s">
        <v>1688</v>
      </c>
      <c r="B18" s="2" t="s">
        <v>1324</v>
      </c>
      <c r="C18" s="2" t="s">
        <v>1309</v>
      </c>
      <c r="D18" s="2" t="s">
        <v>1687</v>
      </c>
      <c r="E18" s="2" t="s">
        <v>1688</v>
      </c>
      <c r="F18" s="2" t="s">
        <v>1278</v>
      </c>
      <c r="G18" s="2" t="s">
        <v>1279</v>
      </c>
      <c r="H18" t="e">
        <f>VLOOKUP(A18,'Export Worksheet'!A:L,6,FALSE)</f>
        <v>#N/A</v>
      </c>
      <c r="I18" t="str">
        <f>VLOOKUP(A18,'Tableau single and bulk'!A:B,2,FALSE)</f>
        <v>NESAUTO</v>
      </c>
      <c r="K18" s="9">
        <f>VLOOKUP(A18,'Tableau single and bulk'!A:I,9,FALSE)</f>
        <v>45943.492199074077</v>
      </c>
      <c r="L18">
        <f>VLOOKUP(A18,'Tableau single and bulk'!A:L,12,FALSE)</f>
        <v>609844</v>
      </c>
      <c r="M18" t="str">
        <f>VLOOKUP(A18,'Tableau single and bulk'!A:AA,27,FALSE)</f>
        <v>Kitman Labs Limited</v>
      </c>
    </row>
    <row r="19" spans="1:15">
      <c r="A19" s="7" t="s">
        <v>605</v>
      </c>
      <c r="B19" s="2" t="s">
        <v>1570</v>
      </c>
      <c r="C19" s="2" t="s">
        <v>1309</v>
      </c>
      <c r="D19" s="2" t="s">
        <v>1724</v>
      </c>
      <c r="E19" s="2" t="s">
        <v>605</v>
      </c>
      <c r="F19" s="2" t="s">
        <v>1278</v>
      </c>
      <c r="G19" s="2" t="s">
        <v>1279</v>
      </c>
      <c r="H19">
        <f>VLOOKUP(A19,'Export Worksheet'!A:L,6,FALSE)</f>
        <v>1</v>
      </c>
      <c r="I19" t="str">
        <f>VLOOKUP(A19,'Tableau single and bulk'!A:B,2,FALSE)</f>
        <v>NEBAUTO</v>
      </c>
      <c r="K19" s="9">
        <f>VLOOKUP(A19,'Tableau single and bulk'!A:I,9,FALSE)</f>
        <v>45940.720891203702</v>
      </c>
      <c r="L19">
        <f>VLOOKUP(A19,'Tableau single and bulk'!A:L,12,FALSE)</f>
        <v>603485</v>
      </c>
      <c r="M19" t="str">
        <f>VLOOKUP(A19,'Tableau single and bulk'!A:AA,27,FALSE)</f>
        <v>Coupa Operations Inc.</v>
      </c>
    </row>
    <row r="20" spans="1:15" hidden="1">
      <c r="A20" s="7" t="s">
        <v>1690</v>
      </c>
      <c r="B20" s="2" t="s">
        <v>1362</v>
      </c>
      <c r="C20" s="2" t="s">
        <v>1309</v>
      </c>
      <c r="D20" s="2" t="s">
        <v>1689</v>
      </c>
      <c r="E20" s="2" t="s">
        <v>1690</v>
      </c>
      <c r="F20" s="2" t="s">
        <v>1278</v>
      </c>
      <c r="G20" s="2" t="s">
        <v>1279</v>
      </c>
      <c r="H20" t="e">
        <f>VLOOKUP(A20,'Export Worksheet'!A:L,6,FALSE)</f>
        <v>#N/A</v>
      </c>
      <c r="I20" t="str">
        <f>VLOOKUP(A20,'Tableau single and bulk'!A:B,2,FALSE)</f>
        <v>NESAUTO</v>
      </c>
      <c r="K20" s="9">
        <f>VLOOKUP(A20,'Tableau single and bulk'!A:I,9,FALSE)</f>
        <v>45943.486331018517</v>
      </c>
      <c r="L20">
        <f>VLOOKUP(A20,'Tableau single and bulk'!A:L,12,FALSE)</f>
        <v>602712</v>
      </c>
      <c r="M20" t="str">
        <f>VLOOKUP(A20,'Tableau single and bulk'!A:AA,27,FALSE)</f>
        <v>MUNSTER CATTLE BREEDING GROUP LTD</v>
      </c>
    </row>
    <row r="21" spans="1:15">
      <c r="A21" s="7" t="s">
        <v>837</v>
      </c>
      <c r="B21" s="2" t="s">
        <v>1277</v>
      </c>
      <c r="C21" s="2" t="s">
        <v>1309</v>
      </c>
      <c r="D21" s="2" t="s">
        <v>1973</v>
      </c>
      <c r="E21" s="2" t="s">
        <v>837</v>
      </c>
      <c r="F21" s="2" t="s">
        <v>1278</v>
      </c>
      <c r="G21" s="2" t="s">
        <v>1279</v>
      </c>
      <c r="H21">
        <f>VLOOKUP(A21,'Export Worksheet'!A:L,6,FALSE)</f>
        <v>1</v>
      </c>
      <c r="I21" t="str">
        <f>VLOOKUP(A21,'Tableau single and bulk'!A:B,2,FALSE)</f>
        <v>NEBAUTO</v>
      </c>
      <c r="K21" s="9">
        <f>VLOOKUP(A21,'Tableau single and bulk'!A:I,9,FALSE)</f>
        <v>45938.654270833336</v>
      </c>
      <c r="L21">
        <f>VLOOKUP(A21,'Tableau single and bulk'!A:L,12,FALSE)</f>
        <v>603914</v>
      </c>
      <c r="M21" t="str">
        <f>VLOOKUP(A21,'Tableau single and bulk'!A:AA,27,FALSE)</f>
        <v>Capventis Limited</v>
      </c>
    </row>
    <row r="22" spans="1:15">
      <c r="A22" s="7" t="s">
        <v>61</v>
      </c>
      <c r="B22" s="2" t="s">
        <v>1358</v>
      </c>
      <c r="C22" s="2" t="s">
        <v>1309</v>
      </c>
      <c r="D22" s="2" t="s">
        <v>1359</v>
      </c>
      <c r="E22" s="2" t="s">
        <v>61</v>
      </c>
      <c r="F22" s="2" t="s">
        <v>1278</v>
      </c>
      <c r="G22" s="2" t="s">
        <v>1279</v>
      </c>
      <c r="H22">
        <f>VLOOKUP(A22,'Export Worksheet'!A:L,6,FALSE)</f>
        <v>6</v>
      </c>
      <c r="I22" t="str">
        <f>VLOOKUP(A22,'Tableau single and bulk'!A:B,2,FALSE)</f>
        <v>NEBAUTO</v>
      </c>
      <c r="K22" s="9">
        <f>VLOOKUP(A22,'Tableau single and bulk'!A:I,9,FALSE)</f>
        <v>45946.605138888888</v>
      </c>
      <c r="L22">
        <f>VLOOKUP(A22,'Tableau single and bulk'!A:L,12,FALSE)</f>
        <v>601157</v>
      </c>
      <c r="M22" t="str">
        <f>VLOOKUP(A22,'Tableau single and bulk'!A:AA,27,FALSE)</f>
        <v>Paddy Denby Engineering Ltd</v>
      </c>
    </row>
    <row r="23" spans="1:15">
      <c r="A23" s="7" t="s">
        <v>773</v>
      </c>
      <c r="B23" s="2" t="s">
        <v>1729</v>
      </c>
      <c r="C23" s="2" t="s">
        <v>1309</v>
      </c>
      <c r="D23" s="2" t="s">
        <v>1783</v>
      </c>
      <c r="E23" s="2" t="s">
        <v>773</v>
      </c>
      <c r="F23" s="2" t="s">
        <v>1278</v>
      </c>
      <c r="G23" s="2" t="s">
        <v>1279</v>
      </c>
      <c r="H23">
        <f>VLOOKUP(A23,'Export Worksheet'!A:L,6,FALSE)</f>
        <v>1</v>
      </c>
      <c r="I23" t="str">
        <f>VLOOKUP(A23,'Tableau single and bulk'!A:B,2,FALSE)</f>
        <v>NEBAUTO</v>
      </c>
      <c r="K23" s="9">
        <f>VLOOKUP(A23,'Tableau single and bulk'!A:I,9,FALSE)</f>
        <v>45940.455092592594</v>
      </c>
      <c r="L23">
        <f>VLOOKUP(A23,'Tableau single and bulk'!A:L,12,FALSE)</f>
        <v>602420</v>
      </c>
      <c r="M23" t="str">
        <f>VLOOKUP(A23,'Tableau single and bulk'!A:AA,27,FALSE)</f>
        <v>Netgear International Limited</v>
      </c>
    </row>
    <row r="24" spans="1:15">
      <c r="A24" s="7" t="s">
        <v>1671</v>
      </c>
      <c r="B24" s="2" t="s">
        <v>1277</v>
      </c>
      <c r="C24" s="2" t="s">
        <v>1309</v>
      </c>
      <c r="D24" s="2" t="s">
        <v>1670</v>
      </c>
      <c r="E24" s="2" t="s">
        <v>1671</v>
      </c>
      <c r="F24" s="2" t="s">
        <v>1278</v>
      </c>
      <c r="G24" s="2" t="s">
        <v>1279</v>
      </c>
      <c r="H24" t="e">
        <f>VLOOKUP(A24,'Export Worksheet'!A:L,6,FALSE)</f>
        <v>#N/A</v>
      </c>
      <c r="I24" t="str">
        <f>VLOOKUP(A24,'Tableau single and bulk'!A:B,2,FALSE)</f>
        <v>NEBAUTO</v>
      </c>
      <c r="K24" s="9">
        <f>VLOOKUP(A24,'Tableau single and bulk'!A:I,9,FALSE)</f>
        <v>45943.625023148146</v>
      </c>
      <c r="L24">
        <f>VLOOKUP(A24,'Tableau single and bulk'!A:L,12,FALSE)</f>
        <v>603524</v>
      </c>
      <c r="M24" t="str">
        <f>VLOOKUP(A24,'Tableau single and bulk'!A:AA,27,FALSE)</f>
        <v>Riot Games Limited</v>
      </c>
      <c r="N24" t="s">
        <v>10471</v>
      </c>
      <c r="O24" t="s">
        <v>10472</v>
      </c>
    </row>
    <row r="25" spans="1:15">
      <c r="A25" s="7" t="s">
        <v>184</v>
      </c>
      <c r="B25" s="2" t="s">
        <v>1769</v>
      </c>
      <c r="C25" s="2" t="s">
        <v>1309</v>
      </c>
      <c r="D25" s="2" t="s">
        <v>1770</v>
      </c>
      <c r="E25" s="2" t="s">
        <v>184</v>
      </c>
      <c r="F25" s="2" t="s">
        <v>1278</v>
      </c>
      <c r="G25" s="2" t="s">
        <v>1279</v>
      </c>
      <c r="H25">
        <f>VLOOKUP(A25,'Export Worksheet'!A:L,6,FALSE)</f>
        <v>9</v>
      </c>
      <c r="I25" t="str">
        <f>VLOOKUP(A25,'Tableau single and bulk'!A:B,2,FALSE)</f>
        <v>NEBAUTO</v>
      </c>
      <c r="K25" s="9">
        <f>VLOOKUP(A25,'Tableau single and bulk'!A:I,9,FALSE)</f>
        <v>45940.492974537039</v>
      </c>
      <c r="L25">
        <f>VLOOKUP(A25,'Tableau single and bulk'!A:L,12,FALSE)</f>
        <v>602377</v>
      </c>
      <c r="M25" t="str">
        <f>VLOOKUP(A25,'Tableau single and bulk'!A:AA,27,FALSE)</f>
        <v>Veolia Energy Ser Ireland Ltd</v>
      </c>
    </row>
    <row r="26" spans="1:15" hidden="1">
      <c r="A26" s="7" t="s">
        <v>1695</v>
      </c>
      <c r="B26" s="2" t="s">
        <v>1433</v>
      </c>
      <c r="C26" s="2" t="s">
        <v>1309</v>
      </c>
      <c r="D26" s="2" t="s">
        <v>1694</v>
      </c>
      <c r="E26" s="2" t="s">
        <v>1695</v>
      </c>
      <c r="F26" s="2" t="s">
        <v>1278</v>
      </c>
      <c r="G26" s="2" t="s">
        <v>1279</v>
      </c>
      <c r="H26" t="e">
        <f>VLOOKUP(A26,'Export Worksheet'!A:L,6,FALSE)</f>
        <v>#N/A</v>
      </c>
      <c r="I26" t="str">
        <f>VLOOKUP(A26,'Tableau single and bulk'!A:B,2,FALSE)</f>
        <v>NESAUTO</v>
      </c>
      <c r="K26" s="9">
        <f>VLOOKUP(A26,'Tableau single and bulk'!A:I,9,FALSE)</f>
        <v>45943.475173611114</v>
      </c>
      <c r="L26">
        <f>VLOOKUP(A26,'Tableau single and bulk'!A:L,12,FALSE)</f>
        <v>603651</v>
      </c>
      <c r="M26" t="str">
        <f>VLOOKUP(A26,'Tableau single and bulk'!A:AA,27,FALSE)</f>
        <v>Specialist Technical Engineering Serv.</v>
      </c>
    </row>
    <row r="27" spans="1:15">
      <c r="A27" s="7" t="s">
        <v>390</v>
      </c>
      <c r="B27" s="2" t="s">
        <v>1277</v>
      </c>
      <c r="C27" s="2" t="s">
        <v>1309</v>
      </c>
      <c r="D27" s="2" t="s">
        <v>1964</v>
      </c>
      <c r="E27" s="2" t="s">
        <v>390</v>
      </c>
      <c r="F27" s="2" t="s">
        <v>1278</v>
      </c>
      <c r="G27" s="2" t="s">
        <v>1279</v>
      </c>
      <c r="H27">
        <f>VLOOKUP(A27,'Export Worksheet'!A:L,6,FALSE)</f>
        <v>24</v>
      </c>
      <c r="I27" t="str">
        <f>VLOOKUP(A27,'Tableau single and bulk'!A:B,2,FALSE)</f>
        <v>NEBAUTO</v>
      </c>
      <c r="K27" s="9">
        <f>VLOOKUP(A27,'Tableau single and bulk'!A:I,9,FALSE)</f>
        <v>45938.765451388892</v>
      </c>
      <c r="L27">
        <f>VLOOKUP(A27,'Tableau single and bulk'!A:L,12,FALSE)</f>
        <v>603358</v>
      </c>
      <c r="M27" t="str">
        <f>VLOOKUP(A27,'Tableau single and bulk'!A:AA,27,FALSE)</f>
        <v>Arachas Corporate Brokers Ltd</v>
      </c>
    </row>
    <row r="28" spans="1:15">
      <c r="A28" s="7" t="s">
        <v>406</v>
      </c>
      <c r="B28" s="2" t="s">
        <v>1653</v>
      </c>
      <c r="C28" s="2" t="s">
        <v>1309</v>
      </c>
      <c r="D28" s="2" t="s">
        <v>1654</v>
      </c>
      <c r="E28" s="2" t="s">
        <v>406</v>
      </c>
      <c r="F28" s="2" t="s">
        <v>1278</v>
      </c>
      <c r="G28" s="2" t="s">
        <v>1279</v>
      </c>
      <c r="H28">
        <f>VLOOKUP(A28,'Export Worksheet'!A:L,6,FALSE)</f>
        <v>17</v>
      </c>
      <c r="I28" t="str">
        <f>VLOOKUP(A28,'Tableau single and bulk'!A:B,2,FALSE)</f>
        <v>NEBAUTO</v>
      </c>
      <c r="K28" s="9">
        <f>VLOOKUP(A28,'Tableau single and bulk'!A:I,9,FALSE)</f>
        <v>45943.674074074072</v>
      </c>
      <c r="L28">
        <f>VLOOKUP(A28,'Tableau single and bulk'!A:L,12,FALSE)</f>
        <v>603578</v>
      </c>
      <c r="M28" t="str">
        <f>VLOOKUP(A28,'Tableau single and bulk'!A:AA,27,FALSE)</f>
        <v>Vow Europe Limited</v>
      </c>
    </row>
    <row r="29" spans="1:15" hidden="1">
      <c r="A29" s="7" t="s">
        <v>1666</v>
      </c>
      <c r="B29" s="2" t="s">
        <v>1664</v>
      </c>
      <c r="C29" s="2" t="s">
        <v>1309</v>
      </c>
      <c r="D29" s="2" t="s">
        <v>1665</v>
      </c>
      <c r="E29" s="2" t="s">
        <v>1666</v>
      </c>
      <c r="F29" s="2" t="s">
        <v>1278</v>
      </c>
      <c r="G29" s="2" t="s">
        <v>1279</v>
      </c>
      <c r="H29" t="e">
        <f>VLOOKUP(A29,'Export Worksheet'!A:L,6,FALSE)</f>
        <v>#N/A</v>
      </c>
      <c r="I29" t="str">
        <f>VLOOKUP(A29,'Tableau single and bulk'!A:B,2,FALSE)</f>
        <v>NESAUTO</v>
      </c>
      <c r="K29" s="9">
        <f>VLOOKUP(A29,'Tableau single and bulk'!A:I,9,FALSE)</f>
        <v>45943.638460648152</v>
      </c>
      <c r="L29">
        <f>VLOOKUP(A29,'Tableau single and bulk'!A:L,12,FALSE)</f>
        <v>605381</v>
      </c>
      <c r="M29" t="str">
        <f>VLOOKUP(A29,'Tableau single and bulk'!A:AA,27,FALSE)</f>
        <v>Castlehitt Limited</v>
      </c>
    </row>
    <row r="30" spans="1:15">
      <c r="A30" s="7" t="s">
        <v>658</v>
      </c>
      <c r="B30" s="2" t="s">
        <v>1285</v>
      </c>
      <c r="C30" s="2" t="s">
        <v>1309</v>
      </c>
      <c r="D30" s="2" t="s">
        <v>1597</v>
      </c>
      <c r="E30" s="2" t="s">
        <v>658</v>
      </c>
      <c r="F30" s="2" t="s">
        <v>1278</v>
      </c>
      <c r="G30" s="2" t="s">
        <v>1279</v>
      </c>
      <c r="H30">
        <f>VLOOKUP(A30,'Export Worksheet'!A:L,6,FALSE)</f>
        <v>22</v>
      </c>
      <c r="I30" t="str">
        <f>VLOOKUP(A30,'Tableau single and bulk'!A:B,2,FALSE)</f>
        <v>NEBAUTO</v>
      </c>
      <c r="K30" s="9">
        <f>VLOOKUP(A30,'Tableau single and bulk'!A:I,9,FALSE)</f>
        <v>45944.516296296293</v>
      </c>
      <c r="L30">
        <f>VLOOKUP(A30,'Tableau single and bulk'!A:L,12,FALSE)</f>
        <v>602375</v>
      </c>
      <c r="M30" t="str">
        <f>VLOOKUP(A30,'Tableau single and bulk'!A:AA,27,FALSE)</f>
        <v>Beacon Hospital</v>
      </c>
    </row>
    <row r="31" spans="1:15">
      <c r="A31" s="7" t="s">
        <v>662</v>
      </c>
      <c r="B31" s="2" t="s">
        <v>1562</v>
      </c>
      <c r="C31" s="2" t="s">
        <v>1309</v>
      </c>
      <c r="D31" s="2" t="s">
        <v>1563</v>
      </c>
      <c r="E31" s="2" t="s">
        <v>662</v>
      </c>
      <c r="F31" s="2" t="s">
        <v>1278</v>
      </c>
      <c r="G31" s="2" t="s">
        <v>1279</v>
      </c>
      <c r="H31">
        <f>VLOOKUP(A31,'Export Worksheet'!A:L,6,FALSE)</f>
        <v>5</v>
      </c>
      <c r="I31" t="str">
        <f>VLOOKUP(A31,'Tableau single and bulk'!A:B,2,FALSE)</f>
        <v>NEBAUTO</v>
      </c>
      <c r="K31" s="9">
        <f>VLOOKUP(A31,'Tableau single and bulk'!A:I,9,FALSE)</f>
        <v>45944.654988425929</v>
      </c>
      <c r="L31">
        <f>VLOOKUP(A31,'Tableau single and bulk'!A:L,12,FALSE)</f>
        <v>602903</v>
      </c>
      <c r="M31" t="str">
        <f>VLOOKUP(A31,'Tableau single and bulk'!A:AA,27,FALSE)</f>
        <v>Brown Thomas Arnotts Limited</v>
      </c>
    </row>
    <row r="32" spans="1:15" hidden="1">
      <c r="A32" s="7" t="s">
        <v>1711</v>
      </c>
      <c r="B32" s="2" t="s">
        <v>1425</v>
      </c>
      <c r="C32" s="2" t="s">
        <v>1309</v>
      </c>
      <c r="D32" s="2" t="s">
        <v>1710</v>
      </c>
      <c r="E32" s="2" t="s">
        <v>1711</v>
      </c>
      <c r="F32" s="2" t="s">
        <v>1278</v>
      </c>
      <c r="G32" s="2" t="s">
        <v>1279</v>
      </c>
      <c r="H32" t="e">
        <f>VLOOKUP(A32,'Export Worksheet'!A:L,6,FALSE)</f>
        <v>#N/A</v>
      </c>
      <c r="I32" t="str">
        <f>VLOOKUP(A32,'Tableau single and bulk'!A:B,2,FALSE)</f>
        <v>NESAUTO</v>
      </c>
      <c r="K32" s="9">
        <f>VLOOKUP(A32,'Tableau single and bulk'!A:I,9,FALSE)</f>
        <v>45941.473310185182</v>
      </c>
      <c r="L32">
        <f>VLOOKUP(A32,'Tableau single and bulk'!A:L,12,FALSE)</f>
        <v>602944</v>
      </c>
      <c r="M32" t="str">
        <f>VLOOKUP(A32,'Tableau single and bulk'!A:AA,27,FALSE)</f>
        <v>PATRICK J TOBIN LTD</v>
      </c>
    </row>
    <row r="33" spans="1:14" hidden="1">
      <c r="A33" s="7" t="s">
        <v>1715</v>
      </c>
      <c r="B33" s="2" t="s">
        <v>1425</v>
      </c>
      <c r="C33" s="2" t="s">
        <v>1309</v>
      </c>
      <c r="D33" s="2" t="s">
        <v>1714</v>
      </c>
      <c r="E33" s="2" t="s">
        <v>1715</v>
      </c>
      <c r="F33" s="2" t="s">
        <v>1278</v>
      </c>
      <c r="G33" s="2" t="s">
        <v>1279</v>
      </c>
      <c r="H33" t="e">
        <f>VLOOKUP(A33,'Export Worksheet'!A:L,6,FALSE)</f>
        <v>#N/A</v>
      </c>
      <c r="I33" t="str">
        <f>VLOOKUP(A33,'Tableau single and bulk'!A:B,2,FALSE)</f>
        <v>NESAUTO</v>
      </c>
      <c r="K33" s="9">
        <f>VLOOKUP(A33,'Tableau single and bulk'!A:I,9,FALSE)</f>
        <v>45941.470543981479</v>
      </c>
      <c r="L33">
        <f>VLOOKUP(A33,'Tableau single and bulk'!A:L,12,FALSE)</f>
        <v>602944</v>
      </c>
      <c r="M33" t="str">
        <f>VLOOKUP(A33,'Tableau single and bulk'!A:AA,27,FALSE)</f>
        <v>PATRICK J TOBIN LTD</v>
      </c>
    </row>
    <row r="34" spans="1:14" hidden="1">
      <c r="A34" s="7" t="s">
        <v>1713</v>
      </c>
      <c r="B34" s="2" t="s">
        <v>1425</v>
      </c>
      <c r="C34" s="2" t="s">
        <v>1309</v>
      </c>
      <c r="D34" s="2" t="s">
        <v>1712</v>
      </c>
      <c r="E34" s="2" t="s">
        <v>1713</v>
      </c>
      <c r="F34" s="2" t="s">
        <v>1278</v>
      </c>
      <c r="G34" s="2" t="s">
        <v>1279</v>
      </c>
      <c r="H34" t="e">
        <f>VLOOKUP(A34,'Export Worksheet'!A:L,6,FALSE)</f>
        <v>#N/A</v>
      </c>
      <c r="I34" t="str">
        <f>VLOOKUP(A34,'Tableau single and bulk'!A:B,2,FALSE)</f>
        <v>NESAUTO</v>
      </c>
      <c r="K34" s="9">
        <f>VLOOKUP(A34,'Tableau single and bulk'!A:I,9,FALSE)</f>
        <v>45941.472719907404</v>
      </c>
      <c r="L34">
        <f>VLOOKUP(A34,'Tableau single and bulk'!A:L,12,FALSE)</f>
        <v>602944</v>
      </c>
      <c r="M34" t="str">
        <f>VLOOKUP(A34,'Tableau single and bulk'!A:AA,27,FALSE)</f>
        <v>PATRICK J TOBIN LTD</v>
      </c>
    </row>
    <row r="35" spans="1:14" hidden="1">
      <c r="A35" s="7" t="s">
        <v>1717</v>
      </c>
      <c r="B35" s="2" t="s">
        <v>1425</v>
      </c>
      <c r="C35" s="2" t="s">
        <v>1309</v>
      </c>
      <c r="D35" s="2" t="s">
        <v>1716</v>
      </c>
      <c r="E35" s="2" t="s">
        <v>1717</v>
      </c>
      <c r="F35" s="2" t="s">
        <v>1278</v>
      </c>
      <c r="G35" s="2" t="s">
        <v>1279</v>
      </c>
      <c r="H35" t="e">
        <f>VLOOKUP(A35,'Export Worksheet'!A:L,6,FALSE)</f>
        <v>#N/A</v>
      </c>
      <c r="I35" t="str">
        <f>VLOOKUP(A35,'Tableau single and bulk'!A:B,2,FALSE)</f>
        <v>NESAUTO</v>
      </c>
      <c r="K35" s="9">
        <f>VLOOKUP(A35,'Tableau single and bulk'!A:I,9,FALSE)</f>
        <v>45941.446435185186</v>
      </c>
      <c r="L35">
        <f>VLOOKUP(A35,'Tableau single and bulk'!A:L,12,FALSE)</f>
        <v>602944</v>
      </c>
      <c r="M35" t="str">
        <f>VLOOKUP(A35,'Tableau single and bulk'!A:AA,27,FALSE)</f>
        <v>PATRICK J TOBIN LTD</v>
      </c>
    </row>
    <row r="36" spans="1:14">
      <c r="A36" s="7" t="s">
        <v>779</v>
      </c>
      <c r="B36" s="2" t="s">
        <v>1312</v>
      </c>
      <c r="C36" s="2" t="s">
        <v>1309</v>
      </c>
      <c r="D36" s="2" t="s">
        <v>1686</v>
      </c>
      <c r="E36" s="2" t="s">
        <v>779</v>
      </c>
      <c r="F36" s="2" t="s">
        <v>1278</v>
      </c>
      <c r="G36" s="2" t="s">
        <v>1279</v>
      </c>
      <c r="H36">
        <f>VLOOKUP(A36,'Export Worksheet'!A:L,6,FALSE)</f>
        <v>1</v>
      </c>
      <c r="I36" t="str">
        <f>VLOOKUP(A36,'Tableau single and bulk'!A:B,2,FALSE)</f>
        <v>NEBAUTO</v>
      </c>
      <c r="K36" s="9">
        <f>VLOOKUP(A36,'Tableau single and bulk'!A:I,9,FALSE)</f>
        <v>45943.494895833333</v>
      </c>
      <c r="L36">
        <f>VLOOKUP(A36,'Tableau single and bulk'!A:L,12,FALSE)</f>
        <v>606934</v>
      </c>
      <c r="M36" t="str">
        <f>VLOOKUP(A36,'Tableau single and bulk'!A:AA,27,FALSE)</f>
        <v>Apleona Ireland Limited</v>
      </c>
    </row>
    <row r="37" spans="1:14" hidden="1">
      <c r="A37" s="7" t="s">
        <v>1615</v>
      </c>
      <c r="B37" s="2" t="s">
        <v>1470</v>
      </c>
      <c r="C37" s="2" t="s">
        <v>1309</v>
      </c>
      <c r="D37" s="2" t="s">
        <v>1614</v>
      </c>
      <c r="E37" s="2" t="s">
        <v>1615</v>
      </c>
      <c r="F37" s="2" t="s">
        <v>1278</v>
      </c>
      <c r="G37" s="2" t="s">
        <v>1279</v>
      </c>
      <c r="H37" t="e">
        <f>VLOOKUP(A37,'Export Worksheet'!A:L,6,FALSE)</f>
        <v>#N/A</v>
      </c>
      <c r="I37" t="str">
        <f>VLOOKUP(A37,'Tableau single and bulk'!A:B,2,FALSE)</f>
        <v>NESAUTO</v>
      </c>
      <c r="K37" s="9">
        <f>VLOOKUP(A37,'Tableau single and bulk'!A:I,9,FALSE)</f>
        <v>45944.429872685185</v>
      </c>
      <c r="L37">
        <f>VLOOKUP(A37,'Tableau single and bulk'!A:L,12,FALSE)</f>
        <v>609841</v>
      </c>
      <c r="M37" t="str">
        <f>VLOOKUP(A37,'Tableau single and bulk'!A:AA,27,FALSE)</f>
        <v>Galway Clinic Doughiska Unltd Co</v>
      </c>
    </row>
    <row r="38" spans="1:14">
      <c r="A38" s="7" t="s">
        <v>395</v>
      </c>
      <c r="B38" s="2" t="s">
        <v>1277</v>
      </c>
      <c r="C38" s="2" t="s">
        <v>1309</v>
      </c>
      <c r="D38" s="2" t="s">
        <v>1943</v>
      </c>
      <c r="E38" s="2" t="s">
        <v>395</v>
      </c>
      <c r="F38" s="2" t="s">
        <v>1278</v>
      </c>
      <c r="G38" s="2" t="s">
        <v>1279</v>
      </c>
      <c r="H38">
        <f>VLOOKUP(A38,'Export Worksheet'!A:L,6,FALSE)</f>
        <v>1</v>
      </c>
      <c r="I38" t="str">
        <f>VLOOKUP(A38,'Tableau single and bulk'!A:B,2,FALSE)</f>
        <v>NEBAUTO</v>
      </c>
      <c r="K38" s="9">
        <f>VLOOKUP(A38,'Tableau single and bulk'!A:I,9,FALSE)</f>
        <v>45939.494363425925</v>
      </c>
      <c r="L38">
        <f>VLOOKUP(A38,'Tableau single and bulk'!A:L,12,FALSE)</f>
        <v>602032</v>
      </c>
      <c r="M38" t="str">
        <f>VLOOKUP(A38,'Tableau single and bulk'!A:AA,27,FALSE)</f>
        <v>Presentation Brothers (Ireland)</v>
      </c>
    </row>
    <row r="39" spans="1:14">
      <c r="A39" s="7" t="s">
        <v>596</v>
      </c>
      <c r="B39" s="2" t="s">
        <v>1277</v>
      </c>
      <c r="C39" s="2" t="s">
        <v>1309</v>
      </c>
      <c r="D39" s="2" t="s">
        <v>1950</v>
      </c>
      <c r="E39" s="2" t="s">
        <v>596</v>
      </c>
      <c r="F39" s="2" t="s">
        <v>1278</v>
      </c>
      <c r="G39" s="2" t="s">
        <v>1279</v>
      </c>
      <c r="H39">
        <f>VLOOKUP(A39,'Export Worksheet'!A:L,6,FALSE)</f>
        <v>1</v>
      </c>
      <c r="I39" t="str">
        <f>VLOOKUP(A39,'Tableau single and bulk'!A:B,2,FALSE)</f>
        <v>NEBAUTO</v>
      </c>
      <c r="K39" s="9">
        <f>VLOOKUP(A39,'Tableau single and bulk'!A:I,9,FALSE)</f>
        <v>45939.480393518519</v>
      </c>
      <c r="L39">
        <f>VLOOKUP(A39,'Tableau single and bulk'!A:L,12,FALSE)</f>
        <v>602408</v>
      </c>
      <c r="M39" t="str">
        <f>VLOOKUP(A39,'Tableau single and bulk'!A:AA,27,FALSE)</f>
        <v>Aimware Limited</v>
      </c>
    </row>
    <row r="40" spans="1:14">
      <c r="A40" s="7" t="s">
        <v>642</v>
      </c>
      <c r="B40" s="2" t="s">
        <v>1301</v>
      </c>
      <c r="C40" s="2" t="s">
        <v>1309</v>
      </c>
      <c r="D40" s="2" t="s">
        <v>1620</v>
      </c>
      <c r="E40" s="2" t="s">
        <v>642</v>
      </c>
      <c r="F40" s="2" t="s">
        <v>1278</v>
      </c>
      <c r="G40" s="2" t="s">
        <v>1279</v>
      </c>
      <c r="H40">
        <f>VLOOKUP(A40,'Export Worksheet'!A:L,6,FALSE)</f>
        <v>4</v>
      </c>
      <c r="I40" t="str">
        <f>VLOOKUP(A40,'Tableau single and bulk'!A:B,2,FALSE)</f>
        <v>NEBAUTO</v>
      </c>
      <c r="K40" s="9">
        <f>VLOOKUP(A40,'Tableau single and bulk'!A:I,9,FALSE)</f>
        <v>45944.421377314815</v>
      </c>
      <c r="L40">
        <f>VLOOKUP(A40,'Tableau single and bulk'!A:L,12,FALSE)</f>
        <v>605268</v>
      </c>
      <c r="M40" t="str">
        <f>VLOOKUP(A40,'Tableau single and bulk'!A:AA,27,FALSE)</f>
        <v>Project Management Limited</v>
      </c>
    </row>
    <row r="41" spans="1:14" hidden="1">
      <c r="A41" s="7" t="s">
        <v>1701</v>
      </c>
      <c r="B41" s="2" t="s">
        <v>1699</v>
      </c>
      <c r="C41" s="2" t="s">
        <v>1309</v>
      </c>
      <c r="D41" s="2" t="s">
        <v>1700</v>
      </c>
      <c r="E41" s="2" t="s">
        <v>1701</v>
      </c>
      <c r="F41" s="2" t="s">
        <v>1278</v>
      </c>
      <c r="G41" s="2" t="s">
        <v>1279</v>
      </c>
      <c r="H41" t="e">
        <f>VLOOKUP(A41,'Export Worksheet'!A:L,6,FALSE)</f>
        <v>#N/A</v>
      </c>
      <c r="I41" t="str">
        <f>VLOOKUP(A41,'Tableau single and bulk'!A:B,2,FALSE)</f>
        <v>NESAUTO</v>
      </c>
      <c r="K41" s="9">
        <f>VLOOKUP(A41,'Tableau single and bulk'!A:I,9,FALSE)</f>
        <v>45943.445972222224</v>
      </c>
      <c r="L41">
        <f>VLOOKUP(A41,'Tableau single and bulk'!A:L,12,FALSE)</f>
        <v>602719</v>
      </c>
      <c r="M41" t="str">
        <f>VLOOKUP(A41,'Tableau single and bulk'!A:AA,27,FALSE)</f>
        <v>Roadstone Limited</v>
      </c>
    </row>
    <row r="42" spans="1:14">
      <c r="A42" s="7" t="s">
        <v>1611</v>
      </c>
      <c r="B42" s="2" t="s">
        <v>1277</v>
      </c>
      <c r="C42" s="2" t="s">
        <v>1309</v>
      </c>
      <c r="D42" s="2" t="s">
        <v>1610</v>
      </c>
      <c r="E42" s="2" t="s">
        <v>1611</v>
      </c>
      <c r="F42" s="2" t="s">
        <v>1278</v>
      </c>
      <c r="G42" s="2" t="s">
        <v>1279</v>
      </c>
      <c r="H42" t="e">
        <f>VLOOKUP(A42,'Export Worksheet'!A:L,6,FALSE)</f>
        <v>#N/A</v>
      </c>
      <c r="I42" t="str">
        <f>VLOOKUP(A42,'Tableau single and bulk'!A:B,2,FALSE)</f>
        <v>NEBAUTO</v>
      </c>
      <c r="K42" s="9">
        <f>VLOOKUP(A42,'Tableau single and bulk'!A:I,9,FALSE)</f>
        <v>45944.440960648149</v>
      </c>
      <c r="L42">
        <f>VLOOKUP(A42,'Tableau single and bulk'!A:L,12,FALSE)</f>
        <v>603783</v>
      </c>
      <c r="M42" t="str">
        <f>VLOOKUP(A42,'Tableau single and bulk'!A:AA,27,FALSE)</f>
        <v>Kverneland Group Ireland Limited</v>
      </c>
      <c r="N42" t="s">
        <v>10473</v>
      </c>
    </row>
    <row r="43" spans="1:14">
      <c r="A43" s="7" t="s">
        <v>620</v>
      </c>
      <c r="B43" s="2" t="s">
        <v>1277</v>
      </c>
      <c r="C43" s="2" t="s">
        <v>1309</v>
      </c>
      <c r="D43" s="2" t="s">
        <v>1541</v>
      </c>
      <c r="E43" s="2" t="s">
        <v>620</v>
      </c>
      <c r="F43" s="2" t="s">
        <v>1278</v>
      </c>
      <c r="G43" s="2" t="s">
        <v>1279</v>
      </c>
      <c r="H43">
        <f>VLOOKUP(A43,'Export Worksheet'!A:L,6,FALSE)</f>
        <v>7</v>
      </c>
      <c r="I43" t="str">
        <f>VLOOKUP(A43,'Tableau single and bulk'!A:B,2,FALSE)</f>
        <v>NEBAUTO</v>
      </c>
      <c r="K43" s="9">
        <f>VLOOKUP(A43,'Tableau single and bulk'!A:I,9,FALSE)</f>
        <v>45945.387430555558</v>
      </c>
      <c r="L43">
        <f>VLOOKUP(A43,'Tableau single and bulk'!A:L,12,FALSE)</f>
        <v>609743</v>
      </c>
      <c r="M43" t="str">
        <f>VLOOKUP(A43,'Tableau single and bulk'!A:AA,27,FALSE)</f>
        <v>Motorola Solutions UK Ltd (Irl Branch)</v>
      </c>
    </row>
    <row r="44" spans="1:14">
      <c r="A44" s="7" t="s">
        <v>393</v>
      </c>
      <c r="B44" s="2" t="s">
        <v>1277</v>
      </c>
      <c r="C44" s="2" t="s">
        <v>1309</v>
      </c>
      <c r="D44" s="2" t="s">
        <v>1951</v>
      </c>
      <c r="E44" s="2" t="s">
        <v>393</v>
      </c>
      <c r="F44" s="2" t="s">
        <v>1278</v>
      </c>
      <c r="G44" s="2" t="s">
        <v>1279</v>
      </c>
      <c r="H44">
        <f>VLOOKUP(A44,'Export Worksheet'!A:L,6,FALSE)</f>
        <v>3</v>
      </c>
      <c r="I44" t="str">
        <f>VLOOKUP(A44,'Tableau single and bulk'!A:B,2,FALSE)</f>
        <v>NEBAUTO</v>
      </c>
      <c r="K44" s="9">
        <f>VLOOKUP(A44,'Tableau single and bulk'!A:I,9,FALSE)</f>
        <v>45939.465439814812</v>
      </c>
      <c r="L44">
        <f>VLOOKUP(A44,'Tableau single and bulk'!A:L,12,FALSE)</f>
        <v>603612</v>
      </c>
      <c r="M44" t="str">
        <f>VLOOKUP(A44,'Tableau single and bulk'!A:AA,27,FALSE)</f>
        <v>Stauntons Pharmacy Limited</v>
      </c>
    </row>
    <row r="45" spans="1:14">
      <c r="A45" s="7" t="s">
        <v>883</v>
      </c>
      <c r="B45" s="2" t="s">
        <v>1277</v>
      </c>
      <c r="C45" s="2" t="s">
        <v>1309</v>
      </c>
      <c r="D45" s="2" t="s">
        <v>1540</v>
      </c>
      <c r="E45" s="2" t="s">
        <v>883</v>
      </c>
      <c r="F45" s="2" t="s">
        <v>1278</v>
      </c>
      <c r="G45" s="2" t="s">
        <v>1279</v>
      </c>
      <c r="H45">
        <f>VLOOKUP(A45,'Export Worksheet'!A:L,6,FALSE)</f>
        <v>1</v>
      </c>
      <c r="I45" t="str">
        <f>VLOOKUP(A45,'Tableau single and bulk'!A:B,2,FALSE)</f>
        <v>NEBAUTO</v>
      </c>
      <c r="K45" s="9">
        <f>VLOOKUP(A45,'Tableau single and bulk'!A:I,9,FALSE)</f>
        <v>45945.387916666667</v>
      </c>
      <c r="L45">
        <f>VLOOKUP(A45,'Tableau single and bulk'!A:L,12,FALSE)</f>
        <v>609755</v>
      </c>
      <c r="M45" t="str">
        <f>VLOOKUP(A45,'Tableau single and bulk'!A:AA,27,FALSE)</f>
        <v>MSL Healthcare Ltd</v>
      </c>
    </row>
    <row r="46" spans="1:14">
      <c r="A46" s="7" t="s">
        <v>1768</v>
      </c>
      <c r="B46" s="2" t="s">
        <v>1277</v>
      </c>
      <c r="C46" s="2" t="s">
        <v>1309</v>
      </c>
      <c r="D46" s="2" t="s">
        <v>1767</v>
      </c>
      <c r="E46" s="2" t="s">
        <v>1768</v>
      </c>
      <c r="F46" s="2" t="s">
        <v>1278</v>
      </c>
      <c r="G46" s="2" t="s">
        <v>1279</v>
      </c>
      <c r="H46" t="e">
        <f>VLOOKUP(A46,'Export Worksheet'!A:L,6,FALSE)</f>
        <v>#N/A</v>
      </c>
      <c r="I46" t="str">
        <f>VLOOKUP(A46,'Tableau single and bulk'!A:B,2,FALSE)</f>
        <v>NEBAUTO</v>
      </c>
      <c r="K46" s="9">
        <f>VLOOKUP(A46,'Tableau single and bulk'!A:I,9,FALSE)</f>
        <v>45940.495613425926</v>
      </c>
      <c r="L46">
        <f>VLOOKUP(A46,'Tableau single and bulk'!A:L,12,FALSE)</f>
        <v>608028</v>
      </c>
      <c r="M46" t="str">
        <f>VLOOKUP(A46,'Tableau single and bulk'!A:AA,27,FALSE)</f>
        <v>Apple</v>
      </c>
      <c r="N46" t="s">
        <v>10471</v>
      </c>
    </row>
    <row r="47" spans="1:14">
      <c r="A47" s="7" t="s">
        <v>647</v>
      </c>
      <c r="B47" s="2" t="s">
        <v>1616</v>
      </c>
      <c r="C47" s="2" t="s">
        <v>1309</v>
      </c>
      <c r="D47" s="2" t="s">
        <v>1617</v>
      </c>
      <c r="E47" s="2" t="s">
        <v>647</v>
      </c>
      <c r="F47" s="2" t="s">
        <v>1278</v>
      </c>
      <c r="G47" s="2" t="s">
        <v>1279</v>
      </c>
      <c r="H47">
        <f>VLOOKUP(A47,'Export Worksheet'!A:L,6,FALSE)</f>
        <v>4</v>
      </c>
      <c r="I47" t="str">
        <f>VLOOKUP(A47,'Tableau single and bulk'!A:B,2,FALSE)</f>
        <v>NEBAUTO</v>
      </c>
      <c r="K47" s="9">
        <f>VLOOKUP(A47,'Tableau single and bulk'!A:I,9,FALSE)</f>
        <v>45944.42863425926</v>
      </c>
      <c r="L47">
        <f>VLOOKUP(A47,'Tableau single and bulk'!A:L,12,FALSE)</f>
        <v>605239</v>
      </c>
      <c r="M47" t="str">
        <f>VLOOKUP(A47,'Tableau single and bulk'!A:AA,27,FALSE)</f>
        <v>Arctera International Limited</v>
      </c>
    </row>
    <row r="48" spans="1:14">
      <c r="A48" s="7" t="s">
        <v>1936</v>
      </c>
      <c r="B48" s="2" t="s">
        <v>1277</v>
      </c>
      <c r="C48" s="2" t="s">
        <v>1309</v>
      </c>
      <c r="D48" s="2" t="s">
        <v>1935</v>
      </c>
      <c r="E48" s="2" t="s">
        <v>1936</v>
      </c>
      <c r="F48" s="2" t="s">
        <v>1278</v>
      </c>
      <c r="G48" s="2" t="s">
        <v>1279</v>
      </c>
      <c r="H48" t="e">
        <f>VLOOKUP(A48,'Export Worksheet'!A:L,6,FALSE)</f>
        <v>#N/A</v>
      </c>
      <c r="I48" t="str">
        <f>VLOOKUP(A48,'Tableau single and bulk'!A:B,2,FALSE)</f>
        <v>NEBAUTO</v>
      </c>
      <c r="K48" s="9">
        <f>VLOOKUP(A48,'Tableau single and bulk'!A:I,9,FALSE)</f>
        <v>45939.506469907406</v>
      </c>
      <c r="L48">
        <f>VLOOKUP(A48,'Tableau single and bulk'!A:L,12,FALSE)</f>
        <v>605064</v>
      </c>
      <c r="M48" t="str">
        <f>VLOOKUP(A48,'Tableau single and bulk'!A:AA,27,FALSE)</f>
        <v>Bristow Ireland Limited</v>
      </c>
      <c r="N48" t="s">
        <v>2334</v>
      </c>
    </row>
    <row r="49" spans="1:15" hidden="1">
      <c r="A49" s="7" t="s">
        <v>1629</v>
      </c>
      <c r="B49" s="2" t="s">
        <v>1324</v>
      </c>
      <c r="C49" s="2" t="s">
        <v>1309</v>
      </c>
      <c r="D49" s="2" t="s">
        <v>1628</v>
      </c>
      <c r="E49" s="2" t="s">
        <v>1629</v>
      </c>
      <c r="F49" s="2" t="s">
        <v>1278</v>
      </c>
      <c r="G49" s="2" t="s">
        <v>1279</v>
      </c>
      <c r="H49" t="e">
        <f>VLOOKUP(A49,'Export Worksheet'!A:L,6,FALSE)</f>
        <v>#N/A</v>
      </c>
      <c r="I49" t="str">
        <f>VLOOKUP(A49,'Tableau single and bulk'!A:B,2,FALSE)</f>
        <v>NESAUTO</v>
      </c>
      <c r="K49" s="9">
        <f>VLOOKUP(A49,'Tableau single and bulk'!A:I,9,FALSE)</f>
        <v>45944.411898148152</v>
      </c>
      <c r="L49">
        <f>VLOOKUP(A49,'Tableau single and bulk'!A:L,12,FALSE)</f>
        <v>606951</v>
      </c>
      <c r="M49" t="str">
        <f>VLOOKUP(A49,'Tableau single and bulk'!A:AA,27,FALSE)</f>
        <v>Boxever Limited</v>
      </c>
    </row>
    <row r="50" spans="1:15">
      <c r="A50" s="7" t="s">
        <v>1607</v>
      </c>
      <c r="B50" s="2" t="s">
        <v>1324</v>
      </c>
      <c r="C50" s="2" t="s">
        <v>1309</v>
      </c>
      <c r="D50" s="2" t="s">
        <v>1606</v>
      </c>
      <c r="E50" s="2" t="s">
        <v>1607</v>
      </c>
      <c r="F50" s="2" t="s">
        <v>1278</v>
      </c>
      <c r="G50" s="2" t="s">
        <v>1279</v>
      </c>
      <c r="H50" t="e">
        <f>VLOOKUP(A50,'Export Worksheet'!A:L,6,FALSE)</f>
        <v>#N/A</v>
      </c>
      <c r="I50" t="str">
        <f>VLOOKUP(A50,'Tableau single and bulk'!A:B,2,FALSE)</f>
        <v>NEBAUTO</v>
      </c>
      <c r="K50" s="9">
        <f>VLOOKUP(A50,'Tableau single and bulk'!A:I,9,FALSE)</f>
        <v>45944.455370370371</v>
      </c>
      <c r="L50">
        <f>VLOOKUP(A50,'Tableau single and bulk'!A:L,12,FALSE)</f>
        <v>609839</v>
      </c>
      <c r="M50" t="str">
        <f>VLOOKUP(A50,'Tableau single and bulk'!A:AA,27,FALSE)</f>
        <v>Viatris Pension Plan</v>
      </c>
      <c r="N50" s="2" t="s">
        <v>10473</v>
      </c>
    </row>
    <row r="51" spans="1:15">
      <c r="A51" s="7" t="s">
        <v>769</v>
      </c>
      <c r="B51" s="2" t="s">
        <v>1277</v>
      </c>
      <c r="C51" s="2" t="s">
        <v>1309</v>
      </c>
      <c r="D51" s="2" t="s">
        <v>1849</v>
      </c>
      <c r="E51" s="2" t="s">
        <v>769</v>
      </c>
      <c r="F51" s="2" t="s">
        <v>1278</v>
      </c>
      <c r="G51" s="2" t="s">
        <v>1279</v>
      </c>
      <c r="H51">
        <f>VLOOKUP(A51,'Export Worksheet'!A:L,6,FALSE)</f>
        <v>1</v>
      </c>
      <c r="I51" t="str">
        <f>VLOOKUP(A51,'Tableau single and bulk'!A:B,2,FALSE)</f>
        <v>NEBAUTO</v>
      </c>
      <c r="K51" s="9">
        <f>VLOOKUP(A51,'Tableau single and bulk'!A:I,9,FALSE)</f>
        <v>45939.531631944446</v>
      </c>
      <c r="L51">
        <f>VLOOKUP(A51,'Tableau single and bulk'!A:L,12,FALSE)</f>
        <v>606850</v>
      </c>
      <c r="M51" t="str">
        <f>VLOOKUP(A51,'Tableau single and bulk'!A:AA,27,FALSE)</f>
        <v>Tente Limited Employee Benefits Plan</v>
      </c>
    </row>
    <row r="52" spans="1:15" hidden="1">
      <c r="A52" s="7" t="s">
        <v>1623</v>
      </c>
      <c r="B52" s="2" t="s">
        <v>1368</v>
      </c>
      <c r="C52" s="2" t="s">
        <v>1309</v>
      </c>
      <c r="D52" s="2" t="s">
        <v>1622</v>
      </c>
      <c r="E52" s="2" t="s">
        <v>1623</v>
      </c>
      <c r="F52" s="2" t="s">
        <v>1278</v>
      </c>
      <c r="G52" s="2" t="s">
        <v>1279</v>
      </c>
      <c r="H52" t="e">
        <f>VLOOKUP(A52,'Export Worksheet'!A:L,6,FALSE)</f>
        <v>#N/A</v>
      </c>
      <c r="I52" t="str">
        <f>VLOOKUP(A52,'Tableau single and bulk'!A:B,2,FALSE)</f>
        <v>NESAUTO</v>
      </c>
      <c r="K52" s="9">
        <f>VLOOKUP(A52,'Tableau single and bulk'!A:I,9,FALSE)</f>
        <v>45944.417210648149</v>
      </c>
      <c r="L52">
        <f>VLOOKUP(A52,'Tableau single and bulk'!A:L,12,FALSE)</f>
        <v>602656</v>
      </c>
      <c r="M52" t="str">
        <f>VLOOKUP(A52,'Tableau single and bulk'!A:AA,27,FALSE)</f>
        <v>Horse Sport Ireland Ltd</v>
      </c>
    </row>
    <row r="53" spans="1:15">
      <c r="A53" s="7" t="s">
        <v>651</v>
      </c>
      <c r="B53" s="2" t="s">
        <v>1612</v>
      </c>
      <c r="C53" s="2" t="s">
        <v>1309</v>
      </c>
      <c r="D53" s="2" t="s">
        <v>1613</v>
      </c>
      <c r="E53" s="2" t="s">
        <v>651</v>
      </c>
      <c r="F53" s="2" t="s">
        <v>1278</v>
      </c>
      <c r="G53" s="2" t="s">
        <v>1279</v>
      </c>
      <c r="H53">
        <f>VLOOKUP(A53,'Export Worksheet'!A:L,6,FALSE)</f>
        <v>2</v>
      </c>
      <c r="I53" t="str">
        <f>VLOOKUP(A53,'Tableau single and bulk'!A:B,2,FALSE)</f>
        <v>NEBAUTO</v>
      </c>
      <c r="K53" s="9">
        <f>VLOOKUP(A53,'Tableau single and bulk'!A:I,9,FALSE)</f>
        <v>45944.435752314814</v>
      </c>
      <c r="L53">
        <f>VLOOKUP(A53,'Tableau single and bulk'!A:L,12,FALSE)</f>
        <v>603754</v>
      </c>
      <c r="M53" t="str">
        <f>VLOOKUP(A53,'Tableau single and bulk'!A:AA,27,FALSE)</f>
        <v>GoTo Technologies Ireland Unlimited Co.</v>
      </c>
    </row>
    <row r="54" spans="1:15" hidden="1">
      <c r="A54" s="7" t="s">
        <v>1719</v>
      </c>
      <c r="B54" s="2" t="s">
        <v>1418</v>
      </c>
      <c r="C54" s="2" t="s">
        <v>1309</v>
      </c>
      <c r="D54" s="2" t="s">
        <v>1718</v>
      </c>
      <c r="E54" s="2" t="s">
        <v>1719</v>
      </c>
      <c r="F54" s="2" t="s">
        <v>1278</v>
      </c>
      <c r="G54" s="2" t="s">
        <v>1279</v>
      </c>
      <c r="H54" t="e">
        <f>VLOOKUP(A54,'Export Worksheet'!A:L,6,FALSE)</f>
        <v>#N/A</v>
      </c>
      <c r="I54" t="str">
        <f>VLOOKUP(A54,'Tableau single and bulk'!A:B,2,FALSE)</f>
        <v>NESAUTO</v>
      </c>
      <c r="K54" s="9">
        <f>VLOOKUP(A54,'Tableau single and bulk'!A:I,9,FALSE)</f>
        <v>45941.441770833335</v>
      </c>
      <c r="L54">
        <f>VLOOKUP(A54,'Tableau single and bulk'!A:L,12,FALSE)</f>
        <v>601397</v>
      </c>
      <c r="M54" t="str">
        <f>VLOOKUP(A54,'Tableau single and bulk'!A:AA,27,FALSE)</f>
        <v>Tokyo Electron Europe Ltd</v>
      </c>
    </row>
    <row r="55" spans="1:15">
      <c r="A55" s="7" t="s">
        <v>622</v>
      </c>
      <c r="B55" s="2" t="s">
        <v>1277</v>
      </c>
      <c r="C55" s="2" t="s">
        <v>1309</v>
      </c>
      <c r="D55" s="2" t="s">
        <v>1659</v>
      </c>
      <c r="E55" s="2" t="s">
        <v>622</v>
      </c>
      <c r="F55" s="2" t="s">
        <v>1278</v>
      </c>
      <c r="G55" s="2" t="s">
        <v>1279</v>
      </c>
      <c r="H55">
        <f>VLOOKUP(A55,'Export Worksheet'!A:L,6,FALSE)</f>
        <v>1</v>
      </c>
      <c r="I55" t="str">
        <f>VLOOKUP(A55,'Tableau single and bulk'!A:B,2,FALSE)</f>
        <v>NEBAUTO</v>
      </c>
      <c r="K55" s="9">
        <f>VLOOKUP(A55,'Tableau single and bulk'!A:I,9,FALSE)</f>
        <v>45943.654664351852</v>
      </c>
      <c r="L55">
        <f>VLOOKUP(A55,'Tableau single and bulk'!A:L,12,FALSE)</f>
        <v>603768</v>
      </c>
      <c r="M55" t="str">
        <f>VLOOKUP(A55,'Tableau single and bulk'!A:AA,27,FALSE)</f>
        <v>Natures Best Limited</v>
      </c>
    </row>
    <row r="56" spans="1:15" hidden="1">
      <c r="A56" s="7" t="s">
        <v>1721</v>
      </c>
      <c r="B56" s="2" t="s">
        <v>1418</v>
      </c>
      <c r="C56" s="2" t="s">
        <v>1309</v>
      </c>
      <c r="D56" s="2" t="s">
        <v>1720</v>
      </c>
      <c r="E56" s="2" t="s">
        <v>1721</v>
      </c>
      <c r="F56" s="2" t="s">
        <v>1278</v>
      </c>
      <c r="G56" s="2" t="s">
        <v>1279</v>
      </c>
      <c r="H56" t="e">
        <f>VLOOKUP(A56,'Export Worksheet'!A:L,6,FALSE)</f>
        <v>#N/A</v>
      </c>
      <c r="I56" t="str">
        <f>VLOOKUP(A56,'Tableau single and bulk'!A:B,2,FALSE)</f>
        <v>NESAUTO</v>
      </c>
      <c r="K56" s="9">
        <f>VLOOKUP(A56,'Tableau single and bulk'!A:I,9,FALSE)</f>
        <v>45941.439722222225</v>
      </c>
      <c r="L56">
        <f>VLOOKUP(A56,'Tableau single and bulk'!A:L,12,FALSE)</f>
        <v>601397</v>
      </c>
      <c r="M56" t="str">
        <f>VLOOKUP(A56,'Tableau single and bulk'!A:AA,27,FALSE)</f>
        <v>Tokyo Electron Europe Ltd</v>
      </c>
    </row>
    <row r="57" spans="1:15">
      <c r="A57" s="7" t="s">
        <v>181</v>
      </c>
      <c r="B57" s="2" t="s">
        <v>1277</v>
      </c>
      <c r="C57" s="2" t="s">
        <v>1309</v>
      </c>
      <c r="D57" s="2" t="s">
        <v>1809</v>
      </c>
      <c r="E57" s="2" t="s">
        <v>181</v>
      </c>
      <c r="F57" s="2" t="s">
        <v>1278</v>
      </c>
      <c r="G57" s="2" t="s">
        <v>1279</v>
      </c>
      <c r="H57">
        <f>VLOOKUP(A57,'Export Worksheet'!A:L,6,FALSE)</f>
        <v>61</v>
      </c>
      <c r="I57" t="str">
        <f>VLOOKUP(A57,'Tableau single and bulk'!A:B,2,FALSE)</f>
        <v>NEBAUTO</v>
      </c>
      <c r="K57" s="9">
        <f>VLOOKUP(A57,'Tableau single and bulk'!A:I,9,FALSE)</f>
        <v>45939.669525462959</v>
      </c>
      <c r="L57">
        <f>VLOOKUP(A57,'Tableau single and bulk'!A:L,12,FALSE)</f>
        <v>606821</v>
      </c>
      <c r="M57" t="str">
        <f>VLOOKUP(A57,'Tableau single and bulk'!A:AA,27,FALSE)</f>
        <v>Siemens Energy Ireland Limited</v>
      </c>
    </row>
    <row r="58" spans="1:15">
      <c r="A58" s="7" t="s">
        <v>1161</v>
      </c>
      <c r="B58" s="2" t="s">
        <v>1277</v>
      </c>
      <c r="C58" s="2" t="s">
        <v>1309</v>
      </c>
      <c r="D58" s="2" t="s">
        <v>1586</v>
      </c>
      <c r="E58" s="2" t="s">
        <v>1161</v>
      </c>
      <c r="F58" s="2" t="s">
        <v>1278</v>
      </c>
      <c r="G58" s="2" t="s">
        <v>1279</v>
      </c>
      <c r="H58">
        <f>VLOOKUP(A58,'Export Worksheet'!A:L,6,FALSE)</f>
        <v>18</v>
      </c>
      <c r="I58" t="str">
        <f>VLOOKUP(A58,'Tableau single and bulk'!A:B,2,FALSE)</f>
        <v>NEBAUTO</v>
      </c>
      <c r="K58" s="9">
        <f>VLOOKUP(A58,'Tableau single and bulk'!A:I,9,FALSE)</f>
        <v>45944.590810185182</v>
      </c>
      <c r="L58">
        <f>VLOOKUP(A58,'Tableau single and bulk'!A:L,12,FALSE)</f>
        <v>608028</v>
      </c>
      <c r="M58" t="str">
        <f>VLOOKUP(A58,'Tableau single and bulk'!A:AA,27,FALSE)</f>
        <v>Apple</v>
      </c>
    </row>
    <row r="59" spans="1:15">
      <c r="A59" s="7" t="s">
        <v>695</v>
      </c>
      <c r="B59" s="2" t="s">
        <v>1277</v>
      </c>
      <c r="C59" s="2" t="s">
        <v>1309</v>
      </c>
      <c r="D59" s="2" t="s">
        <v>1569</v>
      </c>
      <c r="E59" s="2" t="s">
        <v>695</v>
      </c>
      <c r="F59" s="2" t="s">
        <v>1278</v>
      </c>
      <c r="G59" s="2" t="s">
        <v>1279</v>
      </c>
      <c r="H59">
        <f>VLOOKUP(A59,'Export Worksheet'!A:L,6,FALSE)</f>
        <v>2</v>
      </c>
      <c r="I59" t="str">
        <f>VLOOKUP(A59,'Tableau single and bulk'!A:B,2,FALSE)</f>
        <v>NEBAUTO</v>
      </c>
      <c r="K59" s="9">
        <f>VLOOKUP(A59,'Tableau single and bulk'!A:I,9,FALSE)</f>
        <v>45944.62</v>
      </c>
      <c r="L59">
        <f>VLOOKUP(A59,'Tableau single and bulk'!A:L,12,FALSE)</f>
        <v>603525</v>
      </c>
      <c r="M59" t="str">
        <f>VLOOKUP(A59,'Tableau single and bulk'!A:AA,27,FALSE)</f>
        <v>National Advocacy Service</v>
      </c>
    </row>
    <row r="60" spans="1:15">
      <c r="A60" s="7" t="s">
        <v>1075</v>
      </c>
      <c r="B60" s="2" t="s">
        <v>1591</v>
      </c>
      <c r="C60" s="2" t="s">
        <v>1309</v>
      </c>
      <c r="D60" s="2" t="s">
        <v>1592</v>
      </c>
      <c r="E60" s="2" t="s">
        <v>1075</v>
      </c>
      <c r="F60" s="2" t="s">
        <v>1278</v>
      </c>
      <c r="G60" s="2" t="s">
        <v>1279</v>
      </c>
      <c r="H60">
        <f>VLOOKUP(A60,'Export Worksheet'!A:L,6,FALSE)</f>
        <v>7</v>
      </c>
      <c r="I60" t="str">
        <f>VLOOKUP(A60,'Tableau single and bulk'!A:B,2,FALSE)</f>
        <v>NEBAUTO</v>
      </c>
      <c r="K60" s="9">
        <f>VLOOKUP(A60,'Tableau single and bulk'!A:I,9,FALSE)</f>
        <v>45944.578842592593</v>
      </c>
      <c r="L60">
        <f>VLOOKUP(A60,'Tableau single and bulk'!A:L,12,FALSE)</f>
        <v>603965</v>
      </c>
      <c r="M60" t="str">
        <f>VLOOKUP(A60,'Tableau single and bulk'!A:AA,27,FALSE)</f>
        <v>Toasttab Ireland Limited</v>
      </c>
    </row>
    <row r="61" spans="1:15">
      <c r="A61" s="7" t="s">
        <v>691</v>
      </c>
      <c r="B61" s="2" t="s">
        <v>1281</v>
      </c>
      <c r="C61" s="2" t="s">
        <v>1309</v>
      </c>
      <c r="D61" s="2" t="s">
        <v>1580</v>
      </c>
      <c r="E61" s="2" t="s">
        <v>691</v>
      </c>
      <c r="F61" s="2" t="s">
        <v>1278</v>
      </c>
      <c r="G61" s="2" t="s">
        <v>1279</v>
      </c>
      <c r="H61">
        <f>VLOOKUP(A61,'Export Worksheet'!A:L,6,FALSE)</f>
        <v>40</v>
      </c>
      <c r="I61" t="str">
        <f>VLOOKUP(A61,'Tableau single and bulk'!A:B,2,FALSE)</f>
        <v>NEBAUTO</v>
      </c>
      <c r="K61" s="9">
        <f>VLOOKUP(A61,'Tableau single and bulk'!A:I,9,FALSE)</f>
        <v>45944.602777777778</v>
      </c>
      <c r="L61">
        <f>VLOOKUP(A61,'Tableau single and bulk'!A:L,12,FALSE)</f>
        <v>609970</v>
      </c>
      <c r="M61" t="str">
        <f>VLOOKUP(A61,'Tableau single and bulk'!A:AA,27,FALSE)</f>
        <v>BearingPoint Ireland Limited</v>
      </c>
    </row>
    <row r="62" spans="1:15" hidden="1">
      <c r="A62" s="7" t="s">
        <v>1609</v>
      </c>
      <c r="B62" s="2" t="s">
        <v>1470</v>
      </c>
      <c r="C62" s="2" t="s">
        <v>1309</v>
      </c>
      <c r="D62" s="2" t="s">
        <v>1608</v>
      </c>
      <c r="E62" s="2" t="s">
        <v>1609</v>
      </c>
      <c r="F62" s="2" t="s">
        <v>1278</v>
      </c>
      <c r="G62" s="2" t="s">
        <v>1279</v>
      </c>
      <c r="H62" t="e">
        <f>VLOOKUP(A62,'Export Worksheet'!A:L,6,FALSE)</f>
        <v>#N/A</v>
      </c>
      <c r="I62" t="str">
        <f>VLOOKUP(A62,'Tableau single and bulk'!A:B,2,FALSE)</f>
        <v>NESAUTO</v>
      </c>
      <c r="K62" s="9">
        <f>VLOOKUP(A62,'Tableau single and bulk'!A:I,9,FALSE)</f>
        <v>45944.444907407407</v>
      </c>
      <c r="L62">
        <f>VLOOKUP(A62,'Tableau single and bulk'!A:L,12,FALSE)</f>
        <v>609841</v>
      </c>
      <c r="M62" t="str">
        <f>VLOOKUP(A62,'Tableau single and bulk'!A:AA,27,FALSE)</f>
        <v>Galway Clinic Doughiska Unltd Co</v>
      </c>
    </row>
    <row r="63" spans="1:15">
      <c r="A63" s="7" t="s">
        <v>1731</v>
      </c>
      <c r="B63" s="2" t="s">
        <v>1729</v>
      </c>
      <c r="C63" s="2" t="s">
        <v>1309</v>
      </c>
      <c r="D63" s="2" t="s">
        <v>1730</v>
      </c>
      <c r="E63" s="2" t="s">
        <v>1731</v>
      </c>
      <c r="F63" s="2" t="s">
        <v>1278</v>
      </c>
      <c r="G63" s="2" t="s">
        <v>1279</v>
      </c>
      <c r="H63" t="e">
        <f>VLOOKUP(A63,'Export Worksheet'!A:L,6,FALSE)</f>
        <v>#N/A</v>
      </c>
      <c r="I63" t="str">
        <f>VLOOKUP(A63,'Tableau single and bulk'!A:B,2,FALSE)</f>
        <v>NEBAUTO</v>
      </c>
      <c r="K63" s="9">
        <f>VLOOKUP(A63,'Tableau single and bulk'!A:I,9,FALSE)</f>
        <v>45940.680266203701</v>
      </c>
      <c r="L63">
        <f>VLOOKUP(A63,'Tableau single and bulk'!A:L,12,FALSE)</f>
        <v>603691</v>
      </c>
      <c r="M63" t="str">
        <f>VLOOKUP(A63,'Tableau single and bulk'!A:AA,27,FALSE)</f>
        <v>Palo Alto Security Limited</v>
      </c>
      <c r="N63" t="s">
        <v>10473</v>
      </c>
      <c r="O63" t="s">
        <v>10477</v>
      </c>
    </row>
    <row r="64" spans="1:15">
      <c r="A64" s="7" t="s">
        <v>1073</v>
      </c>
      <c r="B64" s="2" t="s">
        <v>1425</v>
      </c>
      <c r="C64" s="2" t="s">
        <v>1309</v>
      </c>
      <c r="D64" s="2" t="s">
        <v>1529</v>
      </c>
      <c r="E64" s="2" t="s">
        <v>1073</v>
      </c>
      <c r="F64" s="2" t="s">
        <v>1278</v>
      </c>
      <c r="G64" s="2" t="s">
        <v>1279</v>
      </c>
      <c r="H64">
        <f>VLOOKUP(A64,'Export Worksheet'!A:L,6,FALSE)</f>
        <v>1</v>
      </c>
      <c r="I64" t="str">
        <f>VLOOKUP(A64,'Tableau single and bulk'!A:B,2,FALSE)</f>
        <v>NEBAUTO</v>
      </c>
      <c r="K64" s="9">
        <f>VLOOKUP(A64,'Tableau single and bulk'!A:I,9,FALSE)</f>
        <v>45945.440659722219</v>
      </c>
      <c r="L64">
        <f>VLOOKUP(A64,'Tableau single and bulk'!A:L,12,FALSE)</f>
        <v>602944</v>
      </c>
      <c r="M64" t="str">
        <f>VLOOKUP(A64,'Tableau single and bulk'!A:AA,27,FALSE)</f>
        <v>PATRICK J TOBIN LTD</v>
      </c>
    </row>
    <row r="65" spans="1:14" hidden="1">
      <c r="A65" s="7" t="s">
        <v>1590</v>
      </c>
      <c r="B65" s="2" t="s">
        <v>1588</v>
      </c>
      <c r="C65" s="2" t="s">
        <v>1309</v>
      </c>
      <c r="D65" s="2" t="s">
        <v>1589</v>
      </c>
      <c r="E65" s="2" t="s">
        <v>1590</v>
      </c>
      <c r="F65" s="2" t="s">
        <v>1278</v>
      </c>
      <c r="G65" s="2" t="s">
        <v>1279</v>
      </c>
      <c r="H65" t="e">
        <f>VLOOKUP(A65,'Export Worksheet'!A:L,6,FALSE)</f>
        <v>#N/A</v>
      </c>
      <c r="I65" t="str">
        <f>VLOOKUP(A65,'Tableau single and bulk'!A:B,2,FALSE)</f>
        <v>NESAUTO</v>
      </c>
      <c r="K65" s="9">
        <f>VLOOKUP(A65,'Tableau single and bulk'!A:I,9,FALSE)</f>
        <v>45944.583182870374</v>
      </c>
      <c r="L65">
        <f>VLOOKUP(A65,'Tableau single and bulk'!A:L,12,FALSE)</f>
        <v>601479</v>
      </c>
      <c r="M65" t="str">
        <f>VLOOKUP(A65,'Tableau single and bulk'!A:AA,27,FALSE)</f>
        <v>ByrneWallace RS Plan</v>
      </c>
    </row>
    <row r="66" spans="1:14" hidden="1">
      <c r="A66" s="7" t="s">
        <v>1619</v>
      </c>
      <c r="B66" s="2" t="s">
        <v>1546</v>
      </c>
      <c r="C66" s="2" t="s">
        <v>1309</v>
      </c>
      <c r="D66" s="2" t="s">
        <v>1618</v>
      </c>
      <c r="E66" s="2" t="s">
        <v>1619</v>
      </c>
      <c r="F66" s="2" t="s">
        <v>1278</v>
      </c>
      <c r="G66" s="2" t="s">
        <v>1279</v>
      </c>
      <c r="H66" t="e">
        <f>VLOOKUP(A66,'Export Worksheet'!A:L,6,FALSE)</f>
        <v>#N/A</v>
      </c>
      <c r="I66" t="str">
        <f>VLOOKUP(A66,'Tableau single and bulk'!A:B,2,FALSE)</f>
        <v>NESAUTO</v>
      </c>
      <c r="K66" s="9">
        <f>VLOOKUP(A66,'Tableau single and bulk'!A:I,9,FALSE)</f>
        <v>45944.427083333336</v>
      </c>
      <c r="L66">
        <f>VLOOKUP(A66,'Tableau single and bulk'!A:L,12,FALSE)</f>
        <v>603833</v>
      </c>
      <c r="M66" t="str">
        <f>VLOOKUP(A66,'Tableau single and bulk'!A:AA,27,FALSE)</f>
        <v>Keeper Security EMEA Limited</v>
      </c>
    </row>
    <row r="67" spans="1:14">
      <c r="A67" s="7" t="s">
        <v>1016</v>
      </c>
      <c r="B67" s="2" t="s">
        <v>1542</v>
      </c>
      <c r="C67" s="2" t="s">
        <v>1309</v>
      </c>
      <c r="D67" s="2" t="s">
        <v>1543</v>
      </c>
      <c r="E67" s="2" t="s">
        <v>1016</v>
      </c>
      <c r="F67" s="2" t="s">
        <v>1278</v>
      </c>
      <c r="G67" s="2" t="s">
        <v>1279</v>
      </c>
      <c r="H67">
        <f>VLOOKUP(A67,'Export Worksheet'!A:L,6,FALSE)</f>
        <v>1</v>
      </c>
      <c r="I67" t="str">
        <f>VLOOKUP(A67,'Tableau single and bulk'!A:B,2,FALSE)</f>
        <v>NEBAUTO</v>
      </c>
      <c r="K67" s="9">
        <f>VLOOKUP(A67,'Tableau single and bulk'!A:I,9,FALSE)</f>
        <v>45945.387372685182</v>
      </c>
      <c r="L67">
        <f>VLOOKUP(A67,'Tableau single and bulk'!A:L,12,FALSE)</f>
        <v>606901</v>
      </c>
      <c r="M67" t="str">
        <f>VLOOKUP(A67,'Tableau single and bulk'!A:AA,27,FALSE)</f>
        <v>Killarney Hotels Limited</v>
      </c>
    </row>
    <row r="68" spans="1:14" hidden="1">
      <c r="A68" s="7" t="s">
        <v>1554</v>
      </c>
      <c r="B68" s="2" t="s">
        <v>1405</v>
      </c>
      <c r="C68" s="2" t="s">
        <v>1309</v>
      </c>
      <c r="D68" s="2" t="s">
        <v>1553</v>
      </c>
      <c r="E68" s="2" t="s">
        <v>1554</v>
      </c>
      <c r="F68" s="2" t="s">
        <v>1278</v>
      </c>
      <c r="G68" s="2" t="s">
        <v>1279</v>
      </c>
      <c r="H68" t="e">
        <f>VLOOKUP(A68,'Export Worksheet'!A:L,6,FALSE)</f>
        <v>#N/A</v>
      </c>
      <c r="I68" t="str">
        <f>VLOOKUP(A68,'Tableau single and bulk'!A:B,2,FALSE)</f>
        <v>NESAUTO</v>
      </c>
      <c r="K68" s="9">
        <f>VLOOKUP(A68,'Tableau single and bulk'!A:I,9,FALSE)</f>
        <v>45944.689641203702</v>
      </c>
      <c r="L68">
        <f>VLOOKUP(A68,'Tableau single and bulk'!A:L,12,FALSE)</f>
        <v>603165</v>
      </c>
      <c r="M68" t="str">
        <f>VLOOKUP(A68,'Tableau single and bulk'!A:AA,27,FALSE)</f>
        <v>Ethos Engineering Limited</v>
      </c>
    </row>
    <row r="69" spans="1:14">
      <c r="A69" s="7" t="s">
        <v>415</v>
      </c>
      <c r="B69" s="2" t="s">
        <v>1593</v>
      </c>
      <c r="C69" s="2" t="s">
        <v>1309</v>
      </c>
      <c r="D69" s="2" t="s">
        <v>1594</v>
      </c>
      <c r="E69" s="2" t="s">
        <v>415</v>
      </c>
      <c r="F69" s="2" t="s">
        <v>1278</v>
      </c>
      <c r="G69" s="2" t="s">
        <v>1279</v>
      </c>
      <c r="H69">
        <f>VLOOKUP(A69,'Export Worksheet'!A:L,6,FALSE)</f>
        <v>13</v>
      </c>
      <c r="I69" t="str">
        <f>VLOOKUP(A69,'Tableau single and bulk'!A:B,2,FALSE)</f>
        <v>NEBAUTO</v>
      </c>
      <c r="K69" s="9">
        <f>VLOOKUP(A69,'Tableau single and bulk'!A:I,9,FALSE)</f>
        <v>45944.559629629628</v>
      </c>
      <c r="L69">
        <f>VLOOKUP(A69,'Tableau single and bulk'!A:L,12,FALSE)</f>
        <v>602254</v>
      </c>
      <c r="M69" t="str">
        <f>VLOOKUP(A69,'Tableau single and bulk'!A:AA,27,FALSE)</f>
        <v>East Cork Oil Company Unlimited Company</v>
      </c>
    </row>
    <row r="70" spans="1:14">
      <c r="A70" s="7" t="s">
        <v>693</v>
      </c>
      <c r="B70" s="2" t="s">
        <v>692</v>
      </c>
      <c r="C70" s="2" t="s">
        <v>1309</v>
      </c>
      <c r="D70" s="2" t="s">
        <v>1577</v>
      </c>
      <c r="E70" s="2" t="s">
        <v>693</v>
      </c>
      <c r="F70" s="2" t="s">
        <v>1278</v>
      </c>
      <c r="G70" s="2" t="s">
        <v>1279</v>
      </c>
      <c r="H70">
        <f>VLOOKUP(A70,'Export Worksheet'!A:L,6,FALSE)</f>
        <v>1</v>
      </c>
      <c r="I70" t="str">
        <f>VLOOKUP(A70,'Tableau single and bulk'!A:B,2,FALSE)</f>
        <v>NEBAUTO</v>
      </c>
      <c r="K70" s="9">
        <f>VLOOKUP(A70,'Tableau single and bulk'!A:I,9,FALSE)</f>
        <v>45944.608888888892</v>
      </c>
      <c r="L70">
        <f>VLOOKUP(A70,'Tableau single and bulk'!A:L,12,FALSE)</f>
        <v>606859</v>
      </c>
      <c r="M70" t="str">
        <f>VLOOKUP(A70,'Tableau single and bulk'!A:AA,27,FALSE)</f>
        <v>Opening HR Limited</v>
      </c>
    </row>
    <row r="71" spans="1:14">
      <c r="A71" s="7" t="s">
        <v>1775</v>
      </c>
      <c r="B71" s="2" t="s">
        <v>1773</v>
      </c>
      <c r="C71" s="2" t="s">
        <v>1309</v>
      </c>
      <c r="D71" s="2" t="s">
        <v>1774</v>
      </c>
      <c r="E71" s="2" t="s">
        <v>1775</v>
      </c>
      <c r="F71" s="2" t="s">
        <v>1278</v>
      </c>
      <c r="G71" s="2" t="s">
        <v>1279</v>
      </c>
      <c r="H71" t="e">
        <f>VLOOKUP(A71,'Export Worksheet'!A:L,6,FALSE)</f>
        <v>#N/A</v>
      </c>
      <c r="I71" t="str">
        <f>VLOOKUP(A71,'Tableau single and bulk'!A:B,2,FALSE)</f>
        <v>NEBAUTO</v>
      </c>
      <c r="K71" s="9">
        <f>VLOOKUP(A71,'Tableau single and bulk'!A:I,9,FALSE)</f>
        <v>45940.479513888888</v>
      </c>
      <c r="L71">
        <f>VLOOKUP(A71,'Tableau single and bulk'!A:L,12,FALSE)</f>
        <v>603658</v>
      </c>
      <c r="M71" t="str">
        <f>VLOOKUP(A71,'Tableau single and bulk'!A:AA,27,FALSE)</f>
        <v>Smartply Europe DAC</v>
      </c>
    </row>
    <row r="72" spans="1:14">
      <c r="A72" s="7" t="s">
        <v>409</v>
      </c>
      <c r="B72" s="2" t="s">
        <v>1637</v>
      </c>
      <c r="C72" s="2" t="s">
        <v>1309</v>
      </c>
      <c r="D72" s="2" t="s">
        <v>1638</v>
      </c>
      <c r="E72" s="2" t="s">
        <v>409</v>
      </c>
      <c r="F72" s="2" t="s">
        <v>1278</v>
      </c>
      <c r="G72" s="2" t="s">
        <v>1279</v>
      </c>
      <c r="H72">
        <f>VLOOKUP(A72,'Export Worksheet'!A:L,6,FALSE)</f>
        <v>1</v>
      </c>
      <c r="I72" t="str">
        <f>VLOOKUP(A72,'Tableau single and bulk'!A:B,2,FALSE)</f>
        <v>NEBAUTO</v>
      </c>
      <c r="K72" s="9">
        <f>VLOOKUP(A72,'Tableau single and bulk'!A:I,9,FALSE)</f>
        <v>45944.38521990741</v>
      </c>
      <c r="L72">
        <f>VLOOKUP(A72,'Tableau single and bulk'!A:L,12,FALSE)</f>
        <v>609707</v>
      </c>
      <c r="M72" t="str">
        <f>VLOOKUP(A72,'Tableau single and bulk'!A:AA,27,FALSE)</f>
        <v>NFVSP Waterford Intellectual Disability</v>
      </c>
    </row>
    <row r="73" spans="1:14">
      <c r="A73" s="7" t="s">
        <v>667</v>
      </c>
      <c r="B73" s="2" t="s">
        <v>1375</v>
      </c>
      <c r="C73" s="2" t="s">
        <v>1309</v>
      </c>
      <c r="D73" s="2" t="s">
        <v>1505</v>
      </c>
      <c r="E73" s="2" t="s">
        <v>667</v>
      </c>
      <c r="F73" s="2" t="s">
        <v>1278</v>
      </c>
      <c r="G73" s="2" t="s">
        <v>1279</v>
      </c>
      <c r="H73">
        <f>VLOOKUP(A73,'Export Worksheet'!A:L,6,FALSE)</f>
        <v>31</v>
      </c>
      <c r="I73" t="str">
        <f>VLOOKUP(A73,'Tableau single and bulk'!A:B,2,FALSE)</f>
        <v>NEBAUTO</v>
      </c>
      <c r="K73" s="9">
        <f>VLOOKUP(A73,'Tableau single and bulk'!A:I,9,FALSE)</f>
        <v>45945.490370370368</v>
      </c>
      <c r="L73">
        <f>VLOOKUP(A73,'Tableau single and bulk'!A:L,12,FALSE)</f>
        <v>602166</v>
      </c>
      <c r="M73" t="str">
        <f>VLOOKUP(A73,'Tableau single and bulk'!A:AA,27,FALSE)</f>
        <v>St Vincent's Private Hospital</v>
      </c>
    </row>
    <row r="74" spans="1:14">
      <c r="A74" s="7" t="s">
        <v>425</v>
      </c>
      <c r="B74" s="2" t="s">
        <v>1299</v>
      </c>
      <c r="C74" s="2" t="s">
        <v>1309</v>
      </c>
      <c r="D74" s="2" t="s">
        <v>1530</v>
      </c>
      <c r="E74" s="2" t="s">
        <v>425</v>
      </c>
      <c r="F74" s="2" t="s">
        <v>1278</v>
      </c>
      <c r="G74" s="2" t="s">
        <v>1279</v>
      </c>
      <c r="H74">
        <f>VLOOKUP(A74,'Export Worksheet'!A:L,6,FALSE)</f>
        <v>4</v>
      </c>
      <c r="I74" t="str">
        <f>VLOOKUP(A74,'Tableau single and bulk'!A:B,2,FALSE)</f>
        <v>NEBAUTO</v>
      </c>
      <c r="K74" s="9">
        <f>VLOOKUP(A74,'Tableau single and bulk'!A:I,9,FALSE)</f>
        <v>45945.436296296299</v>
      </c>
      <c r="L74">
        <f>VLOOKUP(A74,'Tableau single and bulk'!A:L,12,FALSE)</f>
        <v>606866</v>
      </c>
      <c r="M74" t="str">
        <f>VLOOKUP(A74,'Tableau single and bulk'!A:AA,27,FALSE)</f>
        <v>MeiraGTX Ireland DAC</v>
      </c>
    </row>
    <row r="75" spans="1:14">
      <c r="A75" s="7" t="s">
        <v>775</v>
      </c>
      <c r="B75" s="2" t="s">
        <v>1277</v>
      </c>
      <c r="C75" s="2" t="s">
        <v>1309</v>
      </c>
      <c r="D75" s="2" t="s">
        <v>1757</v>
      </c>
      <c r="E75" s="2" t="s">
        <v>775</v>
      </c>
      <c r="F75" s="2" t="s">
        <v>1278</v>
      </c>
      <c r="G75" s="2" t="s">
        <v>1279</v>
      </c>
      <c r="H75">
        <f>VLOOKUP(A75,'Export Worksheet'!A:L,6,FALSE)</f>
        <v>3</v>
      </c>
      <c r="I75" t="str">
        <f>VLOOKUP(A75,'Tableau single and bulk'!A:B,2,FALSE)</f>
        <v>NEBAUTO</v>
      </c>
      <c r="K75" s="9">
        <f>VLOOKUP(A75,'Tableau single and bulk'!A:I,9,FALSE)</f>
        <v>45940.526469907411</v>
      </c>
      <c r="L75">
        <f>VLOOKUP(A75,'Tableau single and bulk'!A:L,12,FALSE)</f>
        <v>609914</v>
      </c>
      <c r="M75" t="str">
        <f>VLOOKUP(A75,'Tableau single and bulk'!A:AA,27,FALSE)</f>
        <v>Agri Health DC Pension Scheme</v>
      </c>
    </row>
    <row r="76" spans="1:14">
      <c r="A76" s="7" t="s">
        <v>1090</v>
      </c>
      <c r="B76" s="2" t="s">
        <v>1486</v>
      </c>
      <c r="C76" s="2" t="s">
        <v>1309</v>
      </c>
      <c r="D76" s="2" t="s">
        <v>1487</v>
      </c>
      <c r="E76" s="2" t="s">
        <v>1090</v>
      </c>
      <c r="F76" s="2" t="s">
        <v>1278</v>
      </c>
      <c r="G76" s="2" t="s">
        <v>1279</v>
      </c>
      <c r="H76">
        <f>VLOOKUP(A76,'Export Worksheet'!A:L,6,FALSE)</f>
        <v>27</v>
      </c>
      <c r="I76" t="str">
        <f>VLOOKUP(A76,'Tableau single and bulk'!A:B,2,FALSE)</f>
        <v>NEBAUTO</v>
      </c>
      <c r="K76" s="9">
        <f>VLOOKUP(A76,'Tableau single and bulk'!A:I,9,FALSE)</f>
        <v>45945.554398148146</v>
      </c>
      <c r="L76">
        <f>VLOOKUP(A76,'Tableau single and bulk'!A:L,12,FALSE)</f>
        <v>602833</v>
      </c>
      <c r="M76" t="str">
        <f>VLOOKUP(A76,'Tableau single and bulk'!A:AA,27,FALSE)</f>
        <v>Ornua Co-Operative Limited</v>
      </c>
    </row>
    <row r="77" spans="1:14">
      <c r="A77" s="7" t="s">
        <v>1640</v>
      </c>
      <c r="B77" s="2" t="s">
        <v>1444</v>
      </c>
      <c r="C77" s="2" t="s">
        <v>1309</v>
      </c>
      <c r="D77" s="2" t="s">
        <v>1639</v>
      </c>
      <c r="E77" s="2" t="s">
        <v>1640</v>
      </c>
      <c r="F77" s="2" t="s">
        <v>1278</v>
      </c>
      <c r="G77" s="2" t="s">
        <v>1279</v>
      </c>
      <c r="H77" t="e">
        <f>VLOOKUP(A77,'Export Worksheet'!A:L,6,FALSE)</f>
        <v>#N/A</v>
      </c>
      <c r="I77" t="str">
        <f>VLOOKUP(A77,'Tableau single and bulk'!A:B,2,FALSE)</f>
        <v>NEBAUTO</v>
      </c>
      <c r="K77" s="9">
        <f>VLOOKUP(A77,'Tableau single and bulk'!A:I,9,FALSE)</f>
        <v>45944.352824074071</v>
      </c>
      <c r="L77">
        <f>VLOOKUP(A77,'Tableau single and bulk'!A:L,12,FALSE)</f>
        <v>601299</v>
      </c>
      <c r="M77" t="str">
        <f>VLOOKUP(A77,'Tableau single and bulk'!A:AA,27,FALSE)</f>
        <v>Thermo Fisher Scientific Cork Limited</v>
      </c>
      <c r="N77" t="s">
        <v>10471</v>
      </c>
    </row>
    <row r="78" spans="1:14">
      <c r="A78" s="7" t="s">
        <v>666</v>
      </c>
      <c r="B78" s="2" t="s">
        <v>1283</v>
      </c>
      <c r="C78" s="2" t="s">
        <v>1309</v>
      </c>
      <c r="D78" s="2" t="s">
        <v>1528</v>
      </c>
      <c r="E78" s="2" t="s">
        <v>666</v>
      </c>
      <c r="F78" s="2" t="s">
        <v>1278</v>
      </c>
      <c r="G78" s="2" t="s">
        <v>1279</v>
      </c>
      <c r="H78">
        <f>VLOOKUP(A78,'Export Worksheet'!A:L,6,FALSE)</f>
        <v>1</v>
      </c>
      <c r="I78" t="str">
        <f>VLOOKUP(A78,'Tableau single and bulk'!A:B,2,FALSE)</f>
        <v>NEBAUTO</v>
      </c>
      <c r="K78" s="9">
        <f>VLOOKUP(A78,'Tableau single and bulk'!A:I,9,FALSE)</f>
        <v>45945.443622685183</v>
      </c>
      <c r="L78">
        <f>VLOOKUP(A78,'Tableau single and bulk'!A:L,12,FALSE)</f>
        <v>603409</v>
      </c>
      <c r="M78" t="str">
        <f>VLOOKUP(A78,'Tableau single and bulk'!A:AA,27,FALSE)</f>
        <v>Magnet Networks Limited</v>
      </c>
    </row>
    <row r="79" spans="1:14" hidden="1">
      <c r="A79" s="7" t="s">
        <v>1584</v>
      </c>
      <c r="B79" s="2" t="s">
        <v>1582</v>
      </c>
      <c r="C79" s="2" t="s">
        <v>1309</v>
      </c>
      <c r="D79" s="2" t="s">
        <v>1583</v>
      </c>
      <c r="E79" s="2" t="s">
        <v>1584</v>
      </c>
      <c r="F79" s="2" t="s">
        <v>1278</v>
      </c>
      <c r="G79" s="2" t="s">
        <v>1279</v>
      </c>
      <c r="H79" t="e">
        <f>VLOOKUP(A79,'Export Worksheet'!A:L,6,FALSE)</f>
        <v>#N/A</v>
      </c>
      <c r="I79" t="str">
        <f>VLOOKUP(A79,'Tableau single and bulk'!A:B,2,FALSE)</f>
        <v>NESAUTO</v>
      </c>
      <c r="K79" s="9">
        <f>VLOOKUP(A79,'Tableau single and bulk'!A:I,9,FALSE)</f>
        <v>45944.595567129632</v>
      </c>
      <c r="L79">
        <f>VLOOKUP(A79,'Tableau single and bulk'!A:L,12,FALSE)</f>
        <v>606872</v>
      </c>
      <c r="M79" t="str">
        <f>VLOOKUP(A79,'Tableau single and bulk'!A:AA,27,FALSE)</f>
        <v>Ingersoll- Rand Industrial Ire. Limited</v>
      </c>
    </row>
    <row r="80" spans="1:14">
      <c r="A80" s="7" t="s">
        <v>702</v>
      </c>
      <c r="B80" s="2" t="s">
        <v>1465</v>
      </c>
      <c r="C80" s="2" t="s">
        <v>1309</v>
      </c>
      <c r="D80" s="2" t="s">
        <v>1466</v>
      </c>
      <c r="E80" s="2" t="s">
        <v>702</v>
      </c>
      <c r="F80" s="2" t="s">
        <v>1278</v>
      </c>
      <c r="G80" s="2" t="s">
        <v>1279</v>
      </c>
      <c r="H80">
        <f>VLOOKUP(A80,'Export Worksheet'!A:L,6,FALSE)</f>
        <v>7</v>
      </c>
      <c r="I80" t="str">
        <f>VLOOKUP(A80,'Tableau single and bulk'!A:B,2,FALSE)</f>
        <v>NEBAUTO</v>
      </c>
      <c r="K80" s="9">
        <f>VLOOKUP(A80,'Tableau single and bulk'!A:I,9,FALSE)</f>
        <v>45945.650543981479</v>
      </c>
      <c r="L80">
        <f>VLOOKUP(A80,'Tableau single and bulk'!A:L,12,FALSE)</f>
        <v>606840</v>
      </c>
      <c r="M80" t="str">
        <f>VLOOKUP(A80,'Tableau single and bulk'!A:AA,27,FALSE)</f>
        <v>Booking Holdings Fin. Serv. Intl Ltd</v>
      </c>
    </row>
    <row r="81" spans="1:13">
      <c r="A81" s="7" t="s">
        <v>411</v>
      </c>
      <c r="B81" s="2" t="s">
        <v>1635</v>
      </c>
      <c r="C81" s="2" t="s">
        <v>1309</v>
      </c>
      <c r="D81" s="2" t="s">
        <v>1636</v>
      </c>
      <c r="E81" s="2" t="s">
        <v>411</v>
      </c>
      <c r="F81" s="2" t="s">
        <v>1278</v>
      </c>
      <c r="G81" s="2" t="s">
        <v>1279</v>
      </c>
      <c r="H81">
        <f>VLOOKUP(A81,'Export Worksheet'!A:L,6,FALSE)</f>
        <v>1</v>
      </c>
      <c r="I81" t="str">
        <f>VLOOKUP(A81,'Tableau single and bulk'!A:B,2,FALSE)</f>
        <v>NEBAUTO</v>
      </c>
      <c r="K81" s="9">
        <f>VLOOKUP(A81,'Tableau single and bulk'!A:I,9,FALSE)</f>
        <v>45944.392314814817</v>
      </c>
      <c r="L81">
        <f>VLOOKUP(A81,'Tableau single and bulk'!A:L,12,FALSE)</f>
        <v>609702</v>
      </c>
      <c r="M81" t="str">
        <f>VLOOKUP(A81,'Tableau single and bulk'!A:AA,27,FALSE)</f>
        <v>NFVSP St Christopher's Services CLG</v>
      </c>
    </row>
    <row r="82" spans="1:13" hidden="1">
      <c r="A82" s="7" t="s">
        <v>1522</v>
      </c>
      <c r="B82" s="2" t="s">
        <v>1470</v>
      </c>
      <c r="C82" s="2" t="s">
        <v>1309</v>
      </c>
      <c r="D82" s="2" t="s">
        <v>1521</v>
      </c>
      <c r="E82" s="2" t="s">
        <v>1522</v>
      </c>
      <c r="F82" s="2" t="s">
        <v>1278</v>
      </c>
      <c r="G82" s="2" t="s">
        <v>1279</v>
      </c>
      <c r="H82" t="e">
        <f>VLOOKUP(A82,'Export Worksheet'!A:L,6,FALSE)</f>
        <v>#N/A</v>
      </c>
      <c r="I82" t="str">
        <f>VLOOKUP(A82,'Tableau single and bulk'!A:B,2,FALSE)</f>
        <v>NESAUTO</v>
      </c>
      <c r="K82" s="9">
        <f>VLOOKUP(A82,'Tableau single and bulk'!A:I,9,FALSE)</f>
        <v>45945.452303240738</v>
      </c>
      <c r="L82">
        <f>VLOOKUP(A82,'Tableau single and bulk'!A:L,12,FALSE)</f>
        <v>609841</v>
      </c>
      <c r="M82" t="str">
        <f>VLOOKUP(A82,'Tableau single and bulk'!A:AA,27,FALSE)</f>
        <v>Galway Clinic Doughiska Unltd Co</v>
      </c>
    </row>
    <row r="83" spans="1:13">
      <c r="A83" s="7" t="s">
        <v>664</v>
      </c>
      <c r="B83" s="2" t="s">
        <v>1283</v>
      </c>
      <c r="C83" s="2" t="s">
        <v>1309</v>
      </c>
      <c r="D83" s="2" t="s">
        <v>1531</v>
      </c>
      <c r="E83" s="2" t="s">
        <v>664</v>
      </c>
      <c r="F83" s="2" t="s">
        <v>1278</v>
      </c>
      <c r="G83" s="2" t="s">
        <v>1279</v>
      </c>
      <c r="H83">
        <f>VLOOKUP(A83,'Export Worksheet'!A:L,6,FALSE)</f>
        <v>1</v>
      </c>
      <c r="I83" t="str">
        <f>VLOOKUP(A83,'Tableau single and bulk'!A:B,2,FALSE)</f>
        <v>NEBAUTO</v>
      </c>
      <c r="K83" s="9">
        <f>VLOOKUP(A83,'Tableau single and bulk'!A:I,9,FALSE)</f>
        <v>45945.432708333334</v>
      </c>
      <c r="L83">
        <f>VLOOKUP(A83,'Tableau single and bulk'!A:L,12,FALSE)</f>
        <v>609819</v>
      </c>
      <c r="M83" t="str">
        <f>VLOOKUP(A83,'Tableau single and bulk'!A:AA,27,FALSE)</f>
        <v>Enet Defined Contribution Plan</v>
      </c>
    </row>
    <row r="84" spans="1:13">
      <c r="A84" s="7" t="s">
        <v>421</v>
      </c>
      <c r="B84" s="2" t="s">
        <v>1298</v>
      </c>
      <c r="C84" s="2" t="s">
        <v>1309</v>
      </c>
      <c r="D84" s="2" t="s">
        <v>1536</v>
      </c>
      <c r="E84" s="2" t="s">
        <v>421</v>
      </c>
      <c r="F84" s="2" t="s">
        <v>1278</v>
      </c>
      <c r="G84" s="2" t="s">
        <v>1279</v>
      </c>
      <c r="H84">
        <f>VLOOKUP(A84,'Export Worksheet'!A:L,6,FALSE)</f>
        <v>8</v>
      </c>
      <c r="I84" t="str">
        <f>VLOOKUP(A84,'Tableau single and bulk'!A:B,2,FALSE)</f>
        <v>NEBAUTO</v>
      </c>
      <c r="K84" s="9">
        <f>VLOOKUP(A84,'Tableau single and bulk'!A:I,9,FALSE)</f>
        <v>45945.409155092595</v>
      </c>
      <c r="L84">
        <f>VLOOKUP(A84,'Tableau single and bulk'!A:L,12,FALSE)</f>
        <v>609621</v>
      </c>
      <c r="M84" t="str">
        <f>VLOOKUP(A84,'Tableau single and bulk'!A:AA,27,FALSE)</f>
        <v>Hertz Europe Service Centre Limited</v>
      </c>
    </row>
    <row r="85" spans="1:13">
      <c r="A85" s="7" t="s">
        <v>698</v>
      </c>
      <c r="B85" s="2" t="s">
        <v>871</v>
      </c>
      <c r="C85" s="2" t="s">
        <v>1309</v>
      </c>
      <c r="D85" s="2" t="s">
        <v>1481</v>
      </c>
      <c r="E85" s="2" t="s">
        <v>698</v>
      </c>
      <c r="F85" s="2" t="s">
        <v>1278</v>
      </c>
      <c r="G85" s="2" t="s">
        <v>1279</v>
      </c>
      <c r="H85">
        <f>VLOOKUP(A85,'Export Worksheet'!A:L,6,FALSE)</f>
        <v>2</v>
      </c>
      <c r="I85" t="str">
        <f>VLOOKUP(A85,'Tableau single and bulk'!A:B,2,FALSE)</f>
        <v>NEBAUTO</v>
      </c>
      <c r="K85" s="9">
        <f>VLOOKUP(A85,'Tableau single and bulk'!A:I,9,FALSE)</f>
        <v>45945.587291666663</v>
      </c>
      <c r="L85">
        <f>VLOOKUP(A85,'Tableau single and bulk'!A:L,12,FALSE)</f>
        <v>603990</v>
      </c>
      <c r="M85" t="str">
        <f>VLOOKUP(A85,'Tableau single and bulk'!A:AA,27,FALSE)</f>
        <v>Stryker Ireland DC Pension Plan</v>
      </c>
    </row>
    <row r="86" spans="1:13">
      <c r="A86" s="7" t="s">
        <v>891</v>
      </c>
      <c r="B86" s="2" t="s">
        <v>813</v>
      </c>
      <c r="C86" s="2" t="s">
        <v>1309</v>
      </c>
      <c r="D86" s="2" t="s">
        <v>1691</v>
      </c>
      <c r="E86" s="2" t="s">
        <v>891</v>
      </c>
      <c r="F86" s="2" t="s">
        <v>1278</v>
      </c>
      <c r="G86" s="2" t="s">
        <v>1279</v>
      </c>
      <c r="H86">
        <f>VLOOKUP(A86,'Export Worksheet'!A:L,6,FALSE)</f>
        <v>3</v>
      </c>
      <c r="I86" t="str">
        <f>VLOOKUP(A86,'Tableau single and bulk'!A:B,2,FALSE)</f>
        <v>NEBAUTO</v>
      </c>
      <c r="K86" s="9">
        <f>VLOOKUP(A86,'Tableau single and bulk'!A:I,9,FALSE)</f>
        <v>45943.485509259262</v>
      </c>
      <c r="L86">
        <f>VLOOKUP(A86,'Tableau single and bulk'!A:L,12,FALSE)</f>
        <v>603549</v>
      </c>
      <c r="M86" t="str">
        <f>VLOOKUP(A86,'Tableau single and bulk'!A:AA,27,FALSE)</f>
        <v>Royal London Mutual Ins. Society Ltd.</v>
      </c>
    </row>
    <row r="87" spans="1:13">
      <c r="A87" s="7" t="s">
        <v>783</v>
      </c>
      <c r="B87" s="2" t="s">
        <v>1368</v>
      </c>
      <c r="C87" s="2" t="s">
        <v>1309</v>
      </c>
      <c r="D87" s="2" t="s">
        <v>1447</v>
      </c>
      <c r="E87" s="2" t="s">
        <v>783</v>
      </c>
      <c r="F87" s="2" t="s">
        <v>1278</v>
      </c>
      <c r="G87" s="2" t="s">
        <v>1279</v>
      </c>
      <c r="H87">
        <f>VLOOKUP(A87,'Export Worksheet'!A:L,6,FALSE)</f>
        <v>1</v>
      </c>
      <c r="I87" t="str">
        <f>VLOOKUP(A87,'Tableau single and bulk'!A:B,2,FALSE)</f>
        <v>NEBAUTO</v>
      </c>
      <c r="K87" s="9">
        <f>VLOOKUP(A87,'Tableau single and bulk'!A:I,9,FALSE)</f>
        <v>45945.686967592592</v>
      </c>
      <c r="L87">
        <f>VLOOKUP(A87,'Tableau single and bulk'!A:L,12,FALSE)</f>
        <v>602238</v>
      </c>
      <c r="M87" t="str">
        <f>VLOOKUP(A87,'Tableau single and bulk'!A:AA,27,FALSE)</f>
        <v>ActiveCampaign Ireland Limited</v>
      </c>
    </row>
    <row r="88" spans="1:13" hidden="1">
      <c r="A88" s="7" t="s">
        <v>1526</v>
      </c>
      <c r="B88" s="2" t="s">
        <v>1300</v>
      </c>
      <c r="C88" s="2" t="s">
        <v>1309</v>
      </c>
      <c r="D88" s="2" t="s">
        <v>1525</v>
      </c>
      <c r="E88" s="2" t="s">
        <v>1526</v>
      </c>
      <c r="F88" s="2" t="s">
        <v>1278</v>
      </c>
      <c r="G88" s="2" t="s">
        <v>1279</v>
      </c>
      <c r="H88" t="e">
        <f>VLOOKUP(A88,'Export Worksheet'!A:L,6,FALSE)</f>
        <v>#N/A</v>
      </c>
      <c r="I88" t="str">
        <f>VLOOKUP(A88,'Tableau single and bulk'!A:B,2,FALSE)</f>
        <v>NESAUTO</v>
      </c>
      <c r="K88" s="9">
        <f>VLOOKUP(A88,'Tableau single and bulk'!A:I,9,FALSE)</f>
        <v>45945.448831018519</v>
      </c>
      <c r="L88">
        <f>VLOOKUP(A88,'Tableau single and bulk'!A:L,12,FALSE)</f>
        <v>602631</v>
      </c>
      <c r="M88" t="str">
        <f>VLOOKUP(A88,'Tableau single and bulk'!A:AA,27,FALSE)</f>
        <v>Society of Saint Vincent De Paul</v>
      </c>
    </row>
    <row r="89" spans="1:13" hidden="1">
      <c r="A89" s="7" t="s">
        <v>1669</v>
      </c>
      <c r="B89" s="2" t="s">
        <v>1448</v>
      </c>
      <c r="C89" s="2" t="s">
        <v>1309</v>
      </c>
      <c r="D89" s="2" t="s">
        <v>1668</v>
      </c>
      <c r="E89" s="2" t="s">
        <v>1669</v>
      </c>
      <c r="F89" s="2" t="s">
        <v>1278</v>
      </c>
      <c r="G89" s="2" t="s">
        <v>1279</v>
      </c>
      <c r="H89" t="e">
        <f>VLOOKUP(A89,'Export Worksheet'!A:L,6,FALSE)</f>
        <v>#N/A</v>
      </c>
      <c r="I89" t="str">
        <f>VLOOKUP(A89,'Tableau single and bulk'!A:B,2,FALSE)</f>
        <v>NESAUTO</v>
      </c>
      <c r="K89" s="9">
        <f>VLOOKUP(A89,'Tableau single and bulk'!A:I,9,FALSE)</f>
        <v>45943.62572916667</v>
      </c>
      <c r="L89">
        <f>VLOOKUP(A89,'Tableau single and bulk'!A:L,12,FALSE)</f>
        <v>603473</v>
      </c>
      <c r="M89" t="str">
        <f>VLOOKUP(A89,'Tableau single and bulk'!A:AA,27,FALSE)</f>
        <v>Fold Housing Association Ireland Ltd.</v>
      </c>
    </row>
    <row r="90" spans="1:13">
      <c r="A90" s="7" t="s">
        <v>660</v>
      </c>
      <c r="B90" s="2" t="s">
        <v>1368</v>
      </c>
      <c r="C90" s="2" t="s">
        <v>1309</v>
      </c>
      <c r="D90" s="2" t="s">
        <v>1581</v>
      </c>
      <c r="E90" s="2" t="s">
        <v>660</v>
      </c>
      <c r="F90" s="2" t="s">
        <v>1278</v>
      </c>
      <c r="G90" s="2" t="s">
        <v>1279</v>
      </c>
      <c r="H90">
        <f>VLOOKUP(A90,'Export Worksheet'!A:L,6,FALSE)</f>
        <v>1</v>
      </c>
      <c r="I90" t="str">
        <f>VLOOKUP(A90,'Tableau single and bulk'!A:B,2,FALSE)</f>
        <v>NEBAUTO</v>
      </c>
      <c r="K90" s="9">
        <f>VLOOKUP(A90,'Tableau single and bulk'!A:I,9,FALSE)</f>
        <v>45944.602407407408</v>
      </c>
      <c r="L90">
        <f>VLOOKUP(A90,'Tableau single and bulk'!A:L,12,FALSE)</f>
        <v>606860</v>
      </c>
      <c r="M90" t="str">
        <f>VLOOKUP(A90,'Tableau single and bulk'!A:AA,27,FALSE)</f>
        <v>ADP HR &amp; Payroll Services Ireland Ltd</v>
      </c>
    </row>
    <row r="91" spans="1:13">
      <c r="A91" s="7" t="s">
        <v>29</v>
      </c>
      <c r="B91" s="2" t="s">
        <v>1368</v>
      </c>
      <c r="C91" s="2" t="s">
        <v>1309</v>
      </c>
      <c r="D91" s="2" t="s">
        <v>1467</v>
      </c>
      <c r="E91" s="2" t="s">
        <v>29</v>
      </c>
      <c r="F91" s="2" t="s">
        <v>1278</v>
      </c>
      <c r="G91" s="2" t="s">
        <v>1279</v>
      </c>
      <c r="H91">
        <f>VLOOKUP(A91,'Export Worksheet'!A:L,6,FALSE)</f>
        <v>1</v>
      </c>
      <c r="I91" t="str">
        <f>VLOOKUP(A91,'Tableau single and bulk'!A:B,2,FALSE)</f>
        <v>NEBAUTO</v>
      </c>
      <c r="K91" s="9">
        <f>VLOOKUP(A91,'Tableau single and bulk'!A:I,9,FALSE)</f>
        <v>45945.644004629627</v>
      </c>
      <c r="L91">
        <f>VLOOKUP(A91,'Tableau single and bulk'!A:L,12,FALSE)</f>
        <v>605521</v>
      </c>
      <c r="M91" t="str">
        <f>VLOOKUP(A91,'Tableau single and bulk'!A:AA,27,FALSE)</f>
        <v>Henry J Lyons (Architects) Ltd</v>
      </c>
    </row>
    <row r="92" spans="1:13">
      <c r="A92" s="7" t="s">
        <v>31</v>
      </c>
      <c r="B92" s="2" t="s">
        <v>1368</v>
      </c>
      <c r="C92" s="2" t="s">
        <v>1309</v>
      </c>
      <c r="D92" s="2" t="s">
        <v>1464</v>
      </c>
      <c r="E92" s="2" t="s">
        <v>31</v>
      </c>
      <c r="F92" s="2" t="s">
        <v>1278</v>
      </c>
      <c r="G92" s="2" t="s">
        <v>1279</v>
      </c>
      <c r="H92">
        <f>VLOOKUP(A92,'Export Worksheet'!A:L,6,FALSE)</f>
        <v>1</v>
      </c>
      <c r="I92" t="str">
        <f>VLOOKUP(A92,'Tableau single and bulk'!A:B,2,FALSE)</f>
        <v>NEBAUTO</v>
      </c>
      <c r="K92" s="9">
        <f>VLOOKUP(A92,'Tableau single and bulk'!A:I,9,FALSE)</f>
        <v>45945.652118055557</v>
      </c>
      <c r="L92">
        <f>VLOOKUP(A92,'Tableau single and bulk'!A:L,12,FALSE)</f>
        <v>605521</v>
      </c>
      <c r="M92" t="str">
        <f>VLOOKUP(A92,'Tableau single and bulk'!A:AA,27,FALSE)</f>
        <v>Henry J Lyons (Architects) Ltd</v>
      </c>
    </row>
    <row r="93" spans="1:13">
      <c r="A93" s="7" t="s">
        <v>417</v>
      </c>
      <c r="B93" s="2" t="s">
        <v>1558</v>
      </c>
      <c r="C93" s="2" t="s">
        <v>1309</v>
      </c>
      <c r="D93" s="2" t="s">
        <v>1559</v>
      </c>
      <c r="E93" s="2" t="s">
        <v>417</v>
      </c>
      <c r="F93" s="2" t="s">
        <v>1278</v>
      </c>
      <c r="G93" s="2" t="s">
        <v>1279</v>
      </c>
      <c r="H93">
        <f>VLOOKUP(A93,'Export Worksheet'!A:L,6,FALSE)</f>
        <v>1</v>
      </c>
      <c r="I93" t="str">
        <f>VLOOKUP(A93,'Tableau single and bulk'!A:B,2,FALSE)</f>
        <v>NEBAUTO</v>
      </c>
      <c r="K93" s="9">
        <f>VLOOKUP(A93,'Tableau single and bulk'!A:I,9,FALSE)</f>
        <v>45944.684282407405</v>
      </c>
      <c r="L93">
        <f>VLOOKUP(A93,'Tableau single and bulk'!A:L,12,FALSE)</f>
        <v>602039</v>
      </c>
      <c r="M93" t="str">
        <f>VLOOKUP(A93,'Tableau single and bulk'!A:AA,27,FALSE)</f>
        <v>Greencore Group Plc</v>
      </c>
    </row>
    <row r="94" spans="1:13" hidden="1">
      <c r="A94" s="7" t="s">
        <v>1576</v>
      </c>
      <c r="B94" s="2" t="s">
        <v>1570</v>
      </c>
      <c r="C94" s="2" t="s">
        <v>1309</v>
      </c>
      <c r="D94" s="2" t="s">
        <v>1575</v>
      </c>
      <c r="E94" s="2" t="s">
        <v>1576</v>
      </c>
      <c r="F94" s="2" t="s">
        <v>1278</v>
      </c>
      <c r="G94" s="2" t="s">
        <v>1279</v>
      </c>
      <c r="H94" t="e">
        <f>VLOOKUP(A94,'Export Worksheet'!A:L,6,FALSE)</f>
        <v>#N/A</v>
      </c>
      <c r="I94" t="str">
        <f>VLOOKUP(A94,'Tableau single and bulk'!A:B,2,FALSE)</f>
        <v>NESAUTO</v>
      </c>
      <c r="K94" s="9">
        <f>VLOOKUP(A94,'Tableau single and bulk'!A:I,9,FALSE)</f>
        <v>45944.609525462962</v>
      </c>
      <c r="L94">
        <f>VLOOKUP(A94,'Tableau single and bulk'!A:L,12,FALSE)</f>
        <v>603485</v>
      </c>
      <c r="M94" t="str">
        <f>VLOOKUP(A94,'Tableau single and bulk'!A:AA,27,FALSE)</f>
        <v>Coupa Operations Inc.</v>
      </c>
    </row>
    <row r="95" spans="1:13">
      <c r="A95" s="7" t="s">
        <v>636</v>
      </c>
      <c r="B95" s="2" t="s">
        <v>1631</v>
      </c>
      <c r="C95" s="2" t="s">
        <v>1309</v>
      </c>
      <c r="D95" s="2" t="s">
        <v>1632</v>
      </c>
      <c r="E95" s="2" t="s">
        <v>636</v>
      </c>
      <c r="F95" s="2" t="s">
        <v>1278</v>
      </c>
      <c r="G95" s="2" t="s">
        <v>1279</v>
      </c>
      <c r="H95">
        <f>VLOOKUP(A95,'Export Worksheet'!A:L,6,FALSE)</f>
        <v>5</v>
      </c>
      <c r="I95" t="str">
        <f>VLOOKUP(A95,'Tableau single and bulk'!A:B,2,FALSE)</f>
        <v>NEBAUTO</v>
      </c>
      <c r="K95" s="9">
        <f>VLOOKUP(A95,'Tableau single and bulk'!A:I,9,FALSE)</f>
        <v>45944.400138888886</v>
      </c>
      <c r="L95">
        <f>VLOOKUP(A95,'Tableau single and bulk'!A:L,12,FALSE)</f>
        <v>609700</v>
      </c>
      <c r="M95" t="str">
        <f>VLOOKUP(A95,'Tableau single and bulk'!A:AA,27,FALSE)</f>
        <v>NFVSP Sunbeam House Services CLG</v>
      </c>
    </row>
    <row r="96" spans="1:13" hidden="1">
      <c r="A96" s="7" t="s">
        <v>1572</v>
      </c>
      <c r="B96" s="2" t="s">
        <v>1570</v>
      </c>
      <c r="C96" s="2" t="s">
        <v>1309</v>
      </c>
      <c r="D96" s="2" t="s">
        <v>1571</v>
      </c>
      <c r="E96" s="2" t="s">
        <v>1572</v>
      </c>
      <c r="F96" s="2" t="s">
        <v>1278</v>
      </c>
      <c r="G96" s="2" t="s">
        <v>1279</v>
      </c>
      <c r="H96" t="e">
        <f>VLOOKUP(A96,'Export Worksheet'!A:L,6,FALSE)</f>
        <v>#N/A</v>
      </c>
      <c r="I96" t="str">
        <f>VLOOKUP(A96,'Tableau single and bulk'!A:B,2,FALSE)</f>
        <v>NESAUTO</v>
      </c>
      <c r="K96" s="9">
        <f>VLOOKUP(A96,'Tableau single and bulk'!A:I,9,FALSE)</f>
        <v>45944.619247685187</v>
      </c>
      <c r="L96">
        <f>VLOOKUP(A96,'Tableau single and bulk'!A:L,12,FALSE)</f>
        <v>603485</v>
      </c>
      <c r="M96" t="str">
        <f>VLOOKUP(A96,'Tableau single and bulk'!A:AA,27,FALSE)</f>
        <v>Coupa Operations Inc.</v>
      </c>
    </row>
    <row r="97" spans="1:13">
      <c r="A97" s="7" t="s">
        <v>1463</v>
      </c>
      <c r="B97" s="2" t="s">
        <v>1277</v>
      </c>
      <c r="C97" s="2" t="s">
        <v>1309</v>
      </c>
      <c r="D97" s="2" t="s">
        <v>1462</v>
      </c>
      <c r="E97" s="2" t="s">
        <v>1463</v>
      </c>
      <c r="F97" s="2" t="s">
        <v>1278</v>
      </c>
      <c r="G97" s="2" t="s">
        <v>1279</v>
      </c>
      <c r="H97" t="e">
        <f>VLOOKUP(A97,'Export Worksheet'!A:L,6,FALSE)</f>
        <v>#N/A</v>
      </c>
      <c r="I97" t="str">
        <f>VLOOKUP(A97,'Tableau single and bulk'!A:B,2,FALSE)</f>
        <v>NEBAUTO</v>
      </c>
      <c r="K97" s="9">
        <f>VLOOKUP(A97,'Tableau single and bulk'!A:I,9,FALSE)</f>
        <v>45945.652372685188</v>
      </c>
      <c r="L97">
        <f>VLOOKUP(A97,'Tableau single and bulk'!A:L,12,FALSE)</f>
        <v>609069</v>
      </c>
      <c r="M97" t="str">
        <f>VLOOKUP(A97,'Tableau single and bulk'!A:AA,27,FALSE)</f>
        <v>Brickiln Limited</v>
      </c>
    </row>
    <row r="98" spans="1:13" hidden="1">
      <c r="A98" s="7" t="s">
        <v>1707</v>
      </c>
      <c r="B98" s="2" t="s">
        <v>1283</v>
      </c>
      <c r="C98" s="2" t="s">
        <v>1309</v>
      </c>
      <c r="D98" s="2" t="s">
        <v>1706</v>
      </c>
      <c r="E98" s="2" t="s">
        <v>1707</v>
      </c>
      <c r="F98" s="2" t="s">
        <v>1278</v>
      </c>
      <c r="G98" s="2" t="s">
        <v>1279</v>
      </c>
      <c r="H98" t="e">
        <f>VLOOKUP(A98,'Export Worksheet'!A:L,6,FALSE)</f>
        <v>#N/A</v>
      </c>
      <c r="I98" t="str">
        <f>VLOOKUP(A98,'Tableau single and bulk'!A:B,2,FALSE)</f>
        <v>NESAUTO</v>
      </c>
      <c r="K98" s="9">
        <f>VLOOKUP(A98,'Tableau single and bulk'!A:I,9,FALSE)</f>
        <v>45942.551493055558</v>
      </c>
      <c r="L98">
        <f>VLOOKUP(A98,'Tableau single and bulk'!A:L,12,FALSE)</f>
        <v>603409</v>
      </c>
      <c r="M98" t="str">
        <f>VLOOKUP(A98,'Tableau single and bulk'!A:AA,27,FALSE)</f>
        <v>Magnet Networks Limited</v>
      </c>
    </row>
    <row r="99" spans="1:13">
      <c r="A99" s="7" t="s">
        <v>656</v>
      </c>
      <c r="B99" s="2" t="s">
        <v>1425</v>
      </c>
      <c r="C99" s="2" t="s">
        <v>1309</v>
      </c>
      <c r="D99" s="2" t="s">
        <v>1600</v>
      </c>
      <c r="E99" s="2" t="s">
        <v>656</v>
      </c>
      <c r="F99" s="2" t="s">
        <v>1278</v>
      </c>
      <c r="G99" s="2" t="s">
        <v>1279</v>
      </c>
      <c r="H99">
        <f>VLOOKUP(A99,'Export Worksheet'!A:L,6,FALSE)</f>
        <v>2</v>
      </c>
      <c r="I99" t="str">
        <f>VLOOKUP(A99,'Tableau single and bulk'!A:B,2,FALSE)</f>
        <v>NEBAUTO</v>
      </c>
      <c r="K99" s="9">
        <f>VLOOKUP(A99,'Tableau single and bulk'!A:I,9,FALSE)</f>
        <v>45944.498148148145</v>
      </c>
      <c r="L99">
        <f>VLOOKUP(A99,'Tableau single and bulk'!A:L,12,FALSE)</f>
        <v>602944</v>
      </c>
      <c r="M99" t="str">
        <f>VLOOKUP(A99,'Tableau single and bulk'!A:AA,27,FALSE)</f>
        <v>PATRICK J TOBIN LTD</v>
      </c>
    </row>
    <row r="100" spans="1:13" hidden="1">
      <c r="A100" s="7" t="s">
        <v>1513</v>
      </c>
      <c r="B100" s="2" t="s">
        <v>1295</v>
      </c>
      <c r="C100" s="2" t="s">
        <v>1309</v>
      </c>
      <c r="D100" s="2" t="s">
        <v>1512</v>
      </c>
      <c r="E100" s="2" t="s">
        <v>1513</v>
      </c>
      <c r="F100" s="2" t="s">
        <v>1278</v>
      </c>
      <c r="G100" s="2" t="s">
        <v>1279</v>
      </c>
      <c r="H100" t="e">
        <f>VLOOKUP(A100,'Export Worksheet'!A:L,6,FALSE)</f>
        <v>#N/A</v>
      </c>
      <c r="I100" t="e">
        <f>VLOOKUP(A100,'Tableau single and bulk'!A:B,2,FALSE)</f>
        <v>#N/A</v>
      </c>
      <c r="K100" s="9" t="e">
        <f>VLOOKUP(A100,'Tableau single and bulk'!A:I,9,FALSE)</f>
        <v>#N/A</v>
      </c>
      <c r="L100" t="e">
        <f>VLOOKUP(A100,'Tableau single and bulk'!A:L,12,FALSE)</f>
        <v>#N/A</v>
      </c>
      <c r="M100" t="e">
        <f>VLOOKUP(A100,'Tableau single and bulk'!A:AA,27,FALSE)</f>
        <v>#N/A</v>
      </c>
    </row>
    <row r="101" spans="1:13" hidden="1">
      <c r="A101" s="7" t="s">
        <v>1515</v>
      </c>
      <c r="B101" s="2" t="s">
        <v>1295</v>
      </c>
      <c r="C101" s="2" t="s">
        <v>1309</v>
      </c>
      <c r="D101" s="2" t="s">
        <v>1514</v>
      </c>
      <c r="E101" s="2" t="s">
        <v>1515</v>
      </c>
      <c r="F101" s="2" t="s">
        <v>1278</v>
      </c>
      <c r="G101" s="2" t="s">
        <v>1279</v>
      </c>
      <c r="H101" t="e">
        <f>VLOOKUP(A101,'Export Worksheet'!A:L,6,FALSE)</f>
        <v>#N/A</v>
      </c>
      <c r="I101" t="e">
        <f>VLOOKUP(A101,'Tableau single and bulk'!A:B,2,FALSE)</f>
        <v>#N/A</v>
      </c>
      <c r="K101" s="9" t="e">
        <f>VLOOKUP(A101,'Tableau single and bulk'!A:I,9,FALSE)</f>
        <v>#N/A</v>
      </c>
      <c r="L101" t="e">
        <f>VLOOKUP(A101,'Tableau single and bulk'!A:L,12,FALSE)</f>
        <v>#N/A</v>
      </c>
      <c r="M101" t="e">
        <f>VLOOKUP(A101,'Tableau single and bulk'!A:AA,27,FALSE)</f>
        <v>#N/A</v>
      </c>
    </row>
    <row r="102" spans="1:13" hidden="1">
      <c r="A102" s="7" t="s">
        <v>1520</v>
      </c>
      <c r="B102" s="2" t="s">
        <v>1295</v>
      </c>
      <c r="C102" s="2" t="s">
        <v>1309</v>
      </c>
      <c r="D102" s="2" t="s">
        <v>1519</v>
      </c>
      <c r="E102" s="2" t="s">
        <v>1520</v>
      </c>
      <c r="F102" s="2" t="s">
        <v>1278</v>
      </c>
      <c r="G102" s="2" t="s">
        <v>1279</v>
      </c>
      <c r="H102" t="e">
        <f>VLOOKUP(A102,'Export Worksheet'!A:L,6,FALSE)</f>
        <v>#N/A</v>
      </c>
      <c r="I102" t="e">
        <f>VLOOKUP(A102,'Tableau single and bulk'!A:B,2,FALSE)</f>
        <v>#N/A</v>
      </c>
      <c r="K102" s="9" t="e">
        <f>VLOOKUP(A102,'Tableau single and bulk'!A:I,9,FALSE)</f>
        <v>#N/A</v>
      </c>
      <c r="L102" t="e">
        <f>VLOOKUP(A102,'Tableau single and bulk'!A:L,12,FALSE)</f>
        <v>#N/A</v>
      </c>
      <c r="M102" t="e">
        <f>VLOOKUP(A102,'Tableau single and bulk'!A:AA,27,FALSE)</f>
        <v>#N/A</v>
      </c>
    </row>
    <row r="103" spans="1:13" hidden="1">
      <c r="A103" s="7" t="s">
        <v>1511</v>
      </c>
      <c r="B103" s="2" t="s">
        <v>1295</v>
      </c>
      <c r="C103" s="2" t="s">
        <v>1309</v>
      </c>
      <c r="D103" s="2" t="s">
        <v>1510</v>
      </c>
      <c r="E103" s="2" t="s">
        <v>1511</v>
      </c>
      <c r="F103" s="2" t="s">
        <v>1278</v>
      </c>
      <c r="G103" s="2" t="s">
        <v>1279</v>
      </c>
      <c r="H103" t="e">
        <f>VLOOKUP(A103,'Export Worksheet'!A:L,6,FALSE)</f>
        <v>#N/A</v>
      </c>
      <c r="I103" t="e">
        <f>VLOOKUP(A103,'Tableau single and bulk'!A:B,2,FALSE)</f>
        <v>#N/A</v>
      </c>
      <c r="K103" s="9" t="e">
        <f>VLOOKUP(A103,'Tableau single and bulk'!A:I,9,FALSE)</f>
        <v>#N/A</v>
      </c>
      <c r="L103" t="e">
        <f>VLOOKUP(A103,'Tableau single and bulk'!A:L,12,FALSE)</f>
        <v>#N/A</v>
      </c>
      <c r="M103" t="e">
        <f>VLOOKUP(A103,'Tableau single and bulk'!A:AA,27,FALSE)</f>
        <v>#N/A</v>
      </c>
    </row>
    <row r="104" spans="1:13" hidden="1">
      <c r="A104" s="7" t="s">
        <v>1509</v>
      </c>
      <c r="B104" s="2" t="s">
        <v>1295</v>
      </c>
      <c r="C104" s="2" t="s">
        <v>1309</v>
      </c>
      <c r="D104" s="2" t="s">
        <v>1508</v>
      </c>
      <c r="E104" s="2" t="s">
        <v>1509</v>
      </c>
      <c r="F104" s="2" t="s">
        <v>1278</v>
      </c>
      <c r="G104" s="2" t="s">
        <v>1279</v>
      </c>
      <c r="H104" t="e">
        <f>VLOOKUP(A104,'Export Worksheet'!A:L,6,FALSE)</f>
        <v>#N/A</v>
      </c>
      <c r="I104" t="e">
        <f>VLOOKUP(A104,'Tableau single and bulk'!A:B,2,FALSE)</f>
        <v>#N/A</v>
      </c>
      <c r="K104" s="9" t="e">
        <f>VLOOKUP(A104,'Tableau single and bulk'!A:I,9,FALSE)</f>
        <v>#N/A</v>
      </c>
      <c r="L104" t="e">
        <f>VLOOKUP(A104,'Tableau single and bulk'!A:L,12,FALSE)</f>
        <v>#N/A</v>
      </c>
      <c r="M104" t="e">
        <f>VLOOKUP(A104,'Tableau single and bulk'!A:AA,27,FALSE)</f>
        <v>#N/A</v>
      </c>
    </row>
    <row r="105" spans="1:13" hidden="1">
      <c r="A105" s="7" t="s">
        <v>1517</v>
      </c>
      <c r="B105" s="2" t="s">
        <v>1295</v>
      </c>
      <c r="C105" s="2" t="s">
        <v>1309</v>
      </c>
      <c r="D105" s="2" t="s">
        <v>1516</v>
      </c>
      <c r="E105" s="2" t="s">
        <v>1517</v>
      </c>
      <c r="F105" s="2" t="s">
        <v>1278</v>
      </c>
      <c r="G105" s="2" t="s">
        <v>1279</v>
      </c>
      <c r="H105" t="e">
        <f>VLOOKUP(A105,'Export Worksheet'!A:L,6,FALSE)</f>
        <v>#N/A</v>
      </c>
      <c r="I105" t="e">
        <f>VLOOKUP(A105,'Tableau single and bulk'!A:B,2,FALSE)</f>
        <v>#N/A</v>
      </c>
      <c r="K105" s="9" t="e">
        <f>VLOOKUP(A105,'Tableau single and bulk'!A:I,9,FALSE)</f>
        <v>#N/A</v>
      </c>
      <c r="L105" t="e">
        <f>VLOOKUP(A105,'Tableau single and bulk'!A:L,12,FALSE)</f>
        <v>#N/A</v>
      </c>
      <c r="M105" t="e">
        <f>VLOOKUP(A105,'Tableau single and bulk'!A:AA,27,FALSE)</f>
        <v>#N/A</v>
      </c>
    </row>
    <row r="106" spans="1:13">
      <c r="A106" s="7" t="s">
        <v>1021</v>
      </c>
      <c r="B106" s="2" t="s">
        <v>1301</v>
      </c>
      <c r="C106" s="2" t="s">
        <v>1309</v>
      </c>
      <c r="D106" s="2" t="s">
        <v>1497</v>
      </c>
      <c r="E106" s="2" t="s">
        <v>1021</v>
      </c>
      <c r="F106" s="2" t="s">
        <v>1278</v>
      </c>
      <c r="G106" s="2" t="s">
        <v>1279</v>
      </c>
      <c r="H106">
        <f>VLOOKUP(A106,'Export Worksheet'!A:L,6,FALSE)</f>
        <v>11</v>
      </c>
      <c r="I106" t="str">
        <f>VLOOKUP(A106,'Tableau single and bulk'!A:B,2,FALSE)</f>
        <v>NEBAUTO</v>
      </c>
      <c r="K106" s="9">
        <f>VLOOKUP(A106,'Tableau single and bulk'!A:I,9,FALSE)</f>
        <v>45945.508726851855</v>
      </c>
      <c r="L106">
        <f>VLOOKUP(A106,'Tableau single and bulk'!A:L,12,FALSE)</f>
        <v>605268</v>
      </c>
      <c r="M106" t="str">
        <f>VLOOKUP(A106,'Tableau single and bulk'!A:AA,27,FALSE)</f>
        <v>Project Management Limited</v>
      </c>
    </row>
    <row r="107" spans="1:13" hidden="1">
      <c r="A107" s="7" t="s">
        <v>1709</v>
      </c>
      <c r="B107" s="2" t="s">
        <v>1656</v>
      </c>
      <c r="C107" s="2" t="s">
        <v>1309</v>
      </c>
      <c r="D107" s="2" t="s">
        <v>1708</v>
      </c>
      <c r="E107" s="2" t="s">
        <v>1709</v>
      </c>
      <c r="F107" s="2" t="s">
        <v>1278</v>
      </c>
      <c r="G107" s="2" t="s">
        <v>1279</v>
      </c>
      <c r="H107" t="e">
        <f>VLOOKUP(A107,'Export Worksheet'!A:L,6,FALSE)</f>
        <v>#N/A</v>
      </c>
      <c r="I107" t="str">
        <f>VLOOKUP(A107,'Tableau single and bulk'!A:B,2,FALSE)</f>
        <v>NESAUTO</v>
      </c>
      <c r="K107" s="9">
        <f>VLOOKUP(A107,'Tableau single and bulk'!A:I,9,FALSE)</f>
        <v>45942.547418981485</v>
      </c>
      <c r="L107">
        <f>VLOOKUP(A107,'Tableau single and bulk'!A:L,12,FALSE)</f>
        <v>602042</v>
      </c>
      <c r="M107" t="str">
        <f>VLOOKUP(A107,'Tableau single and bulk'!A:AA,27,FALSE)</f>
        <v>RKD Architects</v>
      </c>
    </row>
    <row r="108" spans="1:13">
      <c r="A108" s="7" t="s">
        <v>703</v>
      </c>
      <c r="B108" s="2" t="s">
        <v>1303</v>
      </c>
      <c r="C108" s="2" t="s">
        <v>1309</v>
      </c>
      <c r="D108" s="2" t="s">
        <v>1461</v>
      </c>
      <c r="E108" s="2" t="s">
        <v>703</v>
      </c>
      <c r="F108" s="2" t="s">
        <v>1278</v>
      </c>
      <c r="G108" s="2" t="s">
        <v>1279</v>
      </c>
      <c r="H108">
        <f>VLOOKUP(A108,'Export Worksheet'!A:L,6,FALSE)</f>
        <v>1</v>
      </c>
      <c r="I108" t="str">
        <f>VLOOKUP(A108,'Tableau single and bulk'!A:B,2,FALSE)</f>
        <v>NEBAUTO</v>
      </c>
      <c r="K108" s="9">
        <f>VLOOKUP(A108,'Tableau single and bulk'!A:I,9,FALSE)</f>
        <v>45945.655011574076</v>
      </c>
      <c r="L108">
        <f>VLOOKUP(A108,'Tableau single and bulk'!A:L,12,FALSE)</f>
        <v>609904</v>
      </c>
      <c r="M108" t="str">
        <f>VLOOKUP(A108,'Tableau single and bulk'!A:AA,27,FALSE)</f>
        <v>Dropbox Group DC Pension Scheme</v>
      </c>
    </row>
    <row r="109" spans="1:13" hidden="1">
      <c r="A109" s="7" t="s">
        <v>1642</v>
      </c>
      <c r="B109" s="2" t="s">
        <v>1433</v>
      </c>
      <c r="C109" s="2" t="s">
        <v>1309</v>
      </c>
      <c r="D109" s="2" t="s">
        <v>1641</v>
      </c>
      <c r="E109" s="2" t="s">
        <v>1642</v>
      </c>
      <c r="F109" s="2" t="s">
        <v>1278</v>
      </c>
      <c r="G109" s="2" t="s">
        <v>1279</v>
      </c>
      <c r="H109" t="e">
        <f>VLOOKUP(A109,'Export Worksheet'!A:L,6,FALSE)</f>
        <v>#N/A</v>
      </c>
      <c r="I109" t="str">
        <f>VLOOKUP(A109,'Tableau single and bulk'!A:B,2,FALSE)</f>
        <v>NESAUTO</v>
      </c>
      <c r="K109" s="9">
        <f>VLOOKUP(A109,'Tableau single and bulk'!A:I,9,FALSE)</f>
        <v>45943.760405092595</v>
      </c>
      <c r="L109">
        <f>VLOOKUP(A109,'Tableau single and bulk'!A:L,12,FALSE)</f>
        <v>603651</v>
      </c>
      <c r="M109" t="str">
        <f>VLOOKUP(A109,'Tableau single and bulk'!A:AA,27,FALSE)</f>
        <v>Specialist Technical Engineering Serv.</v>
      </c>
    </row>
    <row r="110" spans="1:13">
      <c r="A110" s="7" t="s">
        <v>632</v>
      </c>
      <c r="B110" s="2" t="s">
        <v>1284</v>
      </c>
      <c r="C110" s="2" t="s">
        <v>1309</v>
      </c>
      <c r="D110" s="2" t="s">
        <v>1633</v>
      </c>
      <c r="E110" s="2" t="s">
        <v>632</v>
      </c>
      <c r="F110" s="2" t="s">
        <v>1278</v>
      </c>
      <c r="G110" s="2" t="s">
        <v>1279</v>
      </c>
      <c r="H110">
        <f>VLOOKUP(A110,'Export Worksheet'!A:L,6,FALSE)</f>
        <v>17</v>
      </c>
      <c r="I110" t="str">
        <f>VLOOKUP(A110,'Tableau single and bulk'!A:B,2,FALSE)</f>
        <v>NEBAUTO</v>
      </c>
      <c r="K110" s="9">
        <f>VLOOKUP(A110,'Tableau single and bulk'!A:I,9,FALSE)</f>
        <v>45944.395243055558</v>
      </c>
      <c r="L110">
        <f>VLOOKUP(A110,'Tableau single and bulk'!A:L,12,FALSE)</f>
        <v>603714</v>
      </c>
      <c r="M110" t="str">
        <f>VLOOKUP(A110,'Tableau single and bulk'!A:AA,27,FALSE)</f>
        <v>Quest Software International Ltd</v>
      </c>
    </row>
    <row r="111" spans="1:13">
      <c r="A111" s="7" t="s">
        <v>429</v>
      </c>
      <c r="B111" s="2" t="s">
        <v>1284</v>
      </c>
      <c r="C111" s="2" t="s">
        <v>1309</v>
      </c>
      <c r="D111" s="2" t="s">
        <v>1494</v>
      </c>
      <c r="E111" s="2" t="s">
        <v>429</v>
      </c>
      <c r="F111" s="2" t="s">
        <v>1278</v>
      </c>
      <c r="G111" s="2" t="s">
        <v>1279</v>
      </c>
      <c r="H111">
        <f>VLOOKUP(A111,'Export Worksheet'!A:L,6,FALSE)</f>
        <v>3</v>
      </c>
      <c r="I111" t="str">
        <f>VLOOKUP(A111,'Tableau single and bulk'!A:B,2,FALSE)</f>
        <v>NEBAUTO</v>
      </c>
      <c r="K111" s="9">
        <f>VLOOKUP(A111,'Tableau single and bulk'!A:I,9,FALSE)</f>
        <v>45945.527442129627</v>
      </c>
      <c r="L111">
        <f>VLOOKUP(A111,'Tableau single and bulk'!A:L,12,FALSE)</f>
        <v>605117</v>
      </c>
      <c r="M111" t="str">
        <f>VLOOKUP(A111,'Tableau single and bulk'!A:AA,27,FALSE)</f>
        <v>One Identity Software International DAC</v>
      </c>
    </row>
    <row r="112" spans="1:13">
      <c r="A112" s="7" t="s">
        <v>927</v>
      </c>
      <c r="B112" s="2" t="s">
        <v>1324</v>
      </c>
      <c r="C112" s="2" t="s">
        <v>1309</v>
      </c>
      <c r="D112" s="2" t="s">
        <v>1404</v>
      </c>
      <c r="E112" s="2" t="s">
        <v>927</v>
      </c>
      <c r="F112" s="2" t="s">
        <v>1278</v>
      </c>
      <c r="G112" s="2" t="s">
        <v>1279</v>
      </c>
      <c r="H112">
        <f>VLOOKUP(A112,'Export Worksheet'!A:L,6,FALSE)</f>
        <v>4</v>
      </c>
      <c r="I112" t="str">
        <f>VLOOKUP(A112,'Tableau single and bulk'!A:B,2,FALSE)</f>
        <v>NEBAUTO</v>
      </c>
      <c r="K112" s="9">
        <f>VLOOKUP(A112,'Tableau single and bulk'!A:I,9,FALSE)</f>
        <v>45946.494826388887</v>
      </c>
      <c r="L112">
        <f>VLOOKUP(A112,'Tableau single and bulk'!A:L,12,FALSE)</f>
        <v>609347</v>
      </c>
      <c r="M112" t="str">
        <f>VLOOKUP(A112,'Tableau single and bulk'!A:AA,27,FALSE)</f>
        <v>Intercom R&amp;D Unlimited Company</v>
      </c>
    </row>
    <row r="113" spans="1:13">
      <c r="A113" s="7" t="s">
        <v>196</v>
      </c>
      <c r="B113" s="2" t="s">
        <v>1297</v>
      </c>
      <c r="C113" s="2" t="s">
        <v>1309</v>
      </c>
      <c r="D113" s="2" t="s">
        <v>1518</v>
      </c>
      <c r="E113" s="2" t="s">
        <v>196</v>
      </c>
      <c r="F113" s="2" t="s">
        <v>1278</v>
      </c>
      <c r="G113" s="2" t="s">
        <v>1279</v>
      </c>
      <c r="H113">
        <f>VLOOKUP(A113,'Export Worksheet'!A:L,6,FALSE)</f>
        <v>10</v>
      </c>
      <c r="I113" t="str">
        <f>VLOOKUP(A113,'Tableau single and bulk'!A:B,2,FALSE)</f>
        <v>NEBAUTO</v>
      </c>
      <c r="K113" s="9">
        <f>VLOOKUP(A113,'Tableau single and bulk'!A:I,9,FALSE)</f>
        <v>45945.456250000003</v>
      </c>
      <c r="L113">
        <f>VLOOKUP(A113,'Tableau single and bulk'!A:L,12,FALSE)</f>
        <v>606911</v>
      </c>
      <c r="M113" t="str">
        <f>VLOOKUP(A113,'Tableau single and bulk'!A:AA,27,FALSE)</f>
        <v>PGIM Ltd</v>
      </c>
    </row>
    <row r="114" spans="1:13" hidden="1">
      <c r="A114" s="7" t="s">
        <v>1649</v>
      </c>
      <c r="B114" s="2" t="s">
        <v>1381</v>
      </c>
      <c r="C114" s="2" t="s">
        <v>1309</v>
      </c>
      <c r="D114" s="2" t="s">
        <v>1648</v>
      </c>
      <c r="E114" s="2" t="s">
        <v>1649</v>
      </c>
      <c r="F114" s="2" t="s">
        <v>1278</v>
      </c>
      <c r="G114" s="2" t="s">
        <v>1279</v>
      </c>
      <c r="H114" t="e">
        <f>VLOOKUP(A114,'Export Worksheet'!A:L,6,FALSE)</f>
        <v>#N/A</v>
      </c>
      <c r="I114" t="str">
        <f>VLOOKUP(A114,'Tableau single and bulk'!A:B,2,FALSE)</f>
        <v>NESAUTO</v>
      </c>
      <c r="K114" s="9">
        <f>VLOOKUP(A114,'Tableau single and bulk'!A:I,9,FALSE)</f>
        <v>45943.692615740743</v>
      </c>
      <c r="L114">
        <f>VLOOKUP(A114,'Tableau single and bulk'!A:L,12,FALSE)</f>
        <v>601991</v>
      </c>
      <c r="M114" t="str">
        <f>VLOOKUP(A114,'Tableau single and bulk'!A:AA,27,FALSE)</f>
        <v>Securitas Security Services (Ireland)Ltd</v>
      </c>
    </row>
    <row r="115" spans="1:13">
      <c r="A115" s="7" t="s">
        <v>902</v>
      </c>
      <c r="B115" s="2" t="s">
        <v>1277</v>
      </c>
      <c r="C115" s="2" t="s">
        <v>1309</v>
      </c>
      <c r="D115" s="2" t="s">
        <v>1532</v>
      </c>
      <c r="E115" s="2" t="s">
        <v>902</v>
      </c>
      <c r="F115" s="2" t="s">
        <v>1278</v>
      </c>
      <c r="G115" s="2" t="s">
        <v>1279</v>
      </c>
      <c r="H115">
        <f>VLOOKUP(A115,'Export Worksheet'!A:L,6,FALSE)</f>
        <v>99</v>
      </c>
      <c r="I115" t="str">
        <f>VLOOKUP(A115,'Tableau single and bulk'!A:B,2,FALSE)</f>
        <v>NEBAUTO</v>
      </c>
      <c r="K115" s="9">
        <f>VLOOKUP(A115,'Tableau single and bulk'!A:I,9,FALSE)</f>
        <v>45945.423159722224</v>
      </c>
      <c r="L115">
        <f>VLOOKUP(A115,'Tableau single and bulk'!A:L,12,FALSE)</f>
        <v>603616</v>
      </c>
      <c r="M115" t="str">
        <f>VLOOKUP(A115,'Tableau single and bulk'!A:AA,27,FALSE)</f>
        <v>Google Ireland Limited</v>
      </c>
    </row>
    <row r="116" spans="1:13">
      <c r="A116" s="7" t="s">
        <v>1728</v>
      </c>
      <c r="B116" s="2" t="s">
        <v>1277</v>
      </c>
      <c r="C116" s="2" t="s">
        <v>1309</v>
      </c>
      <c r="D116" s="2" t="s">
        <v>1727</v>
      </c>
      <c r="E116" s="2" t="s">
        <v>1728</v>
      </c>
      <c r="F116" s="2" t="s">
        <v>1278</v>
      </c>
      <c r="G116" s="2" t="s">
        <v>1279</v>
      </c>
      <c r="H116" t="e">
        <f>VLOOKUP(A116,'Export Worksheet'!A:L,6,FALSE)</f>
        <v>#N/A</v>
      </c>
      <c r="I116" t="str">
        <f>VLOOKUP(A116,'Tableau single and bulk'!A:B,2,FALSE)</f>
        <v>NEBAUTO</v>
      </c>
      <c r="K116" s="9">
        <f>VLOOKUP(A116,'Tableau single and bulk'!A:I,9,FALSE)</f>
        <v>45940.698611111111</v>
      </c>
      <c r="L116">
        <f>VLOOKUP(A116,'Tableau single and bulk'!A:L,12,FALSE)</f>
        <v>602429</v>
      </c>
      <c r="M116" t="str">
        <f>VLOOKUP(A116,'Tableau single and bulk'!A:AA,27,FALSE)</f>
        <v>BOC Gases Ireland Limited</v>
      </c>
    </row>
    <row r="117" spans="1:13" hidden="1">
      <c r="A117" s="7" t="s">
        <v>1652</v>
      </c>
      <c r="B117" s="2" t="s">
        <v>1426</v>
      </c>
      <c r="C117" s="2" t="s">
        <v>1309</v>
      </c>
      <c r="D117" s="2" t="s">
        <v>1651</v>
      </c>
      <c r="E117" s="2" t="s">
        <v>1652</v>
      </c>
      <c r="F117" s="2" t="s">
        <v>1278</v>
      </c>
      <c r="G117" s="2" t="s">
        <v>1279</v>
      </c>
      <c r="H117" t="e">
        <f>VLOOKUP(A117,'Export Worksheet'!A:L,6,FALSE)</f>
        <v>#N/A</v>
      </c>
      <c r="I117" t="str">
        <f>VLOOKUP(A117,'Tableau single and bulk'!A:B,2,FALSE)</f>
        <v>NESAUTO</v>
      </c>
      <c r="K117" s="9">
        <f>VLOOKUP(A117,'Tableau single and bulk'!A:I,9,FALSE)</f>
        <v>45943.677534722221</v>
      </c>
      <c r="L117">
        <f>VLOOKUP(A117,'Tableau single and bulk'!A:L,12,FALSE)</f>
        <v>603066</v>
      </c>
      <c r="M117" t="str">
        <f>VLOOKUP(A117,'Tableau single and bulk'!A:AA,27,FALSE)</f>
        <v>Representative Church Body</v>
      </c>
    </row>
    <row r="118" spans="1:13" hidden="1">
      <c r="A118" s="7" t="s">
        <v>1548</v>
      </c>
      <c r="B118" s="2" t="s">
        <v>1546</v>
      </c>
      <c r="C118" s="2" t="s">
        <v>1309</v>
      </c>
      <c r="D118" s="2" t="s">
        <v>1547</v>
      </c>
      <c r="E118" s="2" t="s">
        <v>1548</v>
      </c>
      <c r="F118" s="2" t="s">
        <v>1278</v>
      </c>
      <c r="G118" s="2" t="s">
        <v>1279</v>
      </c>
      <c r="H118" t="e">
        <f>VLOOKUP(A118,'Export Worksheet'!A:L,6,FALSE)</f>
        <v>#N/A</v>
      </c>
      <c r="I118" t="str">
        <f>VLOOKUP(A118,'Tableau single and bulk'!A:B,2,FALSE)</f>
        <v>NESAUTO</v>
      </c>
      <c r="K118" s="9">
        <f>VLOOKUP(A118,'Tableau single and bulk'!A:I,9,FALSE)</f>
        <v>45945.35670138889</v>
      </c>
      <c r="L118">
        <f>VLOOKUP(A118,'Tableau single and bulk'!A:L,12,FALSE)</f>
        <v>603833</v>
      </c>
      <c r="M118" t="str">
        <f>VLOOKUP(A118,'Tableau single and bulk'!A:AA,27,FALSE)</f>
        <v>Keeper Security EMEA Limited</v>
      </c>
    </row>
    <row r="119" spans="1:13">
      <c r="A119" s="7" t="s">
        <v>925</v>
      </c>
      <c r="B119" s="2" t="s">
        <v>1414</v>
      </c>
      <c r="C119" s="2" t="s">
        <v>1309</v>
      </c>
      <c r="D119" s="2" t="s">
        <v>1415</v>
      </c>
      <c r="E119" s="2" t="s">
        <v>925</v>
      </c>
      <c r="F119" s="2" t="s">
        <v>1278</v>
      </c>
      <c r="G119" s="2" t="s">
        <v>1279</v>
      </c>
      <c r="H119">
        <f>VLOOKUP(A119,'Export Worksheet'!A:L,6,FALSE)</f>
        <v>5</v>
      </c>
      <c r="I119" t="str">
        <f>VLOOKUP(A119,'Tableau single and bulk'!A:B,2,FALSE)</f>
        <v>NEBAUTO</v>
      </c>
      <c r="K119" s="9">
        <f>VLOOKUP(A119,'Tableau single and bulk'!A:I,9,FALSE)</f>
        <v>45946.482175925928</v>
      </c>
      <c r="L119">
        <f>VLOOKUP(A119,'Tableau single and bulk'!A:L,12,FALSE)</f>
        <v>601152</v>
      </c>
      <c r="M119" t="str">
        <f>VLOOKUP(A119,'Tableau single and bulk'!A:AA,27,FALSE)</f>
        <v>The Open University</v>
      </c>
    </row>
    <row r="120" spans="1:13">
      <c r="A120" s="7" t="s">
        <v>697</v>
      </c>
      <c r="B120" s="2" t="s">
        <v>1425</v>
      </c>
      <c r="C120" s="2" t="s">
        <v>1309</v>
      </c>
      <c r="D120" s="2" t="s">
        <v>1560</v>
      </c>
      <c r="E120" s="2" t="s">
        <v>697</v>
      </c>
      <c r="F120" s="2" t="s">
        <v>1278</v>
      </c>
      <c r="G120" s="2" t="s">
        <v>1279</v>
      </c>
      <c r="H120">
        <f>VLOOKUP(A120,'Export Worksheet'!A:L,6,FALSE)</f>
        <v>1</v>
      </c>
      <c r="I120" t="str">
        <f>VLOOKUP(A120,'Tableau single and bulk'!A:B,2,FALSE)</f>
        <v>NEBAUTO</v>
      </c>
      <c r="K120" s="9">
        <f>VLOOKUP(A120,'Tableau single and bulk'!A:I,9,FALSE)</f>
        <v>45944.679398148146</v>
      </c>
      <c r="L120">
        <f>VLOOKUP(A120,'Tableau single and bulk'!A:L,12,FALSE)</f>
        <v>602944</v>
      </c>
      <c r="M120" t="str">
        <f>VLOOKUP(A120,'Tableau single and bulk'!A:AA,27,FALSE)</f>
        <v>PATRICK J TOBIN LTD</v>
      </c>
    </row>
    <row r="121" spans="1:13">
      <c r="A121" s="7" t="s">
        <v>1602</v>
      </c>
      <c r="B121" s="2" t="s">
        <v>1277</v>
      </c>
      <c r="C121" s="2" t="s">
        <v>1309</v>
      </c>
      <c r="D121" s="2" t="s">
        <v>1601</v>
      </c>
      <c r="E121" s="2" t="s">
        <v>1602</v>
      </c>
      <c r="F121" s="2" t="s">
        <v>1278</v>
      </c>
      <c r="G121" s="2" t="s">
        <v>1279</v>
      </c>
      <c r="H121">
        <f>VLOOKUP(A121,'Export Worksheet'!A:L,6,FALSE)</f>
        <v>1</v>
      </c>
      <c r="I121" t="str">
        <f>VLOOKUP(A121,'Tableau single and bulk'!A:B,2,FALSE)</f>
        <v>NEBAUTO</v>
      </c>
      <c r="K121" s="9">
        <f>VLOOKUP(A121,'Tableau single and bulk'!A:I,9,FALSE)</f>
        <v>45944.494791666664</v>
      </c>
      <c r="L121">
        <f>VLOOKUP(A121,'Tableau single and bulk'!A:L,12,FALSE)</f>
        <v>605564</v>
      </c>
      <c r="M121" t="str">
        <f>VLOOKUP(A121,'Tableau single and bulk'!A:AA,27,FALSE)</f>
        <v>BNP Paribas Real Estate Ireland Limited</v>
      </c>
    </row>
    <row r="122" spans="1:13">
      <c r="A122" s="7" t="s">
        <v>785</v>
      </c>
      <c r="B122" s="2" t="s">
        <v>1444</v>
      </c>
      <c r="C122" s="2" t="s">
        <v>1309</v>
      </c>
      <c r="D122" s="2" t="s">
        <v>1445</v>
      </c>
      <c r="E122" s="2" t="s">
        <v>785</v>
      </c>
      <c r="F122" s="2" t="s">
        <v>1278</v>
      </c>
      <c r="G122" s="2" t="s">
        <v>1279</v>
      </c>
      <c r="H122">
        <f>VLOOKUP(A122,'Export Worksheet'!A:L,6,FALSE)</f>
        <v>4</v>
      </c>
      <c r="I122" t="str">
        <f>VLOOKUP(A122,'Tableau single and bulk'!A:B,2,FALSE)</f>
        <v>NEBAUTO</v>
      </c>
      <c r="K122" s="9">
        <f>VLOOKUP(A122,'Tableau single and bulk'!A:I,9,FALSE)</f>
        <v>45945.69458333333</v>
      </c>
      <c r="L122">
        <f>VLOOKUP(A122,'Tableau single and bulk'!A:L,12,FALSE)</f>
        <v>601299</v>
      </c>
      <c r="M122" t="str">
        <f>VLOOKUP(A122,'Tableau single and bulk'!A:AA,27,FALSE)</f>
        <v>Thermo Fisher Scientific Cork Limited</v>
      </c>
    </row>
    <row r="123" spans="1:13" hidden="1">
      <c r="A123" s="7" t="s">
        <v>1539</v>
      </c>
      <c r="B123" s="2" t="s">
        <v>1537</v>
      </c>
      <c r="C123" s="2" t="s">
        <v>1309</v>
      </c>
      <c r="D123" s="2" t="s">
        <v>1538</v>
      </c>
      <c r="E123" s="2" t="s">
        <v>1539</v>
      </c>
      <c r="F123" s="2" t="s">
        <v>1278</v>
      </c>
      <c r="G123" s="2" t="s">
        <v>1279</v>
      </c>
      <c r="H123" t="e">
        <f>VLOOKUP(A123,'Export Worksheet'!A:L,6,FALSE)</f>
        <v>#N/A</v>
      </c>
      <c r="I123" t="str">
        <f>VLOOKUP(A123,'Tableau single and bulk'!A:B,2,FALSE)</f>
        <v>NESAUTO</v>
      </c>
      <c r="K123" s="9">
        <f>VLOOKUP(A123,'Tableau single and bulk'!A:I,9,FALSE)</f>
        <v>45945.398888888885</v>
      </c>
      <c r="L123">
        <f>VLOOKUP(A123,'Tableau single and bulk'!A:L,12,FALSE)</f>
        <v>601313</v>
      </c>
      <c r="M123" t="str">
        <f>VLOOKUP(A123,'Tableau single and bulk'!A:AA,27,FALSE)</f>
        <v>ChildVision</v>
      </c>
    </row>
    <row r="124" spans="1:13">
      <c r="A124" s="7" t="s">
        <v>1014</v>
      </c>
      <c r="B124" s="2" t="s">
        <v>1277</v>
      </c>
      <c r="C124" s="2" t="s">
        <v>1309</v>
      </c>
      <c r="D124" s="2" t="s">
        <v>1660</v>
      </c>
      <c r="E124" s="2" t="s">
        <v>1014</v>
      </c>
      <c r="F124" s="2" t="s">
        <v>1278</v>
      </c>
      <c r="G124" s="2" t="s">
        <v>1279</v>
      </c>
      <c r="H124">
        <f>VLOOKUP(A124,'Export Worksheet'!A:L,6,FALSE)</f>
        <v>1</v>
      </c>
      <c r="I124" t="str">
        <f>VLOOKUP(A124,'Tableau single and bulk'!A:B,2,FALSE)</f>
        <v>NEBAUTO</v>
      </c>
      <c r="K124" s="9">
        <f>VLOOKUP(A124,'Tableau single and bulk'!A:I,9,FALSE)</f>
        <v>45943.654606481483</v>
      </c>
      <c r="L124">
        <f>VLOOKUP(A124,'Tableau single and bulk'!A:L,12,FALSE)</f>
        <v>606813</v>
      </c>
      <c r="M124" t="str">
        <f>VLOOKUP(A124,'Tableau single and bulk'!A:AA,27,FALSE)</f>
        <v>RiverStone International Ireland</v>
      </c>
    </row>
    <row r="125" spans="1:13">
      <c r="A125" s="7" t="s">
        <v>1012</v>
      </c>
      <c r="B125" s="2" t="s">
        <v>1277</v>
      </c>
      <c r="C125" s="2" t="s">
        <v>1309</v>
      </c>
      <c r="D125" s="2" t="s">
        <v>1705</v>
      </c>
      <c r="E125" s="2" t="s">
        <v>1012</v>
      </c>
      <c r="F125" s="2" t="s">
        <v>1278</v>
      </c>
      <c r="G125" s="2" t="s">
        <v>1279</v>
      </c>
      <c r="H125">
        <f>VLOOKUP(A125,'Export Worksheet'!A:L,6,FALSE)</f>
        <v>4</v>
      </c>
      <c r="I125" t="str">
        <f>VLOOKUP(A125,'Tableau single and bulk'!A:B,2,FALSE)</f>
        <v>NEBAUTO</v>
      </c>
      <c r="K125" s="9">
        <f>VLOOKUP(A125,'Tableau single and bulk'!A:I,9,FALSE)</f>
        <v>45943.387233796297</v>
      </c>
      <c r="L125">
        <f>VLOOKUP(A125,'Tableau single and bulk'!A:L,12,FALSE)</f>
        <v>603619</v>
      </c>
      <c r="M125" t="str">
        <f>VLOOKUP(A125,'Tableau single and bulk'!A:AA,27,FALSE)</f>
        <v>QIL Technologies Limited</v>
      </c>
    </row>
    <row r="126" spans="1:13">
      <c r="A126" s="7" t="s">
        <v>57</v>
      </c>
      <c r="B126" s="2" t="s">
        <v>1339</v>
      </c>
      <c r="C126" s="2" t="s">
        <v>1309</v>
      </c>
      <c r="D126" s="2" t="s">
        <v>1380</v>
      </c>
      <c r="E126" s="2" t="s">
        <v>57</v>
      </c>
      <c r="F126" s="2" t="s">
        <v>1278</v>
      </c>
      <c r="G126" s="2" t="s">
        <v>1279</v>
      </c>
      <c r="H126" t="e">
        <f>VLOOKUP(A126,'Export Worksheet'!A:L,6,FALSE)</f>
        <v>#N/A</v>
      </c>
      <c r="I126" t="str">
        <f>VLOOKUP(A126,'Tableau single and bulk'!A:B,2,FALSE)</f>
        <v>NEBAUTO</v>
      </c>
      <c r="K126" s="9">
        <f>VLOOKUP(A126,'Tableau single and bulk'!A:I,9,FALSE)</f>
        <v>45946.57675925926</v>
      </c>
      <c r="L126">
        <f>VLOOKUP(A126,'Tableau single and bulk'!A:L,12,FALSE)</f>
        <v>602935</v>
      </c>
      <c r="M126" t="str">
        <f>VLOOKUP(A126,'Tableau single and bulk'!A:AA,27,FALSE)</f>
        <v>Demonware Limited</v>
      </c>
    </row>
    <row r="127" spans="1:13" hidden="1">
      <c r="A127" s="7" t="s">
        <v>1480</v>
      </c>
      <c r="B127" s="2" t="s">
        <v>1470</v>
      </c>
      <c r="C127" s="2" t="s">
        <v>1309</v>
      </c>
      <c r="D127" s="2" t="s">
        <v>1479</v>
      </c>
      <c r="E127" s="2" t="s">
        <v>1480</v>
      </c>
      <c r="F127" s="2" t="s">
        <v>1278</v>
      </c>
      <c r="G127" s="2" t="s">
        <v>1279</v>
      </c>
      <c r="H127" t="e">
        <f>VLOOKUP(A127,'Export Worksheet'!A:L,6,FALSE)</f>
        <v>#N/A</v>
      </c>
      <c r="I127" t="str">
        <f>VLOOKUP(A127,'Tableau single and bulk'!A:B,2,FALSE)</f>
        <v>NESAUTO</v>
      </c>
      <c r="K127" s="9">
        <f>VLOOKUP(A127,'Tableau single and bulk'!A:I,9,FALSE)</f>
        <v>45945.601851851854</v>
      </c>
      <c r="L127">
        <f>VLOOKUP(A127,'Tableau single and bulk'!A:L,12,FALSE)</f>
        <v>609841</v>
      </c>
      <c r="M127" t="str">
        <f>VLOOKUP(A127,'Tableau single and bulk'!A:AA,27,FALSE)</f>
        <v>Galway Clinic Doughiska Unltd Co</v>
      </c>
    </row>
    <row r="128" spans="1:13" hidden="1">
      <c r="A128" s="7" t="s">
        <v>1478</v>
      </c>
      <c r="B128" s="2" t="s">
        <v>1470</v>
      </c>
      <c r="C128" s="2" t="s">
        <v>1309</v>
      </c>
      <c r="D128" s="2" t="s">
        <v>1477</v>
      </c>
      <c r="E128" s="2" t="s">
        <v>1478</v>
      </c>
      <c r="F128" s="2" t="s">
        <v>1278</v>
      </c>
      <c r="G128" s="2" t="s">
        <v>1279</v>
      </c>
      <c r="H128" t="e">
        <f>VLOOKUP(A128,'Export Worksheet'!A:L,6,FALSE)</f>
        <v>#N/A</v>
      </c>
      <c r="I128" t="str">
        <f>VLOOKUP(A128,'Tableau single and bulk'!A:B,2,FALSE)</f>
        <v>NESAUTO</v>
      </c>
      <c r="K128" s="9">
        <f>VLOOKUP(A128,'Tableau single and bulk'!A:I,9,FALSE)</f>
        <v>45945.604270833333</v>
      </c>
      <c r="L128">
        <f>VLOOKUP(A128,'Tableau single and bulk'!A:L,12,FALSE)</f>
        <v>609841</v>
      </c>
      <c r="M128" t="str">
        <f>VLOOKUP(A128,'Tableau single and bulk'!A:AA,27,FALSE)</f>
        <v>Galway Clinic Doughiska Unltd Co</v>
      </c>
    </row>
    <row r="129" spans="1:13">
      <c r="A129" s="7" t="s">
        <v>777</v>
      </c>
      <c r="B129" s="2" t="s">
        <v>1277</v>
      </c>
      <c r="C129" s="2" t="s">
        <v>1309</v>
      </c>
      <c r="D129" s="2" t="s">
        <v>1696</v>
      </c>
      <c r="E129" s="2" t="s">
        <v>777</v>
      </c>
      <c r="F129" s="2" t="s">
        <v>1278</v>
      </c>
      <c r="G129" s="2" t="s">
        <v>1279</v>
      </c>
      <c r="H129">
        <f>VLOOKUP(A129,'Export Worksheet'!A:L,6,FALSE)</f>
        <v>1</v>
      </c>
      <c r="I129" t="str">
        <f>VLOOKUP(A129,'Tableau single and bulk'!A:B,2,FALSE)</f>
        <v>NEBAUTO</v>
      </c>
      <c r="K129" s="9">
        <f>VLOOKUP(A129,'Tableau single and bulk'!A:I,9,FALSE)</f>
        <v>45943.454861111109</v>
      </c>
      <c r="L129">
        <f>VLOOKUP(A129,'Tableau single and bulk'!A:L,12,FALSE)</f>
        <v>601590</v>
      </c>
      <c r="M129" t="str">
        <f>VLOOKUP(A129,'Tableau single and bulk'!A:AA,27,FALSE)</f>
        <v>Co Wexford Community Workshop(E) Ltd</v>
      </c>
    </row>
    <row r="130" spans="1:13">
      <c r="A130" s="7" t="s">
        <v>705</v>
      </c>
      <c r="B130" s="2" t="s">
        <v>1368</v>
      </c>
      <c r="C130" s="2" t="s">
        <v>1309</v>
      </c>
      <c r="D130" s="2" t="s">
        <v>1385</v>
      </c>
      <c r="E130" s="2" t="s">
        <v>705</v>
      </c>
      <c r="F130" s="2" t="s">
        <v>1278</v>
      </c>
      <c r="G130" s="2" t="s">
        <v>1279</v>
      </c>
      <c r="H130">
        <f>VLOOKUP(A130,'Export Worksheet'!A:L,6,FALSE)</f>
        <v>1</v>
      </c>
      <c r="I130" t="str">
        <f>VLOOKUP(A130,'Tableau single and bulk'!A:B,2,FALSE)</f>
        <v>NEBAUTO</v>
      </c>
      <c r="K130" s="9">
        <f>VLOOKUP(A130,'Tableau single and bulk'!A:I,9,FALSE)</f>
        <v>45946.561840277776</v>
      </c>
      <c r="L130">
        <f>VLOOKUP(A130,'Tableau single and bulk'!A:L,12,FALSE)</f>
        <v>602741</v>
      </c>
      <c r="M130" t="str">
        <f>VLOOKUP(A130,'Tableau single and bulk'!A:AA,27,FALSE)</f>
        <v>AOTI Ltd</v>
      </c>
    </row>
    <row r="131" spans="1:13">
      <c r="A131" s="7" t="s">
        <v>433</v>
      </c>
      <c r="B131" s="2" t="s">
        <v>1277</v>
      </c>
      <c r="C131" s="2" t="s">
        <v>1309</v>
      </c>
      <c r="D131" s="2" t="s">
        <v>1442</v>
      </c>
      <c r="E131" s="2" t="s">
        <v>433</v>
      </c>
      <c r="F131" s="2" t="s">
        <v>1278</v>
      </c>
      <c r="G131" s="2" t="s">
        <v>1279</v>
      </c>
      <c r="H131">
        <f>VLOOKUP(A131,'Export Worksheet'!A:L,6,FALSE)</f>
        <v>1</v>
      </c>
      <c r="I131" t="str">
        <f>VLOOKUP(A131,'Tableau single and bulk'!A:B,2,FALSE)</f>
        <v>NEBAUTO</v>
      </c>
      <c r="K131" s="9">
        <f>VLOOKUP(A131,'Tableau single and bulk'!A:I,9,FALSE)</f>
        <v>45946.379502314812</v>
      </c>
      <c r="L131">
        <f>VLOOKUP(A131,'Tableau single and bulk'!A:L,12,FALSE)</f>
        <v>606849</v>
      </c>
      <c r="M131" t="str">
        <f>VLOOKUP(A131,'Tableau single and bulk'!A:AA,27,FALSE)</f>
        <v>Maples Group</v>
      </c>
    </row>
    <row r="132" spans="1:13" hidden="1">
      <c r="A132" s="7" t="s">
        <v>1658</v>
      </c>
      <c r="B132" s="2" t="s">
        <v>1656</v>
      </c>
      <c r="C132" s="2" t="s">
        <v>1309</v>
      </c>
      <c r="D132" s="2" t="s">
        <v>1657</v>
      </c>
      <c r="E132" s="2" t="s">
        <v>1658</v>
      </c>
      <c r="F132" s="2" t="s">
        <v>1278</v>
      </c>
      <c r="G132" s="2" t="s">
        <v>1279</v>
      </c>
      <c r="H132" t="e">
        <f>VLOOKUP(A132,'Export Worksheet'!A:L,6,FALSE)</f>
        <v>#N/A</v>
      </c>
      <c r="I132" t="str">
        <f>VLOOKUP(A132,'Tableau single and bulk'!A:B,2,FALSE)</f>
        <v>NESAUTO</v>
      </c>
      <c r="K132" s="9">
        <f>VLOOKUP(A132,'Tableau single and bulk'!A:I,9,FALSE)</f>
        <v>45943.660416666666</v>
      </c>
      <c r="L132">
        <f>VLOOKUP(A132,'Tableau single and bulk'!A:L,12,FALSE)</f>
        <v>602042</v>
      </c>
      <c r="M132" t="str">
        <f>VLOOKUP(A132,'Tableau single and bulk'!A:AA,27,FALSE)</f>
        <v>RKD Architects</v>
      </c>
    </row>
    <row r="133" spans="1:13">
      <c r="A133" s="7" t="s">
        <v>638</v>
      </c>
      <c r="B133" s="2" t="s">
        <v>1624</v>
      </c>
      <c r="C133" s="2" t="s">
        <v>1309</v>
      </c>
      <c r="D133" s="2" t="s">
        <v>1627</v>
      </c>
      <c r="E133" s="2" t="s">
        <v>638</v>
      </c>
      <c r="F133" s="2" t="s">
        <v>1278</v>
      </c>
      <c r="G133" s="2" t="s">
        <v>1279</v>
      </c>
      <c r="H133">
        <f>VLOOKUP(A133,'Export Worksheet'!A:L,6,FALSE)</f>
        <v>7</v>
      </c>
      <c r="I133" t="str">
        <f>VLOOKUP(A133,'Tableau single and bulk'!A:B,2,FALSE)</f>
        <v>NEBAUTO</v>
      </c>
      <c r="K133" s="9">
        <f>VLOOKUP(A133,'Tableau single and bulk'!A:I,9,FALSE)</f>
        <v>45944.414409722223</v>
      </c>
      <c r="L133">
        <f>VLOOKUP(A133,'Tableau single and bulk'!A:L,12,FALSE)</f>
        <v>609706</v>
      </c>
      <c r="M133" t="str">
        <f>VLOOKUP(A133,'Tableau single and bulk'!A:AA,27,FALSE)</f>
        <v>NFVSP Western Care Association</v>
      </c>
    </row>
    <row r="134" spans="1:13">
      <c r="A134" s="7" t="s">
        <v>629</v>
      </c>
      <c r="B134" s="2" t="s">
        <v>1277</v>
      </c>
      <c r="C134" s="2" t="s">
        <v>1309</v>
      </c>
      <c r="D134" s="2" t="s">
        <v>1647</v>
      </c>
      <c r="E134" s="2" t="s">
        <v>629</v>
      </c>
      <c r="F134" s="2" t="s">
        <v>1278</v>
      </c>
      <c r="G134" s="2" t="s">
        <v>1279</v>
      </c>
      <c r="H134">
        <f>VLOOKUP(A134,'Export Worksheet'!A:L,6,FALSE)</f>
        <v>2</v>
      </c>
      <c r="I134" t="str">
        <f>VLOOKUP(A134,'Tableau single and bulk'!A:B,2,FALSE)</f>
        <v>NEBAUTO</v>
      </c>
      <c r="K134" s="9">
        <f>VLOOKUP(A134,'Tableau single and bulk'!A:I,9,FALSE)</f>
        <v>45943.705312500002</v>
      </c>
      <c r="L134">
        <f>VLOOKUP(A134,'Tableau single and bulk'!A:L,12,FALSE)</f>
        <v>601299</v>
      </c>
      <c r="M134" t="str">
        <f>VLOOKUP(A134,'Tableau single and bulk'!A:AA,27,FALSE)</f>
        <v>Thermo Fisher Scientific Cork Limited</v>
      </c>
    </row>
    <row r="135" spans="1:13">
      <c r="A135" s="7" t="s">
        <v>56</v>
      </c>
      <c r="B135" s="2" t="s">
        <v>1368</v>
      </c>
      <c r="C135" s="2" t="s">
        <v>1309</v>
      </c>
      <c r="D135" s="2" t="s">
        <v>1384</v>
      </c>
      <c r="E135" s="2" t="s">
        <v>56</v>
      </c>
      <c r="F135" s="2" t="s">
        <v>1278</v>
      </c>
      <c r="G135" s="2" t="s">
        <v>1279</v>
      </c>
      <c r="H135">
        <f>VLOOKUP(A135,'Export Worksheet'!A:L,6,FALSE)</f>
        <v>1</v>
      </c>
      <c r="I135" t="str">
        <f>VLOOKUP(A135,'Tableau single and bulk'!A:B,2,FALSE)</f>
        <v>NEBAUTO</v>
      </c>
      <c r="K135" s="9">
        <f>VLOOKUP(A135,'Tableau single and bulk'!A:I,9,FALSE)</f>
        <v>45946.567685185182</v>
      </c>
      <c r="L135">
        <f>VLOOKUP(A135,'Tableau single and bulk'!A:L,12,FALSE)</f>
        <v>603098</v>
      </c>
      <c r="M135" t="str">
        <f>VLOOKUP(A135,'Tableau single and bulk'!A:AA,27,FALSE)</f>
        <v>Loreto College Junior School</v>
      </c>
    </row>
    <row r="136" spans="1:13">
      <c r="A136" s="7" t="s">
        <v>40</v>
      </c>
      <c r="B136" s="2" t="s">
        <v>1437</v>
      </c>
      <c r="C136" s="2" t="s">
        <v>1309</v>
      </c>
      <c r="D136" s="2" t="s">
        <v>1438</v>
      </c>
      <c r="E136" s="2" t="s">
        <v>40</v>
      </c>
      <c r="F136" s="2" t="s">
        <v>1278</v>
      </c>
      <c r="G136" s="2" t="s">
        <v>1279</v>
      </c>
      <c r="H136">
        <f>VLOOKUP(A136,'Export Worksheet'!A:L,6,FALSE)</f>
        <v>2</v>
      </c>
      <c r="I136" t="str">
        <f>VLOOKUP(A136,'Tableau single and bulk'!A:B,2,FALSE)</f>
        <v>NEBAUTO</v>
      </c>
      <c r="K136" s="9">
        <f>VLOOKUP(A136,'Tableau single and bulk'!A:I,9,FALSE)</f>
        <v>45946.412118055552</v>
      </c>
      <c r="L136">
        <f>VLOOKUP(A136,'Tableau single and bulk'!A:L,12,FALSE)</f>
        <v>609763</v>
      </c>
      <c r="M136" t="str">
        <f>VLOOKUP(A136,'Tableau single and bulk'!A:AA,27,FALSE)</f>
        <v>Belvedere College SJ</v>
      </c>
    </row>
    <row r="137" spans="1:13">
      <c r="A137" s="7" t="s">
        <v>62</v>
      </c>
      <c r="B137" s="2" t="s">
        <v>1329</v>
      </c>
      <c r="C137" s="2" t="s">
        <v>1309</v>
      </c>
      <c r="D137" s="2" t="s">
        <v>1330</v>
      </c>
      <c r="E137" s="2" t="s">
        <v>62</v>
      </c>
      <c r="F137" s="2" t="s">
        <v>1278</v>
      </c>
      <c r="G137" s="2" t="s">
        <v>1279</v>
      </c>
      <c r="H137">
        <f>VLOOKUP(A137,'Export Worksheet'!A:L,6,FALSE)</f>
        <v>2</v>
      </c>
      <c r="I137" t="str">
        <f>VLOOKUP(A137,'Tableau single and bulk'!A:B,2,FALSE)</f>
        <v>NEBAUTO</v>
      </c>
      <c r="K137" s="9">
        <f>VLOOKUP(A137,'Tableau single and bulk'!A:I,9,FALSE)</f>
        <v>45946.670127314814</v>
      </c>
      <c r="L137">
        <f>VLOOKUP(A137,'Tableau single and bulk'!A:L,12,FALSE)</f>
        <v>605043</v>
      </c>
      <c r="M137" t="str">
        <f>VLOOKUP(A137,'Tableau single and bulk'!A:AA,27,FALSE)</f>
        <v>Proofpoint Ireland Limited</v>
      </c>
    </row>
    <row r="138" spans="1:13">
      <c r="A138" s="7" t="s">
        <v>917</v>
      </c>
      <c r="B138" s="2" t="s">
        <v>1314</v>
      </c>
      <c r="C138" s="2" t="s">
        <v>1309</v>
      </c>
      <c r="D138" s="2" t="s">
        <v>1431</v>
      </c>
      <c r="E138" s="2" t="s">
        <v>917</v>
      </c>
      <c r="F138" s="2" t="s">
        <v>1278</v>
      </c>
      <c r="G138" s="2" t="s">
        <v>1279</v>
      </c>
      <c r="H138">
        <f>VLOOKUP(A138,'Export Worksheet'!A:L,6,FALSE)</f>
        <v>1</v>
      </c>
      <c r="I138" t="str">
        <f>VLOOKUP(A138,'Tableau single and bulk'!A:B,2,FALSE)</f>
        <v>NEBAUTO</v>
      </c>
      <c r="K138" s="9">
        <f>VLOOKUP(A138,'Tableau single and bulk'!A:I,9,FALSE)</f>
        <v>45946.435960648145</v>
      </c>
      <c r="L138">
        <f>VLOOKUP(A138,'Tableau single and bulk'!A:L,12,FALSE)</f>
        <v>602410</v>
      </c>
      <c r="M138" t="str">
        <f>VLOOKUP(A138,'Tableau single and bulk'!A:AA,27,FALSE)</f>
        <v>Barclay Chemicals Manufacturing Limited</v>
      </c>
    </row>
    <row r="139" spans="1:13">
      <c r="A139" s="7" t="s">
        <v>52</v>
      </c>
      <c r="B139" s="2" t="s">
        <v>1416</v>
      </c>
      <c r="C139" s="2" t="s">
        <v>1309</v>
      </c>
      <c r="D139" s="2" t="s">
        <v>1417</v>
      </c>
      <c r="E139" s="2" t="s">
        <v>52</v>
      </c>
      <c r="F139" s="2" t="s">
        <v>1278</v>
      </c>
      <c r="G139" s="2" t="s">
        <v>1279</v>
      </c>
      <c r="H139">
        <f>VLOOKUP(A139,'Export Worksheet'!A:L,6,FALSE)</f>
        <v>11</v>
      </c>
      <c r="I139" t="str">
        <f>VLOOKUP(A139,'Tableau single and bulk'!A:B,2,FALSE)</f>
        <v>NEBAUTO</v>
      </c>
      <c r="K139" s="9">
        <f>VLOOKUP(A139,'Tableau single and bulk'!A:I,9,FALSE)</f>
        <v>45946.472407407404</v>
      </c>
      <c r="L139">
        <f>VLOOKUP(A139,'Tableau single and bulk'!A:L,12,FALSE)</f>
        <v>609584</v>
      </c>
      <c r="M139" t="str">
        <f>VLOOKUP(A139,'Tableau single and bulk'!A:AA,27,FALSE)</f>
        <v>O'Neill O'Malley LTD.</v>
      </c>
    </row>
    <row r="140" spans="1:13" hidden="1">
      <c r="A140" s="7" t="s">
        <v>1645</v>
      </c>
      <c r="B140" s="2" t="s">
        <v>1643</v>
      </c>
      <c r="C140" s="2" t="s">
        <v>1309</v>
      </c>
      <c r="D140" s="2" t="s">
        <v>1644</v>
      </c>
      <c r="E140" s="2" t="s">
        <v>1645</v>
      </c>
      <c r="F140" s="2" t="s">
        <v>1278</v>
      </c>
      <c r="G140" s="2" t="s">
        <v>1279</v>
      </c>
      <c r="H140" t="e">
        <f>VLOOKUP(A140,'Export Worksheet'!A:L,6,FALSE)</f>
        <v>#N/A</v>
      </c>
      <c r="I140" t="str">
        <f>VLOOKUP(A140,'Tableau single and bulk'!A:B,2,FALSE)</f>
        <v>NESAUTO</v>
      </c>
      <c r="K140" s="9">
        <f>VLOOKUP(A140,'Tableau single and bulk'!A:I,9,FALSE)</f>
        <v>45943.75309027778</v>
      </c>
      <c r="L140">
        <f>VLOOKUP(A140,'Tableau single and bulk'!A:L,12,FALSE)</f>
        <v>605212</v>
      </c>
      <c r="M140" t="str">
        <f>VLOOKUP(A140,'Tableau single and bulk'!A:AA,27,FALSE)</f>
        <v>Gaeloideachas Pension Plan</v>
      </c>
    </row>
    <row r="141" spans="1:13">
      <c r="A141" s="7" t="s">
        <v>625</v>
      </c>
      <c r="B141" s="2" t="s">
        <v>1277</v>
      </c>
      <c r="C141" s="2" t="s">
        <v>1309</v>
      </c>
      <c r="D141" s="2" t="s">
        <v>1672</v>
      </c>
      <c r="E141" s="2" t="s">
        <v>625</v>
      </c>
      <c r="F141" s="2" t="s">
        <v>1278</v>
      </c>
      <c r="G141" s="2" t="s">
        <v>1279</v>
      </c>
      <c r="H141">
        <f>VLOOKUP(A141,'Export Worksheet'!A:L,6,FALSE)</f>
        <v>12</v>
      </c>
      <c r="I141" t="str">
        <f>VLOOKUP(A141,'Tableau single and bulk'!A:B,2,FALSE)</f>
        <v>NEBAUTO</v>
      </c>
      <c r="K141" s="9">
        <f>VLOOKUP(A141,'Tableau single and bulk'!A:I,9,FALSE)</f>
        <v>45943.61451388889</v>
      </c>
      <c r="L141">
        <f>VLOOKUP(A141,'Tableau single and bulk'!A:L,12,FALSE)</f>
        <v>605244</v>
      </c>
      <c r="M141" t="str">
        <f>VLOOKUP(A141,'Tableau single and bulk'!A:AA,27,FALSE)</f>
        <v>Klaviyo Ireland Limited</v>
      </c>
    </row>
    <row r="142" spans="1:13">
      <c r="A142" s="7" t="s">
        <v>900</v>
      </c>
      <c r="B142" s="2" t="s">
        <v>1277</v>
      </c>
      <c r="C142" s="2" t="s">
        <v>1309</v>
      </c>
      <c r="D142" s="2" t="s">
        <v>1661</v>
      </c>
      <c r="E142" s="2" t="s">
        <v>900</v>
      </c>
      <c r="F142" s="2" t="s">
        <v>1278</v>
      </c>
      <c r="G142" s="2" t="s">
        <v>1279</v>
      </c>
      <c r="H142">
        <f>VLOOKUP(A142,'Export Worksheet'!A:L,6,FALSE)</f>
        <v>4</v>
      </c>
      <c r="I142" t="str">
        <f>VLOOKUP(A142,'Tableau single and bulk'!A:B,2,FALSE)</f>
        <v>NEBAUTO</v>
      </c>
      <c r="K142" s="9">
        <f>VLOOKUP(A142,'Tableau single and bulk'!A:I,9,FALSE)</f>
        <v>45943.652743055558</v>
      </c>
      <c r="L142">
        <f>VLOOKUP(A142,'Tableau single and bulk'!A:L,12,FALSE)</f>
        <v>609121</v>
      </c>
      <c r="M142" t="str">
        <f>VLOOKUP(A142,'Tableau single and bulk'!A:AA,27,FALSE)</f>
        <v>Haleon Ireland Dungarvan Limited</v>
      </c>
    </row>
    <row r="143" spans="1:13">
      <c r="A143" s="7" t="s">
        <v>914</v>
      </c>
      <c r="B143" s="2" t="s">
        <v>1422</v>
      </c>
      <c r="C143" s="2" t="s">
        <v>1309</v>
      </c>
      <c r="D143" s="2" t="s">
        <v>1430</v>
      </c>
      <c r="E143" s="2" t="s">
        <v>914</v>
      </c>
      <c r="F143" s="2" t="s">
        <v>1278</v>
      </c>
      <c r="G143" s="2" t="s">
        <v>1279</v>
      </c>
      <c r="H143">
        <f>VLOOKUP(A143,'Export Worksheet'!A:L,6,FALSE)</f>
        <v>15</v>
      </c>
      <c r="I143" t="str">
        <f>VLOOKUP(A143,'Tableau single and bulk'!A:B,2,FALSE)</f>
        <v>NEBAUTO</v>
      </c>
      <c r="K143" s="9">
        <f>VLOOKUP(A143,'Tableau single and bulk'!A:I,9,FALSE)</f>
        <v>45946.436296296299</v>
      </c>
      <c r="L143">
        <f>VLOOKUP(A143,'Tableau single and bulk'!A:L,12,FALSE)</f>
        <v>608029</v>
      </c>
      <c r="M143" t="str">
        <f>VLOOKUP(A143,'Tableau single and bulk'!A:AA,27,FALSE)</f>
        <v>Bon Secours Health System Limited</v>
      </c>
    </row>
    <row r="144" spans="1:13">
      <c r="A144" s="7" t="s">
        <v>45</v>
      </c>
      <c r="B144" s="2" t="s">
        <v>1422</v>
      </c>
      <c r="C144" s="2" t="s">
        <v>1309</v>
      </c>
      <c r="D144" s="2" t="s">
        <v>1423</v>
      </c>
      <c r="E144" s="2" t="s">
        <v>45</v>
      </c>
      <c r="F144" s="2" t="s">
        <v>1278</v>
      </c>
      <c r="G144" s="2" t="s">
        <v>1279</v>
      </c>
      <c r="H144">
        <f>VLOOKUP(A144,'Export Worksheet'!A:L,6,FALSE)</f>
        <v>7</v>
      </c>
      <c r="I144" t="str">
        <f>VLOOKUP(A144,'Tableau single and bulk'!A:B,2,FALSE)</f>
        <v>NEBAUTO</v>
      </c>
      <c r="K144" s="9">
        <f>VLOOKUP(A144,'Tableau single and bulk'!A:I,9,FALSE)</f>
        <v>45946.455497685187</v>
      </c>
      <c r="L144">
        <f>VLOOKUP(A144,'Tableau single and bulk'!A:L,12,FALSE)</f>
        <v>608029</v>
      </c>
      <c r="M144" t="str">
        <f>VLOOKUP(A144,'Tableau single and bulk'!A:AA,27,FALSE)</f>
        <v>Bon Secours Health System Limited</v>
      </c>
    </row>
    <row r="145" spans="1:13">
      <c r="A145" s="7" t="s">
        <v>634</v>
      </c>
      <c r="B145" s="2" t="s">
        <v>1573</v>
      </c>
      <c r="C145" s="2" t="s">
        <v>1309</v>
      </c>
      <c r="D145" s="2" t="s">
        <v>1585</v>
      </c>
      <c r="E145" s="2" t="s">
        <v>634</v>
      </c>
      <c r="F145" s="2" t="s">
        <v>1278</v>
      </c>
      <c r="G145" s="2" t="s">
        <v>1279</v>
      </c>
      <c r="H145">
        <f>VLOOKUP(A145,'Export Worksheet'!A:L,6,FALSE)</f>
        <v>3</v>
      </c>
      <c r="I145" t="str">
        <f>VLOOKUP(A145,'Tableau single and bulk'!A:B,2,FALSE)</f>
        <v>NEBAUTO</v>
      </c>
      <c r="K145" s="9">
        <f>VLOOKUP(A145,'Tableau single and bulk'!A:I,9,FALSE)</f>
        <v>45944.595509259256</v>
      </c>
      <c r="L145">
        <f>VLOOKUP(A145,'Tableau single and bulk'!A:L,12,FALSE)</f>
        <v>603888</v>
      </c>
      <c r="M145" t="str">
        <f>VLOOKUP(A145,'Tableau single and bulk'!A:AA,27,FALSE)</f>
        <v>Kerry Group Plc</v>
      </c>
    </row>
    <row r="146" spans="1:13">
      <c r="A146" s="7" t="s">
        <v>649</v>
      </c>
      <c r="B146" s="2" t="s">
        <v>1573</v>
      </c>
      <c r="C146" s="2" t="s">
        <v>1309</v>
      </c>
      <c r="D146" s="2" t="s">
        <v>1574</v>
      </c>
      <c r="E146" s="2" t="s">
        <v>649</v>
      </c>
      <c r="F146" s="2" t="s">
        <v>1278</v>
      </c>
      <c r="G146" s="2" t="s">
        <v>1279</v>
      </c>
      <c r="H146">
        <f>VLOOKUP(A146,'Export Worksheet'!A:L,6,FALSE)</f>
        <v>37</v>
      </c>
      <c r="I146" t="str">
        <f>VLOOKUP(A146,'Tableau single and bulk'!A:B,2,FALSE)</f>
        <v>NEBAUTO</v>
      </c>
      <c r="K146" s="9">
        <f>VLOOKUP(A146,'Tableau single and bulk'!A:I,9,FALSE)</f>
        <v>45944.615358796298</v>
      </c>
      <c r="L146">
        <f>VLOOKUP(A146,'Tableau single and bulk'!A:L,12,FALSE)</f>
        <v>605376</v>
      </c>
      <c r="M146" t="str">
        <f>VLOOKUP(A146,'Tableau single and bulk'!A:AA,27,FALSE)</f>
        <v>Kerry Dairy Holdings (Ireland) Limited</v>
      </c>
    </row>
    <row r="147" spans="1:13">
      <c r="A147" s="7" t="s">
        <v>1579</v>
      </c>
      <c r="B147" s="2" t="s">
        <v>1573</v>
      </c>
      <c r="C147" s="2" t="s">
        <v>1309</v>
      </c>
      <c r="D147" s="2" t="s">
        <v>1578</v>
      </c>
      <c r="E147" s="2" t="s">
        <v>1579</v>
      </c>
      <c r="F147" s="2" t="s">
        <v>1278</v>
      </c>
      <c r="G147" s="2" t="s">
        <v>1279</v>
      </c>
      <c r="H147" t="e">
        <f>VLOOKUP(A147,'Export Worksheet'!A:L,6,FALSE)</f>
        <v>#N/A</v>
      </c>
      <c r="I147" t="str">
        <f>VLOOKUP(A147,'Tableau single and bulk'!A:B,2,FALSE)</f>
        <v>NEBAUTO</v>
      </c>
      <c r="K147" s="9">
        <f>VLOOKUP(A147,'Tableau single and bulk'!A:I,9,FALSE)</f>
        <v>45944.605798611112</v>
      </c>
      <c r="L147">
        <f>VLOOKUP(A147,'Tableau single and bulk'!A:L,12,FALSE)</f>
        <v>605376</v>
      </c>
      <c r="M147" t="str">
        <f>VLOOKUP(A147,'Tableau single and bulk'!A:AA,27,FALSE)</f>
        <v>Kerry Dairy Holdings (Ireland) Limited</v>
      </c>
    </row>
    <row r="148" spans="1:13">
      <c r="A148" s="7" t="s">
        <v>42</v>
      </c>
      <c r="B148" s="2" t="s">
        <v>1425</v>
      </c>
      <c r="C148" s="2" t="s">
        <v>1309</v>
      </c>
      <c r="D148" s="2" t="s">
        <v>1439</v>
      </c>
      <c r="E148" s="2" t="s">
        <v>42</v>
      </c>
      <c r="F148" s="2" t="s">
        <v>1278</v>
      </c>
      <c r="G148" s="2" t="s">
        <v>1279</v>
      </c>
      <c r="H148">
        <f>VLOOKUP(A148,'Export Worksheet'!A:L,6,FALSE)</f>
        <v>1</v>
      </c>
      <c r="I148" t="str">
        <f>VLOOKUP(A148,'Tableau single and bulk'!A:B,2,FALSE)</f>
        <v>NEBAUTO</v>
      </c>
      <c r="K148" s="9">
        <f>VLOOKUP(A148,'Tableau single and bulk'!A:I,9,FALSE)</f>
        <v>45946.411168981482</v>
      </c>
      <c r="L148">
        <f>VLOOKUP(A148,'Tableau single and bulk'!A:L,12,FALSE)</f>
        <v>602944</v>
      </c>
      <c r="M148" t="str">
        <f>VLOOKUP(A148,'Tableau single and bulk'!A:AA,27,FALSE)</f>
        <v>PATRICK J TOBIN LTD</v>
      </c>
    </row>
    <row r="149" spans="1:13" hidden="1">
      <c r="A149" s="7" t="s">
        <v>1626</v>
      </c>
      <c r="B149" s="2" t="s">
        <v>1624</v>
      </c>
      <c r="C149" s="2" t="s">
        <v>1309</v>
      </c>
      <c r="D149" s="2" t="s">
        <v>1625</v>
      </c>
      <c r="E149" s="2" t="s">
        <v>1626</v>
      </c>
      <c r="F149" s="2" t="s">
        <v>1278</v>
      </c>
      <c r="G149" s="2" t="s">
        <v>1279</v>
      </c>
      <c r="H149" t="e">
        <f>VLOOKUP(A149,'Export Worksheet'!A:L,6,FALSE)</f>
        <v>#N/A</v>
      </c>
      <c r="I149" t="str">
        <f>VLOOKUP(A149,'Tableau single and bulk'!A:B,2,FALSE)</f>
        <v>NESAUTO</v>
      </c>
      <c r="K149" s="9">
        <f>VLOOKUP(A149,'Tableau single and bulk'!A:I,9,FALSE)</f>
        <v>45944.414733796293</v>
      </c>
      <c r="L149">
        <f>VLOOKUP(A149,'Tableau single and bulk'!A:L,12,FALSE)</f>
        <v>609706</v>
      </c>
      <c r="M149" t="str">
        <f>VLOOKUP(A149,'Tableau single and bulk'!A:AA,27,FALSE)</f>
        <v>NFVSP Western Care Association</v>
      </c>
    </row>
    <row r="150" spans="1:13">
      <c r="A150" s="7" t="s">
        <v>44</v>
      </c>
      <c r="B150" s="2" t="s">
        <v>1435</v>
      </c>
      <c r="C150" s="2" t="s">
        <v>1309</v>
      </c>
      <c r="D150" s="2" t="s">
        <v>1436</v>
      </c>
      <c r="E150" s="2" t="s">
        <v>44</v>
      </c>
      <c r="F150" s="2" t="s">
        <v>1278</v>
      </c>
      <c r="G150" s="2" t="s">
        <v>1279</v>
      </c>
      <c r="H150">
        <f>VLOOKUP(A150,'Export Worksheet'!A:L,6,FALSE)</f>
        <v>14</v>
      </c>
      <c r="I150" t="str">
        <f>VLOOKUP(A150,'Tableau single and bulk'!A:B,2,FALSE)</f>
        <v>NEBAUTO</v>
      </c>
      <c r="K150" s="9">
        <f>VLOOKUP(A150,'Tableau single and bulk'!A:I,9,FALSE)</f>
        <v>45946.427002314813</v>
      </c>
      <c r="L150">
        <f>VLOOKUP(A150,'Tableau single and bulk'!A:L,12,FALSE)</f>
        <v>601294</v>
      </c>
      <c r="M150" t="str">
        <f>VLOOKUP(A150,'Tableau single and bulk'!A:AA,27,FALSE)</f>
        <v>Cheshire Foundation in Ireland</v>
      </c>
    </row>
    <row r="151" spans="1:13" hidden="1">
      <c r="A151" s="7" t="s">
        <v>1409</v>
      </c>
      <c r="B151" s="2" t="s">
        <v>1405</v>
      </c>
      <c r="C151" s="2" t="s">
        <v>1309</v>
      </c>
      <c r="D151" s="2" t="s">
        <v>1408</v>
      </c>
      <c r="E151" s="2" t="s">
        <v>1409</v>
      </c>
      <c r="F151" s="2" t="s">
        <v>1278</v>
      </c>
      <c r="G151" s="2" t="s">
        <v>1279</v>
      </c>
      <c r="H151" t="e">
        <f>VLOOKUP(A151,'Export Worksheet'!A:L,6,FALSE)</f>
        <v>#N/A</v>
      </c>
      <c r="I151" t="str">
        <f>VLOOKUP(A151,'Tableau single and bulk'!A:B,2,FALSE)</f>
        <v>NESAUTO</v>
      </c>
      <c r="K151" s="9">
        <f>VLOOKUP(A151,'Tableau single and bulk'!A:I,9,FALSE)</f>
        <v>45946.489305555559</v>
      </c>
      <c r="L151">
        <f>VLOOKUP(A151,'Tableau single and bulk'!A:L,12,FALSE)</f>
        <v>603165</v>
      </c>
      <c r="M151" t="str">
        <f>VLOOKUP(A151,'Tableau single and bulk'!A:AA,27,FALSE)</f>
        <v>Ethos Engineering Limited</v>
      </c>
    </row>
    <row r="152" spans="1:13">
      <c r="A152" s="7" t="s">
        <v>904</v>
      </c>
      <c r="B152" s="2" t="s">
        <v>1277</v>
      </c>
      <c r="C152" s="2" t="s">
        <v>1309</v>
      </c>
      <c r="D152" s="2" t="s">
        <v>1443</v>
      </c>
      <c r="E152" s="2" t="s">
        <v>904</v>
      </c>
      <c r="F152" s="2" t="s">
        <v>1278</v>
      </c>
      <c r="G152" s="2" t="s">
        <v>1279</v>
      </c>
      <c r="H152">
        <f>VLOOKUP(A152,'Export Worksheet'!A:L,6,FALSE)</f>
        <v>2</v>
      </c>
      <c r="I152" t="str">
        <f>VLOOKUP(A152,'Tableau single and bulk'!A:B,2,FALSE)</f>
        <v>NEBAUTO</v>
      </c>
      <c r="K152" s="9">
        <f>VLOOKUP(A152,'Tableau single and bulk'!A:I,9,FALSE)</f>
        <v>45946.374409722222</v>
      </c>
      <c r="L152">
        <f>VLOOKUP(A152,'Tableau single and bulk'!A:L,12,FALSE)</f>
        <v>603223</v>
      </c>
      <c r="M152" t="str">
        <f>VLOOKUP(A152,'Tableau single and bulk'!A:AA,27,FALSE)</f>
        <v>MongoDB Limited</v>
      </c>
    </row>
    <row r="153" spans="1:13" hidden="1">
      <c r="A153" s="7" t="s">
        <v>1441</v>
      </c>
      <c r="B153" s="2" t="s">
        <v>1324</v>
      </c>
      <c r="C153" s="2" t="s">
        <v>1309</v>
      </c>
      <c r="D153" s="2" t="s">
        <v>1440</v>
      </c>
      <c r="E153" s="2" t="s">
        <v>1441</v>
      </c>
      <c r="F153" s="2" t="s">
        <v>1278</v>
      </c>
      <c r="G153" s="2" t="s">
        <v>1279</v>
      </c>
      <c r="H153" t="e">
        <f>VLOOKUP(A153,'Export Worksheet'!A:L,6,FALSE)</f>
        <v>#N/A</v>
      </c>
      <c r="I153" t="str">
        <f>VLOOKUP(A153,'Tableau single and bulk'!A:B,2,FALSE)</f>
        <v>NESAUTO</v>
      </c>
      <c r="K153" s="9">
        <f>VLOOKUP(A153,'Tableau single and bulk'!A:I,9,FALSE)</f>
        <v>45946.40556712963</v>
      </c>
      <c r="L153">
        <f>VLOOKUP(A153,'Tableau single and bulk'!A:L,12,FALSE)</f>
        <v>608068</v>
      </c>
      <c r="M153" t="str">
        <f>VLOOKUP(A153,'Tableau single and bulk'!A:AA,27,FALSE)</f>
        <v>Ministry Brands Limited</v>
      </c>
    </row>
    <row r="154" spans="1:13">
      <c r="A154" s="7" t="s">
        <v>781</v>
      </c>
      <c r="B154" s="2" t="s">
        <v>1277</v>
      </c>
      <c r="C154" s="2" t="s">
        <v>1309</v>
      </c>
      <c r="D154" s="2" t="s">
        <v>1646</v>
      </c>
      <c r="E154" s="2" t="s">
        <v>781</v>
      </c>
      <c r="F154" s="2" t="s">
        <v>1278</v>
      </c>
      <c r="G154" s="2" t="s">
        <v>1279</v>
      </c>
      <c r="H154">
        <f>VLOOKUP(A154,'Export Worksheet'!A:L,6,FALSE)</f>
        <v>1</v>
      </c>
      <c r="I154" t="str">
        <f>VLOOKUP(A154,'Tableau single and bulk'!A:B,2,FALSE)</f>
        <v>NEBAUTO</v>
      </c>
      <c r="K154" s="9">
        <f>VLOOKUP(A154,'Tableau single and bulk'!A:I,9,FALSE)</f>
        <v>45943.743101851855</v>
      </c>
      <c r="L154">
        <f>VLOOKUP(A154,'Tableau single and bulk'!A:L,12,FALSE)</f>
        <v>609820</v>
      </c>
      <c r="M154" t="str">
        <f>VLOOKUP(A154,'Tableau single and bulk'!A:AA,27,FALSE)</f>
        <v>Carraig Donn Trading ULC</v>
      </c>
    </row>
    <row r="155" spans="1:13" hidden="1">
      <c r="A155" s="7" t="s">
        <v>1472</v>
      </c>
      <c r="B155" s="2" t="s">
        <v>1470</v>
      </c>
      <c r="C155" s="2" t="s">
        <v>1309</v>
      </c>
      <c r="D155" s="2" t="s">
        <v>1471</v>
      </c>
      <c r="E155" s="2" t="s">
        <v>1472</v>
      </c>
      <c r="F155" s="2" t="s">
        <v>1278</v>
      </c>
      <c r="G155" s="2" t="s">
        <v>1279</v>
      </c>
      <c r="H155" t="e">
        <f>VLOOKUP(A155,'Export Worksheet'!A:L,6,FALSE)</f>
        <v>#N/A</v>
      </c>
      <c r="I155" t="str">
        <f>VLOOKUP(A155,'Tableau single and bulk'!A:B,2,FALSE)</f>
        <v>NESAUTO</v>
      </c>
      <c r="K155" s="9">
        <f>VLOOKUP(A155,'Tableau single and bulk'!A:I,9,FALSE)</f>
        <v>45945.618784722225</v>
      </c>
      <c r="L155">
        <f>VLOOKUP(A155,'Tableau single and bulk'!A:L,12,FALSE)</f>
        <v>609841</v>
      </c>
      <c r="M155" t="str">
        <f>VLOOKUP(A155,'Tableau single and bulk'!A:AA,27,FALSE)</f>
        <v>Galway Clinic Doughiska Unltd Co</v>
      </c>
    </row>
    <row r="156" spans="1:13" hidden="1">
      <c r="A156" s="7" t="s">
        <v>1476</v>
      </c>
      <c r="B156" s="2" t="s">
        <v>1470</v>
      </c>
      <c r="C156" s="2" t="s">
        <v>1309</v>
      </c>
      <c r="D156" s="2" t="s">
        <v>1475</v>
      </c>
      <c r="E156" s="2" t="s">
        <v>1476</v>
      </c>
      <c r="F156" s="2" t="s">
        <v>1278</v>
      </c>
      <c r="G156" s="2" t="s">
        <v>1279</v>
      </c>
      <c r="H156" t="e">
        <f>VLOOKUP(A156,'Export Worksheet'!A:L,6,FALSE)</f>
        <v>#N/A</v>
      </c>
      <c r="I156" t="str">
        <f>VLOOKUP(A156,'Tableau single and bulk'!A:B,2,FALSE)</f>
        <v>NESAUTO</v>
      </c>
      <c r="K156" s="9">
        <f>VLOOKUP(A156,'Tableau single and bulk'!A:I,9,FALSE)</f>
        <v>45945.614178240743</v>
      </c>
      <c r="L156">
        <f>VLOOKUP(A156,'Tableau single and bulk'!A:L,12,FALSE)</f>
        <v>609841</v>
      </c>
      <c r="M156" t="str">
        <f>VLOOKUP(A156,'Tableau single and bulk'!A:AA,27,FALSE)</f>
        <v>Galway Clinic Doughiska Unltd Co</v>
      </c>
    </row>
    <row r="157" spans="1:13">
      <c r="A157" s="7" t="s">
        <v>1379</v>
      </c>
      <c r="B157" s="2" t="s">
        <v>1314</v>
      </c>
      <c r="C157" s="2" t="s">
        <v>1309</v>
      </c>
      <c r="D157" s="2" t="s">
        <v>1378</v>
      </c>
      <c r="E157" s="2" t="s">
        <v>1379</v>
      </c>
      <c r="F157" s="2" t="s">
        <v>1278</v>
      </c>
      <c r="G157" s="2" t="s">
        <v>1279</v>
      </c>
      <c r="H157" t="e">
        <f>VLOOKUP(A157,'Export Worksheet'!A:L,6,FALSE)</f>
        <v>#N/A</v>
      </c>
      <c r="I157" t="str">
        <f>VLOOKUP(A157,'Tableau single and bulk'!A:B,2,FALSE)</f>
        <v>NEBAUTO</v>
      </c>
      <c r="K157" s="9">
        <f>VLOOKUP(A157,'Tableau single and bulk'!A:I,9,FALSE)</f>
        <v>45946.581365740742</v>
      </c>
      <c r="L157">
        <f>VLOOKUP(A157,'Tableau single and bulk'!A:L,12,FALSE)</f>
        <v>603970</v>
      </c>
      <c r="M157" t="str">
        <f>VLOOKUP(A157,'Tableau single and bulk'!A:AA,27,FALSE)</f>
        <v>Twilio Ireland Limited</v>
      </c>
    </row>
    <row r="158" spans="1:13" hidden="1">
      <c r="A158" s="7" t="s">
        <v>1474</v>
      </c>
      <c r="B158" s="2" t="s">
        <v>1470</v>
      </c>
      <c r="C158" s="2" t="s">
        <v>1309</v>
      </c>
      <c r="D158" s="2" t="s">
        <v>1473</v>
      </c>
      <c r="E158" s="2" t="s">
        <v>1474</v>
      </c>
      <c r="F158" s="2" t="s">
        <v>1278</v>
      </c>
      <c r="G158" s="2" t="s">
        <v>1279</v>
      </c>
      <c r="H158" t="e">
        <f>VLOOKUP(A158,'Export Worksheet'!A:L,6,FALSE)</f>
        <v>#N/A</v>
      </c>
      <c r="I158" t="str">
        <f>VLOOKUP(A158,'Tableau single and bulk'!A:B,2,FALSE)</f>
        <v>NESAUTO</v>
      </c>
      <c r="K158" s="9">
        <f>VLOOKUP(A158,'Tableau single and bulk'!A:I,9,FALSE)</f>
        <v>45945.616562499999</v>
      </c>
      <c r="L158">
        <f>VLOOKUP(A158,'Tableau single and bulk'!A:L,12,FALSE)</f>
        <v>609841</v>
      </c>
      <c r="M158" t="str">
        <f>VLOOKUP(A158,'Tableau single and bulk'!A:AA,27,FALSE)</f>
        <v>Galway Clinic Doughiska Unltd Co</v>
      </c>
    </row>
    <row r="159" spans="1:13" hidden="1">
      <c r="A159" s="7" t="s">
        <v>1407</v>
      </c>
      <c r="B159" s="2" t="s">
        <v>1405</v>
      </c>
      <c r="C159" s="2" t="s">
        <v>1309</v>
      </c>
      <c r="D159" s="2" t="s">
        <v>1406</v>
      </c>
      <c r="E159" s="2" t="s">
        <v>1407</v>
      </c>
      <c r="F159" s="2" t="s">
        <v>1278</v>
      </c>
      <c r="G159" s="2" t="s">
        <v>1279</v>
      </c>
      <c r="H159" t="e">
        <f>VLOOKUP(A159,'Export Worksheet'!A:L,6,FALSE)</f>
        <v>#N/A</v>
      </c>
      <c r="I159" t="str">
        <f>VLOOKUP(A159,'Tableau single and bulk'!A:B,2,FALSE)</f>
        <v>NESAUTO</v>
      </c>
      <c r="K159" s="9">
        <f>VLOOKUP(A159,'Tableau single and bulk'!A:I,9,FALSE)</f>
        <v>45946.493043981478</v>
      </c>
      <c r="L159">
        <f>VLOOKUP(A159,'Tableau single and bulk'!A:L,12,FALSE)</f>
        <v>603165</v>
      </c>
      <c r="M159" t="str">
        <f>VLOOKUP(A159,'Tableau single and bulk'!A:AA,27,FALSE)</f>
        <v>Ethos Engineering Limited</v>
      </c>
    </row>
    <row r="160" spans="1:13">
      <c r="A160" s="7" t="s">
        <v>787</v>
      </c>
      <c r="B160" s="2" t="s">
        <v>1314</v>
      </c>
      <c r="C160" s="2" t="s">
        <v>1309</v>
      </c>
      <c r="D160" s="2" t="s">
        <v>1377</v>
      </c>
      <c r="E160" s="2" t="s">
        <v>787</v>
      </c>
      <c r="F160" s="2" t="s">
        <v>1278</v>
      </c>
      <c r="G160" s="2" t="s">
        <v>1279</v>
      </c>
      <c r="H160">
        <f>VLOOKUP(A160,'Export Worksheet'!A:L,6,FALSE)</f>
        <v>2</v>
      </c>
      <c r="I160" t="str">
        <f>VLOOKUP(A160,'Tableau single and bulk'!A:B,2,FALSE)</f>
        <v>NEBAUTO</v>
      </c>
      <c r="K160" s="9">
        <f>VLOOKUP(A160,'Tableau single and bulk'!A:I,9,FALSE)</f>
        <v>45946.583043981482</v>
      </c>
      <c r="L160">
        <f>VLOOKUP(A160,'Tableau single and bulk'!A:L,12,FALSE)</f>
        <v>603970</v>
      </c>
      <c r="M160" t="str">
        <f>VLOOKUP(A160,'Tableau single and bulk'!A:AA,27,FALSE)</f>
        <v>Twilio Ireland Limited</v>
      </c>
    </row>
    <row r="161" spans="1:13">
      <c r="A161" s="7" t="s">
        <v>915</v>
      </c>
      <c r="B161" s="2" t="s">
        <v>1314</v>
      </c>
      <c r="C161" s="2" t="s">
        <v>1309</v>
      </c>
      <c r="D161" s="2" t="s">
        <v>1432</v>
      </c>
      <c r="E161" s="2" t="s">
        <v>915</v>
      </c>
      <c r="F161" s="2" t="s">
        <v>1278</v>
      </c>
      <c r="G161" s="2" t="s">
        <v>1279</v>
      </c>
      <c r="H161">
        <f>VLOOKUP(A161,'Export Worksheet'!A:L,6,FALSE)</f>
        <v>1</v>
      </c>
      <c r="I161" t="str">
        <f>VLOOKUP(A161,'Tableau single and bulk'!A:B,2,FALSE)</f>
        <v>NEBAUTO</v>
      </c>
      <c r="K161" s="9">
        <f>VLOOKUP(A161,'Tableau single and bulk'!A:I,9,FALSE)</f>
        <v>45946.435034722221</v>
      </c>
      <c r="L161">
        <f>VLOOKUP(A161,'Tableau single and bulk'!A:L,12,FALSE)</f>
        <v>602410</v>
      </c>
      <c r="M161" t="str">
        <f>VLOOKUP(A161,'Tableau single and bulk'!A:AA,27,FALSE)</f>
        <v>Barclay Chemicals Manufacturing Limited</v>
      </c>
    </row>
    <row r="162" spans="1:13">
      <c r="A162" s="7" t="s">
        <v>54</v>
      </c>
      <c r="B162" s="2" t="s">
        <v>1290</v>
      </c>
      <c r="C162" s="2" t="s">
        <v>1309</v>
      </c>
      <c r="D162" s="2" t="s">
        <v>1412</v>
      </c>
      <c r="E162" s="2" t="s">
        <v>54</v>
      </c>
      <c r="F162" s="2" t="s">
        <v>1278</v>
      </c>
      <c r="G162" s="2" t="s">
        <v>1279</v>
      </c>
      <c r="H162">
        <f>VLOOKUP(A162,'Export Worksheet'!A:L,6,FALSE)</f>
        <v>1</v>
      </c>
      <c r="I162" t="str">
        <f>VLOOKUP(A162,'Tableau single and bulk'!A:B,2,FALSE)</f>
        <v>NEBAUTO</v>
      </c>
      <c r="K162" s="9">
        <f>VLOOKUP(A162,'Tableau single and bulk'!A:I,9,FALSE)</f>
        <v>45946.484965277778</v>
      </c>
      <c r="L162">
        <f>VLOOKUP(A162,'Tableau single and bulk'!A:L,12,FALSE)</f>
        <v>603757</v>
      </c>
      <c r="M162" t="str">
        <f>VLOOKUP(A162,'Tableau single and bulk'!A:AA,27,FALSE)</f>
        <v>eircom Limited AVC Scheme</v>
      </c>
    </row>
    <row r="163" spans="1:13" hidden="1">
      <c r="A163" s="7" t="s">
        <v>1411</v>
      </c>
      <c r="B163" s="2" t="s">
        <v>1290</v>
      </c>
      <c r="C163" s="2" t="s">
        <v>1309</v>
      </c>
      <c r="D163" s="2" t="s">
        <v>1410</v>
      </c>
      <c r="E163" s="2" t="s">
        <v>1411</v>
      </c>
      <c r="F163" s="2" t="s">
        <v>1278</v>
      </c>
      <c r="G163" s="2" t="s">
        <v>1279</v>
      </c>
      <c r="H163" t="e">
        <f>VLOOKUP(A163,'Export Worksheet'!A:L,6,FALSE)</f>
        <v>#N/A</v>
      </c>
      <c r="I163" t="str">
        <f>VLOOKUP(A163,'Tableau single and bulk'!A:B,2,FALSE)</f>
        <v>NESAUTO</v>
      </c>
      <c r="K163" s="9">
        <f>VLOOKUP(A163,'Tableau single and bulk'!A:I,9,FALSE)</f>
        <v>45946.486666666664</v>
      </c>
      <c r="L163">
        <f>VLOOKUP(A163,'Tableau single and bulk'!A:L,12,FALSE)</f>
        <v>603756</v>
      </c>
      <c r="M163" t="str">
        <f>VLOOKUP(A163,'Tableau single and bulk'!A:AA,27,FALSE)</f>
        <v>eircom</v>
      </c>
    </row>
    <row r="164" spans="1:13">
      <c r="A164" s="7" t="s">
        <v>413</v>
      </c>
      <c r="B164" s="2" t="s">
        <v>1277</v>
      </c>
      <c r="C164" s="2" t="s">
        <v>1309</v>
      </c>
      <c r="D164" s="2" t="s">
        <v>1634</v>
      </c>
      <c r="E164" s="2" t="s">
        <v>413</v>
      </c>
      <c r="F164" s="2" t="s">
        <v>1278</v>
      </c>
      <c r="G164" s="2" t="s">
        <v>1279</v>
      </c>
      <c r="H164">
        <f>VLOOKUP(A164,'Export Worksheet'!A:L,6,FALSE)</f>
        <v>4</v>
      </c>
      <c r="I164" t="str">
        <f>VLOOKUP(A164,'Tableau single and bulk'!A:B,2,FALSE)</f>
        <v>NEBAUTO</v>
      </c>
      <c r="K164" s="9">
        <f>VLOOKUP(A164,'Tableau single and bulk'!A:I,9,FALSE)</f>
        <v>45944.394513888888</v>
      </c>
      <c r="L164">
        <f>VLOOKUP(A164,'Tableau single and bulk'!A:L,12,FALSE)</f>
        <v>603654</v>
      </c>
      <c r="M164" t="str">
        <f>VLOOKUP(A164,'Tableau single and bulk'!A:AA,27,FALSE)</f>
        <v>CCG Aonad Slainte do Mhic Leinn Teo</v>
      </c>
    </row>
    <row r="165" spans="1:13">
      <c r="A165" s="7" t="s">
        <v>1018</v>
      </c>
      <c r="B165" s="2" t="s">
        <v>1277</v>
      </c>
      <c r="C165" s="2" t="s">
        <v>1309</v>
      </c>
      <c r="D165" s="2" t="s">
        <v>1630</v>
      </c>
      <c r="E165" s="2" t="s">
        <v>1018</v>
      </c>
      <c r="F165" s="2" t="s">
        <v>1278</v>
      </c>
      <c r="G165" s="2" t="s">
        <v>1279</v>
      </c>
      <c r="H165">
        <f>VLOOKUP(A165,'Export Worksheet'!A:L,6,FALSE)</f>
        <v>10</v>
      </c>
      <c r="I165" t="str">
        <f>VLOOKUP(A165,'Tableau single and bulk'!A:B,2,FALSE)</f>
        <v>NEBAUTO</v>
      </c>
      <c r="K165" s="9">
        <f>VLOOKUP(A165,'Tableau single and bulk'!A:I,9,FALSE)</f>
        <v>45944.40693287037</v>
      </c>
      <c r="L165">
        <f>VLOOKUP(A165,'Tableau single and bulk'!A:L,12,FALSE)</f>
        <v>609584</v>
      </c>
      <c r="M165" t="str">
        <f>VLOOKUP(A165,'Tableau single and bulk'!A:AA,27,FALSE)</f>
        <v>O'Neill O'Malley LTD.</v>
      </c>
    </row>
    <row r="166" spans="1:13" hidden="1">
      <c r="A166" s="7" t="s">
        <v>1401</v>
      </c>
      <c r="B166" s="2" t="s">
        <v>1307</v>
      </c>
      <c r="C166" s="2" t="s">
        <v>1309</v>
      </c>
      <c r="D166" s="2" t="s">
        <v>1400</v>
      </c>
      <c r="E166" s="2" t="s">
        <v>1401</v>
      </c>
      <c r="F166" s="2" t="s">
        <v>1278</v>
      </c>
      <c r="G166" s="2" t="s">
        <v>1279</v>
      </c>
      <c r="H166" t="e">
        <f>VLOOKUP(A166,'Export Worksheet'!A:L,6,FALSE)</f>
        <v>#N/A</v>
      </c>
      <c r="I166" t="str">
        <f>VLOOKUP(A166,'Tableau single and bulk'!A:B,2,FALSE)</f>
        <v>NESAUTO</v>
      </c>
      <c r="K166" s="9">
        <f>VLOOKUP(A166,'Tableau single and bulk'!A:I,9,FALSE)</f>
        <v>45946.521840277775</v>
      </c>
      <c r="L166">
        <f>VLOOKUP(A166,'Tableau single and bulk'!A:L,12,FALSE)</f>
        <v>602876</v>
      </c>
      <c r="M166" t="str">
        <f>VLOOKUP(A166,'Tableau single and bulk'!A:AA,27,FALSE)</f>
        <v>Open Text Ireland Ltd</v>
      </c>
    </row>
    <row r="167" spans="1:13">
      <c r="A167" s="7" t="s">
        <v>640</v>
      </c>
      <c r="B167" s="2" t="s">
        <v>1277</v>
      </c>
      <c r="C167" s="2" t="s">
        <v>1309</v>
      </c>
      <c r="D167" s="2" t="s">
        <v>1621</v>
      </c>
      <c r="E167" s="2" t="s">
        <v>640</v>
      </c>
      <c r="F167" s="2" t="s">
        <v>1278</v>
      </c>
      <c r="G167" s="2" t="s">
        <v>1279</v>
      </c>
      <c r="H167">
        <f>VLOOKUP(A167,'Export Worksheet'!A:L,6,FALSE)</f>
        <v>1</v>
      </c>
      <c r="I167" t="str">
        <f>VLOOKUP(A167,'Tableau single and bulk'!A:B,2,FALSE)</f>
        <v>NEBAUTO</v>
      </c>
      <c r="K167" s="9">
        <f>VLOOKUP(A167,'Tableau single and bulk'!A:I,9,FALSE)</f>
        <v>45944.418217592596</v>
      </c>
      <c r="L167">
        <f>VLOOKUP(A167,'Tableau single and bulk'!A:L,12,FALSE)</f>
        <v>602686</v>
      </c>
      <c r="M167" t="str">
        <f>VLOOKUP(A167,'Tableau single and bulk'!A:AA,27,FALSE)</f>
        <v>Autodesk Ireland</v>
      </c>
    </row>
    <row r="168" spans="1:13">
      <c r="A168" s="7" t="s">
        <v>643</v>
      </c>
      <c r="B168" s="2" t="s">
        <v>1277</v>
      </c>
      <c r="C168" s="2" t="s">
        <v>1309</v>
      </c>
      <c r="D168" s="2" t="s">
        <v>1595</v>
      </c>
      <c r="E168" s="2" t="s">
        <v>643</v>
      </c>
      <c r="F168" s="2" t="s">
        <v>1278</v>
      </c>
      <c r="G168" s="2" t="s">
        <v>1279</v>
      </c>
      <c r="H168">
        <f>VLOOKUP(A168,'Export Worksheet'!A:L,6,FALSE)</f>
        <v>1</v>
      </c>
      <c r="I168" t="str">
        <f>VLOOKUP(A168,'Tableau single and bulk'!A:B,2,FALSE)</f>
        <v>NEBAUTO</v>
      </c>
      <c r="K168" s="9">
        <f>VLOOKUP(A168,'Tableau single and bulk'!A:I,9,FALSE)</f>
        <v>45944.517129629632</v>
      </c>
      <c r="L168">
        <f>VLOOKUP(A168,'Tableau single and bulk'!A:L,12,FALSE)</f>
        <v>608028</v>
      </c>
      <c r="M168" t="str">
        <f>VLOOKUP(A168,'Tableau single and bulk'!A:AA,27,FALSE)</f>
        <v>Apple</v>
      </c>
    </row>
    <row r="169" spans="1:13">
      <c r="A169" s="7" t="s">
        <v>1071</v>
      </c>
      <c r="B169" s="2" t="s">
        <v>1277</v>
      </c>
      <c r="C169" s="2" t="s">
        <v>1309</v>
      </c>
      <c r="D169" s="2" t="s">
        <v>1596</v>
      </c>
      <c r="E169" s="2" t="s">
        <v>1071</v>
      </c>
      <c r="F169" s="2" t="s">
        <v>1278</v>
      </c>
      <c r="G169" s="2" t="s">
        <v>1279</v>
      </c>
      <c r="H169">
        <f>VLOOKUP(A169,'Export Worksheet'!A:L,6,FALSE)</f>
        <v>2</v>
      </c>
      <c r="I169" t="str">
        <f>VLOOKUP(A169,'Tableau single and bulk'!A:B,2,FALSE)</f>
        <v>NEBAUTO</v>
      </c>
      <c r="K169" s="9">
        <f>VLOOKUP(A169,'Tableau single and bulk'!A:I,9,FALSE)</f>
        <v>45944.517071759263</v>
      </c>
      <c r="L169">
        <f>VLOOKUP(A169,'Tableau single and bulk'!A:L,12,FALSE)</f>
        <v>608028</v>
      </c>
      <c r="M169" t="str">
        <f>VLOOKUP(A169,'Tableau single and bulk'!A:AA,27,FALSE)</f>
        <v>Apple</v>
      </c>
    </row>
    <row r="170" spans="1:13">
      <c r="A170" s="7" t="s">
        <v>936</v>
      </c>
      <c r="B170" s="2" t="s">
        <v>1302</v>
      </c>
      <c r="C170" s="2" t="s">
        <v>1309</v>
      </c>
      <c r="D170" s="2" t="s">
        <v>1402</v>
      </c>
      <c r="E170" s="2" t="s">
        <v>936</v>
      </c>
      <c r="F170" s="2" t="s">
        <v>1278</v>
      </c>
      <c r="G170" s="2" t="s">
        <v>1279</v>
      </c>
      <c r="H170">
        <f>VLOOKUP(A170,'Export Worksheet'!A:L,6,FALSE)</f>
        <v>14</v>
      </c>
      <c r="I170" t="str">
        <f>VLOOKUP(A170,'Tableau single and bulk'!A:B,2,FALSE)</f>
        <v>NEBAUTO</v>
      </c>
      <c r="K170" s="9">
        <f>VLOOKUP(A170,'Tableau single and bulk'!A:I,9,FALSE)</f>
        <v>45946.50167824074</v>
      </c>
      <c r="L170">
        <f>VLOOKUP(A170,'Tableau single and bulk'!A:L,12,FALSE)</f>
        <v>609694</v>
      </c>
      <c r="M170" t="str">
        <f>VLOOKUP(A170,'Tableau single and bulk'!A:AA,27,FALSE)</f>
        <v>NFVSP Ability West</v>
      </c>
    </row>
    <row r="171" spans="1:13">
      <c r="A171" s="7" t="s">
        <v>906</v>
      </c>
      <c r="B171" s="2" t="s">
        <v>1277</v>
      </c>
      <c r="C171" s="2" t="s">
        <v>1309</v>
      </c>
      <c r="D171" s="2" t="s">
        <v>1604</v>
      </c>
      <c r="E171" s="2" t="s">
        <v>906</v>
      </c>
      <c r="F171" s="2" t="s">
        <v>1278</v>
      </c>
      <c r="G171" s="2" t="s">
        <v>1279</v>
      </c>
      <c r="H171">
        <f>VLOOKUP(A171,'Export Worksheet'!A:L,6,FALSE)</f>
        <v>14</v>
      </c>
      <c r="I171" t="str">
        <f>VLOOKUP(A171,'Tableau single and bulk'!A:B,2,FALSE)</f>
        <v>NEBAUTO</v>
      </c>
      <c r="K171" s="9">
        <f>VLOOKUP(A171,'Tableau single and bulk'!A:I,9,FALSE)</f>
        <v>45944.474293981482</v>
      </c>
      <c r="L171">
        <f>VLOOKUP(A171,'Tableau single and bulk'!A:L,12,FALSE)</f>
        <v>603796</v>
      </c>
      <c r="M171" t="str">
        <f>VLOOKUP(A171,'Tableau single and bulk'!A:AA,27,FALSE)</f>
        <v>Mifinity Payments Limited</v>
      </c>
    </row>
    <row r="172" spans="1:13" hidden="1">
      <c r="A172" s="7" t="s">
        <v>1399</v>
      </c>
      <c r="B172" s="2" t="s">
        <v>1397</v>
      </c>
      <c r="C172" s="2" t="s">
        <v>1309</v>
      </c>
      <c r="D172" s="2" t="s">
        <v>1398</v>
      </c>
      <c r="E172" s="2" t="s">
        <v>1399</v>
      </c>
      <c r="F172" s="2" t="s">
        <v>1278</v>
      </c>
      <c r="G172" s="2" t="s">
        <v>1279</v>
      </c>
      <c r="H172" t="e">
        <f>VLOOKUP(A172,'Export Worksheet'!A:L,6,FALSE)</f>
        <v>#N/A</v>
      </c>
      <c r="I172" t="str">
        <f>VLOOKUP(A172,'Tableau single and bulk'!A:B,2,FALSE)</f>
        <v>NESAUTO</v>
      </c>
      <c r="K172" s="9">
        <f>VLOOKUP(A172,'Tableau single and bulk'!A:I,9,FALSE)</f>
        <v>45946.523668981485</v>
      </c>
      <c r="L172">
        <f>VLOOKUP(A172,'Tableau single and bulk'!A:L,12,FALSE)</f>
        <v>606896</v>
      </c>
      <c r="M172" t="str">
        <f>VLOOKUP(A172,'Tableau single and bulk'!A:AA,27,FALSE)</f>
        <v>Lifescience Business Platforms Limited</v>
      </c>
    </row>
    <row r="173" spans="1:13">
      <c r="A173" s="7" t="s">
        <v>652</v>
      </c>
      <c r="B173" s="2" t="s">
        <v>1277</v>
      </c>
      <c r="C173" s="2" t="s">
        <v>1309</v>
      </c>
      <c r="D173" s="2" t="s">
        <v>1605</v>
      </c>
      <c r="E173" s="2" t="s">
        <v>652</v>
      </c>
      <c r="F173" s="2" t="s">
        <v>1278</v>
      </c>
      <c r="G173" s="2" t="s">
        <v>1279</v>
      </c>
      <c r="H173">
        <f>VLOOKUP(A173,'Export Worksheet'!A:L,6,FALSE)</f>
        <v>1</v>
      </c>
      <c r="I173" t="str">
        <f>VLOOKUP(A173,'Tableau single and bulk'!A:B,2,FALSE)</f>
        <v>NEBAUTO</v>
      </c>
      <c r="K173" s="9">
        <f>VLOOKUP(A173,'Tableau single and bulk'!A:I,9,FALSE)</f>
        <v>45944.459849537037</v>
      </c>
      <c r="L173">
        <f>VLOOKUP(A173,'Tableau single and bulk'!A:L,12,FALSE)</f>
        <v>603140</v>
      </c>
      <c r="M173" t="str">
        <f>VLOOKUP(A173,'Tableau single and bulk'!A:AA,27,FALSE)</f>
        <v>Addleshaw Goddard (Ire) LLP</v>
      </c>
    </row>
    <row r="174" spans="1:13" hidden="1">
      <c r="A174" s="7" t="s">
        <v>1396</v>
      </c>
      <c r="B174" s="2" t="s">
        <v>1394</v>
      </c>
      <c r="C174" s="2" t="s">
        <v>1309</v>
      </c>
      <c r="D174" s="2" t="s">
        <v>1395</v>
      </c>
      <c r="E174" s="2" t="s">
        <v>1396</v>
      </c>
      <c r="F174" s="2" t="s">
        <v>1278</v>
      </c>
      <c r="G174" s="2" t="s">
        <v>1279</v>
      </c>
      <c r="H174" t="e">
        <f>VLOOKUP(A174,'Export Worksheet'!A:L,6,FALSE)</f>
        <v>#N/A</v>
      </c>
      <c r="I174" t="str">
        <f>VLOOKUP(A174,'Tableau single and bulk'!A:B,2,FALSE)</f>
        <v>NESAUTO</v>
      </c>
      <c r="K174" s="9">
        <f>VLOOKUP(A174,'Tableau single and bulk'!A:I,9,FALSE)</f>
        <v>45946.532905092594</v>
      </c>
      <c r="L174">
        <f>VLOOKUP(A174,'Tableau single and bulk'!A:L,12,FALSE)</f>
        <v>606757</v>
      </c>
      <c r="M174" t="str">
        <f>VLOOKUP(A174,'Tableau single and bulk'!A:AA,27,FALSE)</f>
        <v>Excelsys Technologies Limited</v>
      </c>
    </row>
    <row r="175" spans="1:13">
      <c r="A175" s="7" t="s">
        <v>669</v>
      </c>
      <c r="B175" s="2" t="s">
        <v>1277</v>
      </c>
      <c r="C175" s="2" t="s">
        <v>1309</v>
      </c>
      <c r="D175" s="2" t="s">
        <v>1488</v>
      </c>
      <c r="E175" s="2" t="s">
        <v>669</v>
      </c>
      <c r="F175" s="2" t="s">
        <v>1278</v>
      </c>
      <c r="G175" s="2" t="s">
        <v>1279</v>
      </c>
      <c r="H175">
        <f>VLOOKUP(A175,'Export Worksheet'!A:L,6,FALSE)</f>
        <v>2</v>
      </c>
      <c r="I175" t="str">
        <f>VLOOKUP(A175,'Tableau single and bulk'!A:B,2,FALSE)</f>
        <v>NEBAUTO</v>
      </c>
      <c r="K175" s="9">
        <f>VLOOKUP(A175,'Tableau single and bulk'!A:I,9,FALSE)</f>
        <v>45945.551446759258</v>
      </c>
      <c r="L175">
        <f>VLOOKUP(A175,'Tableau single and bulk'!A:L,12,FALSE)</f>
        <v>609910</v>
      </c>
      <c r="M175" t="str">
        <f>VLOOKUP(A175,'Tableau single and bulk'!A:AA,27,FALSE)</f>
        <v>Trulife Ltd</v>
      </c>
    </row>
    <row r="176" spans="1:13" hidden="1">
      <c r="A176" s="7" t="s">
        <v>1389</v>
      </c>
      <c r="B176" s="2" t="s">
        <v>1387</v>
      </c>
      <c r="C176" s="2" t="s">
        <v>1309</v>
      </c>
      <c r="D176" s="2" t="s">
        <v>1388</v>
      </c>
      <c r="E176" s="2" t="s">
        <v>1389</v>
      </c>
      <c r="F176" s="2" t="s">
        <v>1278</v>
      </c>
      <c r="G176" s="2" t="s">
        <v>1279</v>
      </c>
      <c r="H176" t="e">
        <f>VLOOKUP(A176,'Export Worksheet'!A:L,6,FALSE)</f>
        <v>#N/A</v>
      </c>
      <c r="I176" t="str">
        <f>VLOOKUP(A176,'Tableau single and bulk'!A:B,2,FALSE)</f>
        <v>NESAUTO</v>
      </c>
      <c r="K176" s="9">
        <f>VLOOKUP(A176,'Tableau single and bulk'!A:I,9,FALSE)</f>
        <v>45946.55232638889</v>
      </c>
      <c r="L176">
        <f>VLOOKUP(A176,'Tableau single and bulk'!A:L,12,FALSE)</f>
        <v>603125</v>
      </c>
      <c r="M176" t="str">
        <f>VLOOKUP(A176,'Tableau single and bulk'!A:AA,27,FALSE)</f>
        <v>First Citizen Finance Limited</v>
      </c>
    </row>
    <row r="177" spans="1:13">
      <c r="A177" s="7" t="s">
        <v>68</v>
      </c>
      <c r="B177" s="2" t="s">
        <v>1284</v>
      </c>
      <c r="C177" s="2" t="s">
        <v>1309</v>
      </c>
      <c r="D177" s="2" t="s">
        <v>1347</v>
      </c>
      <c r="E177" s="2" t="s">
        <v>68</v>
      </c>
      <c r="F177" s="2" t="s">
        <v>1278</v>
      </c>
      <c r="G177" s="2" t="s">
        <v>1279</v>
      </c>
      <c r="H177">
        <f>VLOOKUP(A177,'Export Worksheet'!A:L,6,FALSE)</f>
        <v>1</v>
      </c>
      <c r="I177" t="str">
        <f>VLOOKUP(A177,'Tableau single and bulk'!A:B,2,FALSE)</f>
        <v>NEBAUTO</v>
      </c>
      <c r="K177" s="9">
        <f>VLOOKUP(A177,'Tableau single and bulk'!A:I,9,FALSE)</f>
        <v>45946.639814814815</v>
      </c>
      <c r="L177">
        <f>VLOOKUP(A177,'Tableau single and bulk'!A:L,12,FALSE)</f>
        <v>609849</v>
      </c>
      <c r="M177" t="str">
        <f>VLOOKUP(A177,'Tableau single and bulk'!A:AA,27,FALSE)</f>
        <v>Dolby International AB</v>
      </c>
    </row>
    <row r="178" spans="1:13">
      <c r="A178" s="7" t="s">
        <v>654</v>
      </c>
      <c r="B178" s="2" t="s">
        <v>1277</v>
      </c>
      <c r="C178" s="2" t="s">
        <v>1309</v>
      </c>
      <c r="D178" s="2" t="s">
        <v>1603</v>
      </c>
      <c r="E178" s="2" t="s">
        <v>654</v>
      </c>
      <c r="F178" s="2" t="s">
        <v>1278</v>
      </c>
      <c r="G178" s="2" t="s">
        <v>1279</v>
      </c>
      <c r="H178">
        <f>VLOOKUP(A178,'Export Worksheet'!A:L,6,FALSE)</f>
        <v>4</v>
      </c>
      <c r="I178" t="str">
        <f>VLOOKUP(A178,'Tableau single and bulk'!A:B,2,FALSE)</f>
        <v>NEBAUTO</v>
      </c>
      <c r="K178" s="9">
        <f>VLOOKUP(A178,'Tableau single and bulk'!A:I,9,FALSE)</f>
        <v>45944.488263888888</v>
      </c>
      <c r="L178">
        <f>VLOOKUP(A178,'Tableau single and bulk'!A:L,12,FALSE)</f>
        <v>602617</v>
      </c>
      <c r="M178" t="str">
        <f>VLOOKUP(A178,'Tableau single and bulk'!A:AA,27,FALSE)</f>
        <v>Coca-Cola HBC Ireland Limited</v>
      </c>
    </row>
    <row r="179" spans="1:13">
      <c r="A179" s="7" t="s">
        <v>939</v>
      </c>
      <c r="B179" s="2" t="s">
        <v>1277</v>
      </c>
      <c r="C179" s="2" t="s">
        <v>1309</v>
      </c>
      <c r="D179" s="2" t="s">
        <v>1386</v>
      </c>
      <c r="E179" s="2" t="s">
        <v>939</v>
      </c>
      <c r="F179" s="2" t="s">
        <v>1278</v>
      </c>
      <c r="G179" s="2" t="s">
        <v>1279</v>
      </c>
      <c r="H179">
        <f>VLOOKUP(A179,'Export Worksheet'!A:L,6,FALSE)</f>
        <v>65</v>
      </c>
      <c r="I179" t="str">
        <f>VLOOKUP(A179,'Tableau single and bulk'!A:B,2,FALSE)</f>
        <v>NEBAUTO</v>
      </c>
      <c r="K179" s="9">
        <f>VLOOKUP(A179,'Tableau single and bulk'!A:I,9,FALSE)</f>
        <v>45946.556377314817</v>
      </c>
      <c r="L179">
        <f>VLOOKUP(A179,'Tableau single and bulk'!A:L,12,FALSE)</f>
        <v>603490</v>
      </c>
      <c r="M179" t="str">
        <f>VLOOKUP(A179,'Tableau single and bulk'!A:AA,27,FALSE)</f>
        <v>Diageo Ireland</v>
      </c>
    </row>
    <row r="180" spans="1:13">
      <c r="A180" s="7" t="s">
        <v>64</v>
      </c>
      <c r="B180" s="2" t="s">
        <v>1277</v>
      </c>
      <c r="C180" s="2" t="s">
        <v>1309</v>
      </c>
      <c r="D180" s="2" t="s">
        <v>1356</v>
      </c>
      <c r="E180" s="2" t="s">
        <v>64</v>
      </c>
      <c r="F180" s="2" t="s">
        <v>1278</v>
      </c>
      <c r="G180" s="2" t="s">
        <v>1279</v>
      </c>
      <c r="H180">
        <f>VLOOKUP(A180,'Export Worksheet'!A:L,6,FALSE)</f>
        <v>51</v>
      </c>
      <c r="I180" t="str">
        <f>VLOOKUP(A180,'Tableau single and bulk'!A:B,2,FALSE)</f>
        <v>NEBAUTO</v>
      </c>
      <c r="K180" s="9">
        <f>VLOOKUP(A180,'Tableau single and bulk'!A:I,9,FALSE)</f>
        <v>45946.61582175926</v>
      </c>
      <c r="L180">
        <f>VLOOKUP(A180,'Tableau single and bulk'!A:L,12,FALSE)</f>
        <v>603490</v>
      </c>
      <c r="M180" t="str">
        <f>VLOOKUP(A180,'Tableau single and bulk'!A:AA,27,FALSE)</f>
        <v>Diageo Ireland</v>
      </c>
    </row>
    <row r="181" spans="1:13">
      <c r="A181" s="7" t="s">
        <v>707</v>
      </c>
      <c r="B181" s="2" t="s">
        <v>1277</v>
      </c>
      <c r="C181" s="2" t="s">
        <v>1309</v>
      </c>
      <c r="D181" s="2" t="s">
        <v>1355</v>
      </c>
      <c r="E181" s="2" t="s">
        <v>707</v>
      </c>
      <c r="F181" s="2" t="s">
        <v>1278</v>
      </c>
      <c r="G181" s="2" t="s">
        <v>1279</v>
      </c>
      <c r="H181">
        <f>VLOOKUP(A181,'Export Worksheet'!A:L,6,FALSE)</f>
        <v>7</v>
      </c>
      <c r="I181" t="str">
        <f>VLOOKUP(A181,'Tableau single and bulk'!A:B,2,FALSE)</f>
        <v>NEBAUTO</v>
      </c>
      <c r="K181" s="9">
        <f>VLOOKUP(A181,'Tableau single and bulk'!A:I,9,FALSE)</f>
        <v>45946.621134259258</v>
      </c>
      <c r="L181">
        <f>VLOOKUP(A181,'Tableau single and bulk'!A:L,12,FALSE)</f>
        <v>603490</v>
      </c>
      <c r="M181" t="str">
        <f>VLOOKUP(A181,'Tableau single and bulk'!A:AA,27,FALSE)</f>
        <v>Diageo Ireland</v>
      </c>
    </row>
    <row r="182" spans="1:13" hidden="1">
      <c r="A182" s="7" t="s">
        <v>1428</v>
      </c>
      <c r="B182" s="2" t="s">
        <v>1426</v>
      </c>
      <c r="C182" s="2" t="s">
        <v>1309</v>
      </c>
      <c r="D182" s="2" t="s">
        <v>1427</v>
      </c>
      <c r="E182" s="2" t="s">
        <v>1428</v>
      </c>
      <c r="F182" s="2" t="s">
        <v>1278</v>
      </c>
      <c r="G182" s="2" t="s">
        <v>1279</v>
      </c>
      <c r="H182" t="e">
        <f>VLOOKUP(A182,'Export Worksheet'!A:L,6,FALSE)</f>
        <v>#N/A</v>
      </c>
      <c r="I182" t="str">
        <f>VLOOKUP(A182,'Tableau single and bulk'!A:B,2,FALSE)</f>
        <v>NESAUTO</v>
      </c>
      <c r="K182" s="9">
        <f>VLOOKUP(A182,'Tableau single and bulk'!A:I,9,FALSE)</f>
        <v>45946.451909722222</v>
      </c>
      <c r="L182">
        <f>VLOOKUP(A182,'Tableau single and bulk'!A:L,12,FALSE)</f>
        <v>603066</v>
      </c>
      <c r="M182" t="str">
        <f>VLOOKUP(A182,'Tableau single and bulk'!A:AA,27,FALSE)</f>
        <v>Representative Church Body</v>
      </c>
    </row>
    <row r="183" spans="1:13">
      <c r="A183" s="7" t="s">
        <v>439</v>
      </c>
      <c r="B183" s="2" t="s">
        <v>1314</v>
      </c>
      <c r="C183" s="2" t="s">
        <v>1309</v>
      </c>
      <c r="D183" s="2" t="s">
        <v>1319</v>
      </c>
      <c r="E183" s="2" t="s">
        <v>439</v>
      </c>
      <c r="F183" s="2" t="s">
        <v>1278</v>
      </c>
      <c r="G183" s="2" t="s">
        <v>1279</v>
      </c>
      <c r="H183">
        <f>VLOOKUP(A183,'Export Worksheet'!A:L,6,FALSE)</f>
        <v>1</v>
      </c>
      <c r="I183" t="str">
        <f>VLOOKUP(A183,'Tableau single and bulk'!A:B,2,FALSE)</f>
        <v>NEBAUTO</v>
      </c>
      <c r="K183" s="9">
        <f>VLOOKUP(A183,'Tableau single and bulk'!A:I,9,FALSE)</f>
        <v>45946.695810185185</v>
      </c>
      <c r="L183">
        <f>VLOOKUP(A183,'Tableau single and bulk'!A:L,12,FALSE)</f>
        <v>603970</v>
      </c>
      <c r="M183" t="str">
        <f>VLOOKUP(A183,'Tableau single and bulk'!A:AA,27,FALSE)</f>
        <v>Twilio Ireland Limited</v>
      </c>
    </row>
    <row r="184" spans="1:13">
      <c r="A184" s="7" t="s">
        <v>66</v>
      </c>
      <c r="B184" s="2" t="s">
        <v>1350</v>
      </c>
      <c r="C184" s="2" t="s">
        <v>1309</v>
      </c>
      <c r="D184" s="2" t="s">
        <v>1351</v>
      </c>
      <c r="E184" s="2" t="s">
        <v>66</v>
      </c>
      <c r="F184" s="2" t="s">
        <v>1278</v>
      </c>
      <c r="G184" s="2" t="s">
        <v>1279</v>
      </c>
      <c r="H184">
        <f>VLOOKUP(A184,'Export Worksheet'!A:L,6,FALSE)</f>
        <v>5</v>
      </c>
      <c r="I184" t="str">
        <f>VLOOKUP(A184,'Tableau single and bulk'!A:B,2,FALSE)</f>
        <v>NEBAUTO</v>
      </c>
      <c r="K184" s="9">
        <f>VLOOKUP(A184,'Tableau single and bulk'!A:I,9,FALSE)</f>
        <v>45946.6325</v>
      </c>
      <c r="L184">
        <f>VLOOKUP(A184,'Tableau single and bulk'!A:L,12,FALSE)</f>
        <v>603993</v>
      </c>
      <c r="M184" t="str">
        <f>VLOOKUP(A184,'Tableau single and bulk'!A:AA,27,FALSE)</f>
        <v>Hitachi Energy Ireland Limited</v>
      </c>
    </row>
    <row r="185" spans="1:13">
      <c r="A185" s="7" t="s">
        <v>1316</v>
      </c>
      <c r="B185" s="2" t="s">
        <v>1314</v>
      </c>
      <c r="C185" s="2" t="s">
        <v>1309</v>
      </c>
      <c r="D185" s="2" t="s">
        <v>1315</v>
      </c>
      <c r="E185" s="2" t="s">
        <v>1316</v>
      </c>
      <c r="F185" s="2" t="s">
        <v>1278</v>
      </c>
      <c r="G185" s="2" t="s">
        <v>1279</v>
      </c>
      <c r="H185" t="e">
        <f>VLOOKUP(A185,'Export Worksheet'!A:L,6,FALSE)</f>
        <v>#N/A</v>
      </c>
      <c r="I185" t="str">
        <f>VLOOKUP(A185,'Tableau single and bulk'!A:B,2,FALSE)</f>
        <v>NEBAUTO</v>
      </c>
      <c r="K185" s="9">
        <f>VLOOKUP(A185,'Tableau single and bulk'!A:I,9,FALSE)</f>
        <v>45946.704293981478</v>
      </c>
      <c r="L185">
        <f>VLOOKUP(A185,'Tableau single and bulk'!A:L,12,FALSE)</f>
        <v>603970</v>
      </c>
      <c r="M185" t="str">
        <f>VLOOKUP(A185,'Tableau single and bulk'!A:AA,27,FALSE)</f>
        <v>Twilio Ireland Limited</v>
      </c>
    </row>
    <row r="186" spans="1:13" hidden="1">
      <c r="A186" s="7" t="s">
        <v>1328</v>
      </c>
      <c r="B186" s="2" t="s">
        <v>1324</v>
      </c>
      <c r="C186" s="2" t="s">
        <v>1309</v>
      </c>
      <c r="D186" s="2" t="s">
        <v>1327</v>
      </c>
      <c r="E186" s="2" t="s">
        <v>1328</v>
      </c>
      <c r="F186" s="2" t="s">
        <v>1278</v>
      </c>
      <c r="G186" s="2" t="s">
        <v>1279</v>
      </c>
      <c r="H186" t="e">
        <f>VLOOKUP(A186,'Export Worksheet'!A:L,6,FALSE)</f>
        <v>#N/A</v>
      </c>
      <c r="I186" t="str">
        <f>VLOOKUP(A186,'Tableau single and bulk'!A:B,2,FALSE)</f>
        <v>NESAUTO</v>
      </c>
      <c r="K186" s="9">
        <f>VLOOKUP(A186,'Tableau single and bulk'!A:I,9,FALSE)</f>
        <v>45946.672314814816</v>
      </c>
      <c r="L186">
        <f>VLOOKUP(A186,'Tableau single and bulk'!A:L,12,FALSE)</f>
        <v>609844</v>
      </c>
      <c r="M186" t="str">
        <f>VLOOKUP(A186,'Tableau single and bulk'!A:AA,27,FALSE)</f>
        <v>Kitman Labs Limited</v>
      </c>
    </row>
    <row r="187" spans="1:13" hidden="1">
      <c r="A187" s="7" t="s">
        <v>1326</v>
      </c>
      <c r="B187" s="2" t="s">
        <v>1324</v>
      </c>
      <c r="C187" s="2" t="s">
        <v>1309</v>
      </c>
      <c r="D187" s="2" t="s">
        <v>1325</v>
      </c>
      <c r="E187" s="2" t="s">
        <v>1326</v>
      </c>
      <c r="F187" s="2" t="s">
        <v>1278</v>
      </c>
      <c r="G187" s="2" t="s">
        <v>1279</v>
      </c>
      <c r="H187" t="e">
        <f>VLOOKUP(A187,'Export Worksheet'!A:L,6,FALSE)</f>
        <v>#N/A</v>
      </c>
      <c r="I187" t="str">
        <f>VLOOKUP(A187,'Tableau single and bulk'!A:B,2,FALSE)</f>
        <v>NESAUTO</v>
      </c>
      <c r="K187" s="9">
        <f>VLOOKUP(A187,'Tableau single and bulk'!A:I,9,FALSE)</f>
        <v>45946.674502314818</v>
      </c>
      <c r="L187">
        <f>VLOOKUP(A187,'Tableau single and bulk'!A:L,12,FALSE)</f>
        <v>609844</v>
      </c>
      <c r="M187" t="str">
        <f>VLOOKUP(A187,'Tableau single and bulk'!A:AA,27,FALSE)</f>
        <v>Kitman Labs Limited</v>
      </c>
    </row>
    <row r="188" spans="1:13" hidden="1">
      <c r="A188" s="7" t="s">
        <v>1332</v>
      </c>
      <c r="B188" s="2" t="s">
        <v>1324</v>
      </c>
      <c r="C188" s="2" t="s">
        <v>1309</v>
      </c>
      <c r="D188" s="2" t="s">
        <v>1331</v>
      </c>
      <c r="E188" s="2" t="s">
        <v>1332</v>
      </c>
      <c r="F188" s="2" t="s">
        <v>1278</v>
      </c>
      <c r="G188" s="2" t="s">
        <v>1279</v>
      </c>
      <c r="H188" t="e">
        <f>VLOOKUP(A188,'Export Worksheet'!A:L,6,FALSE)</f>
        <v>#N/A</v>
      </c>
      <c r="I188" t="str">
        <f>VLOOKUP(A188,'Tableau single and bulk'!A:B,2,FALSE)</f>
        <v>NESAUTO</v>
      </c>
      <c r="K188" s="9">
        <f>VLOOKUP(A188,'Tableau single and bulk'!A:I,9,FALSE)</f>
        <v>45946.66920138889</v>
      </c>
      <c r="L188">
        <f>VLOOKUP(A188,'Tableau single and bulk'!A:L,12,FALSE)</f>
        <v>609844</v>
      </c>
      <c r="M188" t="str">
        <f>VLOOKUP(A188,'Tableau single and bulk'!A:AA,27,FALSE)</f>
        <v>Kitman Labs Limited</v>
      </c>
    </row>
    <row r="189" spans="1:13" hidden="1">
      <c r="A189" s="7" t="s">
        <v>1345</v>
      </c>
      <c r="B189" s="2" t="s">
        <v>1334</v>
      </c>
      <c r="C189" s="2" t="s">
        <v>1309</v>
      </c>
      <c r="D189" s="2" t="s">
        <v>1344</v>
      </c>
      <c r="E189" s="2" t="s">
        <v>1345</v>
      </c>
      <c r="F189" s="2" t="s">
        <v>1278</v>
      </c>
      <c r="G189" s="2" t="s">
        <v>1279</v>
      </c>
      <c r="H189" t="e">
        <f>VLOOKUP(A189,'Export Worksheet'!A:L,6,FALSE)</f>
        <v>#N/A</v>
      </c>
      <c r="I189" t="str">
        <f>VLOOKUP(A189,'Tableau single and bulk'!A:B,2,FALSE)</f>
        <v>NESAUTO</v>
      </c>
      <c r="K189" s="9">
        <f>VLOOKUP(A189,'Tableau single and bulk'!A:I,9,FALSE)</f>
        <v>45946.649976851855</v>
      </c>
      <c r="L189">
        <f>VLOOKUP(A189,'Tableau single and bulk'!A:L,12,FALSE)</f>
        <v>601173</v>
      </c>
      <c r="M189" t="str">
        <f>VLOOKUP(A189,'Tableau single and bulk'!A:AA,27,FALSE)</f>
        <v>Generali Seguros y Reaseguros, S.A.</v>
      </c>
    </row>
    <row r="190" spans="1:13">
      <c r="A190" s="7" t="s">
        <v>937</v>
      </c>
      <c r="B190" s="2" t="s">
        <v>1277</v>
      </c>
      <c r="C190" s="2" t="s">
        <v>1309</v>
      </c>
      <c r="D190" s="2" t="s">
        <v>1393</v>
      </c>
      <c r="E190" s="2" t="s">
        <v>937</v>
      </c>
      <c r="F190" s="2" t="s">
        <v>1278</v>
      </c>
      <c r="G190" s="2" t="s">
        <v>1279</v>
      </c>
      <c r="H190">
        <f>VLOOKUP(A190,'Export Worksheet'!A:L,6,FALSE)</f>
        <v>18</v>
      </c>
      <c r="I190" t="str">
        <f>VLOOKUP(A190,'Tableau single and bulk'!A:B,2,FALSE)</f>
        <v>NEBAUTO</v>
      </c>
      <c r="K190" s="9">
        <f>VLOOKUP(A190,'Tableau single and bulk'!A:I,9,FALSE)</f>
        <v>45946.535555555558</v>
      </c>
      <c r="L190">
        <f>VLOOKUP(A190,'Tableau single and bulk'!A:L,12,FALSE)</f>
        <v>603881</v>
      </c>
      <c r="M190" t="str">
        <f>VLOOKUP(A190,'Tableau single and bulk'!A:AA,27,FALSE)</f>
        <v>Three Ireland (Hutchison) Limited</v>
      </c>
    </row>
    <row r="191" spans="1:13" hidden="1">
      <c r="A191" s="7" t="s">
        <v>1383</v>
      </c>
      <c r="B191" s="2" t="s">
        <v>1381</v>
      </c>
      <c r="C191" s="2" t="s">
        <v>1309</v>
      </c>
      <c r="D191" s="2" t="s">
        <v>1382</v>
      </c>
      <c r="E191" s="2" t="s">
        <v>1383</v>
      </c>
      <c r="F191" s="2" t="s">
        <v>1278</v>
      </c>
      <c r="G191" s="2" t="s">
        <v>1279</v>
      </c>
      <c r="H191" t="e">
        <f>VLOOKUP(A191,'Export Worksheet'!A:L,6,FALSE)</f>
        <v>#N/A</v>
      </c>
      <c r="I191" t="str">
        <f>VLOOKUP(A191,'Tableau single and bulk'!A:B,2,FALSE)</f>
        <v>NESAUTO</v>
      </c>
      <c r="K191" s="9">
        <f>VLOOKUP(A191,'Tableau single and bulk'!A:I,9,FALSE)</f>
        <v>45946.57534722222</v>
      </c>
      <c r="L191">
        <f>VLOOKUP(A191,'Tableau single and bulk'!A:L,12,FALSE)</f>
        <v>601991</v>
      </c>
      <c r="M191" t="str">
        <f>VLOOKUP(A191,'Tableau single and bulk'!A:AA,27,FALSE)</f>
        <v>Securitas Security Services (Ireland)Ltd</v>
      </c>
    </row>
    <row r="192" spans="1:13">
      <c r="A192" s="7" t="s">
        <v>435</v>
      </c>
      <c r="B192" s="2" t="s">
        <v>1364</v>
      </c>
      <c r="C192" s="2" t="s">
        <v>1309</v>
      </c>
      <c r="D192" s="2" t="s">
        <v>1365</v>
      </c>
      <c r="E192" s="2" t="s">
        <v>435</v>
      </c>
      <c r="F192" s="2" t="s">
        <v>1278</v>
      </c>
      <c r="G192" s="2" t="s">
        <v>1279</v>
      </c>
      <c r="H192">
        <f>VLOOKUP(A192,'Export Worksheet'!A:L,6,FALSE)</f>
        <v>14</v>
      </c>
      <c r="I192" t="str">
        <f>VLOOKUP(A192,'Tableau single and bulk'!A:B,2,FALSE)</f>
        <v>NEBAUTO</v>
      </c>
      <c r="K192" s="9">
        <f>VLOOKUP(A192,'Tableau single and bulk'!A:I,9,FALSE)</f>
        <v>45946.599618055552</v>
      </c>
      <c r="L192">
        <f>VLOOKUP(A192,'Tableau single and bulk'!A:L,12,FALSE)</f>
        <v>602770</v>
      </c>
      <c r="M192" t="str">
        <f>VLOOKUP(A192,'Tableau single and bulk'!A:AA,27,FALSE)</f>
        <v>Applus Car Testing Service Ltd</v>
      </c>
    </row>
    <row r="193" spans="1:13" hidden="1">
      <c r="A193" s="7" t="s">
        <v>1372</v>
      </c>
      <c r="B193" s="2" t="s">
        <v>1324</v>
      </c>
      <c r="C193" s="2" t="s">
        <v>1309</v>
      </c>
      <c r="D193" s="2" t="s">
        <v>1371</v>
      </c>
      <c r="E193" s="2" t="s">
        <v>1372</v>
      </c>
      <c r="F193" s="2" t="s">
        <v>1278</v>
      </c>
      <c r="G193" s="2" t="s">
        <v>1279</v>
      </c>
      <c r="H193" t="e">
        <f>VLOOKUP(A193,'Export Worksheet'!A:L,6,FALSE)</f>
        <v>#N/A</v>
      </c>
      <c r="I193" t="str">
        <f>VLOOKUP(A193,'Tableau single and bulk'!A:B,2,FALSE)</f>
        <v>NESAUTO</v>
      </c>
      <c r="K193" s="9">
        <f>VLOOKUP(A193,'Tableau single and bulk'!A:I,9,FALSE)</f>
        <v>45946.593043981484</v>
      </c>
      <c r="L193">
        <f>VLOOKUP(A193,'Tableau single and bulk'!A:L,12,FALSE)</f>
        <v>608068</v>
      </c>
      <c r="M193" t="str">
        <f>VLOOKUP(A193,'Tableau single and bulk'!A:AA,27,FALSE)</f>
        <v>Ministry Brands Limited</v>
      </c>
    </row>
    <row r="194" spans="1:13" hidden="1">
      <c r="A194" s="7" t="s">
        <v>1367</v>
      </c>
      <c r="B194" s="2" t="s">
        <v>1324</v>
      </c>
      <c r="C194" s="2" t="s">
        <v>1309</v>
      </c>
      <c r="D194" s="2" t="s">
        <v>1366</v>
      </c>
      <c r="E194" s="2" t="s">
        <v>1367</v>
      </c>
      <c r="F194" s="2" t="s">
        <v>1278</v>
      </c>
      <c r="G194" s="2" t="s">
        <v>1279</v>
      </c>
      <c r="H194" t="e">
        <f>VLOOKUP(A194,'Export Worksheet'!A:L,6,FALSE)</f>
        <v>#N/A</v>
      </c>
      <c r="I194" t="str">
        <f>VLOOKUP(A194,'Tableau single and bulk'!A:B,2,FALSE)</f>
        <v>NESAUTO</v>
      </c>
      <c r="K194" s="9">
        <f>VLOOKUP(A194,'Tableau single and bulk'!A:I,9,FALSE)</f>
        <v>45946.595590277779</v>
      </c>
      <c r="L194">
        <f>VLOOKUP(A194,'Tableau single and bulk'!A:L,12,FALSE)</f>
        <v>608068</v>
      </c>
      <c r="M194" t="str">
        <f>VLOOKUP(A194,'Tableau single and bulk'!A:AA,27,FALSE)</f>
        <v>Ministry Brands Limited</v>
      </c>
    </row>
    <row r="195" spans="1:13" hidden="1">
      <c r="A195" s="7" t="s">
        <v>1343</v>
      </c>
      <c r="B195" s="2" t="s">
        <v>1334</v>
      </c>
      <c r="C195" s="2" t="s">
        <v>1309</v>
      </c>
      <c r="D195" s="2" t="s">
        <v>1342</v>
      </c>
      <c r="E195" s="2" t="s">
        <v>1343</v>
      </c>
      <c r="F195" s="2" t="s">
        <v>1278</v>
      </c>
      <c r="G195" s="2" t="s">
        <v>1279</v>
      </c>
      <c r="H195" t="e">
        <f>VLOOKUP(A195,'Export Worksheet'!A:L,6,FALSE)</f>
        <v>#N/A</v>
      </c>
      <c r="I195" t="str">
        <f>VLOOKUP(A195,'Tableau single and bulk'!A:B,2,FALSE)</f>
        <v>NESAUTO</v>
      </c>
      <c r="K195" s="9">
        <f>VLOOKUP(A195,'Tableau single and bulk'!A:I,9,FALSE)</f>
        <v>45946.651990740742</v>
      </c>
      <c r="L195">
        <f>VLOOKUP(A195,'Tableau single and bulk'!A:L,12,FALSE)</f>
        <v>601173</v>
      </c>
      <c r="M195" t="str">
        <f>VLOOKUP(A195,'Tableau single and bulk'!A:AA,27,FALSE)</f>
        <v>Generali Seguros y Reaseguros, S.A.</v>
      </c>
    </row>
    <row r="196" spans="1:13" hidden="1">
      <c r="A196" s="7" t="s">
        <v>1341</v>
      </c>
      <c r="B196" s="2" t="s">
        <v>1334</v>
      </c>
      <c r="C196" s="2" t="s">
        <v>1309</v>
      </c>
      <c r="D196" s="2" t="s">
        <v>1340</v>
      </c>
      <c r="E196" s="2" t="s">
        <v>1341</v>
      </c>
      <c r="F196" s="2" t="s">
        <v>1278</v>
      </c>
      <c r="G196" s="2" t="s">
        <v>1279</v>
      </c>
      <c r="H196" t="e">
        <f>VLOOKUP(A196,'Export Worksheet'!A:L,6,FALSE)</f>
        <v>#N/A</v>
      </c>
      <c r="I196" t="str">
        <f>VLOOKUP(A196,'Tableau single and bulk'!A:B,2,FALSE)</f>
        <v>NESAUTO</v>
      </c>
      <c r="K196" s="9">
        <f>VLOOKUP(A196,'Tableau single and bulk'!A:I,9,FALSE)</f>
        <v>45946.655300925922</v>
      </c>
      <c r="L196">
        <f>VLOOKUP(A196,'Tableau single and bulk'!A:L,12,FALSE)</f>
        <v>601173</v>
      </c>
      <c r="M196" t="str">
        <f>VLOOKUP(A196,'Tableau single and bulk'!A:AA,27,FALSE)</f>
        <v>Generali Seguros y Reaseguros, S.A.</v>
      </c>
    </row>
    <row r="197" spans="1:13">
      <c r="A197" s="7" t="s">
        <v>440</v>
      </c>
      <c r="B197" s="2" t="s">
        <v>1314</v>
      </c>
      <c r="C197" s="2" t="s">
        <v>1309</v>
      </c>
      <c r="D197" s="2" t="s">
        <v>1317</v>
      </c>
      <c r="E197" s="2" t="s">
        <v>440</v>
      </c>
      <c r="F197" s="2" t="s">
        <v>1278</v>
      </c>
      <c r="G197" s="2" t="s">
        <v>1279</v>
      </c>
      <c r="H197">
        <f>VLOOKUP(A197,'Export Worksheet'!A:L,6,FALSE)</f>
        <v>1</v>
      </c>
      <c r="I197" t="str">
        <f>VLOOKUP(A197,'Tableau single and bulk'!A:B,2,FALSE)</f>
        <v>NEBAUTO</v>
      </c>
      <c r="K197" s="9">
        <f>VLOOKUP(A197,'Tableau single and bulk'!A:I,9,FALSE)</f>
        <v>45946.698761574073</v>
      </c>
      <c r="L197">
        <f>VLOOKUP(A197,'Tableau single and bulk'!A:L,12,FALSE)</f>
        <v>603970</v>
      </c>
      <c r="M197" t="str">
        <f>VLOOKUP(A197,'Tableau single and bulk'!A:AA,27,FALSE)</f>
        <v>Twilio Ireland Limited</v>
      </c>
    </row>
    <row r="198" spans="1:13" hidden="1">
      <c r="A198" s="7" t="s">
        <v>1323</v>
      </c>
      <c r="B198" s="2" t="s">
        <v>1313</v>
      </c>
      <c r="C198" s="2" t="s">
        <v>1309</v>
      </c>
      <c r="D198" s="2" t="s">
        <v>1322</v>
      </c>
      <c r="E198" s="2" t="s">
        <v>1323</v>
      </c>
      <c r="F198" s="2" t="s">
        <v>1278</v>
      </c>
      <c r="G198" s="2" t="s">
        <v>1279</v>
      </c>
      <c r="H198" t="e">
        <f>VLOOKUP(A198,'Export Worksheet'!A:L,6,FALSE)</f>
        <v>#N/A</v>
      </c>
      <c r="I198" t="str">
        <f>VLOOKUP(A198,'Tableau single and bulk'!A:B,2,FALSE)</f>
        <v>NESAUTO</v>
      </c>
      <c r="K198" s="9">
        <f>VLOOKUP(A198,'Tableau single and bulk'!A:I,9,FALSE)</f>
        <v>45946.685717592591</v>
      </c>
      <c r="L198">
        <f>VLOOKUP(A198,'Tableau single and bulk'!A:L,12,FALSE)</f>
        <v>605085</v>
      </c>
      <c r="M198" t="str">
        <f>VLOOKUP(A198,'Tableau single and bulk'!A:AA,27,FALSE)</f>
        <v>Murray Design &amp; Engineering Limited</v>
      </c>
    </row>
    <row r="199" spans="1:13" hidden="1">
      <c r="A199" s="7" t="s">
        <v>1336</v>
      </c>
      <c r="B199" s="2" t="s">
        <v>1334</v>
      </c>
      <c r="C199" s="2" t="s">
        <v>1309</v>
      </c>
      <c r="D199" s="2" t="s">
        <v>1335</v>
      </c>
      <c r="E199" s="2" t="s">
        <v>1336</v>
      </c>
      <c r="F199" s="2" t="s">
        <v>1278</v>
      </c>
      <c r="G199" s="2" t="s">
        <v>1279</v>
      </c>
      <c r="H199" t="e">
        <f>VLOOKUP(A199,'Export Worksheet'!A:L,6,FALSE)</f>
        <v>#N/A</v>
      </c>
      <c r="I199" t="str">
        <f>VLOOKUP(A199,'Tableau single and bulk'!A:B,2,FALSE)</f>
        <v>NESAUTO</v>
      </c>
      <c r="K199" s="9">
        <f>VLOOKUP(A199,'Tableau single and bulk'!A:I,9,FALSE)</f>
        <v>45946.66542824074</v>
      </c>
      <c r="L199">
        <f>VLOOKUP(A199,'Tableau single and bulk'!A:L,12,FALSE)</f>
        <v>601173</v>
      </c>
      <c r="M199" t="str">
        <f>VLOOKUP(A199,'Tableau single and bulk'!A:AA,27,FALSE)</f>
        <v>Generali Seguros y Reaseguros, S.A.</v>
      </c>
    </row>
    <row r="200" spans="1:13" hidden="1">
      <c r="A200" s="7" t="s">
        <v>1338</v>
      </c>
      <c r="B200" s="2" t="s">
        <v>1334</v>
      </c>
      <c r="C200" s="2" t="s">
        <v>1309</v>
      </c>
      <c r="D200" s="2" t="s">
        <v>1337</v>
      </c>
      <c r="E200" s="2" t="s">
        <v>1338</v>
      </c>
      <c r="F200" s="2" t="s">
        <v>1278</v>
      </c>
      <c r="G200" s="2" t="s">
        <v>1279</v>
      </c>
      <c r="H200" t="e">
        <f>VLOOKUP(A200,'Export Worksheet'!A:L,6,FALSE)</f>
        <v>#N/A</v>
      </c>
      <c r="I200" t="str">
        <f>VLOOKUP(A200,'Tableau single and bulk'!A:B,2,FALSE)</f>
        <v>NESAUTO</v>
      </c>
      <c r="K200" s="9">
        <f>VLOOKUP(A200,'Tableau single and bulk'!A:I,9,FALSE)</f>
        <v>45946.663703703707</v>
      </c>
      <c r="L200">
        <f>VLOOKUP(A200,'Tableau single and bulk'!A:L,12,FALSE)</f>
        <v>601173</v>
      </c>
      <c r="M200" t="str">
        <f>VLOOKUP(A200,'Tableau single and bulk'!A:AA,27,FALSE)</f>
        <v>Generali Seguros y Reaseguros, S.A.</v>
      </c>
    </row>
    <row r="201" spans="1:13">
      <c r="A201" s="7" t="s">
        <v>437</v>
      </c>
      <c r="B201" s="2" t="s">
        <v>1314</v>
      </c>
      <c r="C201" s="2" t="s">
        <v>1309</v>
      </c>
      <c r="D201" s="2" t="s">
        <v>1320</v>
      </c>
      <c r="E201" s="2" t="s">
        <v>437</v>
      </c>
      <c r="F201" s="2" t="s">
        <v>1278</v>
      </c>
      <c r="G201" s="2" t="s">
        <v>1279</v>
      </c>
      <c r="H201">
        <f>VLOOKUP(A201,'Export Worksheet'!A:L,6,FALSE)</f>
        <v>1</v>
      </c>
      <c r="I201" t="str">
        <f>VLOOKUP(A201,'Tableau single and bulk'!A:B,2,FALSE)</f>
        <v>NEBAUTO</v>
      </c>
      <c r="K201" s="9">
        <f>VLOOKUP(A201,'Tableau single and bulk'!A:I,9,FALSE)</f>
        <v>45946.692939814813</v>
      </c>
      <c r="L201">
        <f>VLOOKUP(A201,'Tableau single and bulk'!A:L,12,FALSE)</f>
        <v>603970</v>
      </c>
      <c r="M201" t="str">
        <f>VLOOKUP(A201,'Tableau single and bulk'!A:AA,27,FALSE)</f>
        <v>Twilio Ireland Limited</v>
      </c>
    </row>
    <row r="202" spans="1:13" hidden="1">
      <c r="A202" s="7" t="s">
        <v>1420</v>
      </c>
      <c r="B202" s="2" t="s">
        <v>1418</v>
      </c>
      <c r="C202" s="2" t="s">
        <v>1309</v>
      </c>
      <c r="D202" s="2" t="s">
        <v>1419</v>
      </c>
      <c r="E202" s="2" t="s">
        <v>1420</v>
      </c>
      <c r="F202" s="2" t="s">
        <v>1278</v>
      </c>
      <c r="G202" s="2" t="s">
        <v>1279</v>
      </c>
      <c r="H202" t="e">
        <f>VLOOKUP(A202,'Export Worksheet'!A:L,6,FALSE)</f>
        <v>#N/A</v>
      </c>
      <c r="I202" t="str">
        <f>VLOOKUP(A202,'Tableau single and bulk'!A:B,2,FALSE)</f>
        <v>NESAUTO</v>
      </c>
      <c r="K202" s="9">
        <f>VLOOKUP(A202,'Tableau single and bulk'!A:I,9,FALSE)</f>
        <v>45946.464606481481</v>
      </c>
      <c r="L202">
        <f>VLOOKUP(A202,'Tableau single and bulk'!A:L,12,FALSE)</f>
        <v>601397</v>
      </c>
      <c r="M202" t="str">
        <f>VLOOKUP(A202,'Tableau single and bulk'!A:AA,27,FALSE)</f>
        <v>Tokyo Electron Europe Ltd</v>
      </c>
    </row>
    <row r="203" spans="1:13">
      <c r="A203" s="7" t="s">
        <v>427</v>
      </c>
      <c r="B203" s="2" t="s">
        <v>1277</v>
      </c>
      <c r="C203" s="2" t="s">
        <v>1309</v>
      </c>
      <c r="D203" s="2" t="s">
        <v>1496</v>
      </c>
      <c r="E203" s="2" t="s">
        <v>427</v>
      </c>
      <c r="F203" s="2" t="s">
        <v>1278</v>
      </c>
      <c r="G203" s="2" t="s">
        <v>1279</v>
      </c>
      <c r="H203">
        <f>VLOOKUP(A203,'Export Worksheet'!A:L,6,FALSE)</f>
        <v>6</v>
      </c>
      <c r="I203" t="str">
        <f>VLOOKUP(A203,'Tableau single and bulk'!A:B,2,FALSE)</f>
        <v>NEBAUTO</v>
      </c>
      <c r="K203" s="9">
        <f>VLOOKUP(A203,'Tableau single and bulk'!A:I,9,FALSE)</f>
        <v>45945.513738425929</v>
      </c>
      <c r="L203">
        <f>VLOOKUP(A203,'Tableau single and bulk'!A:L,12,FALSE)</f>
        <v>605252</v>
      </c>
      <c r="M203" t="str">
        <f>VLOOKUP(A203,'Tableau single and bulk'!A:AA,27,FALSE)</f>
        <v>Cohesity International Limited</v>
      </c>
    </row>
    <row r="204" spans="1:13">
      <c r="A204" s="7" t="s">
        <v>1092</v>
      </c>
      <c r="B204" s="2" t="s">
        <v>1277</v>
      </c>
      <c r="C204" s="2" t="s">
        <v>1309</v>
      </c>
      <c r="D204" s="2" t="s">
        <v>1485</v>
      </c>
      <c r="E204" s="2" t="s">
        <v>1092</v>
      </c>
      <c r="F204" s="2" t="s">
        <v>1278</v>
      </c>
      <c r="G204" s="2" t="s">
        <v>1279</v>
      </c>
      <c r="H204">
        <f>VLOOKUP(A204,'Export Worksheet'!A:L,6,FALSE)</f>
        <v>40</v>
      </c>
      <c r="I204" t="str">
        <f>VLOOKUP(A204,'Tableau single and bulk'!A:B,2,FALSE)</f>
        <v>NEBAUTO</v>
      </c>
      <c r="K204" s="9">
        <f>VLOOKUP(A204,'Tableau single and bulk'!A:I,9,FALSE)</f>
        <v>45945.573969907404</v>
      </c>
      <c r="L204">
        <f>VLOOKUP(A204,'Tableau single and bulk'!A:L,12,FALSE)</f>
        <v>603583</v>
      </c>
      <c r="M204" t="str">
        <f>VLOOKUP(A204,'Tableau single and bulk'!A:AA,27,FALSE)</f>
        <v>CBRE GWS Limited</v>
      </c>
    </row>
    <row r="205" spans="1:13">
      <c r="A205" s="7" t="s">
        <v>1025</v>
      </c>
      <c r="B205" s="2" t="s">
        <v>1277</v>
      </c>
      <c r="C205" s="2" t="s">
        <v>1309</v>
      </c>
      <c r="D205" s="2" t="s">
        <v>1489</v>
      </c>
      <c r="E205" s="2" t="s">
        <v>1025</v>
      </c>
      <c r="F205" s="2" t="s">
        <v>1278</v>
      </c>
      <c r="G205" s="2" t="s">
        <v>1279</v>
      </c>
      <c r="H205">
        <f>VLOOKUP(A205,'Export Worksheet'!A:L,6,FALSE)</f>
        <v>1</v>
      </c>
      <c r="I205" t="str">
        <f>VLOOKUP(A205,'Tableau single and bulk'!A:B,2,FALSE)</f>
        <v>NEBAUTO</v>
      </c>
      <c r="K205" s="9">
        <f>VLOOKUP(A205,'Tableau single and bulk'!A:I,9,FALSE)</f>
        <v>45945.540879629632</v>
      </c>
      <c r="L205">
        <f>VLOOKUP(A205,'Tableau single and bulk'!A:L,12,FALSE)</f>
        <v>609755</v>
      </c>
      <c r="M205" t="str">
        <f>VLOOKUP(A205,'Tableau single and bulk'!A:AA,27,FALSE)</f>
        <v>MSL Healthcare Ltd</v>
      </c>
    </row>
    <row r="206" spans="1:13">
      <c r="A206" s="7" t="s">
        <v>59</v>
      </c>
      <c r="B206" s="2" t="s">
        <v>1360</v>
      </c>
      <c r="C206" s="2" t="s">
        <v>1309</v>
      </c>
      <c r="D206" s="2" t="s">
        <v>1361</v>
      </c>
      <c r="E206" s="2" t="s">
        <v>59</v>
      </c>
      <c r="F206" s="2" t="s">
        <v>1278</v>
      </c>
      <c r="G206" s="2" t="s">
        <v>1279</v>
      </c>
      <c r="H206">
        <f>VLOOKUP(A206,'Export Worksheet'!A:L,6,FALSE)</f>
        <v>52</v>
      </c>
      <c r="I206" t="str">
        <f>VLOOKUP(A206,'Tableau single and bulk'!A:B,2,FALSE)</f>
        <v>NEBAUTO</v>
      </c>
      <c r="K206" s="9">
        <f>VLOOKUP(A206,'Tableau single and bulk'!A:I,9,FALSE)</f>
        <v>45946.602673611109</v>
      </c>
      <c r="L206">
        <f>VLOOKUP(A206,'Tableau single and bulk'!A:L,12,FALSE)</f>
        <v>603645</v>
      </c>
      <c r="M206" t="str">
        <f>VLOOKUP(A206,'Tableau single and bulk'!A:AA,27,FALSE)</f>
        <v>Aer Lingus</v>
      </c>
    </row>
    <row r="207" spans="1:13">
      <c r="A207" s="7" t="s">
        <v>921</v>
      </c>
      <c r="B207" s="2" t="s">
        <v>1277</v>
      </c>
      <c r="C207" s="2" t="s">
        <v>1309</v>
      </c>
      <c r="D207" s="2" t="s">
        <v>1357</v>
      </c>
      <c r="E207" s="2" t="s">
        <v>921</v>
      </c>
      <c r="F207" s="2" t="s">
        <v>1278</v>
      </c>
      <c r="G207" s="2" t="s">
        <v>1279</v>
      </c>
      <c r="H207">
        <f>VLOOKUP(A207,'Export Worksheet'!A:L,6,FALSE)</f>
        <v>9</v>
      </c>
      <c r="I207" t="str">
        <f>VLOOKUP(A207,'Tableau single and bulk'!A:B,2,FALSE)</f>
        <v>NEBAUTO</v>
      </c>
      <c r="K207" s="9">
        <f>VLOOKUP(A207,'Tableau single and bulk'!A:I,9,FALSE)</f>
        <v>45946.612025462964</v>
      </c>
      <c r="L207">
        <f>VLOOKUP(A207,'Tableau single and bulk'!A:L,12,FALSE)</f>
        <v>608028</v>
      </c>
      <c r="M207" t="str">
        <f>VLOOKUP(A207,'Tableau single and bulk'!A:AA,27,FALSE)</f>
        <v>Apple</v>
      </c>
    </row>
    <row r="208" spans="1:13">
      <c r="A208" s="7" t="s">
        <v>336</v>
      </c>
      <c r="B208" s="2" t="s">
        <v>1500</v>
      </c>
      <c r="C208" s="2" t="s">
        <v>1309</v>
      </c>
      <c r="D208" s="2" t="s">
        <v>2189</v>
      </c>
      <c r="E208" s="2" t="s">
        <v>336</v>
      </c>
      <c r="F208" s="2" t="s">
        <v>1278</v>
      </c>
      <c r="G208" s="2" t="s">
        <v>1279</v>
      </c>
      <c r="H208">
        <f>VLOOKUP(A208,'Export Worksheet'!A:L,6,FALSE)</f>
        <v>1</v>
      </c>
      <c r="I208" t="str">
        <f>VLOOKUP(A208,'Tableau single and bulk'!A:B,2,FALSE)</f>
        <v>NEBAUTO</v>
      </c>
      <c r="K208" s="9">
        <f>VLOOKUP(A208,'Tableau single and bulk'!A:I,9,FALSE)</f>
        <v>45933.406712962962</v>
      </c>
      <c r="L208">
        <f>VLOOKUP(A208,'Tableau single and bulk'!A:L,12,FALSE)</f>
        <v>603959</v>
      </c>
      <c r="M208" t="str">
        <f>VLOOKUP(A208,'Tableau single and bulk'!A:AA,27,FALSE)</f>
        <v>CBRE Advisory (IRL) Ltd Pension Scheme</v>
      </c>
    </row>
    <row r="209" spans="1:13" hidden="1">
      <c r="A209" s="7" t="s">
        <v>1676</v>
      </c>
      <c r="B209" s="2" t="s">
        <v>1295</v>
      </c>
      <c r="C209" s="2" t="s">
        <v>1309</v>
      </c>
      <c r="D209" s="2" t="s">
        <v>1675</v>
      </c>
      <c r="E209" s="2" t="s">
        <v>1676</v>
      </c>
      <c r="F209" s="2" t="s">
        <v>1278</v>
      </c>
      <c r="G209" s="2" t="s">
        <v>1279</v>
      </c>
      <c r="H209" t="e">
        <f>VLOOKUP(A209,'Export Worksheet'!A:L,6,FALSE)</f>
        <v>#N/A</v>
      </c>
      <c r="I209" t="str">
        <f>VLOOKUP(A209,'Tableau single and bulk'!A:B,2,FALSE)</f>
        <v>NESAUTO</v>
      </c>
      <c r="K209" s="9">
        <f>VLOOKUP(A209,'Tableau single and bulk'!A:I,9,FALSE)</f>
        <v>45943.579016203701</v>
      </c>
      <c r="L209">
        <f>VLOOKUP(A209,'Tableau single and bulk'!A:L,12,FALSE)</f>
        <v>601379</v>
      </c>
      <c r="M209" t="str">
        <f>VLOOKUP(A209,'Tableau single and bulk'!A:AA,27,FALSE)</f>
        <v>AWP Health &amp; Life SA</v>
      </c>
    </row>
    <row r="210" spans="1:13">
      <c r="A210" s="7" t="s">
        <v>338</v>
      </c>
      <c r="B210" s="2" t="s">
        <v>1277</v>
      </c>
      <c r="C210" s="2" t="s">
        <v>1309</v>
      </c>
      <c r="D210" s="2" t="s">
        <v>2106</v>
      </c>
      <c r="E210" s="2" t="s">
        <v>338</v>
      </c>
      <c r="F210" s="2" t="s">
        <v>1278</v>
      </c>
      <c r="G210" s="2" t="s">
        <v>1279</v>
      </c>
      <c r="H210">
        <f>VLOOKUP(A210,'Export Worksheet'!A:L,6,FALSE)</f>
        <v>1</v>
      </c>
      <c r="I210" t="str">
        <f>VLOOKUP(A210,'Tableau single and bulk'!A:B,2,FALSE)</f>
        <v>NEBAUTO</v>
      </c>
      <c r="K210" s="9">
        <f>VLOOKUP(A210,'Tableau single and bulk'!A:I,9,FALSE)</f>
        <v>45936.596446759257</v>
      </c>
      <c r="L210">
        <f>VLOOKUP(A210,'Tableau single and bulk'!A:L,12,FALSE)</f>
        <v>601299</v>
      </c>
      <c r="M210" t="str">
        <f>VLOOKUP(A210,'Tableau single and bulk'!A:AA,27,FALSE)</f>
        <v>Thermo Fisher Scientific Cork Limited</v>
      </c>
    </row>
    <row r="211" spans="1:13">
      <c r="A211" s="7" t="s">
        <v>757</v>
      </c>
      <c r="B211" s="2" t="s">
        <v>1277</v>
      </c>
      <c r="C211" s="2" t="s">
        <v>1309</v>
      </c>
      <c r="D211" s="2" t="s">
        <v>2162</v>
      </c>
      <c r="E211" s="2" t="s">
        <v>757</v>
      </c>
      <c r="F211" s="2" t="s">
        <v>1278</v>
      </c>
      <c r="G211" s="2" t="s">
        <v>1279</v>
      </c>
      <c r="H211">
        <f>VLOOKUP(A211,'Export Worksheet'!A:L,6,FALSE)</f>
        <v>1</v>
      </c>
      <c r="I211" t="str">
        <f>VLOOKUP(A211,'Tableau single and bulk'!A:B,2,FALSE)</f>
        <v>NEBAUTO</v>
      </c>
      <c r="K211" s="9">
        <f>VLOOKUP(A211,'Tableau single and bulk'!A:I,9,FALSE)</f>
        <v>45933.496053240742</v>
      </c>
      <c r="L211">
        <f>VLOOKUP(A211,'Tableau single and bulk'!A:L,12,FALSE)</f>
        <v>605017</v>
      </c>
      <c r="M211" t="str">
        <f>VLOOKUP(A211,'Tableau single and bulk'!A:AA,27,FALSE)</f>
        <v>Hospitality Growth Services Limited</v>
      </c>
    </row>
    <row r="212" spans="1:13">
      <c r="A212" s="7" t="s">
        <v>1966</v>
      </c>
      <c r="B212" s="2" t="s">
        <v>1277</v>
      </c>
      <c r="C212" s="2" t="s">
        <v>1309</v>
      </c>
      <c r="D212" s="2" t="s">
        <v>1965</v>
      </c>
      <c r="E212" s="2" t="s">
        <v>1966</v>
      </c>
      <c r="F212" s="2" t="s">
        <v>1278</v>
      </c>
      <c r="G212" s="2" t="s">
        <v>1279</v>
      </c>
      <c r="H212" t="e">
        <f>VLOOKUP(A212,'Export Worksheet'!A:L,6,FALSE)</f>
        <v>#N/A</v>
      </c>
      <c r="I212" t="str">
        <f>VLOOKUP(A212,'Tableau single and bulk'!A:B,2,FALSE)</f>
        <v>NEBAUTO</v>
      </c>
      <c r="K212" s="9">
        <f>VLOOKUP(A212,'Tableau single and bulk'!A:I,9,FALSE)</f>
        <v>45938.760995370372</v>
      </c>
      <c r="L212">
        <f>VLOOKUP(A212,'Tableau single and bulk'!A:L,12,FALSE)</f>
        <v>603358</v>
      </c>
      <c r="M212" t="str">
        <f>VLOOKUP(A212,'Tableau single and bulk'!A:AA,27,FALSE)</f>
        <v>Arachas Corporate Brokers Ltd</v>
      </c>
    </row>
    <row r="213" spans="1:13" hidden="1">
      <c r="A213" s="7" t="s">
        <v>2215</v>
      </c>
      <c r="B213" s="2" t="s">
        <v>1368</v>
      </c>
      <c r="C213" s="2" t="s">
        <v>1309</v>
      </c>
      <c r="D213" s="2" t="s">
        <v>2214</v>
      </c>
      <c r="E213" s="2" t="s">
        <v>2215</v>
      </c>
      <c r="F213" s="2" t="s">
        <v>1278</v>
      </c>
      <c r="G213" s="2" t="s">
        <v>1279</v>
      </c>
      <c r="H213" t="e">
        <f>VLOOKUP(A213,'Export Worksheet'!A:L,6,FALSE)</f>
        <v>#N/A</v>
      </c>
      <c r="I213" t="str">
        <f>VLOOKUP(A213,'Tableau single and bulk'!A:B,2,FALSE)</f>
        <v>NESAUTO</v>
      </c>
      <c r="K213" s="9">
        <f>VLOOKUP(A213,'Tableau single and bulk'!A:I,9,FALSE)</f>
        <v>45932.596226851849</v>
      </c>
      <c r="L213">
        <f>VLOOKUP(A213,'Tableau single and bulk'!A:L,12,FALSE)</f>
        <v>601454</v>
      </c>
      <c r="M213" t="str">
        <f>VLOOKUP(A213,'Tableau single and bulk'!A:AA,27,FALSE)</f>
        <v>Philip Lee Solicitors</v>
      </c>
    </row>
    <row r="214" spans="1:13" hidden="1">
      <c r="A214" s="7" t="s">
        <v>2109</v>
      </c>
      <c r="B214" s="2" t="s">
        <v>1567</v>
      </c>
      <c r="C214" s="2" t="s">
        <v>1309</v>
      </c>
      <c r="D214" s="2" t="s">
        <v>2108</v>
      </c>
      <c r="E214" s="2" t="s">
        <v>2109</v>
      </c>
      <c r="F214" s="2" t="s">
        <v>1278</v>
      </c>
      <c r="G214" s="2" t="s">
        <v>1279</v>
      </c>
      <c r="H214" t="e">
        <f>VLOOKUP(A214,'Export Worksheet'!A:L,6,FALSE)</f>
        <v>#N/A</v>
      </c>
      <c r="I214" t="str">
        <f>VLOOKUP(A214,'Tableau single and bulk'!A:B,2,FALSE)</f>
        <v>NESAUTO</v>
      </c>
      <c r="K214" s="9">
        <f>VLOOKUP(A214,'Tableau single and bulk'!A:I,9,FALSE)</f>
        <v>45936.528136574074</v>
      </c>
      <c r="L214">
        <f>VLOOKUP(A214,'Tableau single and bulk'!A:L,12,FALSE)</f>
        <v>601527</v>
      </c>
      <c r="M214" t="str">
        <f>VLOOKUP(A214,'Tableau single and bulk'!A:AA,27,FALSE)</f>
        <v>Fehily Timoney &amp; Company Limited</v>
      </c>
    </row>
    <row r="215" spans="1:13">
      <c r="A215" s="7" t="s">
        <v>750</v>
      </c>
      <c r="B215" s="2" t="s">
        <v>1284</v>
      </c>
      <c r="C215" s="2" t="s">
        <v>1309</v>
      </c>
      <c r="D215" s="2" t="s">
        <v>2262</v>
      </c>
      <c r="E215" s="2" t="s">
        <v>750</v>
      </c>
      <c r="F215" s="2" t="s">
        <v>1278</v>
      </c>
      <c r="G215" s="2" t="s">
        <v>1279</v>
      </c>
      <c r="H215">
        <f>VLOOKUP(A215,'Export Worksheet'!A:L,6,FALSE)</f>
        <v>14</v>
      </c>
      <c r="I215" t="str">
        <f>VLOOKUP(A215,'Tableau single and bulk'!A:B,2,FALSE)</f>
        <v>NEBAUTO</v>
      </c>
      <c r="K215" s="9">
        <f>VLOOKUP(A215,'Tableau single and bulk'!A:I,9,FALSE)</f>
        <v>45931.671493055554</v>
      </c>
      <c r="L215">
        <f>VLOOKUP(A215,'Tableau single and bulk'!A:L,12,FALSE)</f>
        <v>605117</v>
      </c>
      <c r="M215" t="str">
        <f>VLOOKUP(A215,'Tableau single and bulk'!A:AA,27,FALSE)</f>
        <v>One Identity Software International DAC</v>
      </c>
    </row>
    <row r="216" spans="1:13" hidden="1">
      <c r="A216" s="7" t="s">
        <v>2128</v>
      </c>
      <c r="B216" s="2" t="s">
        <v>1452</v>
      </c>
      <c r="C216" s="2" t="s">
        <v>1309</v>
      </c>
      <c r="D216" s="2" t="s">
        <v>2127</v>
      </c>
      <c r="E216" s="2" t="s">
        <v>2128</v>
      </c>
      <c r="F216" s="2" t="s">
        <v>1278</v>
      </c>
      <c r="G216" s="2" t="s">
        <v>1279</v>
      </c>
      <c r="H216" t="e">
        <f>VLOOKUP(A216,'Export Worksheet'!A:L,6,FALSE)</f>
        <v>#N/A</v>
      </c>
      <c r="I216" t="str">
        <f>VLOOKUP(A216,'Tableau single and bulk'!A:B,2,FALSE)</f>
        <v>NESAUTO</v>
      </c>
      <c r="K216" s="9">
        <f>VLOOKUP(A216,'Tableau single and bulk'!A:I,9,FALSE)</f>
        <v>45936.362581018519</v>
      </c>
      <c r="L216">
        <f>VLOOKUP(A216,'Tableau single and bulk'!A:L,12,FALSE)</f>
        <v>602598</v>
      </c>
      <c r="M216" t="str">
        <f>VLOOKUP(A216,'Tableau single and bulk'!A:AA,27,FALSE)</f>
        <v>ING Bank N.V. Dublin Branch</v>
      </c>
    </row>
    <row r="217" spans="1:13" hidden="1">
      <c r="A217" s="7" t="s">
        <v>1698</v>
      </c>
      <c r="B217" s="2" t="s">
        <v>1452</v>
      </c>
      <c r="C217" s="2" t="s">
        <v>1309</v>
      </c>
      <c r="D217" s="2" t="s">
        <v>1697</v>
      </c>
      <c r="E217" s="2" t="s">
        <v>1698</v>
      </c>
      <c r="F217" s="2" t="s">
        <v>1278</v>
      </c>
      <c r="G217" s="2" t="s">
        <v>1279</v>
      </c>
      <c r="H217" t="e">
        <f>VLOOKUP(A217,'Export Worksheet'!A:L,6,FALSE)</f>
        <v>#N/A</v>
      </c>
      <c r="I217" t="str">
        <f>VLOOKUP(A217,'Tableau single and bulk'!A:B,2,FALSE)</f>
        <v>NESAUTO</v>
      </c>
      <c r="K217" s="9">
        <f>VLOOKUP(A217,'Tableau single and bulk'!A:I,9,FALSE)</f>
        <v>45943.454606481479</v>
      </c>
      <c r="L217">
        <f>VLOOKUP(A217,'Tableau single and bulk'!A:L,12,FALSE)</f>
        <v>602598</v>
      </c>
      <c r="M217" t="str">
        <f>VLOOKUP(A217,'Tableau single and bulk'!A:AA,27,FALSE)</f>
        <v>ING Bank N.V. Dublin Branch</v>
      </c>
    </row>
    <row r="218" spans="1:13" hidden="1">
      <c r="A218" s="7" t="s">
        <v>2117</v>
      </c>
      <c r="B218" s="2" t="s">
        <v>1284</v>
      </c>
      <c r="C218" s="2" t="s">
        <v>1309</v>
      </c>
      <c r="D218" s="2" t="s">
        <v>2116</v>
      </c>
      <c r="E218" s="2" t="s">
        <v>2117</v>
      </c>
      <c r="F218" s="2" t="s">
        <v>1278</v>
      </c>
      <c r="G218" s="2" t="s">
        <v>1279</v>
      </c>
      <c r="H218" t="e">
        <f>VLOOKUP(A218,'Export Worksheet'!A:L,6,FALSE)</f>
        <v>#N/A</v>
      </c>
      <c r="I218" t="str">
        <f>VLOOKUP(A218,'Tableau single and bulk'!A:B,2,FALSE)</f>
        <v>NESAUTO</v>
      </c>
      <c r="K218" s="9">
        <f>VLOOKUP(A218,'Tableau single and bulk'!A:I,9,FALSE)</f>
        <v>45936.42769675926</v>
      </c>
      <c r="L218">
        <f>VLOOKUP(A218,'Tableau single and bulk'!A:L,12,FALSE)</f>
        <v>602488</v>
      </c>
      <c r="M218" t="str">
        <f>VLOOKUP(A218,'Tableau single and bulk'!A:AA,27,FALSE)</f>
        <v>Teleflex Medical Europe Limited</v>
      </c>
    </row>
    <row r="219" spans="1:13">
      <c r="A219" s="7" t="s">
        <v>753</v>
      </c>
      <c r="B219" s="2" t="s">
        <v>1290</v>
      </c>
      <c r="C219" s="2" t="s">
        <v>1309</v>
      </c>
      <c r="D219" s="2" t="s">
        <v>2216</v>
      </c>
      <c r="E219" s="2" t="s">
        <v>753</v>
      </c>
      <c r="F219" s="2" t="s">
        <v>1278</v>
      </c>
      <c r="G219" s="2" t="s">
        <v>1279</v>
      </c>
      <c r="H219">
        <f>VLOOKUP(A219,'Export Worksheet'!A:L,6,FALSE)</f>
        <v>1</v>
      </c>
      <c r="I219" t="str">
        <f>VLOOKUP(A219,'Tableau single and bulk'!A:B,2,FALSE)</f>
        <v>NEBAUTO</v>
      </c>
      <c r="K219" s="9">
        <f>VLOOKUP(A219,'Tableau single and bulk'!A:I,9,FALSE)</f>
        <v>45932.573923611111</v>
      </c>
      <c r="L219">
        <f>VLOOKUP(A219,'Tableau single and bulk'!A:L,12,FALSE)</f>
        <v>603757</v>
      </c>
      <c r="M219" t="str">
        <f>VLOOKUP(A219,'Tableau single and bulk'!A:AA,27,FALSE)</f>
        <v>eircom Limited AVC Scheme</v>
      </c>
    </row>
    <row r="220" spans="1:13">
      <c r="A220" s="7" t="s">
        <v>826</v>
      </c>
      <c r="B220" s="2" t="s">
        <v>1486</v>
      </c>
      <c r="C220" s="2" t="s">
        <v>1309</v>
      </c>
      <c r="D220" s="2" t="s">
        <v>2003</v>
      </c>
      <c r="E220" s="2" t="s">
        <v>826</v>
      </c>
      <c r="F220" s="2" t="s">
        <v>1278</v>
      </c>
      <c r="G220" s="2" t="s">
        <v>1279</v>
      </c>
      <c r="H220">
        <f>VLOOKUP(A220,'Export Worksheet'!A:L,6,FALSE)</f>
        <v>9</v>
      </c>
      <c r="I220" t="str">
        <f>VLOOKUP(A220,'Tableau single and bulk'!A:B,2,FALSE)</f>
        <v>NEBAUTO</v>
      </c>
      <c r="K220" s="9">
        <f>VLOOKUP(A220,'Tableau single and bulk'!A:I,9,FALSE)</f>
        <v>45938.576331018521</v>
      </c>
      <c r="L220">
        <f>VLOOKUP(A220,'Tableau single and bulk'!A:L,12,FALSE)</f>
        <v>602833</v>
      </c>
      <c r="M220" t="str">
        <f>VLOOKUP(A220,'Tableau single and bulk'!A:AA,27,FALSE)</f>
        <v>Ornua Co-Operative Limited</v>
      </c>
    </row>
    <row r="221" spans="1:13">
      <c r="A221" s="7" t="s">
        <v>583</v>
      </c>
      <c r="B221" s="2" t="s">
        <v>1277</v>
      </c>
      <c r="C221" s="2" t="s">
        <v>1309</v>
      </c>
      <c r="D221" s="2" t="s">
        <v>2007</v>
      </c>
      <c r="E221" s="2" t="s">
        <v>583</v>
      </c>
      <c r="F221" s="2" t="s">
        <v>1278</v>
      </c>
      <c r="G221" s="2" t="s">
        <v>1279</v>
      </c>
      <c r="H221">
        <f>VLOOKUP(A221,'Export Worksheet'!A:L,6,FALSE)</f>
        <v>29</v>
      </c>
      <c r="I221" t="str">
        <f>VLOOKUP(A221,'Tableau single and bulk'!A:B,2,FALSE)</f>
        <v>NEBAUTO</v>
      </c>
      <c r="K221" s="9">
        <f>VLOOKUP(A221,'Tableau single and bulk'!A:I,9,FALSE)</f>
        <v>45938.498182870368</v>
      </c>
      <c r="L221">
        <f>VLOOKUP(A221,'Tableau single and bulk'!A:L,12,FALSE)</f>
        <v>608231</v>
      </c>
      <c r="M221" t="str">
        <f>VLOOKUP(A221,'Tableau single and bulk'!A:AA,27,FALSE)</f>
        <v>Coras Iompair Eireann DC Plan</v>
      </c>
    </row>
    <row r="222" spans="1:13">
      <c r="A222" s="7" t="s">
        <v>548</v>
      </c>
      <c r="B222" s="2" t="s">
        <v>1290</v>
      </c>
      <c r="C222" s="2" t="s">
        <v>1309</v>
      </c>
      <c r="D222" s="2" t="s">
        <v>2159</v>
      </c>
      <c r="E222" s="2" t="s">
        <v>548</v>
      </c>
      <c r="F222" s="2" t="s">
        <v>1278</v>
      </c>
      <c r="G222" s="2" t="s">
        <v>1279</v>
      </c>
      <c r="H222">
        <f>VLOOKUP(A222,'Export Worksheet'!A:L,6,FALSE)</f>
        <v>1</v>
      </c>
      <c r="I222" t="str">
        <f>VLOOKUP(A222,'Tableau single and bulk'!A:B,2,FALSE)</f>
        <v>NEBAUTO</v>
      </c>
      <c r="K222" s="9">
        <f>VLOOKUP(A222,'Tableau single and bulk'!A:I,9,FALSE)</f>
        <v>45933.580393518518</v>
      </c>
      <c r="L222">
        <f>VLOOKUP(A222,'Tableau single and bulk'!A:L,12,FALSE)</f>
        <v>603757</v>
      </c>
      <c r="M222" t="str">
        <f>VLOOKUP(A222,'Tableau single and bulk'!A:AA,27,FALSE)</f>
        <v>eircom Limited AVC Scheme</v>
      </c>
    </row>
    <row r="223" spans="1:13" hidden="1">
      <c r="A223" s="7" t="s">
        <v>2227</v>
      </c>
      <c r="B223" s="2" t="s">
        <v>2225</v>
      </c>
      <c r="C223" s="2" t="s">
        <v>1309</v>
      </c>
      <c r="D223" s="2" t="s">
        <v>2226</v>
      </c>
      <c r="E223" s="2" t="s">
        <v>2227</v>
      </c>
      <c r="F223" s="2" t="s">
        <v>1278</v>
      </c>
      <c r="G223" s="2" t="s">
        <v>1279</v>
      </c>
      <c r="H223" t="e">
        <f>VLOOKUP(A223,'Export Worksheet'!A:L,6,FALSE)</f>
        <v>#N/A</v>
      </c>
      <c r="I223" t="str">
        <f>VLOOKUP(A223,'Tableau single and bulk'!A:B,2,FALSE)</f>
        <v>NESAUTO</v>
      </c>
      <c r="K223" s="9">
        <f>VLOOKUP(A223,'Tableau single and bulk'!A:I,9,FALSE)</f>
        <v>45932.499756944446</v>
      </c>
      <c r="L223">
        <f>VLOOKUP(A223,'Tableau single and bulk'!A:L,12,FALSE)</f>
        <v>603821</v>
      </c>
      <c r="M223" t="str">
        <f>VLOOKUP(A223,'Tableau single and bulk'!A:AA,27,FALSE)</f>
        <v>Sport Ireland Facilities DAC</v>
      </c>
    </row>
    <row r="224" spans="1:13">
      <c r="A224" s="7" t="s">
        <v>533</v>
      </c>
      <c r="B224" s="2" t="s">
        <v>1277</v>
      </c>
      <c r="C224" s="2" t="s">
        <v>1309</v>
      </c>
      <c r="D224" s="2" t="s">
        <v>2275</v>
      </c>
      <c r="E224" s="2" t="s">
        <v>533</v>
      </c>
      <c r="F224" s="2" t="s">
        <v>1278</v>
      </c>
      <c r="G224" s="2" t="s">
        <v>1279</v>
      </c>
      <c r="H224">
        <f>VLOOKUP(A224,'Export Worksheet'!A:L,6,FALSE)</f>
        <v>14</v>
      </c>
      <c r="I224" t="str">
        <f>VLOOKUP(A224,'Tableau single and bulk'!A:B,2,FALSE)</f>
        <v>NEBAUTO</v>
      </c>
      <c r="K224" s="9">
        <f>VLOOKUP(A224,'Tableau single and bulk'!A:I,9,FALSE)</f>
        <v>45931.584548611114</v>
      </c>
      <c r="L224">
        <f>VLOOKUP(A224,'Tableau single and bulk'!A:L,12,FALSE)</f>
        <v>603616</v>
      </c>
      <c r="M224" t="str">
        <f>VLOOKUP(A224,'Tableau single and bulk'!A:AA,27,FALSE)</f>
        <v>Google Ireland Limited</v>
      </c>
    </row>
    <row r="225" spans="1:13">
      <c r="A225" s="7" t="s">
        <v>156</v>
      </c>
      <c r="B225" s="2" t="s">
        <v>1277</v>
      </c>
      <c r="C225" s="2" t="s">
        <v>1309</v>
      </c>
      <c r="D225" s="2" t="s">
        <v>2295</v>
      </c>
      <c r="E225" s="2" t="s">
        <v>156</v>
      </c>
      <c r="F225" s="2" t="s">
        <v>1278</v>
      </c>
      <c r="G225" s="2" t="s">
        <v>1279</v>
      </c>
      <c r="H225">
        <f>VLOOKUP(A225,'Export Worksheet'!A:L,6,FALSE)</f>
        <v>3</v>
      </c>
      <c r="I225" t="str">
        <f>VLOOKUP(A225,'Tableau single and bulk'!A:B,2,FALSE)</f>
        <v>NEBAUTO</v>
      </c>
      <c r="K225" s="9">
        <f>VLOOKUP(A225,'Tableau single and bulk'!A:I,9,FALSE)</f>
        <v>45931.430312500001</v>
      </c>
      <c r="L225">
        <f>VLOOKUP(A225,'Tableau single and bulk'!A:L,12,FALSE)</f>
        <v>609834</v>
      </c>
      <c r="M225" t="str">
        <f>VLOOKUP(A225,'Tableau single and bulk'!A:AA,27,FALSE)</f>
        <v>Shopify International Limited</v>
      </c>
    </row>
    <row r="226" spans="1:13" hidden="1">
      <c r="A226" s="7" t="s">
        <v>2286</v>
      </c>
      <c r="B226" s="2" t="s">
        <v>1425</v>
      </c>
      <c r="C226" s="2" t="s">
        <v>1309</v>
      </c>
      <c r="D226" s="2" t="s">
        <v>2285</v>
      </c>
      <c r="E226" s="2" t="s">
        <v>2286</v>
      </c>
      <c r="F226" s="2" t="s">
        <v>1278</v>
      </c>
      <c r="G226" s="2" t="s">
        <v>1279</v>
      </c>
      <c r="H226" t="e">
        <f>VLOOKUP(A226,'Export Worksheet'!A:L,6,FALSE)</f>
        <v>#N/A</v>
      </c>
      <c r="I226" t="str">
        <f>VLOOKUP(A226,'Tableau single and bulk'!A:B,2,FALSE)</f>
        <v>NESAUTO</v>
      </c>
      <c r="K226" s="9">
        <f>VLOOKUP(A226,'Tableau single and bulk'!A:I,9,FALSE)</f>
        <v>45931.508043981485</v>
      </c>
      <c r="L226">
        <f>VLOOKUP(A226,'Tableau single and bulk'!A:L,12,FALSE)</f>
        <v>602944</v>
      </c>
      <c r="M226" t="str">
        <f>VLOOKUP(A226,'Tableau single and bulk'!A:AA,27,FALSE)</f>
        <v>PATRICK J TOBIN LTD</v>
      </c>
    </row>
    <row r="227" spans="1:13" hidden="1">
      <c r="A227" s="7" t="s">
        <v>2268</v>
      </c>
      <c r="B227" s="2" t="s">
        <v>1324</v>
      </c>
      <c r="C227" s="2" t="s">
        <v>1309</v>
      </c>
      <c r="D227" s="2" t="s">
        <v>2267</v>
      </c>
      <c r="E227" s="2" t="s">
        <v>2268</v>
      </c>
      <c r="F227" s="2" t="s">
        <v>1278</v>
      </c>
      <c r="G227" s="2" t="s">
        <v>1279</v>
      </c>
      <c r="H227" t="e">
        <f>VLOOKUP(A227,'Export Worksheet'!A:L,6,FALSE)</f>
        <v>#N/A</v>
      </c>
      <c r="I227" t="str">
        <f>VLOOKUP(A227,'Tableau single and bulk'!A:B,2,FALSE)</f>
        <v>NESAUTO</v>
      </c>
      <c r="K227" s="9">
        <f>VLOOKUP(A227,'Tableau single and bulk'!A:I,9,FALSE)</f>
        <v>45931.664143518516</v>
      </c>
      <c r="L227">
        <f>VLOOKUP(A227,'Tableau single and bulk'!A:L,12,FALSE)</f>
        <v>602982</v>
      </c>
      <c r="M227" t="str">
        <f>VLOOKUP(A227,'Tableau single and bulk'!A:AA,27,FALSE)</f>
        <v>The Hammond Lane Metal Company Ltd</v>
      </c>
    </row>
    <row r="228" spans="1:13" hidden="1">
      <c r="A228" s="7" t="s">
        <v>2292</v>
      </c>
      <c r="B228" s="2" t="s">
        <v>2280</v>
      </c>
      <c r="C228" s="2" t="s">
        <v>1309</v>
      </c>
      <c r="D228" s="2" t="s">
        <v>2291</v>
      </c>
      <c r="E228" s="2" t="s">
        <v>2292</v>
      </c>
      <c r="F228" s="2" t="s">
        <v>1278</v>
      </c>
      <c r="G228" s="2" t="s">
        <v>1279</v>
      </c>
      <c r="H228" t="e">
        <f>VLOOKUP(A228,'Export Worksheet'!A:L,6,FALSE)</f>
        <v>#N/A</v>
      </c>
      <c r="I228" t="str">
        <f>VLOOKUP(A228,'Tableau single and bulk'!A:B,2,FALSE)</f>
        <v>NESAUTO</v>
      </c>
      <c r="K228" s="9">
        <f>VLOOKUP(A228,'Tableau single and bulk'!A:I,9,FALSE)</f>
        <v>45931.47997685185</v>
      </c>
      <c r="L228">
        <f>VLOOKUP(A228,'Tableau single and bulk'!A:L,12,FALSE)</f>
        <v>606920</v>
      </c>
      <c r="M228" t="str">
        <f>VLOOKUP(A228,'Tableau single and bulk'!A:AA,27,FALSE)</f>
        <v>CSC Finance Holding Ireland Limited</v>
      </c>
    </row>
    <row r="229" spans="1:13">
      <c r="A229" s="7" t="s">
        <v>311</v>
      </c>
      <c r="B229" s="2" t="s">
        <v>1368</v>
      </c>
      <c r="C229" s="2" t="s">
        <v>1309</v>
      </c>
      <c r="D229" s="2" t="s">
        <v>2300</v>
      </c>
      <c r="E229" s="2" t="s">
        <v>311</v>
      </c>
      <c r="F229" s="2" t="s">
        <v>1278</v>
      </c>
      <c r="G229" s="2" t="s">
        <v>1279</v>
      </c>
      <c r="H229">
        <f>VLOOKUP(A229,'Export Worksheet'!A:L,6,FALSE)</f>
        <v>1</v>
      </c>
      <c r="I229" t="str">
        <f>VLOOKUP(A229,'Tableau single and bulk'!A:B,2,FALSE)</f>
        <v>NEBAUTO</v>
      </c>
      <c r="K229" s="9">
        <f>VLOOKUP(A229,'Tableau single and bulk'!A:I,9,FALSE)</f>
        <v>45931.366932870369</v>
      </c>
      <c r="L229">
        <f>VLOOKUP(A229,'Tableau single and bulk'!A:L,12,FALSE)</f>
        <v>609911</v>
      </c>
      <c r="M229" t="str">
        <f>VLOOKUP(A229,'Tableau single and bulk'!A:AA,27,FALSE)</f>
        <v>Medical Supply Company</v>
      </c>
    </row>
    <row r="230" spans="1:13">
      <c r="A230" s="7" t="s">
        <v>746</v>
      </c>
      <c r="B230" s="2" t="s">
        <v>871</v>
      </c>
      <c r="C230" s="2" t="s">
        <v>1309</v>
      </c>
      <c r="D230" s="2" t="s">
        <v>2272</v>
      </c>
      <c r="E230" s="2" t="s">
        <v>746</v>
      </c>
      <c r="F230" s="2" t="s">
        <v>1278</v>
      </c>
      <c r="G230" s="2" t="s">
        <v>1279</v>
      </c>
      <c r="H230">
        <f>VLOOKUP(A230,'Export Worksheet'!A:L,6,FALSE)</f>
        <v>1</v>
      </c>
      <c r="I230" t="str">
        <f>VLOOKUP(A230,'Tableau single and bulk'!A:B,2,FALSE)</f>
        <v>NEBAUTO</v>
      </c>
      <c r="K230" s="9">
        <f>VLOOKUP(A230,'Tableau single and bulk'!A:I,9,FALSE)</f>
        <v>45931.632060185184</v>
      </c>
      <c r="L230">
        <f>VLOOKUP(A230,'Tableau single and bulk'!A:L,12,FALSE)</f>
        <v>603990</v>
      </c>
      <c r="M230" t="str">
        <f>VLOOKUP(A230,'Tableau single and bulk'!A:AA,27,FALSE)</f>
        <v>Stryker Ireland DC Pension Plan</v>
      </c>
    </row>
    <row r="231" spans="1:13">
      <c r="A231" s="7" t="s">
        <v>534</v>
      </c>
      <c r="B231" s="2" t="s">
        <v>871</v>
      </c>
      <c r="C231" s="2" t="s">
        <v>1309</v>
      </c>
      <c r="D231" s="2" t="s">
        <v>2213</v>
      </c>
      <c r="E231" s="2" t="s">
        <v>534</v>
      </c>
      <c r="F231" s="2" t="s">
        <v>1278</v>
      </c>
      <c r="G231" s="2" t="s">
        <v>1279</v>
      </c>
      <c r="H231">
        <f>VLOOKUP(A231,'Export Worksheet'!A:L,6,FALSE)</f>
        <v>2</v>
      </c>
      <c r="I231" t="str">
        <f>VLOOKUP(A231,'Tableau single and bulk'!A:B,2,FALSE)</f>
        <v>NEBAUTO</v>
      </c>
      <c r="K231" s="9">
        <f>VLOOKUP(A231,'Tableau single and bulk'!A:I,9,FALSE)</f>
        <v>45932.597233796296</v>
      </c>
      <c r="L231">
        <f>VLOOKUP(A231,'Tableau single and bulk'!A:L,12,FALSE)</f>
        <v>602197</v>
      </c>
      <c r="M231" t="str">
        <f>VLOOKUP(A231,'Tableau single and bulk'!A:AA,27,FALSE)</f>
        <v>Stryker Orthopaedics Pension Hourly</v>
      </c>
    </row>
    <row r="232" spans="1:13" hidden="1">
      <c r="A232" s="7" t="s">
        <v>2290</v>
      </c>
      <c r="B232" s="2" t="s">
        <v>1567</v>
      </c>
      <c r="C232" s="2" t="s">
        <v>1309</v>
      </c>
      <c r="D232" s="2" t="s">
        <v>2289</v>
      </c>
      <c r="E232" s="2" t="s">
        <v>2290</v>
      </c>
      <c r="F232" s="2" t="s">
        <v>1278</v>
      </c>
      <c r="G232" s="2" t="s">
        <v>1279</v>
      </c>
      <c r="H232" t="e">
        <f>VLOOKUP(A232,'Export Worksheet'!A:L,6,FALSE)</f>
        <v>#N/A</v>
      </c>
      <c r="I232" t="str">
        <f>VLOOKUP(A232,'Tableau single and bulk'!A:B,2,FALSE)</f>
        <v>NESAUTO</v>
      </c>
      <c r="K232" s="9">
        <f>VLOOKUP(A232,'Tableau single and bulk'!A:I,9,FALSE)</f>
        <v>45931.49622685185</v>
      </c>
      <c r="L232">
        <f>VLOOKUP(A232,'Tableau single and bulk'!A:L,12,FALSE)</f>
        <v>601527</v>
      </c>
      <c r="M232" t="str">
        <f>VLOOKUP(A232,'Tableau single and bulk'!A:AA,27,FALSE)</f>
        <v>Fehily Timoney &amp; Company Limited</v>
      </c>
    </row>
    <row r="233" spans="1:13" hidden="1">
      <c r="A233" s="7" t="s">
        <v>2212</v>
      </c>
      <c r="B233" s="2" t="s">
        <v>1567</v>
      </c>
      <c r="C233" s="2" t="s">
        <v>1309</v>
      </c>
      <c r="D233" s="2" t="s">
        <v>2211</v>
      </c>
      <c r="E233" s="2" t="s">
        <v>2212</v>
      </c>
      <c r="F233" s="2" t="s">
        <v>1278</v>
      </c>
      <c r="G233" s="2" t="s">
        <v>1279</v>
      </c>
      <c r="H233" t="e">
        <f>VLOOKUP(A233,'Export Worksheet'!A:L,6,FALSE)</f>
        <v>#N/A</v>
      </c>
      <c r="I233" t="str">
        <f>VLOOKUP(A233,'Tableau single and bulk'!A:B,2,FALSE)</f>
        <v>NESAUTO</v>
      </c>
      <c r="K233" s="9">
        <f>VLOOKUP(A233,'Tableau single and bulk'!A:I,9,FALSE)</f>
        <v>45932.597858796296</v>
      </c>
      <c r="L233">
        <f>VLOOKUP(A233,'Tableau single and bulk'!A:L,12,FALSE)</f>
        <v>601527</v>
      </c>
      <c r="M233" t="str">
        <f>VLOOKUP(A233,'Tableau single and bulk'!A:AA,27,FALSE)</f>
        <v>Fehily Timoney &amp; Company Limited</v>
      </c>
    </row>
    <row r="234" spans="1:13" hidden="1">
      <c r="A234" s="7" t="s">
        <v>2282</v>
      </c>
      <c r="B234" s="2" t="s">
        <v>2280</v>
      </c>
      <c r="C234" s="2" t="s">
        <v>1309</v>
      </c>
      <c r="D234" s="2" t="s">
        <v>2281</v>
      </c>
      <c r="E234" s="2" t="s">
        <v>2282</v>
      </c>
      <c r="F234" s="2" t="s">
        <v>1278</v>
      </c>
      <c r="G234" s="2" t="s">
        <v>1279</v>
      </c>
      <c r="H234" t="e">
        <f>VLOOKUP(A234,'Export Worksheet'!A:L,6,FALSE)</f>
        <v>#N/A</v>
      </c>
      <c r="I234" t="str">
        <f>VLOOKUP(A234,'Tableau single and bulk'!A:B,2,FALSE)</f>
        <v>NESAUTO</v>
      </c>
      <c r="K234" s="9">
        <f>VLOOKUP(A234,'Tableau single and bulk'!A:I,9,FALSE)</f>
        <v>45931.537349537037</v>
      </c>
      <c r="L234">
        <f>VLOOKUP(A234,'Tableau single and bulk'!A:L,12,FALSE)</f>
        <v>606920</v>
      </c>
      <c r="M234" t="str">
        <f>VLOOKUP(A234,'Tableau single and bulk'!A:AA,27,FALSE)</f>
        <v>CSC Finance Holding Ireland Limited</v>
      </c>
    </row>
    <row r="235" spans="1:13" hidden="1">
      <c r="A235" s="7" t="s">
        <v>2288</v>
      </c>
      <c r="B235" s="2" t="s">
        <v>1425</v>
      </c>
      <c r="C235" s="2" t="s">
        <v>1309</v>
      </c>
      <c r="D235" s="2" t="s">
        <v>2287</v>
      </c>
      <c r="E235" s="2" t="s">
        <v>2288</v>
      </c>
      <c r="F235" s="2" t="s">
        <v>1278</v>
      </c>
      <c r="G235" s="2" t="s">
        <v>1279</v>
      </c>
      <c r="H235" t="e">
        <f>VLOOKUP(A235,'Export Worksheet'!A:L,6,FALSE)</f>
        <v>#N/A</v>
      </c>
      <c r="I235" t="str">
        <f>VLOOKUP(A235,'Tableau single and bulk'!A:B,2,FALSE)</f>
        <v>NESAUTO</v>
      </c>
      <c r="K235" s="9">
        <f>VLOOKUP(A235,'Tableau single and bulk'!A:I,9,FALSE)</f>
        <v>45931.50377314815</v>
      </c>
      <c r="L235">
        <f>VLOOKUP(A235,'Tableau single and bulk'!A:L,12,FALSE)</f>
        <v>602944</v>
      </c>
      <c r="M235" t="str">
        <f>VLOOKUP(A235,'Tableau single and bulk'!A:AA,27,FALSE)</f>
        <v>PATRICK J TOBIN LTD</v>
      </c>
    </row>
    <row r="236" spans="1:13" hidden="1">
      <c r="A236" s="7" t="s">
        <v>2297</v>
      </c>
      <c r="B236" s="2" t="s">
        <v>1425</v>
      </c>
      <c r="C236" s="2" t="s">
        <v>1309</v>
      </c>
      <c r="D236" s="2" t="s">
        <v>2296</v>
      </c>
      <c r="E236" s="2" t="s">
        <v>2297</v>
      </c>
      <c r="F236" s="2" t="s">
        <v>1278</v>
      </c>
      <c r="G236" s="2" t="s">
        <v>1279</v>
      </c>
      <c r="H236" t="e">
        <f>VLOOKUP(A236,'Export Worksheet'!A:L,6,FALSE)</f>
        <v>#N/A</v>
      </c>
      <c r="I236" t="str">
        <f>VLOOKUP(A236,'Tableau single and bulk'!A:B,2,FALSE)</f>
        <v>NESAUTO</v>
      </c>
      <c r="K236" s="9">
        <f>VLOOKUP(A236,'Tableau single and bulk'!A:I,9,FALSE)</f>
        <v>45931.428842592592</v>
      </c>
      <c r="L236">
        <f>VLOOKUP(A236,'Tableau single and bulk'!A:L,12,FALSE)</f>
        <v>602944</v>
      </c>
      <c r="M236" t="str">
        <f>VLOOKUP(A236,'Tableau single and bulk'!A:AA,27,FALSE)</f>
        <v>PATRICK J TOBIN LTD</v>
      </c>
    </row>
    <row r="237" spans="1:13" hidden="1">
      <c r="A237" s="7" t="s">
        <v>2266</v>
      </c>
      <c r="B237" s="2" t="s">
        <v>2264</v>
      </c>
      <c r="C237" s="2" t="s">
        <v>1309</v>
      </c>
      <c r="D237" s="2" t="s">
        <v>2265</v>
      </c>
      <c r="E237" s="2" t="s">
        <v>2266</v>
      </c>
      <c r="F237" s="2" t="s">
        <v>1278</v>
      </c>
      <c r="G237" s="2" t="s">
        <v>1279</v>
      </c>
      <c r="H237" t="e">
        <f>VLOOKUP(A237,'Export Worksheet'!A:L,6,FALSE)</f>
        <v>#N/A</v>
      </c>
      <c r="I237" t="str">
        <f>VLOOKUP(A237,'Tableau single and bulk'!A:B,2,FALSE)</f>
        <v>NESAUTO</v>
      </c>
      <c r="K237" s="9">
        <f>VLOOKUP(A237,'Tableau single and bulk'!A:I,9,FALSE)</f>
        <v>45931.666273148148</v>
      </c>
      <c r="L237">
        <f>VLOOKUP(A237,'Tableau single and bulk'!A:L,12,FALSE)</f>
        <v>603416</v>
      </c>
      <c r="M237" t="str">
        <f>VLOOKUP(A237,'Tableau single and bulk'!A:AA,27,FALSE)</f>
        <v>Zara Group Ltd</v>
      </c>
    </row>
    <row r="238" spans="1:13">
      <c r="A238" s="7" t="s">
        <v>2060</v>
      </c>
      <c r="B238" s="2" t="s">
        <v>1277</v>
      </c>
      <c r="C238" s="2" t="s">
        <v>1309</v>
      </c>
      <c r="D238" s="2" t="s">
        <v>2059</v>
      </c>
      <c r="E238" s="2" t="s">
        <v>2060</v>
      </c>
      <c r="F238" s="2" t="s">
        <v>1278</v>
      </c>
      <c r="G238" s="2" t="s">
        <v>1279</v>
      </c>
      <c r="H238" t="e">
        <f>VLOOKUP(A238,'Export Worksheet'!A:L,6,FALSE)</f>
        <v>#N/A</v>
      </c>
      <c r="I238" t="str">
        <f>VLOOKUP(A238,'Tableau single and bulk'!A:B,2,FALSE)</f>
        <v>NEBAUTO</v>
      </c>
      <c r="K238" s="9">
        <f>VLOOKUP(A238,'Tableau single and bulk'!A:I,9,FALSE)</f>
        <v>45937.511967592596</v>
      </c>
      <c r="L238">
        <f>VLOOKUP(A238,'Tableau single and bulk'!A:L,12,FALSE)</f>
        <v>603799</v>
      </c>
      <c r="M238" t="str">
        <f>VLOOKUP(A238,'Tableau single and bulk'!A:AA,27,FALSE)</f>
        <v>Scandinavian Airlines Ireland</v>
      </c>
    </row>
    <row r="239" spans="1:13">
      <c r="A239" s="7" t="s">
        <v>1828</v>
      </c>
      <c r="B239" s="2" t="s">
        <v>1277</v>
      </c>
      <c r="C239" s="2" t="s">
        <v>1309</v>
      </c>
      <c r="D239" s="2" t="s">
        <v>1827</v>
      </c>
      <c r="E239" s="2" t="s">
        <v>1828</v>
      </c>
      <c r="F239" s="2" t="s">
        <v>1278</v>
      </c>
      <c r="G239" s="2" t="s">
        <v>1279</v>
      </c>
      <c r="H239" t="e">
        <f>VLOOKUP(A239,'Export Worksheet'!A:L,6,FALSE)</f>
        <v>#N/A</v>
      </c>
      <c r="I239" t="str">
        <f>VLOOKUP(A239,'Tableau single and bulk'!A:B,2,FALSE)</f>
        <v>NEBAUTO</v>
      </c>
      <c r="K239" s="9">
        <f>VLOOKUP(A239,'Tableau single and bulk'!A:I,9,FALSE)</f>
        <v>45939.626261574071</v>
      </c>
      <c r="L239">
        <f>VLOOKUP(A239,'Tableau single and bulk'!A:L,12,FALSE)</f>
        <v>603799</v>
      </c>
      <c r="M239" t="str">
        <f>VLOOKUP(A239,'Tableau single and bulk'!A:AA,27,FALSE)</f>
        <v>Scandinavian Airlines Ireland</v>
      </c>
    </row>
    <row r="240" spans="1:13" hidden="1">
      <c r="A240" s="7" t="s">
        <v>2294</v>
      </c>
      <c r="B240" s="2" t="s">
        <v>1425</v>
      </c>
      <c r="C240" s="2" t="s">
        <v>1309</v>
      </c>
      <c r="D240" s="2" t="s">
        <v>2293</v>
      </c>
      <c r="E240" s="2" t="s">
        <v>2294</v>
      </c>
      <c r="F240" s="2" t="s">
        <v>1278</v>
      </c>
      <c r="G240" s="2" t="s">
        <v>1279</v>
      </c>
      <c r="H240" t="e">
        <f>VLOOKUP(A240,'Export Worksheet'!A:L,6,FALSE)</f>
        <v>#N/A</v>
      </c>
      <c r="I240" t="str">
        <f>VLOOKUP(A240,'Tableau single and bulk'!A:B,2,FALSE)</f>
        <v>NESAUTO</v>
      </c>
      <c r="K240" s="9">
        <f>VLOOKUP(A240,'Tableau single and bulk'!A:I,9,FALSE)</f>
        <v>45931.466053240743</v>
      </c>
      <c r="L240">
        <f>VLOOKUP(A240,'Tableau single and bulk'!A:L,12,FALSE)</f>
        <v>602944</v>
      </c>
      <c r="M240" t="str">
        <f>VLOOKUP(A240,'Tableau single and bulk'!A:AA,27,FALSE)</f>
        <v>PATRICK J TOBIN LTD</v>
      </c>
    </row>
    <row r="241" spans="1:13">
      <c r="A241" s="7" t="s">
        <v>2006</v>
      </c>
      <c r="B241" s="2" t="s">
        <v>2004</v>
      </c>
      <c r="C241" s="2" t="s">
        <v>1309</v>
      </c>
      <c r="D241" s="2" t="s">
        <v>2005</v>
      </c>
      <c r="E241" s="2" t="s">
        <v>2006</v>
      </c>
      <c r="F241" s="2" t="s">
        <v>1278</v>
      </c>
      <c r="G241" s="2" t="s">
        <v>1279</v>
      </c>
      <c r="H241" t="e">
        <f>VLOOKUP(A241,'Export Worksheet'!A:L,6,FALSE)</f>
        <v>#N/A</v>
      </c>
      <c r="I241" t="str">
        <f>VLOOKUP(A241,'Tableau single and bulk'!A:B,2,FALSE)</f>
        <v>NEBAUTO</v>
      </c>
      <c r="K241" s="9">
        <f>VLOOKUP(A241,'Tableau single and bulk'!A:I,9,FALSE)</f>
        <v>45938.542222222219</v>
      </c>
      <c r="L241">
        <f>VLOOKUP(A241,'Tableau single and bulk'!A:L,12,FALSE)</f>
        <v>605267</v>
      </c>
      <c r="M241" t="str">
        <f>VLOOKUP(A241,'Tableau single and bulk'!A:AA,27,FALSE)</f>
        <v>SanDisk International Limited</v>
      </c>
    </row>
    <row r="242" spans="1:13" hidden="1">
      <c r="A242" s="7" t="s">
        <v>2284</v>
      </c>
      <c r="B242" s="2" t="s">
        <v>1362</v>
      </c>
      <c r="C242" s="2" t="s">
        <v>1309</v>
      </c>
      <c r="D242" s="2" t="s">
        <v>2283</v>
      </c>
      <c r="E242" s="2" t="s">
        <v>2284</v>
      </c>
      <c r="F242" s="2" t="s">
        <v>1278</v>
      </c>
      <c r="G242" s="2" t="s">
        <v>1279</v>
      </c>
      <c r="H242" t="e">
        <f>VLOOKUP(A242,'Export Worksheet'!A:L,6,FALSE)</f>
        <v>#N/A</v>
      </c>
      <c r="I242" t="str">
        <f>VLOOKUP(A242,'Tableau single and bulk'!A:B,2,FALSE)</f>
        <v>NESAUTO</v>
      </c>
      <c r="K242" s="9">
        <f>VLOOKUP(A242,'Tableau single and bulk'!A:I,9,FALSE)</f>
        <v>45931.514108796298</v>
      </c>
      <c r="L242">
        <f>VLOOKUP(A242,'Tableau single and bulk'!A:L,12,FALSE)</f>
        <v>602712</v>
      </c>
      <c r="M242" t="str">
        <f>VLOOKUP(A242,'Tableau single and bulk'!A:AA,27,FALSE)</f>
        <v>MUNSTER CATTLE BREEDING GROUP LTD</v>
      </c>
    </row>
    <row r="243" spans="1:13">
      <c r="A243" s="7" t="s">
        <v>744</v>
      </c>
      <c r="B243" s="2" t="s">
        <v>1290</v>
      </c>
      <c r="C243" s="2" t="s">
        <v>1309</v>
      </c>
      <c r="D243" s="2" t="s">
        <v>2273</v>
      </c>
      <c r="E243" s="2" t="s">
        <v>744</v>
      </c>
      <c r="F243" s="2" t="s">
        <v>1278</v>
      </c>
      <c r="G243" s="2" t="s">
        <v>1279</v>
      </c>
      <c r="H243">
        <f>VLOOKUP(A243,'Export Worksheet'!A:L,6,FALSE)</f>
        <v>18</v>
      </c>
      <c r="I243" t="str">
        <f>VLOOKUP(A243,'Tableau single and bulk'!A:B,2,FALSE)</f>
        <v>NEBAUTO</v>
      </c>
      <c r="K243" s="9">
        <f>VLOOKUP(A243,'Tableau single and bulk'!A:I,9,FALSE)</f>
        <v>45931.629907407405</v>
      </c>
      <c r="L243">
        <f>VLOOKUP(A243,'Tableau single and bulk'!A:L,12,FALSE)</f>
        <v>603756</v>
      </c>
      <c r="M243" t="str">
        <f>VLOOKUP(A243,'Tableau single and bulk'!A:AA,27,FALSE)</f>
        <v>eircom</v>
      </c>
    </row>
    <row r="244" spans="1:13">
      <c r="A244" s="7" t="s">
        <v>814</v>
      </c>
      <c r="B244" s="2" t="s">
        <v>1277</v>
      </c>
      <c r="C244" s="2" t="s">
        <v>1309</v>
      </c>
      <c r="D244" s="2" t="s">
        <v>2279</v>
      </c>
      <c r="E244" s="2" t="s">
        <v>814</v>
      </c>
      <c r="F244" s="2" t="s">
        <v>1278</v>
      </c>
      <c r="G244" s="2" t="s">
        <v>1279</v>
      </c>
      <c r="H244" t="e">
        <f>VLOOKUP(A244,'Export Worksheet'!A:L,6,FALSE)</f>
        <v>#N/A</v>
      </c>
      <c r="I244" t="str">
        <f>VLOOKUP(A244,'Tableau single and bulk'!A:B,2,FALSE)</f>
        <v>NEBAUTO</v>
      </c>
      <c r="K244" s="9">
        <f>VLOOKUP(A244,'Tableau single and bulk'!A:I,9,FALSE)</f>
        <v>45931.563831018517</v>
      </c>
      <c r="L244">
        <f>VLOOKUP(A244,'Tableau single and bulk'!A:L,12,FALSE)</f>
        <v>603223</v>
      </c>
      <c r="M244" t="str">
        <f>VLOOKUP(A244,'Tableau single and bulk'!A:AA,27,FALSE)</f>
        <v>MongoDB Limited</v>
      </c>
    </row>
    <row r="245" spans="1:13">
      <c r="A245" s="7" t="s">
        <v>815</v>
      </c>
      <c r="B245" s="2" t="s">
        <v>1277</v>
      </c>
      <c r="C245" s="2" t="s">
        <v>1309</v>
      </c>
      <c r="D245" s="2" t="s">
        <v>2278</v>
      </c>
      <c r="E245" s="2" t="s">
        <v>815</v>
      </c>
      <c r="F245" s="2" t="s">
        <v>1278</v>
      </c>
      <c r="G245" s="2" t="s">
        <v>1279</v>
      </c>
      <c r="H245" t="e">
        <f>VLOOKUP(A245,'Export Worksheet'!A:L,6,FALSE)</f>
        <v>#N/A</v>
      </c>
      <c r="I245" t="str">
        <f>VLOOKUP(A245,'Tableau single and bulk'!A:B,2,FALSE)</f>
        <v>NEBAUTO</v>
      </c>
      <c r="K245" s="9">
        <f>VLOOKUP(A245,'Tableau single and bulk'!A:I,9,FALSE)</f>
        <v>45931.564120370371</v>
      </c>
      <c r="L245">
        <f>VLOOKUP(A245,'Tableau single and bulk'!A:L,12,FALSE)</f>
        <v>603718</v>
      </c>
      <c r="M245" t="str">
        <f>VLOOKUP(A245,'Tableau single and bulk'!A:AA,27,FALSE)</f>
        <v>Cara Credit Union</v>
      </c>
    </row>
    <row r="246" spans="1:13">
      <c r="A246" s="7" t="s">
        <v>816</v>
      </c>
      <c r="B246" s="2" t="s">
        <v>1277</v>
      </c>
      <c r="C246" s="2" t="s">
        <v>1309</v>
      </c>
      <c r="D246" s="2" t="s">
        <v>2277</v>
      </c>
      <c r="E246" s="2" t="s">
        <v>816</v>
      </c>
      <c r="F246" s="2" t="s">
        <v>1278</v>
      </c>
      <c r="G246" s="2" t="s">
        <v>1279</v>
      </c>
      <c r="H246" t="e">
        <f>VLOOKUP(A246,'Export Worksheet'!A:L,6,FALSE)</f>
        <v>#N/A</v>
      </c>
      <c r="I246" t="str">
        <f>VLOOKUP(A246,'Tableau single and bulk'!A:B,2,FALSE)</f>
        <v>NEBAUTO</v>
      </c>
      <c r="K246" s="9">
        <f>VLOOKUP(A246,'Tableau single and bulk'!A:I,9,FALSE)</f>
        <v>45931.564189814817</v>
      </c>
      <c r="L246">
        <f>VLOOKUP(A246,'Tableau single and bulk'!A:L,12,FALSE)</f>
        <v>603768</v>
      </c>
      <c r="M246" t="str">
        <f>VLOOKUP(A246,'Tableau single and bulk'!A:AA,27,FALSE)</f>
        <v>Natures Best Limited</v>
      </c>
    </row>
    <row r="247" spans="1:13">
      <c r="A247" s="7" t="s">
        <v>1226</v>
      </c>
      <c r="B247" s="2" t="s">
        <v>1277</v>
      </c>
      <c r="C247" s="2" t="s">
        <v>1309</v>
      </c>
      <c r="D247" s="2" t="s">
        <v>2276</v>
      </c>
      <c r="E247" s="2" t="s">
        <v>1226</v>
      </c>
      <c r="F247" s="2" t="s">
        <v>1278</v>
      </c>
      <c r="G247" s="2" t="s">
        <v>1279</v>
      </c>
      <c r="H247" t="e">
        <f>VLOOKUP(A247,'Export Worksheet'!A:L,6,FALSE)</f>
        <v>#N/A</v>
      </c>
      <c r="I247" t="str">
        <f>VLOOKUP(A247,'Tableau single and bulk'!A:B,2,FALSE)</f>
        <v>NEBAUTO</v>
      </c>
      <c r="K247" s="9">
        <f>VLOOKUP(A247,'Tableau single and bulk'!A:I,9,FALSE)</f>
        <v>45931.564305555556</v>
      </c>
      <c r="L247">
        <f>VLOOKUP(A247,'Tableau single and bulk'!A:L,12,FALSE)</f>
        <v>603661</v>
      </c>
      <c r="M247" t="str">
        <f>VLOOKUP(A247,'Tableau single and bulk'!A:AA,27,FALSE)</f>
        <v>Repligen Ireland Ltd</v>
      </c>
    </row>
    <row r="248" spans="1:13" hidden="1">
      <c r="A248" s="7" t="s">
        <v>2235</v>
      </c>
      <c r="B248" s="2" t="s">
        <v>1533</v>
      </c>
      <c r="C248" s="2" t="s">
        <v>1309</v>
      </c>
      <c r="D248" s="2" t="s">
        <v>2234</v>
      </c>
      <c r="E248" s="2" t="s">
        <v>2235</v>
      </c>
      <c r="F248" s="2" t="s">
        <v>1278</v>
      </c>
      <c r="G248" s="2" t="s">
        <v>1279</v>
      </c>
      <c r="H248" t="e">
        <f>VLOOKUP(A248,'Export Worksheet'!A:L,6,FALSE)</f>
        <v>#N/A</v>
      </c>
      <c r="I248" t="str">
        <f>VLOOKUP(A248,'Tableau single and bulk'!A:B,2,FALSE)</f>
        <v>NESAUTO</v>
      </c>
      <c r="K248" s="9">
        <f>VLOOKUP(A248,'Tableau single and bulk'!A:I,9,FALSE)</f>
        <v>45932.462187500001</v>
      </c>
      <c r="L248">
        <f>VLOOKUP(A248,'Tableau single and bulk'!A:L,12,FALSE)</f>
        <v>603026</v>
      </c>
      <c r="M248" t="str">
        <f>VLOOKUP(A248,'Tableau single and bulk'!A:AA,27,FALSE)</f>
        <v>Vestas Ireland Limited</v>
      </c>
    </row>
    <row r="249" spans="1:13" hidden="1">
      <c r="A249" s="7" t="s">
        <v>2239</v>
      </c>
      <c r="B249" s="2" t="s">
        <v>1425</v>
      </c>
      <c r="C249" s="2" t="s">
        <v>1309</v>
      </c>
      <c r="D249" s="2" t="s">
        <v>2238</v>
      </c>
      <c r="E249" s="2" t="s">
        <v>2239</v>
      </c>
      <c r="F249" s="2" t="s">
        <v>1278</v>
      </c>
      <c r="G249" s="2" t="s">
        <v>1279</v>
      </c>
      <c r="H249" t="e">
        <f>VLOOKUP(A249,'Export Worksheet'!A:L,6,FALSE)</f>
        <v>#N/A</v>
      </c>
      <c r="I249" t="str">
        <f>VLOOKUP(A249,'Tableau single and bulk'!A:B,2,FALSE)</f>
        <v>NESAUTO</v>
      </c>
      <c r="K249" s="9">
        <f>VLOOKUP(A249,'Tableau single and bulk'!A:I,9,FALSE)</f>
        <v>45932.456377314818</v>
      </c>
      <c r="L249">
        <f>VLOOKUP(A249,'Tableau single and bulk'!A:L,12,FALSE)</f>
        <v>602944</v>
      </c>
      <c r="M249" t="str">
        <f>VLOOKUP(A249,'Tableau single and bulk'!A:AA,27,FALSE)</f>
        <v>PATRICK J TOBIN LTD</v>
      </c>
    </row>
    <row r="250" spans="1:13" hidden="1">
      <c r="A250" s="7" t="s">
        <v>2229</v>
      </c>
      <c r="B250" s="2" t="s">
        <v>1425</v>
      </c>
      <c r="C250" s="2" t="s">
        <v>1309</v>
      </c>
      <c r="D250" s="2" t="s">
        <v>2228</v>
      </c>
      <c r="E250" s="2" t="s">
        <v>2229</v>
      </c>
      <c r="F250" s="2" t="s">
        <v>1278</v>
      </c>
      <c r="G250" s="2" t="s">
        <v>1279</v>
      </c>
      <c r="H250" t="e">
        <f>VLOOKUP(A250,'Export Worksheet'!A:L,6,FALSE)</f>
        <v>#N/A</v>
      </c>
      <c r="I250" t="str">
        <f>VLOOKUP(A250,'Tableau single and bulk'!A:B,2,FALSE)</f>
        <v>NESAUTO</v>
      </c>
      <c r="K250" s="9">
        <f>VLOOKUP(A250,'Tableau single and bulk'!A:I,9,FALSE)</f>
        <v>45932.477384259262</v>
      </c>
      <c r="L250">
        <f>VLOOKUP(A250,'Tableau single and bulk'!A:L,12,FALSE)</f>
        <v>602944</v>
      </c>
      <c r="M250" t="str">
        <f>VLOOKUP(A250,'Tableau single and bulk'!A:AA,27,FALSE)</f>
        <v>PATRICK J TOBIN LTD</v>
      </c>
    </row>
    <row r="251" spans="1:13" hidden="1">
      <c r="A251" s="7" t="s">
        <v>2256</v>
      </c>
      <c r="B251" s="2" t="s">
        <v>1277</v>
      </c>
      <c r="C251" s="2" t="s">
        <v>1309</v>
      </c>
      <c r="D251" s="2" t="s">
        <v>2255</v>
      </c>
      <c r="E251" s="2" t="s">
        <v>2256</v>
      </c>
      <c r="F251" s="2" t="s">
        <v>1278</v>
      </c>
      <c r="G251" s="2" t="s">
        <v>1279</v>
      </c>
      <c r="H251" t="e">
        <f>VLOOKUP(A251,'Export Worksheet'!A:L,6,FALSE)</f>
        <v>#N/A</v>
      </c>
      <c r="I251" t="str">
        <f>VLOOKUP(A251,'Tableau single and bulk'!A:B,2,FALSE)</f>
        <v>NESAUTO</v>
      </c>
      <c r="K251" s="9">
        <f>VLOOKUP(A251,'Tableau single and bulk'!A:I,9,FALSE)</f>
        <v>45932.395682870374</v>
      </c>
      <c r="L251">
        <f>VLOOKUP(A251,'Tableau single and bulk'!A:L,12,FALSE)</f>
        <v>603200</v>
      </c>
      <c r="M251" t="str">
        <f>VLOOKUP(A251,'Tableau single and bulk'!A:AA,27,FALSE)</f>
        <v>Alliance Medical Diagnostic Imaging Ltd</v>
      </c>
    </row>
    <row r="252" spans="1:13">
      <c r="A252" s="7" t="s">
        <v>1236</v>
      </c>
      <c r="B252" s="2" t="s">
        <v>2206</v>
      </c>
      <c r="C252" s="2" t="s">
        <v>1309</v>
      </c>
      <c r="D252" s="2" t="s">
        <v>2207</v>
      </c>
      <c r="E252" s="2" t="s">
        <v>1236</v>
      </c>
      <c r="F252" s="2" t="s">
        <v>1278</v>
      </c>
      <c r="G252" s="2" t="s">
        <v>1279</v>
      </c>
      <c r="H252">
        <f>VLOOKUP(A252,'Export Worksheet'!A:L,6,FALSE)</f>
        <v>1</v>
      </c>
      <c r="I252" t="str">
        <f>VLOOKUP(A252,'Tableau single and bulk'!A:B,2,FALSE)</f>
        <v>NEBAUTO</v>
      </c>
      <c r="K252" s="9">
        <f>VLOOKUP(A252,'Tableau single and bulk'!A:I,9,FALSE)</f>
        <v>45932.603321759256</v>
      </c>
      <c r="L252">
        <f>VLOOKUP(A252,'Tableau single and bulk'!A:L,12,FALSE)</f>
        <v>609708</v>
      </c>
      <c r="M252" t="str">
        <f>VLOOKUP(A252,'Tableau single and bulk'!A:AA,27,FALSE)</f>
        <v>NFVSP St Catherine's Association CLG</v>
      </c>
    </row>
    <row r="253" spans="1:13" hidden="1">
      <c r="A253" s="7" t="s">
        <v>2168</v>
      </c>
      <c r="B253" s="2" t="s">
        <v>1324</v>
      </c>
      <c r="C253" s="2" t="s">
        <v>1309</v>
      </c>
      <c r="D253" s="2" t="s">
        <v>2167</v>
      </c>
      <c r="E253" s="2" t="s">
        <v>2168</v>
      </c>
      <c r="F253" s="2" t="s">
        <v>1278</v>
      </c>
      <c r="G253" s="2" t="s">
        <v>1279</v>
      </c>
      <c r="H253" t="e">
        <f>VLOOKUP(A253,'Export Worksheet'!A:L,6,FALSE)</f>
        <v>#N/A</v>
      </c>
      <c r="I253" t="e">
        <f>VLOOKUP(A253,'Tableau single and bulk'!A:B,2,FALSE)</f>
        <v>#N/A</v>
      </c>
      <c r="K253" s="9" t="e">
        <f>VLOOKUP(A253,'Tableau single and bulk'!A:I,9,FALSE)</f>
        <v>#N/A</v>
      </c>
      <c r="L253" t="e">
        <f>VLOOKUP(A253,'Tableau single and bulk'!A:L,12,FALSE)</f>
        <v>#N/A</v>
      </c>
      <c r="M253" t="e">
        <f>VLOOKUP(A253,'Tableau single and bulk'!A:AA,27,FALSE)</f>
        <v>#N/A</v>
      </c>
    </row>
    <row r="254" spans="1:13">
      <c r="A254" s="7" t="s">
        <v>748</v>
      </c>
      <c r="B254" s="2" t="s">
        <v>1527</v>
      </c>
      <c r="C254" s="2" t="s">
        <v>1309</v>
      </c>
      <c r="D254" s="2" t="s">
        <v>2269</v>
      </c>
      <c r="E254" s="2" t="s">
        <v>748</v>
      </c>
      <c r="F254" s="2" t="s">
        <v>1278</v>
      </c>
      <c r="G254" s="2" t="s">
        <v>1279</v>
      </c>
      <c r="H254">
        <f>VLOOKUP(A254,'Export Worksheet'!A:L,6,FALSE)</f>
        <v>1</v>
      </c>
      <c r="I254" t="str">
        <f>VLOOKUP(A254,'Tableau single and bulk'!A:B,2,FALSE)</f>
        <v>NEBAUTO</v>
      </c>
      <c r="K254" s="9">
        <f>VLOOKUP(A254,'Tableau single and bulk'!A:I,9,FALSE)</f>
        <v>45931.662326388891</v>
      </c>
      <c r="L254">
        <f>VLOOKUP(A254,'Tableau single and bulk'!A:L,12,FALSE)</f>
        <v>603471</v>
      </c>
      <c r="M254" t="str">
        <f>VLOOKUP(A254,'Tableau single and bulk'!A:AA,27,FALSE)</f>
        <v>Zendesk International Limited</v>
      </c>
    </row>
    <row r="255" spans="1:13">
      <c r="A255" s="7" t="s">
        <v>328</v>
      </c>
      <c r="B255" s="2" t="s">
        <v>1527</v>
      </c>
      <c r="C255" s="2" t="s">
        <v>1309</v>
      </c>
      <c r="D255" s="2" t="s">
        <v>2223</v>
      </c>
      <c r="E255" s="2" t="s">
        <v>328</v>
      </c>
      <c r="F255" s="2" t="s">
        <v>1278</v>
      </c>
      <c r="G255" s="2" t="s">
        <v>1279</v>
      </c>
      <c r="H255">
        <f>VLOOKUP(A255,'Export Worksheet'!A:L,6,FALSE)</f>
        <v>1</v>
      </c>
      <c r="I255" t="str">
        <f>VLOOKUP(A255,'Tableau single and bulk'!A:B,2,FALSE)</f>
        <v>NEBAUTO</v>
      </c>
      <c r="K255" s="9">
        <f>VLOOKUP(A255,'Tableau single and bulk'!A:I,9,FALSE)</f>
        <v>45932.510879629626</v>
      </c>
      <c r="L255">
        <f>VLOOKUP(A255,'Tableau single and bulk'!A:L,12,FALSE)</f>
        <v>603471</v>
      </c>
      <c r="M255" t="str">
        <f>VLOOKUP(A255,'Tableau single and bulk'!A:AA,27,FALSE)</f>
        <v>Zendesk International Limited</v>
      </c>
    </row>
    <row r="256" spans="1:13">
      <c r="A256" s="7" t="s">
        <v>755</v>
      </c>
      <c r="B256" s="2" t="s">
        <v>261</v>
      </c>
      <c r="C256" s="2" t="s">
        <v>1309</v>
      </c>
      <c r="D256" s="2" t="s">
        <v>2208</v>
      </c>
      <c r="E256" s="2" t="s">
        <v>755</v>
      </c>
      <c r="F256" s="2" t="s">
        <v>1278</v>
      </c>
      <c r="G256" s="2" t="s">
        <v>1279</v>
      </c>
      <c r="H256">
        <f>VLOOKUP(A256,'Export Worksheet'!A:L,6,FALSE)</f>
        <v>3</v>
      </c>
      <c r="I256" t="str">
        <f>VLOOKUP(A256,'Tableau single and bulk'!A:B,2,FALSE)</f>
        <v>NEBAUTO</v>
      </c>
      <c r="K256" s="9">
        <f>VLOOKUP(A256,'Tableau single and bulk'!A:I,9,FALSE)</f>
        <v>45932.601782407408</v>
      </c>
      <c r="L256">
        <f>VLOOKUP(A256,'Tableau single and bulk'!A:L,12,FALSE)</f>
        <v>602843</v>
      </c>
      <c r="M256" t="str">
        <f>VLOOKUP(A256,'Tableau single and bulk'!A:AA,27,FALSE)</f>
        <v>Coillte Teoranta</v>
      </c>
    </row>
    <row r="257" spans="1:13">
      <c r="A257" s="7" t="s">
        <v>342</v>
      </c>
      <c r="B257" s="2" t="s">
        <v>2177</v>
      </c>
      <c r="C257" s="2" t="s">
        <v>1309</v>
      </c>
      <c r="D257" s="2" t="s">
        <v>2217</v>
      </c>
      <c r="E257" s="2" t="s">
        <v>342</v>
      </c>
      <c r="F257" s="2" t="s">
        <v>1278</v>
      </c>
      <c r="G257" s="2" t="s">
        <v>1279</v>
      </c>
      <c r="H257">
        <f>VLOOKUP(A257,'Export Worksheet'!A:L,6,FALSE)</f>
        <v>1</v>
      </c>
      <c r="I257" t="str">
        <f>VLOOKUP(A257,'Tableau single and bulk'!A:B,2,FALSE)</f>
        <v>NEBAUTO</v>
      </c>
      <c r="K257" s="9">
        <f>VLOOKUP(A257,'Tableau single and bulk'!A:I,9,FALSE)</f>
        <v>45932.56863425926</v>
      </c>
      <c r="L257">
        <f>VLOOKUP(A257,'Tableau single and bulk'!A:L,12,FALSE)</f>
        <v>603408</v>
      </c>
      <c r="M257" t="str">
        <f>VLOOKUP(A257,'Tableau single and bulk'!A:AA,27,FALSE)</f>
        <v>Vera Financial DAC</v>
      </c>
    </row>
    <row r="258" spans="1:13" hidden="1">
      <c r="A258" s="7" t="s">
        <v>2260</v>
      </c>
      <c r="B258" s="2" t="s">
        <v>1277</v>
      </c>
      <c r="C258" s="2" t="s">
        <v>1309</v>
      </c>
      <c r="D258" s="2" t="s">
        <v>2259</v>
      </c>
      <c r="E258" s="2" t="s">
        <v>2260</v>
      </c>
      <c r="F258" s="2" t="s">
        <v>1278</v>
      </c>
      <c r="G258" s="2" t="s">
        <v>1279</v>
      </c>
      <c r="H258" t="e">
        <f>VLOOKUP(A258,'Export Worksheet'!A:L,6,FALSE)</f>
        <v>#N/A</v>
      </c>
      <c r="I258" t="str">
        <f>VLOOKUP(A258,'Tableau single and bulk'!A:B,2,FALSE)</f>
        <v>NESAUTO</v>
      </c>
      <c r="K258" s="9">
        <f>VLOOKUP(A258,'Tableau single and bulk'!A:I,9,FALSE)</f>
        <v>45932.38890046296</v>
      </c>
      <c r="L258">
        <f>VLOOKUP(A258,'Tableau single and bulk'!A:L,12,FALSE)</f>
        <v>603200</v>
      </c>
      <c r="M258" t="str">
        <f>VLOOKUP(A258,'Tableau single and bulk'!A:AA,27,FALSE)</f>
        <v>Alliance Medical Diagnostic Imaging Ltd</v>
      </c>
    </row>
    <row r="259" spans="1:13" hidden="1">
      <c r="A259" s="7" t="s">
        <v>2231</v>
      </c>
      <c r="B259" s="2" t="s">
        <v>1699</v>
      </c>
      <c r="C259" s="2" t="s">
        <v>1309</v>
      </c>
      <c r="D259" s="2" t="s">
        <v>2230</v>
      </c>
      <c r="E259" s="2" t="s">
        <v>2231</v>
      </c>
      <c r="F259" s="2" t="s">
        <v>1278</v>
      </c>
      <c r="G259" s="2" t="s">
        <v>1279</v>
      </c>
      <c r="H259" t="e">
        <f>VLOOKUP(A259,'Export Worksheet'!A:L,6,FALSE)</f>
        <v>#N/A</v>
      </c>
      <c r="I259" t="str">
        <f>VLOOKUP(A259,'Tableau single and bulk'!A:B,2,FALSE)</f>
        <v>NESAUTO</v>
      </c>
      <c r="K259" s="9">
        <f>VLOOKUP(A259,'Tableau single and bulk'!A:I,9,FALSE)</f>
        <v>45932.47314814815</v>
      </c>
      <c r="L259">
        <f>VLOOKUP(A259,'Tableau single and bulk'!A:L,12,FALSE)</f>
        <v>602719</v>
      </c>
      <c r="M259" t="str">
        <f>VLOOKUP(A259,'Tableau single and bulk'!A:AA,27,FALSE)</f>
        <v>Roadstone Limited</v>
      </c>
    </row>
    <row r="260" spans="1:13">
      <c r="A260" s="7" t="s">
        <v>1066</v>
      </c>
      <c r="B260" s="2" t="s">
        <v>262</v>
      </c>
      <c r="C260" s="2" t="s">
        <v>1309</v>
      </c>
      <c r="D260" s="2" t="s">
        <v>2222</v>
      </c>
      <c r="E260" s="2" t="s">
        <v>1066</v>
      </c>
      <c r="F260" s="2" t="s">
        <v>1278</v>
      </c>
      <c r="G260" s="2" t="s">
        <v>1279</v>
      </c>
      <c r="H260">
        <f>VLOOKUP(A260,'Export Worksheet'!A:L,6,FALSE)</f>
        <v>5</v>
      </c>
      <c r="I260" t="str">
        <f>VLOOKUP(A260,'Tableau single and bulk'!A:B,2,FALSE)</f>
        <v>NEBAUTO</v>
      </c>
      <c r="K260" s="9">
        <f>VLOOKUP(A260,'Tableau single and bulk'!A:I,9,FALSE)</f>
        <v>45932.524155092593</v>
      </c>
      <c r="L260">
        <f>VLOOKUP(A260,'Tableau single and bulk'!A:L,12,FALSE)</f>
        <v>603001</v>
      </c>
      <c r="M260" t="str">
        <f>VLOOKUP(A260,'Tableau single and bulk'!A:AA,27,FALSE)</f>
        <v>FDC Group</v>
      </c>
    </row>
    <row r="261" spans="1:13">
      <c r="A261" s="7" t="s">
        <v>326</v>
      </c>
      <c r="B261" s="2" t="s">
        <v>262</v>
      </c>
      <c r="C261" s="2" t="s">
        <v>1309</v>
      </c>
      <c r="D261" s="2" t="s">
        <v>2224</v>
      </c>
      <c r="E261" s="2" t="s">
        <v>326</v>
      </c>
      <c r="F261" s="2" t="s">
        <v>1278</v>
      </c>
      <c r="G261" s="2" t="s">
        <v>1279</v>
      </c>
      <c r="H261">
        <f>VLOOKUP(A261,'Export Worksheet'!A:L,6,FALSE)</f>
        <v>5</v>
      </c>
      <c r="I261" t="str">
        <f>VLOOKUP(A261,'Tableau single and bulk'!A:B,2,FALSE)</f>
        <v>NEBAUTO</v>
      </c>
      <c r="K261" s="9">
        <f>VLOOKUP(A261,'Tableau single and bulk'!A:I,9,FALSE)</f>
        <v>45932.510381944441</v>
      </c>
      <c r="L261">
        <f>VLOOKUP(A261,'Tableau single and bulk'!A:L,12,FALSE)</f>
        <v>603001</v>
      </c>
      <c r="M261" t="str">
        <f>VLOOKUP(A261,'Tableau single and bulk'!A:AA,27,FALSE)</f>
        <v>FDC Group</v>
      </c>
    </row>
    <row r="262" spans="1:13" hidden="1">
      <c r="A262" s="7" t="s">
        <v>2200</v>
      </c>
      <c r="B262" s="2" t="s">
        <v>2198</v>
      </c>
      <c r="C262" s="2" t="s">
        <v>1309</v>
      </c>
      <c r="D262" s="2" t="s">
        <v>2199</v>
      </c>
      <c r="E262" s="2" t="s">
        <v>2200</v>
      </c>
      <c r="F262" s="2" t="s">
        <v>1278</v>
      </c>
      <c r="G262" s="2" t="s">
        <v>1279</v>
      </c>
      <c r="H262" t="e">
        <f>VLOOKUP(A262,'Export Worksheet'!A:L,6,FALSE)</f>
        <v>#N/A</v>
      </c>
      <c r="I262" t="str">
        <f>VLOOKUP(A262,'Tableau single and bulk'!A:B,2,FALSE)</f>
        <v>NESAUTO</v>
      </c>
      <c r="K262" s="9">
        <f>VLOOKUP(A262,'Tableau single and bulk'!A:I,9,FALSE)</f>
        <v>45932.676458333335</v>
      </c>
      <c r="L262">
        <f>VLOOKUP(A262,'Tableau single and bulk'!A:L,12,FALSE)</f>
        <v>603483</v>
      </c>
      <c r="M262" t="str">
        <f>VLOOKUP(A262,'Tableau single and bulk'!A:AA,27,FALSE)</f>
        <v>Horizon Therapeutics Ireland DAC</v>
      </c>
    </row>
    <row r="263" spans="1:13" hidden="1">
      <c r="A263" s="7" t="s">
        <v>2237</v>
      </c>
      <c r="B263" s="2" t="s">
        <v>1324</v>
      </c>
      <c r="C263" s="2" t="s">
        <v>1309</v>
      </c>
      <c r="D263" s="2" t="s">
        <v>2236</v>
      </c>
      <c r="E263" s="2" t="s">
        <v>2237</v>
      </c>
      <c r="F263" s="2" t="s">
        <v>1278</v>
      </c>
      <c r="G263" s="2" t="s">
        <v>1279</v>
      </c>
      <c r="H263" t="e">
        <f>VLOOKUP(A263,'Export Worksheet'!A:L,6,FALSE)</f>
        <v>#N/A</v>
      </c>
      <c r="I263" t="str">
        <f>VLOOKUP(A263,'Tableau single and bulk'!A:B,2,FALSE)</f>
        <v>NESAUTO</v>
      </c>
      <c r="K263" s="9">
        <f>VLOOKUP(A263,'Tableau single and bulk'!A:I,9,FALSE)</f>
        <v>45932.461481481485</v>
      </c>
      <c r="L263">
        <f>VLOOKUP(A263,'Tableau single and bulk'!A:L,12,FALSE)</f>
        <v>608068</v>
      </c>
      <c r="M263" t="str">
        <f>VLOOKUP(A263,'Tableau single and bulk'!A:AA,27,FALSE)</f>
        <v>Ministry Brands Limited</v>
      </c>
    </row>
    <row r="264" spans="1:13">
      <c r="A264" s="7" t="s">
        <v>324</v>
      </c>
      <c r="B264" s="2" t="s">
        <v>2220</v>
      </c>
      <c r="C264" s="2" t="s">
        <v>1309</v>
      </c>
      <c r="D264" s="2" t="s">
        <v>2221</v>
      </c>
      <c r="E264" s="2" t="s">
        <v>324</v>
      </c>
      <c r="F264" s="2" t="s">
        <v>1278</v>
      </c>
      <c r="G264" s="2" t="s">
        <v>1279</v>
      </c>
      <c r="H264">
        <f>VLOOKUP(A264,'Export Worksheet'!A:L,6,FALSE)</f>
        <v>1</v>
      </c>
      <c r="I264" t="str">
        <f>VLOOKUP(A264,'Tableau single and bulk'!A:B,2,FALSE)</f>
        <v>NEBAUTO</v>
      </c>
      <c r="K264" s="9">
        <f>VLOOKUP(A264,'Tableau single and bulk'!A:I,9,FALSE)</f>
        <v>45932.540451388886</v>
      </c>
      <c r="L264">
        <f>VLOOKUP(A264,'Tableau single and bulk'!A:L,12,FALSE)</f>
        <v>602943</v>
      </c>
      <c r="M264" t="str">
        <f>VLOOKUP(A264,'Tableau single and bulk'!A:AA,27,FALSE)</f>
        <v>IPB Insurance CLG</v>
      </c>
    </row>
    <row r="265" spans="1:13">
      <c r="A265" s="7" t="s">
        <v>820</v>
      </c>
      <c r="B265" s="2" t="s">
        <v>2218</v>
      </c>
      <c r="C265" s="2" t="s">
        <v>1309</v>
      </c>
      <c r="D265" s="2" t="s">
        <v>2219</v>
      </c>
      <c r="E265" s="2" t="s">
        <v>820</v>
      </c>
      <c r="F265" s="2" t="s">
        <v>1278</v>
      </c>
      <c r="G265" s="2" t="s">
        <v>1279</v>
      </c>
      <c r="H265">
        <f>VLOOKUP(A265,'Export Worksheet'!A:L,6,FALSE)</f>
        <v>1</v>
      </c>
      <c r="I265" t="str">
        <f>VLOOKUP(A265,'Tableau single and bulk'!A:B,2,FALSE)</f>
        <v>NEBAUTO</v>
      </c>
      <c r="K265" s="9">
        <f>VLOOKUP(A265,'Tableau single and bulk'!A:I,9,FALSE)</f>
        <v>45932.558553240742</v>
      </c>
      <c r="L265">
        <f>VLOOKUP(A265,'Tableau single and bulk'!A:L,12,FALSE)</f>
        <v>603484</v>
      </c>
      <c r="M265" t="str">
        <f>VLOOKUP(A265,'Tableau single and bulk'!A:AA,27,FALSE)</f>
        <v>The Irish Times DAC</v>
      </c>
    </row>
    <row r="266" spans="1:13">
      <c r="A266" s="7" t="s">
        <v>353</v>
      </c>
      <c r="B266" s="2" t="s">
        <v>1422</v>
      </c>
      <c r="C266" s="2" t="s">
        <v>1309</v>
      </c>
      <c r="D266" s="2" t="s">
        <v>2157</v>
      </c>
      <c r="E266" s="2" t="s">
        <v>353</v>
      </c>
      <c r="F266" s="2" t="s">
        <v>1278</v>
      </c>
      <c r="G266" s="2" t="s">
        <v>1279</v>
      </c>
      <c r="H266">
        <f>VLOOKUP(A266,'Export Worksheet'!A:L,6,FALSE)</f>
        <v>17</v>
      </c>
      <c r="I266" t="str">
        <f>VLOOKUP(A266,'Tableau single and bulk'!A:B,2,FALSE)</f>
        <v>NEBAUTO</v>
      </c>
      <c r="K266" s="9">
        <f>VLOOKUP(A266,'Tableau single and bulk'!A:I,9,FALSE)</f>
        <v>45933.604351851849</v>
      </c>
      <c r="L266">
        <f>VLOOKUP(A266,'Tableau single and bulk'!A:L,12,FALSE)</f>
        <v>608029</v>
      </c>
      <c r="M266" t="str">
        <f>VLOOKUP(A266,'Tableau single and bulk'!A:AA,27,FALSE)</f>
        <v>Bon Secours Health System Limited</v>
      </c>
    </row>
    <row r="267" spans="1:13">
      <c r="A267" s="7" t="s">
        <v>351</v>
      </c>
      <c r="B267" s="2" t="s">
        <v>1422</v>
      </c>
      <c r="C267" s="2" t="s">
        <v>1309</v>
      </c>
      <c r="D267" s="2" t="s">
        <v>2187</v>
      </c>
      <c r="E267" s="2" t="s">
        <v>351</v>
      </c>
      <c r="F267" s="2" t="s">
        <v>1278</v>
      </c>
      <c r="G267" s="2" t="s">
        <v>1279</v>
      </c>
      <c r="H267">
        <f>VLOOKUP(A267,'Export Worksheet'!A:L,6,FALSE)</f>
        <v>3</v>
      </c>
      <c r="I267" t="str">
        <f>VLOOKUP(A267,'Tableau single and bulk'!A:B,2,FALSE)</f>
        <v>NEBAUTO</v>
      </c>
      <c r="K267" s="9">
        <f>VLOOKUP(A267,'Tableau single and bulk'!A:I,9,FALSE)</f>
        <v>45933.413831018515</v>
      </c>
      <c r="L267">
        <f>VLOOKUP(A267,'Tableau single and bulk'!A:L,12,FALSE)</f>
        <v>608029</v>
      </c>
      <c r="M267" t="str">
        <f>VLOOKUP(A267,'Tableau single and bulk'!A:AA,27,FALSE)</f>
        <v>Bon Secours Health System Limited</v>
      </c>
    </row>
    <row r="268" spans="1:13">
      <c r="A268" s="7" t="s">
        <v>2191</v>
      </c>
      <c r="B268" s="2" t="s">
        <v>1277</v>
      </c>
      <c r="C268" s="2" t="s">
        <v>1309</v>
      </c>
      <c r="D268" s="2" t="s">
        <v>2190</v>
      </c>
      <c r="E268" s="2" t="s">
        <v>2191</v>
      </c>
      <c r="F268" s="2" t="s">
        <v>1278</v>
      </c>
      <c r="G268" s="2" t="s">
        <v>1279</v>
      </c>
      <c r="H268" t="e">
        <f>VLOOKUP(A268,'Export Worksheet'!A:L,6,FALSE)</f>
        <v>#N/A</v>
      </c>
      <c r="I268" t="str">
        <f>VLOOKUP(A268,'Tableau single and bulk'!A:B,2,FALSE)</f>
        <v>NEBAUTO</v>
      </c>
      <c r="K268" s="9">
        <f>VLOOKUP(A268,'Tableau single and bulk'!A:I,9,FALSE)</f>
        <v>45933.401759259257</v>
      </c>
      <c r="L268">
        <f>VLOOKUP(A268,'Tableau single and bulk'!A:L,12,FALSE)</f>
        <v>603525</v>
      </c>
      <c r="M268" t="str">
        <f>VLOOKUP(A268,'Tableau single and bulk'!A:AA,27,FALSE)</f>
        <v>National Advocacy Service</v>
      </c>
    </row>
    <row r="269" spans="1:13">
      <c r="A269" s="7" t="s">
        <v>346</v>
      </c>
      <c r="B269" s="2" t="s">
        <v>1422</v>
      </c>
      <c r="C269" s="2" t="s">
        <v>1309</v>
      </c>
      <c r="D269" s="2" t="s">
        <v>2188</v>
      </c>
      <c r="E269" s="2" t="s">
        <v>346</v>
      </c>
      <c r="F269" s="2" t="s">
        <v>1278</v>
      </c>
      <c r="G269" s="2" t="s">
        <v>1279</v>
      </c>
      <c r="H269">
        <f>VLOOKUP(A269,'Export Worksheet'!A:L,6,FALSE)</f>
        <v>2</v>
      </c>
      <c r="I269" t="str">
        <f>VLOOKUP(A269,'Tableau single and bulk'!A:B,2,FALSE)</f>
        <v>NEBAUTO</v>
      </c>
      <c r="K269" s="9">
        <f>VLOOKUP(A269,'Tableau single and bulk'!A:I,9,FALSE)</f>
        <v>45933.410104166665</v>
      </c>
      <c r="L269">
        <f>VLOOKUP(A269,'Tableau single and bulk'!A:L,12,FALSE)</f>
        <v>608029</v>
      </c>
      <c r="M269" t="str">
        <f>VLOOKUP(A269,'Tableau single and bulk'!A:AA,27,FALSE)</f>
        <v>Bon Secours Health System Limited</v>
      </c>
    </row>
    <row r="270" spans="1:13" hidden="1">
      <c r="A270" s="7" t="s">
        <v>2210</v>
      </c>
      <c r="B270" s="2" t="s">
        <v>1425</v>
      </c>
      <c r="C270" s="2" t="s">
        <v>1309</v>
      </c>
      <c r="D270" s="2" t="s">
        <v>2209</v>
      </c>
      <c r="E270" s="2" t="s">
        <v>2210</v>
      </c>
      <c r="F270" s="2" t="s">
        <v>1278</v>
      </c>
      <c r="G270" s="2" t="s">
        <v>1279</v>
      </c>
      <c r="H270" t="e">
        <f>VLOOKUP(A270,'Export Worksheet'!A:L,6,FALSE)</f>
        <v>#N/A</v>
      </c>
      <c r="I270" t="str">
        <f>VLOOKUP(A270,'Tableau single and bulk'!A:B,2,FALSE)</f>
        <v>NESAUTO</v>
      </c>
      <c r="K270" s="9">
        <f>VLOOKUP(A270,'Tableau single and bulk'!A:I,9,FALSE)</f>
        <v>45932.597997685189</v>
      </c>
      <c r="L270">
        <f>VLOOKUP(A270,'Tableau single and bulk'!A:L,12,FALSE)</f>
        <v>602944</v>
      </c>
      <c r="M270" t="str">
        <f>VLOOKUP(A270,'Tableau single and bulk'!A:AA,27,FALSE)</f>
        <v>PATRICK J TOBIN LTD</v>
      </c>
    </row>
    <row r="271" spans="1:13" hidden="1">
      <c r="A271" s="7" t="s">
        <v>2244</v>
      </c>
      <c r="B271" s="2" t="s">
        <v>1425</v>
      </c>
      <c r="C271" s="2" t="s">
        <v>1309</v>
      </c>
      <c r="D271" s="2" t="s">
        <v>2243</v>
      </c>
      <c r="E271" s="2" t="s">
        <v>2244</v>
      </c>
      <c r="F271" s="2" t="s">
        <v>1278</v>
      </c>
      <c r="G271" s="2" t="s">
        <v>1279</v>
      </c>
      <c r="H271" t="e">
        <f>VLOOKUP(A271,'Export Worksheet'!A:L,6,FALSE)</f>
        <v>#N/A</v>
      </c>
      <c r="I271" t="str">
        <f>VLOOKUP(A271,'Tableau single and bulk'!A:B,2,FALSE)</f>
        <v>NESAUTO</v>
      </c>
      <c r="K271" s="9">
        <f>VLOOKUP(A271,'Tableau single and bulk'!A:I,9,FALSE)</f>
        <v>45932.448946759258</v>
      </c>
      <c r="L271">
        <f>VLOOKUP(A271,'Tableau single and bulk'!A:L,12,FALSE)</f>
        <v>602944</v>
      </c>
      <c r="M271" t="str">
        <f>VLOOKUP(A271,'Tableau single and bulk'!A:AA,27,FALSE)</f>
        <v>PATRICK J TOBIN LTD</v>
      </c>
    </row>
    <row r="272" spans="1:13">
      <c r="A272" s="7" t="s">
        <v>361</v>
      </c>
      <c r="B272" s="2" t="s">
        <v>1277</v>
      </c>
      <c r="C272" s="2" t="s">
        <v>1309</v>
      </c>
      <c r="D272" s="2" t="s">
        <v>2172</v>
      </c>
      <c r="E272" s="2" t="s">
        <v>361</v>
      </c>
      <c r="F272" s="2" t="s">
        <v>1278</v>
      </c>
      <c r="G272" s="2" t="s">
        <v>1279</v>
      </c>
      <c r="H272">
        <f>VLOOKUP(A272,'Export Worksheet'!A:L,6,FALSE)</f>
        <v>3</v>
      </c>
      <c r="I272" t="str">
        <f>VLOOKUP(A272,'Tableau single and bulk'!A:B,2,FALSE)</f>
        <v>NEBAUTO</v>
      </c>
      <c r="K272" s="9">
        <f>VLOOKUP(A272,'Tableau single and bulk'!A:I,9,FALSE)</f>
        <v>45933.464594907404</v>
      </c>
      <c r="L272">
        <f>VLOOKUP(A272,'Tableau single and bulk'!A:L,12,FALSE)</f>
        <v>608028</v>
      </c>
      <c r="M272" t="str">
        <f>VLOOKUP(A272,'Tableau single and bulk'!A:AA,27,FALSE)</f>
        <v>Apple</v>
      </c>
    </row>
    <row r="273" spans="1:13">
      <c r="A273" s="7" t="s">
        <v>933</v>
      </c>
      <c r="B273" s="2" t="s">
        <v>1277</v>
      </c>
      <c r="C273" s="2" t="s">
        <v>1309</v>
      </c>
      <c r="D273" s="2" t="s">
        <v>2299</v>
      </c>
      <c r="E273" s="2" t="s">
        <v>933</v>
      </c>
      <c r="F273" s="2" t="s">
        <v>1278</v>
      </c>
      <c r="G273" s="2" t="s">
        <v>1279</v>
      </c>
      <c r="H273">
        <f>VLOOKUP(A273,'Export Worksheet'!A:L,6,FALSE)</f>
        <v>1</v>
      </c>
      <c r="I273" t="str">
        <f>VLOOKUP(A273,'Tableau single and bulk'!A:B,2,FALSE)</f>
        <v>NEBAUTO</v>
      </c>
      <c r="K273" s="9">
        <f>VLOOKUP(A273,'Tableau single and bulk'!A:I,9,FALSE)</f>
        <v>45931.37771990741</v>
      </c>
      <c r="L273">
        <f>VLOOKUP(A273,'Tableau single and bulk'!A:L,12,FALSE)</f>
        <v>606879</v>
      </c>
      <c r="M273" t="str">
        <f>VLOOKUP(A273,'Tableau single and bulk'!A:AA,27,FALSE)</f>
        <v>Zimmer Orthopedics Manufacturing Limited</v>
      </c>
    </row>
    <row r="274" spans="1:13" hidden="1">
      <c r="A274" s="7" t="s">
        <v>2205</v>
      </c>
      <c r="B274" s="2" t="s">
        <v>1425</v>
      </c>
      <c r="C274" s="2" t="s">
        <v>1309</v>
      </c>
      <c r="D274" s="2" t="s">
        <v>2204</v>
      </c>
      <c r="E274" s="2" t="s">
        <v>2205</v>
      </c>
      <c r="F274" s="2" t="s">
        <v>1278</v>
      </c>
      <c r="G274" s="2" t="s">
        <v>1279</v>
      </c>
      <c r="H274" t="e">
        <f>VLOOKUP(A274,'Export Worksheet'!A:L,6,FALSE)</f>
        <v>#N/A</v>
      </c>
      <c r="I274" t="str">
        <f>VLOOKUP(A274,'Tableau single and bulk'!A:B,2,FALSE)</f>
        <v>NESAUTO</v>
      </c>
      <c r="K274" s="9">
        <f>VLOOKUP(A274,'Tableau single and bulk'!A:I,9,FALSE)</f>
        <v>45932.632453703707</v>
      </c>
      <c r="L274">
        <f>VLOOKUP(A274,'Tableau single and bulk'!A:L,12,FALSE)</f>
        <v>602944</v>
      </c>
      <c r="M274" t="str">
        <f>VLOOKUP(A274,'Tableau single and bulk'!A:AA,27,FALSE)</f>
        <v>PATRICK J TOBIN LTD</v>
      </c>
    </row>
    <row r="275" spans="1:13">
      <c r="A275" s="7" t="s">
        <v>347</v>
      </c>
      <c r="B275" s="2" t="s">
        <v>1500</v>
      </c>
      <c r="C275" s="2" t="s">
        <v>1309</v>
      </c>
      <c r="D275" s="2" t="s">
        <v>2186</v>
      </c>
      <c r="E275" s="2" t="s">
        <v>347</v>
      </c>
      <c r="F275" s="2" t="s">
        <v>1278</v>
      </c>
      <c r="G275" s="2" t="s">
        <v>1279</v>
      </c>
      <c r="H275">
        <f>VLOOKUP(A275,'Export Worksheet'!A:L,6,FALSE)</f>
        <v>1</v>
      </c>
      <c r="I275" t="str">
        <f>VLOOKUP(A275,'Tableau single and bulk'!A:B,2,FALSE)</f>
        <v>NEBAUTO</v>
      </c>
      <c r="K275" s="9">
        <f>VLOOKUP(A275,'Tableau single and bulk'!A:I,9,FALSE)</f>
        <v>45933.414212962962</v>
      </c>
      <c r="L275">
        <f>VLOOKUP(A275,'Tableau single and bulk'!A:L,12,FALSE)</f>
        <v>603959</v>
      </c>
      <c r="M275" t="str">
        <f>VLOOKUP(A275,'Tableau single and bulk'!A:AA,27,FALSE)</f>
        <v>CBRE Advisory (IRL) Ltd Pension Scheme</v>
      </c>
    </row>
    <row r="276" spans="1:13">
      <c r="A276" s="7" t="s">
        <v>340</v>
      </c>
      <c r="B276" s="2" t="s">
        <v>1527</v>
      </c>
      <c r="C276" s="2" t="s">
        <v>1309</v>
      </c>
      <c r="D276" s="2" t="s">
        <v>2154</v>
      </c>
      <c r="E276" s="2" t="s">
        <v>340</v>
      </c>
      <c r="F276" s="2" t="s">
        <v>1278</v>
      </c>
      <c r="G276" s="2" t="s">
        <v>1279</v>
      </c>
      <c r="H276">
        <f>VLOOKUP(A276,'Export Worksheet'!A:L,6,FALSE)</f>
        <v>1</v>
      </c>
      <c r="I276" t="str">
        <f>VLOOKUP(A276,'Tableau single and bulk'!A:B,2,FALSE)</f>
        <v>NEBAUTO</v>
      </c>
      <c r="K276" s="9">
        <f>VLOOKUP(A276,'Tableau single and bulk'!A:I,9,FALSE)</f>
        <v>45933.605868055558</v>
      </c>
      <c r="L276">
        <f>VLOOKUP(A276,'Tableau single and bulk'!A:L,12,FALSE)</f>
        <v>603471</v>
      </c>
      <c r="M276" t="str">
        <f>VLOOKUP(A276,'Tableau single and bulk'!A:AA,27,FALSE)</f>
        <v>Zendesk International Limited</v>
      </c>
    </row>
    <row r="277" spans="1:13">
      <c r="A277" s="7" t="s">
        <v>320</v>
      </c>
      <c r="B277" s="2" t="s">
        <v>1324</v>
      </c>
      <c r="C277" s="2" t="s">
        <v>1309</v>
      </c>
      <c r="D277" s="2" t="s">
        <v>2156</v>
      </c>
      <c r="E277" s="2" t="s">
        <v>320</v>
      </c>
      <c r="F277" s="2" t="s">
        <v>1278</v>
      </c>
      <c r="G277" s="2" t="s">
        <v>1279</v>
      </c>
      <c r="H277">
        <f>VLOOKUP(A277,'Export Worksheet'!A:L,6,FALSE)</f>
        <v>25</v>
      </c>
      <c r="I277" t="str">
        <f>VLOOKUP(A277,'Tableau single and bulk'!A:B,2,FALSE)</f>
        <v>NEBAUTO</v>
      </c>
      <c r="K277" s="9">
        <f>VLOOKUP(A277,'Tableau single and bulk'!A:I,9,FALSE)</f>
        <v>45933.605497685188</v>
      </c>
      <c r="L277">
        <f>VLOOKUP(A277,'Tableau single and bulk'!A:L,12,FALSE)</f>
        <v>609839</v>
      </c>
      <c r="M277" t="str">
        <f>VLOOKUP(A277,'Tableau single and bulk'!A:AA,27,FALSE)</f>
        <v>Viatris Pension Plan</v>
      </c>
    </row>
    <row r="278" spans="1:13">
      <c r="A278" s="7" t="s">
        <v>2203</v>
      </c>
      <c r="B278" s="2" t="s">
        <v>1742</v>
      </c>
      <c r="C278" s="2" t="s">
        <v>1309</v>
      </c>
      <c r="D278" s="2" t="s">
        <v>2202</v>
      </c>
      <c r="E278" s="2" t="s">
        <v>2203</v>
      </c>
      <c r="F278" s="2" t="s">
        <v>1278</v>
      </c>
      <c r="G278" s="2" t="s">
        <v>1279</v>
      </c>
      <c r="H278" t="e">
        <f>VLOOKUP(A278,'Export Worksheet'!A:L,6,FALSE)</f>
        <v>#N/A</v>
      </c>
      <c r="I278" t="str">
        <f>VLOOKUP(A278,'Tableau single and bulk'!A:B,2,FALSE)</f>
        <v>NEBAUTO</v>
      </c>
      <c r="K278" s="9">
        <f>VLOOKUP(A278,'Tableau single and bulk'!A:I,9,FALSE)</f>
        <v>45932.641388888886</v>
      </c>
      <c r="L278">
        <f>VLOOKUP(A278,'Tableau single and bulk'!A:L,12,FALSE)</f>
        <v>602438</v>
      </c>
      <c r="M278" t="str">
        <f>VLOOKUP(A278,'Tableau single and bulk'!A:AA,27,FALSE)</f>
        <v>Cool Planet Group Limited</v>
      </c>
    </row>
    <row r="279" spans="1:13">
      <c r="A279" s="7" t="s">
        <v>538</v>
      </c>
      <c r="B279" s="2" t="s">
        <v>1290</v>
      </c>
      <c r="C279" s="2" t="s">
        <v>1309</v>
      </c>
      <c r="D279" s="2" t="s">
        <v>2175</v>
      </c>
      <c r="E279" s="2" t="s">
        <v>538</v>
      </c>
      <c r="F279" s="2" t="s">
        <v>1278</v>
      </c>
      <c r="G279" s="2" t="s">
        <v>1279</v>
      </c>
      <c r="H279">
        <f>VLOOKUP(A279,'Export Worksheet'!A:L,6,FALSE)</f>
        <v>1</v>
      </c>
      <c r="I279" t="str">
        <f>VLOOKUP(A279,'Tableau single and bulk'!A:B,2,FALSE)</f>
        <v>NEBAUTO</v>
      </c>
      <c r="K279" s="9">
        <f>VLOOKUP(A279,'Tableau single and bulk'!A:I,9,FALSE)</f>
        <v>45933.458425925928</v>
      </c>
      <c r="L279">
        <f>VLOOKUP(A279,'Tableau single and bulk'!A:L,12,FALSE)</f>
        <v>603757</v>
      </c>
      <c r="M279" t="str">
        <f>VLOOKUP(A279,'Tableau single and bulk'!A:AA,27,FALSE)</f>
        <v>eircom Limited AVC Scheme</v>
      </c>
    </row>
    <row r="280" spans="1:13">
      <c r="A280" s="7" t="s">
        <v>315</v>
      </c>
      <c r="B280" s="2" t="s">
        <v>1277</v>
      </c>
      <c r="C280" s="2" t="s">
        <v>1309</v>
      </c>
      <c r="D280" s="2" t="s">
        <v>2155</v>
      </c>
      <c r="E280" s="2" t="s">
        <v>315</v>
      </c>
      <c r="F280" s="2" t="s">
        <v>1278</v>
      </c>
      <c r="G280" s="2" t="s">
        <v>1279</v>
      </c>
      <c r="H280">
        <f>VLOOKUP(A280,'Export Worksheet'!A:L,6,FALSE)</f>
        <v>2</v>
      </c>
      <c r="I280" t="str">
        <f>VLOOKUP(A280,'Tableau single and bulk'!A:B,2,FALSE)</f>
        <v>NEBAUTO</v>
      </c>
      <c r="K280" s="9">
        <f>VLOOKUP(A280,'Tableau single and bulk'!A:I,9,FALSE)</f>
        <v>45933.605497685188</v>
      </c>
      <c r="L280">
        <f>VLOOKUP(A280,'Tableau single and bulk'!A:L,12,FALSE)</f>
        <v>602408</v>
      </c>
      <c r="M280" t="str">
        <f>VLOOKUP(A280,'Tableau single and bulk'!A:AA,27,FALSE)</f>
        <v>Aimware Limited</v>
      </c>
    </row>
    <row r="281" spans="1:13" hidden="1">
      <c r="A281" s="7" t="s">
        <v>2171</v>
      </c>
      <c r="B281" s="2" t="s">
        <v>2169</v>
      </c>
      <c r="C281" s="2" t="s">
        <v>1309</v>
      </c>
      <c r="D281" s="2" t="s">
        <v>2170</v>
      </c>
      <c r="E281" s="2" t="s">
        <v>2171</v>
      </c>
      <c r="F281" s="2" t="s">
        <v>1278</v>
      </c>
      <c r="G281" s="2" t="s">
        <v>1279</v>
      </c>
      <c r="H281" t="e">
        <f>VLOOKUP(A281,'Export Worksheet'!A:L,6,FALSE)</f>
        <v>#N/A</v>
      </c>
      <c r="I281" t="str">
        <f>VLOOKUP(A281,'Tableau single and bulk'!A:B,2,FALSE)</f>
        <v>NESAUTO</v>
      </c>
      <c r="K281" s="9">
        <f>VLOOKUP(A281,'Tableau single and bulk'!A:I,9,FALSE)</f>
        <v>45933.469675925924</v>
      </c>
      <c r="L281">
        <f>VLOOKUP(A281,'Tableau single and bulk'!A:L,12,FALSE)</f>
        <v>603479</v>
      </c>
      <c r="M281" t="str">
        <f>VLOOKUP(A281,'Tableau single and bulk'!A:AA,27,FALSE)</f>
        <v>IKEA Ireland Limited</v>
      </c>
    </row>
    <row r="282" spans="1:13">
      <c r="A282" s="7" t="s">
        <v>822</v>
      </c>
      <c r="B282" s="2" t="s">
        <v>2150</v>
      </c>
      <c r="C282" s="2" t="s">
        <v>1309</v>
      </c>
      <c r="D282" s="2" t="s">
        <v>2151</v>
      </c>
      <c r="E282" s="2" t="s">
        <v>822</v>
      </c>
      <c r="F282" s="2" t="s">
        <v>1278</v>
      </c>
      <c r="G282" s="2" t="s">
        <v>1279</v>
      </c>
      <c r="H282">
        <f>VLOOKUP(A282,'Export Worksheet'!A:L,6,FALSE)</f>
        <v>6</v>
      </c>
      <c r="I282" t="str">
        <f>VLOOKUP(A282,'Tableau single and bulk'!A:B,2,FALSE)</f>
        <v>NEBAUTO</v>
      </c>
      <c r="K282" s="9">
        <f>VLOOKUP(A282,'Tableau single and bulk'!A:I,9,FALSE)</f>
        <v>45933.661180555559</v>
      </c>
      <c r="L282">
        <f>VLOOKUP(A282,'Tableau single and bulk'!A:L,12,FALSE)</f>
        <v>605307</v>
      </c>
      <c r="M282" t="str">
        <f>VLOOKUP(A282,'Tableau single and bulk'!A:AA,27,FALSE)</f>
        <v>MBEU Designated Activity Company</v>
      </c>
    </row>
    <row r="283" spans="1:13">
      <c r="A283" s="7" t="s">
        <v>357</v>
      </c>
      <c r="B283" s="2" t="s">
        <v>2179</v>
      </c>
      <c r="C283" s="2" t="s">
        <v>1309</v>
      </c>
      <c r="D283" s="2" t="s">
        <v>2180</v>
      </c>
      <c r="E283" s="2" t="s">
        <v>357</v>
      </c>
      <c r="F283" s="2" t="s">
        <v>1278</v>
      </c>
      <c r="G283" s="2" t="s">
        <v>1279</v>
      </c>
      <c r="H283">
        <f>VLOOKUP(A283,'Export Worksheet'!A:L,6,FALSE)</f>
        <v>1</v>
      </c>
      <c r="I283" t="str">
        <f>VLOOKUP(A283,'Tableau single and bulk'!A:B,2,FALSE)</f>
        <v>NEBAUTO</v>
      </c>
      <c r="K283" s="9">
        <f>VLOOKUP(A283,'Tableau single and bulk'!A:I,9,FALSE)</f>
        <v>45933.446388888886</v>
      </c>
      <c r="L283">
        <f>VLOOKUP(A283,'Tableau single and bulk'!A:L,12,FALSE)</f>
        <v>603652</v>
      </c>
      <c r="M283" t="str">
        <f>VLOOKUP(A283,'Tableau single and bulk'!A:AA,27,FALSE)</f>
        <v>Emerson Automation Solutions Ireland Ltd</v>
      </c>
    </row>
    <row r="284" spans="1:13">
      <c r="A284" s="7" t="s">
        <v>544</v>
      </c>
      <c r="B284" s="2" t="s">
        <v>1290</v>
      </c>
      <c r="C284" s="2" t="s">
        <v>1309</v>
      </c>
      <c r="D284" s="2" t="s">
        <v>2163</v>
      </c>
      <c r="E284" s="2" t="s">
        <v>544</v>
      </c>
      <c r="F284" s="2" t="s">
        <v>1278</v>
      </c>
      <c r="G284" s="2" t="s">
        <v>1279</v>
      </c>
      <c r="H284">
        <f>VLOOKUP(A284,'Export Worksheet'!A:L,6,FALSE)</f>
        <v>1</v>
      </c>
      <c r="I284" t="str">
        <f>VLOOKUP(A284,'Tableau single and bulk'!A:B,2,FALSE)</f>
        <v>NEBAUTO</v>
      </c>
      <c r="K284" s="9">
        <f>VLOOKUP(A284,'Tableau single and bulk'!A:I,9,FALSE)</f>
        <v>45933.486307870371</v>
      </c>
      <c r="L284">
        <f>VLOOKUP(A284,'Tableau single and bulk'!A:L,12,FALSE)</f>
        <v>603757</v>
      </c>
      <c r="M284" t="str">
        <f>VLOOKUP(A284,'Tableau single and bulk'!A:AA,27,FALSE)</f>
        <v>eircom Limited AVC Scheme</v>
      </c>
    </row>
    <row r="285" spans="1:13" hidden="1">
      <c r="A285" s="7" t="s">
        <v>2233</v>
      </c>
      <c r="B285" s="2" t="s">
        <v>1425</v>
      </c>
      <c r="C285" s="2" t="s">
        <v>1309</v>
      </c>
      <c r="D285" s="2" t="s">
        <v>2232</v>
      </c>
      <c r="E285" s="2" t="s">
        <v>2233</v>
      </c>
      <c r="F285" s="2" t="s">
        <v>1278</v>
      </c>
      <c r="G285" s="2" t="s">
        <v>1279</v>
      </c>
      <c r="H285" t="e">
        <f>VLOOKUP(A285,'Export Worksheet'!A:L,6,FALSE)</f>
        <v>#N/A</v>
      </c>
      <c r="I285" t="str">
        <f>VLOOKUP(A285,'Tableau single and bulk'!A:B,2,FALSE)</f>
        <v>NESAUTO</v>
      </c>
      <c r="K285" s="9">
        <f>VLOOKUP(A285,'Tableau single and bulk'!A:I,9,FALSE)</f>
        <v>45932.466238425928</v>
      </c>
      <c r="L285">
        <f>VLOOKUP(A285,'Tableau single and bulk'!A:L,12,FALSE)</f>
        <v>602944</v>
      </c>
      <c r="M285" t="str">
        <f>VLOOKUP(A285,'Tableau single and bulk'!A:AA,27,FALSE)</f>
        <v>PATRICK J TOBIN LTD</v>
      </c>
    </row>
    <row r="286" spans="1:13">
      <c r="A286" s="7" t="s">
        <v>349</v>
      </c>
      <c r="B286" s="2" t="s">
        <v>2184</v>
      </c>
      <c r="C286" s="2" t="s">
        <v>1309</v>
      </c>
      <c r="D286" s="2" t="s">
        <v>2185</v>
      </c>
      <c r="E286" s="2" t="s">
        <v>349</v>
      </c>
      <c r="F286" s="2" t="s">
        <v>1278</v>
      </c>
      <c r="G286" s="2" t="s">
        <v>1279</v>
      </c>
      <c r="H286">
        <f>VLOOKUP(A286,'Export Worksheet'!A:L,6,FALSE)</f>
        <v>1</v>
      </c>
      <c r="I286" t="str">
        <f>VLOOKUP(A286,'Tableau single and bulk'!A:B,2,FALSE)</f>
        <v>NEBAUTO</v>
      </c>
      <c r="K286" s="9">
        <f>VLOOKUP(A286,'Tableau single and bulk'!A:I,9,FALSE)</f>
        <v>45933.421886574077</v>
      </c>
      <c r="L286">
        <f>VLOOKUP(A286,'Tableau single and bulk'!A:L,12,FALSE)</f>
        <v>602093</v>
      </c>
      <c r="M286" t="str">
        <f>VLOOKUP(A286,'Tableau single and bulk'!A:AA,27,FALSE)</f>
        <v>Brett Brothers Limited</v>
      </c>
    </row>
    <row r="287" spans="1:13" hidden="1">
      <c r="A287" s="7" t="s">
        <v>2166</v>
      </c>
      <c r="B287" s="2" t="s">
        <v>2164</v>
      </c>
      <c r="C287" s="2" t="s">
        <v>1309</v>
      </c>
      <c r="D287" s="2" t="s">
        <v>2165</v>
      </c>
      <c r="E287" s="2" t="s">
        <v>2166</v>
      </c>
      <c r="F287" s="2" t="s">
        <v>1278</v>
      </c>
      <c r="G287" s="2" t="s">
        <v>1279</v>
      </c>
      <c r="H287" t="e">
        <f>VLOOKUP(A287,'Export Worksheet'!A:L,6,FALSE)</f>
        <v>#N/A</v>
      </c>
      <c r="I287" t="str">
        <f>VLOOKUP(A287,'Tableau single and bulk'!A:B,2,FALSE)</f>
        <v>NESAUTO</v>
      </c>
      <c r="K287" s="9">
        <f>VLOOKUP(A287,'Tableau single and bulk'!A:I,9,FALSE)</f>
        <v>45933.481319444443</v>
      </c>
      <c r="L287">
        <f>VLOOKUP(A287,'Tableau single and bulk'!A:L,12,FALSE)</f>
        <v>606834</v>
      </c>
      <c r="M287" t="str">
        <f>VLOOKUP(A287,'Tableau single and bulk'!A:AA,27,FALSE)</f>
        <v>Medite Europe DAC</v>
      </c>
    </row>
    <row r="288" spans="1:13" hidden="1">
      <c r="A288" s="7" t="s">
        <v>2271</v>
      </c>
      <c r="B288" s="2" t="s">
        <v>1381</v>
      </c>
      <c r="C288" s="2" t="s">
        <v>1309</v>
      </c>
      <c r="D288" s="2" t="s">
        <v>2270</v>
      </c>
      <c r="E288" s="2" t="s">
        <v>2271</v>
      </c>
      <c r="F288" s="2" t="s">
        <v>1278</v>
      </c>
      <c r="G288" s="2" t="s">
        <v>1279</v>
      </c>
      <c r="H288" t="e">
        <f>VLOOKUP(A288,'Export Worksheet'!A:L,6,FALSE)</f>
        <v>#N/A</v>
      </c>
      <c r="I288" t="str">
        <f>VLOOKUP(A288,'Tableau single and bulk'!A:B,2,FALSE)</f>
        <v>NESAUTO</v>
      </c>
      <c r="K288" s="9">
        <f>VLOOKUP(A288,'Tableau single and bulk'!A:I,9,FALSE)</f>
        <v>45931.658229166664</v>
      </c>
      <c r="L288">
        <f>VLOOKUP(A288,'Tableau single and bulk'!A:L,12,FALSE)</f>
        <v>601991</v>
      </c>
      <c r="M288" t="str">
        <f>VLOOKUP(A288,'Tableau single and bulk'!A:AA,27,FALSE)</f>
        <v>Securitas Security Services (Ireland)Ltd</v>
      </c>
    </row>
    <row r="289" spans="1:13" hidden="1">
      <c r="A289" s="7" t="s">
        <v>2241</v>
      </c>
      <c r="B289" s="2" t="s">
        <v>1425</v>
      </c>
      <c r="C289" s="2" t="s">
        <v>1309</v>
      </c>
      <c r="D289" s="2" t="s">
        <v>2240</v>
      </c>
      <c r="E289" s="2" t="s">
        <v>2241</v>
      </c>
      <c r="F289" s="2" t="s">
        <v>1278</v>
      </c>
      <c r="G289" s="2" t="s">
        <v>1279</v>
      </c>
      <c r="H289" t="e">
        <f>VLOOKUP(A289,'Export Worksheet'!A:L,6,FALSE)</f>
        <v>#N/A</v>
      </c>
      <c r="I289" t="str">
        <f>VLOOKUP(A289,'Tableau single and bulk'!A:B,2,FALSE)</f>
        <v>NESAUTO</v>
      </c>
      <c r="K289" s="9">
        <f>VLOOKUP(A289,'Tableau single and bulk'!A:I,9,FALSE)</f>
        <v>45932.455428240741</v>
      </c>
      <c r="L289">
        <f>VLOOKUP(A289,'Tableau single and bulk'!A:L,12,FALSE)</f>
        <v>602944</v>
      </c>
      <c r="M289" t="str">
        <f>VLOOKUP(A289,'Tableau single and bulk'!A:AA,27,FALSE)</f>
        <v>PATRICK J TOBIN LTD</v>
      </c>
    </row>
    <row r="290" spans="1:13">
      <c r="A290" s="7" t="s">
        <v>355</v>
      </c>
      <c r="B290" s="2" t="s">
        <v>2177</v>
      </c>
      <c r="C290" s="2" t="s">
        <v>1309</v>
      </c>
      <c r="D290" s="2" t="s">
        <v>2178</v>
      </c>
      <c r="E290" s="2" t="s">
        <v>355</v>
      </c>
      <c r="F290" s="2" t="s">
        <v>1278</v>
      </c>
      <c r="G290" s="2" t="s">
        <v>1279</v>
      </c>
      <c r="H290">
        <f>VLOOKUP(A290,'Export Worksheet'!A:L,6,FALSE)</f>
        <v>1</v>
      </c>
      <c r="I290" t="str">
        <f>VLOOKUP(A290,'Tableau single and bulk'!A:B,2,FALSE)</f>
        <v>NEBAUTO</v>
      </c>
      <c r="K290" s="9">
        <f>VLOOKUP(A290,'Tableau single and bulk'!A:I,9,FALSE)</f>
        <v>45933.453715277778</v>
      </c>
      <c r="L290">
        <f>VLOOKUP(A290,'Tableau single and bulk'!A:L,12,FALSE)</f>
        <v>603408</v>
      </c>
      <c r="M290" t="str">
        <f>VLOOKUP(A290,'Tableau single and bulk'!A:AA,27,FALSE)</f>
        <v>Vera Financial DAC</v>
      </c>
    </row>
    <row r="291" spans="1:13" hidden="1">
      <c r="A291" s="7" t="s">
        <v>2071</v>
      </c>
      <c r="B291" s="2" t="s">
        <v>1664</v>
      </c>
      <c r="C291" s="2" t="s">
        <v>1309</v>
      </c>
      <c r="D291" s="2" t="s">
        <v>2070</v>
      </c>
      <c r="E291" s="2" t="s">
        <v>2071</v>
      </c>
      <c r="F291" s="2" t="s">
        <v>1278</v>
      </c>
      <c r="G291" s="2" t="s">
        <v>1279</v>
      </c>
      <c r="H291" t="e">
        <f>VLOOKUP(A291,'Export Worksheet'!A:L,6,FALSE)</f>
        <v>#N/A</v>
      </c>
      <c r="I291" t="str">
        <f>VLOOKUP(A291,'Tableau single and bulk'!A:B,2,FALSE)</f>
        <v>NESAUTO</v>
      </c>
      <c r="K291" s="9">
        <f>VLOOKUP(A291,'Tableau single and bulk'!A:I,9,FALSE)</f>
        <v>45937.465127314812</v>
      </c>
      <c r="L291">
        <f>VLOOKUP(A291,'Tableau single and bulk'!A:L,12,FALSE)</f>
        <v>605381</v>
      </c>
      <c r="M291" t="str">
        <f>VLOOKUP(A291,'Tableau single and bulk'!A:AA,27,FALSE)</f>
        <v>Castlehitt Limited</v>
      </c>
    </row>
    <row r="292" spans="1:13">
      <c r="A292" s="7" t="s">
        <v>536</v>
      </c>
      <c r="B292" s="2" t="s">
        <v>1277</v>
      </c>
      <c r="C292" s="2" t="s">
        <v>1309</v>
      </c>
      <c r="D292" s="2" t="s">
        <v>2183</v>
      </c>
      <c r="E292" s="2" t="s">
        <v>536</v>
      </c>
      <c r="F292" s="2" t="s">
        <v>1278</v>
      </c>
      <c r="G292" s="2" t="s">
        <v>1279</v>
      </c>
      <c r="H292">
        <f>VLOOKUP(A292,'Export Worksheet'!A:L,6,FALSE)</f>
        <v>1</v>
      </c>
      <c r="I292" t="str">
        <f>VLOOKUP(A292,'Tableau single and bulk'!A:B,2,FALSE)</f>
        <v>NEBAUTO</v>
      </c>
      <c r="K292" s="9">
        <f>VLOOKUP(A292,'Tableau single and bulk'!A:I,9,FALSE)</f>
        <v>45933.442557870374</v>
      </c>
      <c r="L292">
        <f>VLOOKUP(A292,'Tableau single and bulk'!A:L,12,FALSE)</f>
        <v>603632</v>
      </c>
      <c r="M292" t="str">
        <f>VLOOKUP(A292,'Tableau single and bulk'!A:AA,27,FALSE)</f>
        <v>ST Engineering IDirect (Ireland) Limited</v>
      </c>
    </row>
    <row r="293" spans="1:13" hidden="1">
      <c r="A293" s="7" t="s">
        <v>2174</v>
      </c>
      <c r="B293" s="2" t="s">
        <v>1324</v>
      </c>
      <c r="C293" s="2" t="s">
        <v>1309</v>
      </c>
      <c r="D293" s="2" t="s">
        <v>2173</v>
      </c>
      <c r="E293" s="2" t="s">
        <v>2174</v>
      </c>
      <c r="F293" s="2" t="s">
        <v>1278</v>
      </c>
      <c r="G293" s="2" t="s">
        <v>1279</v>
      </c>
      <c r="H293" t="e">
        <f>VLOOKUP(A293,'Export Worksheet'!A:L,6,FALSE)</f>
        <v>#N/A</v>
      </c>
      <c r="I293" t="str">
        <f>VLOOKUP(A293,'Tableau single and bulk'!A:B,2,FALSE)</f>
        <v>NESAUTO</v>
      </c>
      <c r="K293" s="9">
        <f>VLOOKUP(A293,'Tableau single and bulk'!A:I,9,FALSE)</f>
        <v>45933.459490740737</v>
      </c>
      <c r="L293">
        <f>VLOOKUP(A293,'Tableau single and bulk'!A:L,12,FALSE)</f>
        <v>601090</v>
      </c>
      <c r="M293" t="str">
        <f>VLOOKUP(A293,'Tableau single and bulk'!A:AA,27,FALSE)</f>
        <v>World Rugby Limited</v>
      </c>
    </row>
    <row r="294" spans="1:13" hidden="1">
      <c r="A294" s="7" t="s">
        <v>2182</v>
      </c>
      <c r="B294" s="2" t="s">
        <v>1324</v>
      </c>
      <c r="C294" s="2" t="s">
        <v>1309</v>
      </c>
      <c r="D294" s="2" t="s">
        <v>2181</v>
      </c>
      <c r="E294" s="2" t="s">
        <v>2182</v>
      </c>
      <c r="F294" s="2" t="s">
        <v>1278</v>
      </c>
      <c r="G294" s="2" t="s">
        <v>1279</v>
      </c>
      <c r="H294" t="e">
        <f>VLOOKUP(A294,'Export Worksheet'!A:L,6,FALSE)</f>
        <v>#N/A</v>
      </c>
      <c r="I294" t="str">
        <f>VLOOKUP(A294,'Tableau single and bulk'!A:B,2,FALSE)</f>
        <v>NESAUTO</v>
      </c>
      <c r="K294" s="9">
        <f>VLOOKUP(A294,'Tableau single and bulk'!A:I,9,FALSE)</f>
        <v>45933.44604166667</v>
      </c>
      <c r="L294">
        <f>VLOOKUP(A294,'Tableau single and bulk'!A:L,12,FALSE)</f>
        <v>608068</v>
      </c>
      <c r="M294" t="str">
        <f>VLOOKUP(A294,'Tableau single and bulk'!A:AA,27,FALSE)</f>
        <v>Ministry Brands Limited</v>
      </c>
    </row>
    <row r="295" spans="1:13">
      <c r="A295" s="7" t="s">
        <v>154</v>
      </c>
      <c r="B295" s="2" t="s">
        <v>1277</v>
      </c>
      <c r="C295" s="2" t="s">
        <v>1309</v>
      </c>
      <c r="D295" s="2" t="s">
        <v>2298</v>
      </c>
      <c r="E295" s="2" t="s">
        <v>154</v>
      </c>
      <c r="F295" s="2" t="s">
        <v>1278</v>
      </c>
      <c r="G295" s="2" t="s">
        <v>1279</v>
      </c>
      <c r="H295">
        <f>VLOOKUP(A295,'Export Worksheet'!A:L,6,FALSE)</f>
        <v>2</v>
      </c>
      <c r="I295" t="str">
        <f>VLOOKUP(A295,'Tableau single and bulk'!A:B,2,FALSE)</f>
        <v>NEBAUTO</v>
      </c>
      <c r="K295" s="9">
        <f>VLOOKUP(A295,'Tableau single and bulk'!A:I,9,FALSE)</f>
        <v>45931.416608796295</v>
      </c>
      <c r="L295">
        <f>VLOOKUP(A295,'Tableau single and bulk'!A:L,12,FALSE)</f>
        <v>601335</v>
      </c>
      <c r="M295" t="str">
        <f>VLOOKUP(A295,'Tableau single and bulk'!A:AA,27,FALSE)</f>
        <v>Uniphar Group Retirement Benefits Scheme</v>
      </c>
    </row>
    <row r="296" spans="1:13">
      <c r="A296" s="7" t="s">
        <v>935</v>
      </c>
      <c r="B296" s="2" t="s">
        <v>2121</v>
      </c>
      <c r="C296" s="2" t="s">
        <v>1309</v>
      </c>
      <c r="D296" s="2" t="s">
        <v>2122</v>
      </c>
      <c r="E296" s="2" t="s">
        <v>935</v>
      </c>
      <c r="F296" s="2" t="s">
        <v>1278</v>
      </c>
      <c r="G296" s="2" t="s">
        <v>1279</v>
      </c>
      <c r="H296">
        <f>VLOOKUP(A296,'Export Worksheet'!A:L,6,FALSE)</f>
        <v>1</v>
      </c>
      <c r="I296" t="str">
        <f>VLOOKUP(A296,'Tableau single and bulk'!A:B,2,FALSE)</f>
        <v>NEBAUTO</v>
      </c>
      <c r="K296" s="9">
        <f>VLOOKUP(A296,'Tableau single and bulk'!A:I,9,FALSE)</f>
        <v>45936.382708333331</v>
      </c>
      <c r="L296">
        <f>VLOOKUP(A296,'Tableau single and bulk'!A:L,12,FALSE)</f>
        <v>603553</v>
      </c>
      <c r="M296" t="str">
        <f>VLOOKUP(A296,'Tableau single and bulk'!A:AA,27,FALSE)</f>
        <v>Aramex Ireland Limited</v>
      </c>
    </row>
    <row r="297" spans="1:13">
      <c r="A297" s="7" t="s">
        <v>554</v>
      </c>
      <c r="B297" s="2" t="s">
        <v>1437</v>
      </c>
      <c r="C297" s="2" t="s">
        <v>1309</v>
      </c>
      <c r="D297" s="2" t="s">
        <v>2112</v>
      </c>
      <c r="E297" s="2" t="s">
        <v>554</v>
      </c>
      <c r="F297" s="2" t="s">
        <v>1278</v>
      </c>
      <c r="G297" s="2" t="s">
        <v>1279</v>
      </c>
      <c r="H297">
        <f>VLOOKUP(A297,'Export Worksheet'!A:L,6,FALSE)</f>
        <v>1</v>
      </c>
      <c r="I297" t="str">
        <f>VLOOKUP(A297,'Tableau single and bulk'!A:B,2,FALSE)</f>
        <v>NEBAUTO</v>
      </c>
      <c r="K297" s="9">
        <f>VLOOKUP(A297,'Tableau single and bulk'!A:I,9,FALSE)</f>
        <v>45936.487002314818</v>
      </c>
      <c r="L297">
        <f>VLOOKUP(A297,'Tableau single and bulk'!A:L,12,FALSE)</f>
        <v>605071</v>
      </c>
      <c r="M297" t="str">
        <f>VLOOKUP(A297,'Tableau single and bulk'!A:AA,27,FALSE)</f>
        <v>ABM Ireland</v>
      </c>
    </row>
    <row r="298" spans="1:13">
      <c r="A298" s="7" t="s">
        <v>2120</v>
      </c>
      <c r="B298" s="2" t="s">
        <v>2118</v>
      </c>
      <c r="C298" s="2" t="s">
        <v>1309</v>
      </c>
      <c r="D298" s="2" t="s">
        <v>2119</v>
      </c>
      <c r="E298" s="2" t="s">
        <v>2120</v>
      </c>
      <c r="F298" s="2" t="s">
        <v>1278</v>
      </c>
      <c r="G298" s="2" t="s">
        <v>1279</v>
      </c>
      <c r="H298" t="e">
        <f>VLOOKUP(A298,'Export Worksheet'!A:L,6,FALSE)</f>
        <v>#N/A</v>
      </c>
      <c r="I298" t="str">
        <f>VLOOKUP(A298,'Tableau single and bulk'!A:B,2,FALSE)</f>
        <v>NEBAUTO</v>
      </c>
      <c r="K298" s="9">
        <f>VLOOKUP(A298,'Tableau single and bulk'!A:I,9,FALSE)</f>
        <v>45936.390081018515</v>
      </c>
      <c r="L298">
        <f>VLOOKUP(A298,'Tableau single and bulk'!A:L,12,FALSE)</f>
        <v>603067</v>
      </c>
      <c r="M298" t="str">
        <f>VLOOKUP(A298,'Tableau single and bulk'!A:AA,27,FALSE)</f>
        <v>Comhlucht Iascaireacht Fanad Teoranta</v>
      </c>
    </row>
    <row r="299" spans="1:13" hidden="1">
      <c r="A299" s="7" t="s">
        <v>2144</v>
      </c>
      <c r="B299" s="2" t="s">
        <v>1425</v>
      </c>
      <c r="C299" s="2" t="s">
        <v>1309</v>
      </c>
      <c r="D299" s="2" t="s">
        <v>2143</v>
      </c>
      <c r="E299" s="2" t="s">
        <v>2144</v>
      </c>
      <c r="F299" s="2" t="s">
        <v>1278</v>
      </c>
      <c r="G299" s="2" t="s">
        <v>1279</v>
      </c>
      <c r="H299" t="e">
        <f>VLOOKUP(A299,'Export Worksheet'!A:L,6,FALSE)</f>
        <v>#N/A</v>
      </c>
      <c r="I299" t="str">
        <f>VLOOKUP(A299,'Tableau single and bulk'!A:B,2,FALSE)</f>
        <v>NESAUTO</v>
      </c>
      <c r="K299" s="9">
        <f>VLOOKUP(A299,'Tableau single and bulk'!A:I,9,FALSE)</f>
        <v>45934.442141203705</v>
      </c>
      <c r="L299">
        <f>VLOOKUP(A299,'Tableau single and bulk'!A:L,12,FALSE)</f>
        <v>602944</v>
      </c>
      <c r="M299" t="str">
        <f>VLOOKUP(A299,'Tableau single and bulk'!A:AA,27,FALSE)</f>
        <v>PATRICK J TOBIN LTD</v>
      </c>
    </row>
    <row r="300" spans="1:13">
      <c r="A300" s="7" t="s">
        <v>763</v>
      </c>
      <c r="B300" s="2" t="s">
        <v>1470</v>
      </c>
      <c r="C300" s="2" t="s">
        <v>1309</v>
      </c>
      <c r="D300" s="2" t="s">
        <v>2102</v>
      </c>
      <c r="E300" s="2" t="s">
        <v>763</v>
      </c>
      <c r="F300" s="2" t="s">
        <v>1278</v>
      </c>
      <c r="G300" s="2" t="s">
        <v>1279</v>
      </c>
      <c r="H300">
        <f>VLOOKUP(A300,'Export Worksheet'!A:L,6,FALSE)</f>
        <v>3</v>
      </c>
      <c r="I300" t="str">
        <f>VLOOKUP(A300,'Tableau single and bulk'!A:B,2,FALSE)</f>
        <v>NEBAUTO</v>
      </c>
      <c r="K300" s="9">
        <f>VLOOKUP(A300,'Tableau single and bulk'!A:I,9,FALSE)</f>
        <v>45936.665682870371</v>
      </c>
      <c r="L300">
        <f>VLOOKUP(A300,'Tableau single and bulk'!A:L,12,FALSE)</f>
        <v>602447</v>
      </c>
      <c r="M300" t="str">
        <f>VLOOKUP(A300,'Tableau single and bulk'!A:AA,27,FALSE)</f>
        <v>Hermitage Clinic Limited</v>
      </c>
    </row>
    <row r="301" spans="1:13">
      <c r="A301" s="7" t="s">
        <v>824</v>
      </c>
      <c r="B301" s="2" t="s">
        <v>1277</v>
      </c>
      <c r="C301" s="2" t="s">
        <v>1309</v>
      </c>
      <c r="D301" s="2" t="s">
        <v>2149</v>
      </c>
      <c r="E301" s="2" t="s">
        <v>824</v>
      </c>
      <c r="F301" s="2" t="s">
        <v>1278</v>
      </c>
      <c r="G301" s="2" t="s">
        <v>1279</v>
      </c>
      <c r="H301">
        <f>VLOOKUP(A301,'Export Worksheet'!A:L,6,FALSE)</f>
        <v>2</v>
      </c>
      <c r="I301" t="str">
        <f>VLOOKUP(A301,'Tableau single and bulk'!A:B,2,FALSE)</f>
        <v>NEBAUTO</v>
      </c>
      <c r="K301" s="9">
        <f>VLOOKUP(A301,'Tableau single and bulk'!A:I,9,FALSE)</f>
        <v>45933.665185185186</v>
      </c>
      <c r="L301">
        <f>VLOOKUP(A301,'Tableau single and bulk'!A:L,12,FALSE)</f>
        <v>608028</v>
      </c>
      <c r="M301" t="str">
        <f>VLOOKUP(A301,'Tableau single and bulk'!A:AA,27,FALSE)</f>
        <v>Apple</v>
      </c>
    </row>
    <row r="302" spans="1:13">
      <c r="A302" s="7" t="s">
        <v>551</v>
      </c>
      <c r="B302" s="2" t="s">
        <v>1277</v>
      </c>
      <c r="C302" s="2" t="s">
        <v>1309</v>
      </c>
      <c r="D302" s="2" t="s">
        <v>2148</v>
      </c>
      <c r="E302" s="2" t="s">
        <v>551</v>
      </c>
      <c r="F302" s="2" t="s">
        <v>1278</v>
      </c>
      <c r="G302" s="2" t="s">
        <v>1279</v>
      </c>
      <c r="H302">
        <f>VLOOKUP(A302,'Export Worksheet'!A:L,6,FALSE)</f>
        <v>2</v>
      </c>
      <c r="I302" t="str">
        <f>VLOOKUP(A302,'Tableau single and bulk'!A:B,2,FALSE)</f>
        <v>NEBAUTO</v>
      </c>
      <c r="K302" s="9">
        <f>VLOOKUP(A302,'Tableau single and bulk'!A:I,9,FALSE)</f>
        <v>45933.667534722219</v>
      </c>
      <c r="L302">
        <f>VLOOKUP(A302,'Tableau single and bulk'!A:L,12,FALSE)</f>
        <v>608028</v>
      </c>
      <c r="M302" t="str">
        <f>VLOOKUP(A302,'Tableau single and bulk'!A:AA,27,FALSE)</f>
        <v>Apple</v>
      </c>
    </row>
    <row r="303" spans="1:13">
      <c r="A303" s="7" t="s">
        <v>1240</v>
      </c>
      <c r="B303" s="2" t="s">
        <v>262</v>
      </c>
      <c r="C303" s="2" t="s">
        <v>1309</v>
      </c>
      <c r="D303" s="2" t="s">
        <v>2093</v>
      </c>
      <c r="E303" s="2" t="s">
        <v>1240</v>
      </c>
      <c r="F303" s="2" t="s">
        <v>1278</v>
      </c>
      <c r="G303" s="2" t="s">
        <v>1279</v>
      </c>
      <c r="H303">
        <f>VLOOKUP(A303,'Export Worksheet'!A:L,6,FALSE)</f>
        <v>1</v>
      </c>
      <c r="I303" t="str">
        <f>VLOOKUP(A303,'Tableau single and bulk'!A:B,2,FALSE)</f>
        <v>NEBAUTO</v>
      </c>
      <c r="K303" s="9">
        <f>VLOOKUP(A303,'Tableau single and bulk'!A:I,9,FALSE)</f>
        <v>45937.370983796296</v>
      </c>
      <c r="L303">
        <f>VLOOKUP(A303,'Tableau single and bulk'!A:L,12,FALSE)</f>
        <v>603001</v>
      </c>
      <c r="M303" t="str">
        <f>VLOOKUP(A303,'Tableau single and bulk'!A:AA,27,FALSE)</f>
        <v>FDC Group</v>
      </c>
    </row>
    <row r="304" spans="1:13">
      <c r="A304" s="7" t="s">
        <v>2246</v>
      </c>
      <c r="B304" s="2" t="s">
        <v>1360</v>
      </c>
      <c r="C304" s="2" t="s">
        <v>1309</v>
      </c>
      <c r="D304" s="2" t="s">
        <v>2245</v>
      </c>
      <c r="E304" s="2" t="s">
        <v>2246</v>
      </c>
      <c r="F304" s="2" t="s">
        <v>1278</v>
      </c>
      <c r="G304" s="2" t="s">
        <v>1279</v>
      </c>
      <c r="H304" t="e">
        <f>VLOOKUP(A304,'Export Worksheet'!A:L,6,FALSE)</f>
        <v>#N/A</v>
      </c>
      <c r="I304" t="str">
        <f>VLOOKUP(A304,'Tableau single and bulk'!A:B,2,FALSE)</f>
        <v>NEBAUTO</v>
      </c>
      <c r="K304" s="9">
        <f>VLOOKUP(A304,'Tableau single and bulk'!A:I,9,FALSE)</f>
        <v>45932.401412037034</v>
      </c>
      <c r="L304">
        <f>VLOOKUP(A304,'Tableau single and bulk'!A:L,12,FALSE)</f>
        <v>603645</v>
      </c>
      <c r="M304" t="str">
        <f>VLOOKUP(A304,'Tableau single and bulk'!A:AA,27,FALSE)</f>
        <v>Aer Lingus</v>
      </c>
    </row>
    <row r="305" spans="1:13">
      <c r="A305" s="7" t="s">
        <v>2248</v>
      </c>
      <c r="B305" s="2" t="s">
        <v>1360</v>
      </c>
      <c r="C305" s="2" t="s">
        <v>1309</v>
      </c>
      <c r="D305" s="2" t="s">
        <v>2247</v>
      </c>
      <c r="E305" s="2" t="s">
        <v>2248</v>
      </c>
      <c r="F305" s="2" t="s">
        <v>1278</v>
      </c>
      <c r="G305" s="2" t="s">
        <v>1279</v>
      </c>
      <c r="H305" t="e">
        <f>VLOOKUP(A305,'Export Worksheet'!A:L,6,FALSE)</f>
        <v>#N/A</v>
      </c>
      <c r="I305" t="str">
        <f>VLOOKUP(A305,'Tableau single and bulk'!A:B,2,FALSE)</f>
        <v>NEBAUTO</v>
      </c>
      <c r="K305" s="9">
        <f>VLOOKUP(A305,'Tableau single and bulk'!A:I,9,FALSE)</f>
        <v>45932.400590277779</v>
      </c>
      <c r="L305">
        <f>VLOOKUP(A305,'Tableau single and bulk'!A:L,12,FALSE)</f>
        <v>603645</v>
      </c>
      <c r="M305" t="str">
        <f>VLOOKUP(A305,'Tableau single and bulk'!A:AA,27,FALSE)</f>
        <v>Aer Lingus</v>
      </c>
    </row>
    <row r="306" spans="1:13" hidden="1">
      <c r="A306" s="7" t="s">
        <v>2114</v>
      </c>
      <c r="B306" s="2" t="s">
        <v>1307</v>
      </c>
      <c r="C306" s="2" t="s">
        <v>1309</v>
      </c>
      <c r="D306" s="2" t="s">
        <v>2113</v>
      </c>
      <c r="E306" s="2" t="s">
        <v>2114</v>
      </c>
      <c r="F306" s="2" t="s">
        <v>1278</v>
      </c>
      <c r="G306" s="2" t="s">
        <v>1279</v>
      </c>
      <c r="H306" t="e">
        <f>VLOOKUP(A306,'Export Worksheet'!A:L,6,FALSE)</f>
        <v>#N/A</v>
      </c>
      <c r="I306" t="str">
        <f>VLOOKUP(A306,'Tableau single and bulk'!A:B,2,FALSE)</f>
        <v>NESAUTO</v>
      </c>
      <c r="K306" s="9">
        <f>VLOOKUP(A306,'Tableau single and bulk'!A:I,9,FALSE)</f>
        <v>45936.45821759259</v>
      </c>
      <c r="L306">
        <f>VLOOKUP(A306,'Tableau single and bulk'!A:L,12,FALSE)</f>
        <v>602876</v>
      </c>
      <c r="M306" t="str">
        <f>VLOOKUP(A306,'Tableau single and bulk'!A:AA,27,FALSE)</f>
        <v>Open Text Ireland Ltd</v>
      </c>
    </row>
    <row r="307" spans="1:13">
      <c r="A307" s="7" t="s">
        <v>2258</v>
      </c>
      <c r="B307" s="2" t="s">
        <v>1360</v>
      </c>
      <c r="C307" s="2" t="s">
        <v>1309</v>
      </c>
      <c r="D307" s="2" t="s">
        <v>2257</v>
      </c>
      <c r="E307" s="2" t="s">
        <v>2258</v>
      </c>
      <c r="F307" s="2" t="s">
        <v>1278</v>
      </c>
      <c r="G307" s="2" t="s">
        <v>1279</v>
      </c>
      <c r="H307" t="e">
        <f>VLOOKUP(A307,'Export Worksheet'!A:L,6,FALSE)</f>
        <v>#N/A</v>
      </c>
      <c r="I307" t="str">
        <f>VLOOKUP(A307,'Tableau single and bulk'!A:B,2,FALSE)</f>
        <v>NEBAUTO</v>
      </c>
      <c r="K307" s="9">
        <f>VLOOKUP(A307,'Tableau single and bulk'!A:I,9,FALSE)</f>
        <v>45932.395324074074</v>
      </c>
      <c r="L307">
        <f>VLOOKUP(A307,'Tableau single and bulk'!A:L,12,FALSE)</f>
        <v>603645</v>
      </c>
      <c r="M307" t="str">
        <f>VLOOKUP(A307,'Tableau single and bulk'!A:AA,27,FALSE)</f>
        <v>Aer Lingus</v>
      </c>
    </row>
    <row r="308" spans="1:13">
      <c r="A308" s="7" t="s">
        <v>2105</v>
      </c>
      <c r="B308" s="2" t="s">
        <v>1302</v>
      </c>
      <c r="C308" s="2" t="s">
        <v>1309</v>
      </c>
      <c r="D308" s="2" t="s">
        <v>2104</v>
      </c>
      <c r="E308" s="2" t="s">
        <v>2105</v>
      </c>
      <c r="F308" s="2" t="s">
        <v>1278</v>
      </c>
      <c r="G308" s="2" t="s">
        <v>1279</v>
      </c>
      <c r="H308" t="e">
        <f>VLOOKUP(A308,'Export Worksheet'!A:L,6,FALSE)</f>
        <v>#N/A</v>
      </c>
      <c r="I308" t="str">
        <f>VLOOKUP(A308,'Tableau single and bulk'!A:B,2,FALSE)</f>
        <v>NEBAUTO</v>
      </c>
      <c r="K308" s="9">
        <f>VLOOKUP(A308,'Tableau single and bulk'!A:I,9,FALSE)</f>
        <v>45936.597222222219</v>
      </c>
      <c r="L308">
        <f>VLOOKUP(A308,'Tableau single and bulk'!A:L,12,FALSE)</f>
        <v>609694</v>
      </c>
      <c r="M308" t="str">
        <f>VLOOKUP(A308,'Tableau single and bulk'!A:AA,27,FALSE)</f>
        <v>NFVSP Ability West</v>
      </c>
    </row>
    <row r="309" spans="1:13">
      <c r="A309" s="7" t="s">
        <v>2252</v>
      </c>
      <c r="B309" s="2" t="s">
        <v>1360</v>
      </c>
      <c r="C309" s="2" t="s">
        <v>1309</v>
      </c>
      <c r="D309" s="2" t="s">
        <v>2251</v>
      </c>
      <c r="E309" s="2" t="s">
        <v>2252</v>
      </c>
      <c r="F309" s="2" t="s">
        <v>1278</v>
      </c>
      <c r="G309" s="2" t="s">
        <v>1279</v>
      </c>
      <c r="H309" t="e">
        <f>VLOOKUP(A309,'Export Worksheet'!A:L,6,FALSE)</f>
        <v>#N/A</v>
      </c>
      <c r="I309" t="str">
        <f>VLOOKUP(A309,'Tableau single and bulk'!A:B,2,FALSE)</f>
        <v>NEBAUTO</v>
      </c>
      <c r="K309" s="9">
        <f>VLOOKUP(A309,'Tableau single and bulk'!A:I,9,FALSE)</f>
        <v>45932.39875</v>
      </c>
      <c r="L309">
        <f>VLOOKUP(A309,'Tableau single and bulk'!A:L,12,FALSE)</f>
        <v>603645</v>
      </c>
      <c r="M309" t="str">
        <f>VLOOKUP(A309,'Tableau single and bulk'!A:AA,27,FALSE)</f>
        <v>Aer Lingus</v>
      </c>
    </row>
    <row r="310" spans="1:13">
      <c r="A310" s="7" t="s">
        <v>313</v>
      </c>
      <c r="B310" s="2" t="s">
        <v>1277</v>
      </c>
      <c r="C310" s="2" t="s">
        <v>1309</v>
      </c>
      <c r="D310" s="2" t="s">
        <v>2274</v>
      </c>
      <c r="E310" s="2" t="s">
        <v>313</v>
      </c>
      <c r="F310" s="2" t="s">
        <v>1278</v>
      </c>
      <c r="G310" s="2" t="s">
        <v>1279</v>
      </c>
      <c r="H310">
        <f>VLOOKUP(A310,'Export Worksheet'!A:L,6,FALSE)</f>
        <v>1</v>
      </c>
      <c r="I310" t="str">
        <f>VLOOKUP(A310,'Tableau single and bulk'!A:B,2,FALSE)</f>
        <v>NEBAUTO</v>
      </c>
      <c r="K310" s="9">
        <f>VLOOKUP(A310,'Tableau single and bulk'!A:I,9,FALSE)</f>
        <v>45931.628784722219</v>
      </c>
      <c r="L310">
        <f>VLOOKUP(A310,'Tableau single and bulk'!A:L,12,FALSE)</f>
        <v>602408</v>
      </c>
      <c r="M310" t="str">
        <f>VLOOKUP(A310,'Tableau single and bulk'!A:AA,27,FALSE)</f>
        <v>Aimware Limited</v>
      </c>
    </row>
    <row r="311" spans="1:13">
      <c r="A311" s="7" t="s">
        <v>560</v>
      </c>
      <c r="B311" s="2" t="s">
        <v>1277</v>
      </c>
      <c r="C311" s="2" t="s">
        <v>1309</v>
      </c>
      <c r="D311" s="2" t="s">
        <v>2023</v>
      </c>
      <c r="E311" s="2" t="s">
        <v>560</v>
      </c>
      <c r="F311" s="2" t="s">
        <v>1278</v>
      </c>
      <c r="G311" s="2" t="s">
        <v>1279</v>
      </c>
      <c r="H311">
        <f>VLOOKUP(A311,'Export Worksheet'!A:L,6,FALSE)</f>
        <v>4</v>
      </c>
      <c r="I311" t="str">
        <f>VLOOKUP(A311,'Tableau single and bulk'!A:B,2,FALSE)</f>
        <v>NEBAUTO</v>
      </c>
      <c r="K311" s="9">
        <f>VLOOKUP(A311,'Tableau single and bulk'!A:I,9,FALSE)</f>
        <v>45938.289027777777</v>
      </c>
      <c r="L311">
        <f>VLOOKUP(A311,'Tableau single and bulk'!A:L,12,FALSE)</f>
        <v>603836</v>
      </c>
      <c r="M311" t="str">
        <f>VLOOKUP(A311,'Tableau single and bulk'!A:AA,27,FALSE)</f>
        <v>StepStone Grp Eur Alt Investments Ltd</v>
      </c>
    </row>
    <row r="312" spans="1:13">
      <c r="A312" s="7" t="s">
        <v>1133</v>
      </c>
      <c r="B312" s="2" t="s">
        <v>1277</v>
      </c>
      <c r="C312" s="2" t="s">
        <v>1309</v>
      </c>
      <c r="D312" s="2" t="s">
        <v>2092</v>
      </c>
      <c r="E312" s="2" t="s">
        <v>1133</v>
      </c>
      <c r="F312" s="2" t="s">
        <v>1278</v>
      </c>
      <c r="G312" s="2" t="s">
        <v>1279</v>
      </c>
      <c r="H312">
        <f>VLOOKUP(A312,'Export Worksheet'!A:L,6,FALSE)</f>
        <v>12</v>
      </c>
      <c r="I312" t="str">
        <f>VLOOKUP(A312,'Tableau single and bulk'!A:B,2,FALSE)</f>
        <v>NEBAUTO</v>
      </c>
      <c r="K312" s="9">
        <f>VLOOKUP(A312,'Tableau single and bulk'!A:I,9,FALSE)</f>
        <v>45937.371099537035</v>
      </c>
      <c r="L312">
        <f>VLOOKUP(A312,'Tableau single and bulk'!A:L,12,FALSE)</f>
        <v>603560</v>
      </c>
      <c r="M312" t="str">
        <f>VLOOKUP(A312,'Tableau single and bulk'!A:AA,27,FALSE)</f>
        <v>Fenergo Limited</v>
      </c>
    </row>
    <row r="313" spans="1:13">
      <c r="A313" s="7" t="s">
        <v>2254</v>
      </c>
      <c r="B313" s="2" t="s">
        <v>1360</v>
      </c>
      <c r="C313" s="2" t="s">
        <v>1309</v>
      </c>
      <c r="D313" s="2" t="s">
        <v>2253</v>
      </c>
      <c r="E313" s="2" t="s">
        <v>2254</v>
      </c>
      <c r="F313" s="2" t="s">
        <v>1278</v>
      </c>
      <c r="G313" s="2" t="s">
        <v>1279</v>
      </c>
      <c r="H313" t="e">
        <f>VLOOKUP(A313,'Export Worksheet'!A:L,6,FALSE)</f>
        <v>#N/A</v>
      </c>
      <c r="I313" t="str">
        <f>VLOOKUP(A313,'Tableau single and bulk'!A:B,2,FALSE)</f>
        <v>NEBAUTO</v>
      </c>
      <c r="K313" s="9">
        <f>VLOOKUP(A313,'Tableau single and bulk'!A:I,9,FALSE)</f>
        <v>45932.397569444445</v>
      </c>
      <c r="L313">
        <f>VLOOKUP(A313,'Tableau single and bulk'!A:L,12,FALSE)</f>
        <v>603645</v>
      </c>
      <c r="M313" t="str">
        <f>VLOOKUP(A313,'Tableau single and bulk'!A:AA,27,FALSE)</f>
        <v>Aer Lingus</v>
      </c>
    </row>
    <row r="314" spans="1:13">
      <c r="A314" s="7" t="s">
        <v>2250</v>
      </c>
      <c r="B314" s="2" t="s">
        <v>1360</v>
      </c>
      <c r="C314" s="2" t="s">
        <v>1309</v>
      </c>
      <c r="D314" s="2" t="s">
        <v>2249</v>
      </c>
      <c r="E314" s="2" t="s">
        <v>2250</v>
      </c>
      <c r="F314" s="2" t="s">
        <v>1278</v>
      </c>
      <c r="G314" s="2" t="s">
        <v>1279</v>
      </c>
      <c r="H314" t="e">
        <f>VLOOKUP(A314,'Export Worksheet'!A:L,6,FALSE)</f>
        <v>#N/A</v>
      </c>
      <c r="I314" t="str">
        <f>VLOOKUP(A314,'Tableau single and bulk'!A:B,2,FALSE)</f>
        <v>NEBAUTO</v>
      </c>
      <c r="K314" s="9">
        <f>VLOOKUP(A314,'Tableau single and bulk'!A:I,9,FALSE)</f>
        <v>45932.399594907409</v>
      </c>
      <c r="L314">
        <f>VLOOKUP(A314,'Tableau single and bulk'!A:L,12,FALSE)</f>
        <v>603645</v>
      </c>
      <c r="M314" t="str">
        <f>VLOOKUP(A314,'Tableau single and bulk'!A:AA,27,FALSE)</f>
        <v>Aer Lingus</v>
      </c>
    </row>
    <row r="315" spans="1:13">
      <c r="A315" s="7" t="s">
        <v>318</v>
      </c>
      <c r="B315" s="2" t="s">
        <v>1360</v>
      </c>
      <c r="C315" s="2" t="s">
        <v>1309</v>
      </c>
      <c r="D315" s="2" t="s">
        <v>2242</v>
      </c>
      <c r="E315" s="2" t="s">
        <v>318</v>
      </c>
      <c r="F315" s="2" t="s">
        <v>1278</v>
      </c>
      <c r="G315" s="2" t="s">
        <v>1279</v>
      </c>
      <c r="H315">
        <f>VLOOKUP(A315,'Export Worksheet'!A:L,6,FALSE)</f>
        <v>28</v>
      </c>
      <c r="I315" t="str">
        <f>VLOOKUP(A315,'Tableau single and bulk'!A:B,2,FALSE)</f>
        <v>NEBAUTO</v>
      </c>
      <c r="K315" s="9">
        <f>VLOOKUP(A315,'Tableau single and bulk'!A:I,9,FALSE)</f>
        <v>45932.449965277781</v>
      </c>
      <c r="L315">
        <f>VLOOKUP(A315,'Tableau single and bulk'!A:L,12,FALSE)</f>
        <v>603645</v>
      </c>
      <c r="M315" t="str">
        <f>VLOOKUP(A315,'Tableau single and bulk'!A:AA,27,FALSE)</f>
        <v>Aer Lingus</v>
      </c>
    </row>
    <row r="316" spans="1:13" hidden="1">
      <c r="A316" s="7" t="s">
        <v>2124</v>
      </c>
      <c r="B316" s="2" t="s">
        <v>1324</v>
      </c>
      <c r="C316" s="2" t="s">
        <v>1309</v>
      </c>
      <c r="D316" s="2" t="s">
        <v>2123</v>
      </c>
      <c r="E316" s="2" t="s">
        <v>2124</v>
      </c>
      <c r="F316" s="2" t="s">
        <v>1278</v>
      </c>
      <c r="G316" s="2" t="s">
        <v>1279</v>
      </c>
      <c r="H316" t="e">
        <f>VLOOKUP(A316,'Export Worksheet'!A:L,6,FALSE)</f>
        <v>#N/A</v>
      </c>
      <c r="I316" t="str">
        <f>VLOOKUP(A316,'Tableau single and bulk'!A:B,2,FALSE)</f>
        <v>NESAUTO</v>
      </c>
      <c r="K316" s="9">
        <f>VLOOKUP(A316,'Tableau single and bulk'!A:I,9,FALSE)</f>
        <v>45936.382303240738</v>
      </c>
      <c r="L316">
        <f>VLOOKUP(A316,'Tableau single and bulk'!A:L,12,FALSE)</f>
        <v>604367</v>
      </c>
      <c r="M316" t="str">
        <f>VLOOKUP(A316,'Tableau single and bulk'!A:AA,27,FALSE)</f>
        <v>Mediolanum International Funds Limited</v>
      </c>
    </row>
    <row r="317" spans="1:13" hidden="1">
      <c r="A317" s="7" t="s">
        <v>2153</v>
      </c>
      <c r="B317" s="2" t="s">
        <v>1324</v>
      </c>
      <c r="C317" s="2" t="s">
        <v>1309</v>
      </c>
      <c r="D317" s="2" t="s">
        <v>2152</v>
      </c>
      <c r="E317" s="2" t="s">
        <v>2153</v>
      </c>
      <c r="F317" s="2" t="s">
        <v>1278</v>
      </c>
      <c r="G317" s="2" t="s">
        <v>1279</v>
      </c>
      <c r="H317" t="e">
        <f>VLOOKUP(A317,'Export Worksheet'!A:L,6,FALSE)</f>
        <v>#N/A</v>
      </c>
      <c r="I317" t="str">
        <f>VLOOKUP(A317,'Tableau single and bulk'!A:B,2,FALSE)</f>
        <v>NESAUTO</v>
      </c>
      <c r="K317" s="9">
        <f>VLOOKUP(A317,'Tableau single and bulk'!A:I,9,FALSE)</f>
        <v>45933.655173611114</v>
      </c>
      <c r="L317">
        <f>VLOOKUP(A317,'Tableau single and bulk'!A:L,12,FALSE)</f>
        <v>601090</v>
      </c>
      <c r="M317" t="str">
        <f>VLOOKUP(A317,'Tableau single and bulk'!A:AA,27,FALSE)</f>
        <v>World Rugby Limited</v>
      </c>
    </row>
    <row r="318" spans="1:13">
      <c r="A318" s="7" t="s">
        <v>1246</v>
      </c>
      <c r="B318" s="2" t="s">
        <v>2110</v>
      </c>
      <c r="C318" s="2" t="s">
        <v>1309</v>
      </c>
      <c r="D318" s="2" t="s">
        <v>2111</v>
      </c>
      <c r="E318" s="2" t="s">
        <v>1246</v>
      </c>
      <c r="F318" s="2" t="s">
        <v>1278</v>
      </c>
      <c r="G318" s="2" t="s">
        <v>1279</v>
      </c>
      <c r="H318">
        <f>VLOOKUP(A318,'Export Worksheet'!A:L,6,FALSE)</f>
        <v>2</v>
      </c>
      <c r="I318" t="str">
        <f>VLOOKUP(A318,'Tableau single and bulk'!A:B,2,FALSE)</f>
        <v>NEBAUTO</v>
      </c>
      <c r="K318" s="9">
        <f>VLOOKUP(A318,'Tableau single and bulk'!A:I,9,FALSE)</f>
        <v>45936.487500000003</v>
      </c>
      <c r="L318">
        <f>VLOOKUP(A318,'Tableau single and bulk'!A:L,12,FALSE)</f>
        <v>603106</v>
      </c>
      <c r="M318" t="str">
        <f>VLOOKUP(A318,'Tableau single and bulk'!A:AA,27,FALSE)</f>
        <v>Saint Gobain Ireland</v>
      </c>
    </row>
    <row r="319" spans="1:13" hidden="1">
      <c r="A319" s="7" t="s">
        <v>1963</v>
      </c>
      <c r="B319" s="2" t="s">
        <v>1324</v>
      </c>
      <c r="C319" s="2" t="s">
        <v>1309</v>
      </c>
      <c r="D319" s="2" t="s">
        <v>1962</v>
      </c>
      <c r="E319" s="2" t="s">
        <v>1963</v>
      </c>
      <c r="F319" s="2" t="s">
        <v>1278</v>
      </c>
      <c r="G319" s="2" t="s">
        <v>1279</v>
      </c>
      <c r="H319" t="e">
        <f>VLOOKUP(A319,'Export Worksheet'!A:L,6,FALSE)</f>
        <v>#N/A</v>
      </c>
      <c r="I319" t="str">
        <f>VLOOKUP(A319,'Tableau single and bulk'!A:B,2,FALSE)</f>
        <v>NESAUTO</v>
      </c>
      <c r="K319" s="9">
        <f>VLOOKUP(A319,'Tableau single and bulk'!A:I,9,FALSE)</f>
        <v>45939.344953703701</v>
      </c>
      <c r="L319">
        <f>VLOOKUP(A319,'Tableau single and bulk'!A:L,12,FALSE)</f>
        <v>609880</v>
      </c>
      <c r="M319" t="str">
        <f>VLOOKUP(A319,'Tableau single and bulk'!A:AA,27,FALSE)</f>
        <v>Montage Technologies Limited</v>
      </c>
    </row>
    <row r="320" spans="1:13" hidden="1">
      <c r="A320" s="7" t="s">
        <v>2126</v>
      </c>
      <c r="B320" s="2" t="s">
        <v>1582</v>
      </c>
      <c r="C320" s="2" t="s">
        <v>1309</v>
      </c>
      <c r="D320" s="2" t="s">
        <v>2125</v>
      </c>
      <c r="E320" s="2" t="s">
        <v>2126</v>
      </c>
      <c r="F320" s="2" t="s">
        <v>1278</v>
      </c>
      <c r="G320" s="2" t="s">
        <v>1279</v>
      </c>
      <c r="H320" t="e">
        <f>VLOOKUP(A320,'Export Worksheet'!A:L,6,FALSE)</f>
        <v>#N/A</v>
      </c>
      <c r="I320" t="str">
        <f>VLOOKUP(A320,'Tableau single and bulk'!A:B,2,FALSE)</f>
        <v>NESAUTO</v>
      </c>
      <c r="K320" s="9">
        <f>VLOOKUP(A320,'Tableau single and bulk'!A:I,9,FALSE)</f>
        <v>45936.377152777779</v>
      </c>
      <c r="L320">
        <f>VLOOKUP(A320,'Tableau single and bulk'!A:L,12,FALSE)</f>
        <v>606872</v>
      </c>
      <c r="M320" t="str">
        <f>VLOOKUP(A320,'Tableau single and bulk'!A:AA,27,FALSE)</f>
        <v>Ingersoll- Rand Industrial Ire. Limited</v>
      </c>
    </row>
    <row r="321" spans="1:13">
      <c r="A321" s="7" t="s">
        <v>542</v>
      </c>
      <c r="B321" s="2" t="s">
        <v>1425</v>
      </c>
      <c r="C321" s="2" t="s">
        <v>1309</v>
      </c>
      <c r="D321" s="2" t="s">
        <v>2103</v>
      </c>
      <c r="E321" s="2" t="s">
        <v>542</v>
      </c>
      <c r="F321" s="2" t="s">
        <v>1278</v>
      </c>
      <c r="G321" s="2" t="s">
        <v>1279</v>
      </c>
      <c r="H321">
        <f>VLOOKUP(A321,'Export Worksheet'!A:L,6,FALSE)</f>
        <v>4</v>
      </c>
      <c r="I321" t="str">
        <f>VLOOKUP(A321,'Tableau single and bulk'!A:B,2,FALSE)</f>
        <v>NEBAUTO</v>
      </c>
      <c r="K321" s="9">
        <f>VLOOKUP(A321,'Tableau single and bulk'!A:I,9,FALSE)</f>
        <v>45936.645567129628</v>
      </c>
      <c r="L321">
        <f>VLOOKUP(A321,'Tableau single and bulk'!A:L,12,FALSE)</f>
        <v>602944</v>
      </c>
      <c r="M321" t="str">
        <f>VLOOKUP(A321,'Tableau single and bulk'!A:AA,27,FALSE)</f>
        <v>PATRICK J TOBIN LTD</v>
      </c>
    </row>
    <row r="322" spans="1:13">
      <c r="A322" s="7" t="s">
        <v>1000</v>
      </c>
      <c r="B322" s="2" t="s">
        <v>1486</v>
      </c>
      <c r="C322" s="2" t="s">
        <v>1309</v>
      </c>
      <c r="D322" s="2" t="s">
        <v>2158</v>
      </c>
      <c r="E322" s="2" t="s">
        <v>1000</v>
      </c>
      <c r="F322" s="2" t="s">
        <v>1278</v>
      </c>
      <c r="G322" s="2" t="s">
        <v>1279</v>
      </c>
      <c r="H322">
        <f>VLOOKUP(A322,'Export Worksheet'!A:L,6,FALSE)</f>
        <v>5</v>
      </c>
      <c r="I322" t="str">
        <f>VLOOKUP(A322,'Tableau single and bulk'!A:B,2,FALSE)</f>
        <v>NEBAUTO</v>
      </c>
      <c r="K322" s="9">
        <f>VLOOKUP(A322,'Tableau single and bulk'!A:I,9,FALSE)</f>
        <v>45933.594085648147</v>
      </c>
      <c r="L322">
        <f>VLOOKUP(A322,'Tableau single and bulk'!A:L,12,FALSE)</f>
        <v>602833</v>
      </c>
      <c r="M322" t="str">
        <f>VLOOKUP(A322,'Tableau single and bulk'!A:AA,27,FALSE)</f>
        <v>Ornua Co-Operative Limited</v>
      </c>
    </row>
    <row r="323" spans="1:13">
      <c r="A323" s="7" t="s">
        <v>1002</v>
      </c>
      <c r="B323" s="2" t="s">
        <v>1301</v>
      </c>
      <c r="C323" s="2" t="s">
        <v>1309</v>
      </c>
      <c r="D323" s="2" t="s">
        <v>2107</v>
      </c>
      <c r="E323" s="2" t="s">
        <v>1002</v>
      </c>
      <c r="F323" s="2" t="s">
        <v>1278</v>
      </c>
      <c r="G323" s="2" t="s">
        <v>1279</v>
      </c>
      <c r="H323">
        <f>VLOOKUP(A323,'Export Worksheet'!A:L,6,FALSE)</f>
        <v>72</v>
      </c>
      <c r="I323" t="str">
        <f>VLOOKUP(A323,'Tableau single and bulk'!A:B,2,FALSE)</f>
        <v>NEBAUTO</v>
      </c>
      <c r="K323" s="9">
        <f>VLOOKUP(A323,'Tableau single and bulk'!A:I,9,FALSE)</f>
        <v>45936.530844907407</v>
      </c>
      <c r="L323">
        <f>VLOOKUP(A323,'Tableau single and bulk'!A:L,12,FALSE)</f>
        <v>605268</v>
      </c>
      <c r="M323" t="str">
        <f>VLOOKUP(A323,'Tableau single and bulk'!A:AA,27,FALSE)</f>
        <v>Project Management Limited</v>
      </c>
    </row>
    <row r="324" spans="1:13">
      <c r="A324" s="7" t="s">
        <v>1242</v>
      </c>
      <c r="B324" s="2" t="s">
        <v>1593</v>
      </c>
      <c r="C324" s="2" t="s">
        <v>1309</v>
      </c>
      <c r="D324" s="2" t="s">
        <v>2147</v>
      </c>
      <c r="E324" s="2" t="s">
        <v>1242</v>
      </c>
      <c r="F324" s="2" t="s">
        <v>1278</v>
      </c>
      <c r="G324" s="2" t="s">
        <v>1279</v>
      </c>
      <c r="H324">
        <f>VLOOKUP(A324,'Export Worksheet'!A:L,6,FALSE)</f>
        <v>1</v>
      </c>
      <c r="I324" t="str">
        <f>VLOOKUP(A324,'Tableau single and bulk'!A:B,2,FALSE)</f>
        <v>NEBAUTO</v>
      </c>
      <c r="K324" s="9">
        <f>VLOOKUP(A324,'Tableau single and bulk'!A:I,9,FALSE)</f>
        <v>45933.738726851851</v>
      </c>
      <c r="L324">
        <f>VLOOKUP(A324,'Tableau single and bulk'!A:L,12,FALSE)</f>
        <v>602254</v>
      </c>
      <c r="M324" t="str">
        <f>VLOOKUP(A324,'Tableau single and bulk'!A:AA,27,FALSE)</f>
        <v>East Cork Oil Company Unlimited Company</v>
      </c>
    </row>
    <row r="325" spans="1:13">
      <c r="A325" s="7" t="s">
        <v>1234</v>
      </c>
      <c r="B325" s="2" t="s">
        <v>1277</v>
      </c>
      <c r="C325" s="2" t="s">
        <v>1309</v>
      </c>
      <c r="D325" s="2" t="s">
        <v>2261</v>
      </c>
      <c r="E325" s="2" t="s">
        <v>1234</v>
      </c>
      <c r="F325" s="2" t="s">
        <v>1278</v>
      </c>
      <c r="G325" s="2" t="s">
        <v>1279</v>
      </c>
      <c r="H325">
        <f>VLOOKUP(A325,'Export Worksheet'!A:L,6,FALSE)</f>
        <v>1</v>
      </c>
      <c r="I325" t="str">
        <f>VLOOKUP(A325,'Tableau single and bulk'!A:B,2,FALSE)</f>
        <v>NEBAUTO</v>
      </c>
      <c r="K325" s="9">
        <f>VLOOKUP(A325,'Tableau single and bulk'!A:I,9,FALSE)</f>
        <v>45931.769062500003</v>
      </c>
      <c r="L325">
        <f>VLOOKUP(A325,'Tableau single and bulk'!A:L,12,FALSE)</f>
        <v>602408</v>
      </c>
      <c r="M325" t="str">
        <f>VLOOKUP(A325,'Tableau single and bulk'!A:AA,27,FALSE)</f>
        <v>Aimware Limited</v>
      </c>
    </row>
    <row r="326" spans="1:13" hidden="1">
      <c r="A326" s="7" t="s">
        <v>2130</v>
      </c>
      <c r="B326" s="2" t="s">
        <v>1764</v>
      </c>
      <c r="C326" s="2" t="s">
        <v>1309</v>
      </c>
      <c r="D326" s="2" t="s">
        <v>2129</v>
      </c>
      <c r="E326" s="2" t="s">
        <v>2130</v>
      </c>
      <c r="F326" s="2" t="s">
        <v>1278</v>
      </c>
      <c r="G326" s="2" t="s">
        <v>1279</v>
      </c>
      <c r="H326" t="e">
        <f>VLOOKUP(A326,'Export Worksheet'!A:L,6,FALSE)</f>
        <v>#N/A</v>
      </c>
      <c r="I326" t="str">
        <f>VLOOKUP(A326,'Tableau single and bulk'!A:B,2,FALSE)</f>
        <v>NESAUTO</v>
      </c>
      <c r="K326" s="9">
        <f>VLOOKUP(A326,'Tableau single and bulk'!A:I,9,FALSE)</f>
        <v>45935.578287037039</v>
      </c>
      <c r="L326">
        <f>VLOOKUP(A326,'Tableau single and bulk'!A:L,12,FALSE)</f>
        <v>605011</v>
      </c>
      <c r="M326" t="str">
        <f>VLOOKUP(A326,'Tableau single and bulk'!A:AA,27,FALSE)</f>
        <v>Liberty Information Technology Ltd</v>
      </c>
    </row>
    <row r="327" spans="1:13" hidden="1">
      <c r="A327" s="7" t="s">
        <v>2142</v>
      </c>
      <c r="B327" s="2" t="s">
        <v>1425</v>
      </c>
      <c r="C327" s="2" t="s">
        <v>1309</v>
      </c>
      <c r="D327" s="2" t="s">
        <v>2141</v>
      </c>
      <c r="E327" s="2" t="s">
        <v>2142</v>
      </c>
      <c r="F327" s="2" t="s">
        <v>1278</v>
      </c>
      <c r="G327" s="2" t="s">
        <v>1279</v>
      </c>
      <c r="H327" t="e">
        <f>VLOOKUP(A327,'Export Worksheet'!A:L,6,FALSE)</f>
        <v>#N/A</v>
      </c>
      <c r="I327" t="str">
        <f>VLOOKUP(A327,'Tableau single and bulk'!A:B,2,FALSE)</f>
        <v>NESAUTO</v>
      </c>
      <c r="K327" s="9">
        <f>VLOOKUP(A327,'Tableau single and bulk'!A:I,9,FALSE)</f>
        <v>45934.448865740742</v>
      </c>
      <c r="L327">
        <f>VLOOKUP(A327,'Tableau single and bulk'!A:L,12,FALSE)</f>
        <v>602944</v>
      </c>
      <c r="M327" t="str">
        <f>VLOOKUP(A327,'Tableau single and bulk'!A:AA,27,FALSE)</f>
        <v>PATRICK J TOBIN LTD</v>
      </c>
    </row>
    <row r="328" spans="1:13" hidden="1">
      <c r="A328" s="7" t="s">
        <v>2088</v>
      </c>
      <c r="B328" s="2" t="s">
        <v>1764</v>
      </c>
      <c r="C328" s="2" t="s">
        <v>1309</v>
      </c>
      <c r="D328" s="2" t="s">
        <v>2087</v>
      </c>
      <c r="E328" s="2" t="s">
        <v>2088</v>
      </c>
      <c r="F328" s="2" t="s">
        <v>1278</v>
      </c>
      <c r="G328" s="2" t="s">
        <v>1279</v>
      </c>
      <c r="H328" t="e">
        <f>VLOOKUP(A328,'Export Worksheet'!A:L,6,FALSE)</f>
        <v>#N/A</v>
      </c>
      <c r="I328" t="str">
        <f>VLOOKUP(A328,'Tableau single and bulk'!A:B,2,FALSE)</f>
        <v>NESAUTO</v>
      </c>
      <c r="K328" s="9">
        <f>VLOOKUP(A328,'Tableau single and bulk'!A:I,9,FALSE)</f>
        <v>45937.395949074074</v>
      </c>
      <c r="L328">
        <f>VLOOKUP(A328,'Tableau single and bulk'!A:L,12,FALSE)</f>
        <v>605011</v>
      </c>
      <c r="M328" t="str">
        <f>VLOOKUP(A328,'Tableau single and bulk'!A:AA,27,FALSE)</f>
        <v>Liberty Information Technology Ltd</v>
      </c>
    </row>
    <row r="329" spans="1:13">
      <c r="A329" s="7" t="s">
        <v>2081</v>
      </c>
      <c r="B329" s="2" t="s">
        <v>2079</v>
      </c>
      <c r="C329" s="2" t="s">
        <v>1309</v>
      </c>
      <c r="D329" s="2" t="s">
        <v>2080</v>
      </c>
      <c r="E329" s="2" t="s">
        <v>2081</v>
      </c>
      <c r="F329" s="2" t="s">
        <v>1278</v>
      </c>
      <c r="G329" s="2" t="s">
        <v>1279</v>
      </c>
      <c r="H329" t="e">
        <f>VLOOKUP(A329,'Export Worksheet'!A:L,6,FALSE)</f>
        <v>#N/A</v>
      </c>
      <c r="I329" t="str">
        <f>VLOOKUP(A329,'Tableau single and bulk'!A:B,2,FALSE)</f>
        <v>NEBAUTO</v>
      </c>
      <c r="K329" s="9">
        <f>VLOOKUP(A329,'Tableau single and bulk'!A:I,9,FALSE)</f>
        <v>45937.413425925923</v>
      </c>
      <c r="L329">
        <f>VLOOKUP(A329,'Tableau single and bulk'!A:L,12,FALSE)</f>
        <v>609830</v>
      </c>
      <c r="M329" t="str">
        <f>VLOOKUP(A329,'Tableau single and bulk'!A:AA,27,FALSE)</f>
        <v>Kerrigan Sheanon Newman ULC</v>
      </c>
    </row>
    <row r="330" spans="1:13">
      <c r="A330" s="7" t="s">
        <v>564</v>
      </c>
      <c r="B330" s="2" t="s">
        <v>1624</v>
      </c>
      <c r="C330" s="2" t="s">
        <v>1309</v>
      </c>
      <c r="D330" s="2" t="s">
        <v>2042</v>
      </c>
      <c r="E330" s="2" t="s">
        <v>564</v>
      </c>
      <c r="F330" s="2" t="s">
        <v>1278</v>
      </c>
      <c r="G330" s="2" t="s">
        <v>1279</v>
      </c>
      <c r="H330">
        <f>VLOOKUP(A330,'Export Worksheet'!A:L,6,FALSE)</f>
        <v>3</v>
      </c>
      <c r="I330" t="str">
        <f>VLOOKUP(A330,'Tableau single and bulk'!A:B,2,FALSE)</f>
        <v>NEBAUTO</v>
      </c>
      <c r="K330" s="9">
        <f>VLOOKUP(A330,'Tableau single and bulk'!A:I,9,FALSE)</f>
        <v>45937.658229166664</v>
      </c>
      <c r="L330">
        <f>VLOOKUP(A330,'Tableau single and bulk'!A:L,12,FALSE)</f>
        <v>609706</v>
      </c>
      <c r="M330" t="str">
        <f>VLOOKUP(A330,'Tableau single and bulk'!A:AA,27,FALSE)</f>
        <v>NFVSP Western Care Association</v>
      </c>
    </row>
    <row r="331" spans="1:13" hidden="1">
      <c r="A331" s="7" t="s">
        <v>2091</v>
      </c>
      <c r="B331" s="2" t="s">
        <v>2089</v>
      </c>
      <c r="C331" s="2" t="s">
        <v>1309</v>
      </c>
      <c r="D331" s="2" t="s">
        <v>2090</v>
      </c>
      <c r="E331" s="2" t="s">
        <v>2091</v>
      </c>
      <c r="F331" s="2" t="s">
        <v>1278</v>
      </c>
      <c r="G331" s="2" t="s">
        <v>1279</v>
      </c>
      <c r="H331" t="e">
        <f>VLOOKUP(A331,'Export Worksheet'!A:L,6,FALSE)</f>
        <v>#N/A</v>
      </c>
      <c r="I331" t="str">
        <f>VLOOKUP(A331,'Tableau single and bulk'!A:B,2,FALSE)</f>
        <v>NESAUTO</v>
      </c>
      <c r="K331" s="9">
        <f>VLOOKUP(A331,'Tableau single and bulk'!A:I,9,FALSE)</f>
        <v>45937.393969907411</v>
      </c>
      <c r="L331">
        <f>VLOOKUP(A331,'Tableau single and bulk'!A:L,12,FALSE)</f>
        <v>603085</v>
      </c>
      <c r="M331" t="str">
        <f>VLOOKUP(A331,'Tableau single and bulk'!A:AA,27,FALSE)</f>
        <v>Dunnhumby Ireland Limited</v>
      </c>
    </row>
    <row r="332" spans="1:13">
      <c r="A332" s="7" t="s">
        <v>562</v>
      </c>
      <c r="B332" s="2" t="s">
        <v>1422</v>
      </c>
      <c r="C332" s="2" t="s">
        <v>1309</v>
      </c>
      <c r="D332" s="2" t="s">
        <v>2082</v>
      </c>
      <c r="E332" s="2" t="s">
        <v>562</v>
      </c>
      <c r="F332" s="2" t="s">
        <v>1278</v>
      </c>
      <c r="G332" s="2" t="s">
        <v>1279</v>
      </c>
      <c r="H332">
        <f>VLOOKUP(A332,'Export Worksheet'!A:L,6,FALSE)</f>
        <v>1</v>
      </c>
      <c r="I332" t="str">
        <f>VLOOKUP(A332,'Tableau single and bulk'!A:B,2,FALSE)</f>
        <v>NEBAUTO</v>
      </c>
      <c r="K332" s="9">
        <f>VLOOKUP(A332,'Tableau single and bulk'!A:I,9,FALSE)</f>
        <v>45937.408495370371</v>
      </c>
      <c r="L332">
        <f>VLOOKUP(A332,'Tableau single and bulk'!A:L,12,FALSE)</f>
        <v>608029</v>
      </c>
      <c r="M332" t="str">
        <f>VLOOKUP(A332,'Tableau single and bulk'!A:AA,27,FALSE)</f>
        <v>Bon Secours Health System Limited</v>
      </c>
    </row>
    <row r="333" spans="1:13">
      <c r="A333" s="7" t="s">
        <v>165</v>
      </c>
      <c r="B333" s="2" t="s">
        <v>2057</v>
      </c>
      <c r="C333" s="2" t="s">
        <v>1309</v>
      </c>
      <c r="D333" s="2" t="s">
        <v>2058</v>
      </c>
      <c r="E333" s="2" t="s">
        <v>165</v>
      </c>
      <c r="F333" s="2" t="s">
        <v>1278</v>
      </c>
      <c r="G333" s="2" t="s">
        <v>1279</v>
      </c>
      <c r="H333">
        <f>VLOOKUP(A333,'Export Worksheet'!A:L,6,FALSE)</f>
        <v>8</v>
      </c>
      <c r="I333" t="str">
        <f>VLOOKUP(A333,'Tableau single and bulk'!A:B,2,FALSE)</f>
        <v>NEBAUTO</v>
      </c>
      <c r="K333" s="9">
        <f>VLOOKUP(A333,'Tableau single and bulk'!A:I,9,FALSE)</f>
        <v>45937.515370370369</v>
      </c>
      <c r="L333">
        <f>VLOOKUP(A333,'Tableau single and bulk'!A:L,12,FALSE)</f>
        <v>609710</v>
      </c>
      <c r="M333" t="str">
        <f>VLOOKUP(A333,'Tableau single and bulk'!A:AA,27,FALSE)</f>
        <v>NFVSP St Joseph's Foundation</v>
      </c>
    </row>
    <row r="334" spans="1:13">
      <c r="A334" s="7" t="s">
        <v>1254</v>
      </c>
      <c r="B334" s="2" t="s">
        <v>2057</v>
      </c>
      <c r="C334" s="2" t="s">
        <v>1309</v>
      </c>
      <c r="D334" s="2" t="s">
        <v>2061</v>
      </c>
      <c r="E334" s="2" t="s">
        <v>1254</v>
      </c>
      <c r="F334" s="2" t="s">
        <v>1278</v>
      </c>
      <c r="G334" s="2" t="s">
        <v>1279</v>
      </c>
      <c r="H334">
        <f>VLOOKUP(A334,'Export Worksheet'!A:L,6,FALSE)</f>
        <v>9</v>
      </c>
      <c r="I334" t="str">
        <f>VLOOKUP(A334,'Tableau single and bulk'!A:B,2,FALSE)</f>
        <v>NEBAUTO</v>
      </c>
      <c r="K334" s="9">
        <f>VLOOKUP(A334,'Tableau single and bulk'!A:I,9,FALSE)</f>
        <v>45937.510092592594</v>
      </c>
      <c r="L334">
        <f>VLOOKUP(A334,'Tableau single and bulk'!A:L,12,FALSE)</f>
        <v>609710</v>
      </c>
      <c r="M334" t="str">
        <f>VLOOKUP(A334,'Tableau single and bulk'!A:AA,27,FALSE)</f>
        <v>NFVSP St Joseph's Foundation</v>
      </c>
    </row>
    <row r="335" spans="1:13">
      <c r="A335" s="7" t="s">
        <v>874</v>
      </c>
      <c r="B335" s="2" t="s">
        <v>1277</v>
      </c>
      <c r="C335" s="2" t="s">
        <v>1309</v>
      </c>
      <c r="D335" s="2" t="s">
        <v>1957</v>
      </c>
      <c r="E335" s="2" t="s">
        <v>874</v>
      </c>
      <c r="F335" s="2" t="s">
        <v>1278</v>
      </c>
      <c r="G335" s="2" t="s">
        <v>1279</v>
      </c>
      <c r="H335">
        <f>VLOOKUP(A335,'Export Worksheet'!A:L,6,FALSE)</f>
        <v>1</v>
      </c>
      <c r="I335" t="str">
        <f>VLOOKUP(A335,'Tableau single and bulk'!A:B,2,FALSE)</f>
        <v>NEBAUTO</v>
      </c>
      <c r="K335" s="9">
        <f>VLOOKUP(A335,'Tableau single and bulk'!A:I,9,FALSE)</f>
        <v>45939.411678240744</v>
      </c>
      <c r="L335">
        <f>VLOOKUP(A335,'Tableau single and bulk'!A:L,12,FALSE)</f>
        <v>609912</v>
      </c>
      <c r="M335" t="str">
        <f>VLOOKUP(A335,'Tableau single and bulk'!A:AA,27,FALSE)</f>
        <v>Kayfoam Woolfson Unlimited Company</v>
      </c>
    </row>
    <row r="336" spans="1:13" hidden="1">
      <c r="A336" s="7" t="s">
        <v>2136</v>
      </c>
      <c r="B336" s="2" t="s">
        <v>1425</v>
      </c>
      <c r="C336" s="2" t="s">
        <v>1309</v>
      </c>
      <c r="D336" s="2" t="s">
        <v>2135</v>
      </c>
      <c r="E336" s="2" t="s">
        <v>2136</v>
      </c>
      <c r="F336" s="2" t="s">
        <v>1278</v>
      </c>
      <c r="G336" s="2" t="s">
        <v>1279</v>
      </c>
      <c r="H336" t="e">
        <f>VLOOKUP(A336,'Export Worksheet'!A:L,6,FALSE)</f>
        <v>#N/A</v>
      </c>
      <c r="I336" t="str">
        <f>VLOOKUP(A336,'Tableau single and bulk'!A:B,2,FALSE)</f>
        <v>NESAUTO</v>
      </c>
      <c r="K336" s="9">
        <f>VLOOKUP(A336,'Tableau single and bulk'!A:I,9,FALSE)</f>
        <v>45934.470949074072</v>
      </c>
      <c r="L336">
        <f>VLOOKUP(A336,'Tableau single and bulk'!A:L,12,FALSE)</f>
        <v>602944</v>
      </c>
      <c r="M336" t="str">
        <f>VLOOKUP(A336,'Tableau single and bulk'!A:AA,27,FALSE)</f>
        <v>PATRICK J TOBIN LTD</v>
      </c>
    </row>
    <row r="337" spans="1:13">
      <c r="A337" s="7" t="s">
        <v>1247</v>
      </c>
      <c r="B337" s="2" t="s">
        <v>2074</v>
      </c>
      <c r="C337" s="2" t="s">
        <v>1309</v>
      </c>
      <c r="D337" s="2" t="s">
        <v>2075</v>
      </c>
      <c r="E337" s="2" t="s">
        <v>1247</v>
      </c>
      <c r="F337" s="2" t="s">
        <v>1278</v>
      </c>
      <c r="G337" s="2" t="s">
        <v>1279</v>
      </c>
      <c r="H337">
        <f>VLOOKUP(A337,'Export Worksheet'!A:L,6,FALSE)</f>
        <v>3</v>
      </c>
      <c r="I337" t="str">
        <f>VLOOKUP(A337,'Tableau single and bulk'!A:B,2,FALSE)</f>
        <v>NEBAUTO</v>
      </c>
      <c r="K337" s="9">
        <f>VLOOKUP(A337,'Tableau single and bulk'!A:I,9,FALSE)</f>
        <v>45937.437476851854</v>
      </c>
      <c r="L337">
        <f>VLOOKUP(A337,'Tableau single and bulk'!A:L,12,FALSE)</f>
        <v>602343</v>
      </c>
      <c r="M337" t="str">
        <f>VLOOKUP(A337,'Tableau single and bulk'!A:AA,27,FALSE)</f>
        <v>Brink's Cash Services (Ir) Ltd</v>
      </c>
    </row>
    <row r="338" spans="1:13" hidden="1">
      <c r="A338" s="7" t="s">
        <v>2077</v>
      </c>
      <c r="B338" s="2" t="s">
        <v>1776</v>
      </c>
      <c r="C338" s="2" t="s">
        <v>1309</v>
      </c>
      <c r="D338" s="2" t="s">
        <v>2076</v>
      </c>
      <c r="E338" s="2" t="s">
        <v>2077</v>
      </c>
      <c r="F338" s="2" t="s">
        <v>1278</v>
      </c>
      <c r="G338" s="2" t="s">
        <v>1279</v>
      </c>
      <c r="H338" t="e">
        <f>VLOOKUP(A338,'Export Worksheet'!A:L,6,FALSE)</f>
        <v>#N/A</v>
      </c>
      <c r="I338" t="str">
        <f>VLOOKUP(A338,'Tableau single and bulk'!A:B,2,FALSE)</f>
        <v>NESAUTO</v>
      </c>
      <c r="K338" s="9">
        <f>VLOOKUP(A338,'Tableau single and bulk'!A:I,9,FALSE)</f>
        <v>45937.428622685184</v>
      </c>
      <c r="L338">
        <f>VLOOKUP(A338,'Tableau single and bulk'!A:L,12,FALSE)</f>
        <v>602880</v>
      </c>
      <c r="M338" t="str">
        <f>VLOOKUP(A338,'Tableau single and bulk'!A:AA,27,FALSE)</f>
        <v>Chemifloc Limited</v>
      </c>
    </row>
    <row r="339" spans="1:13">
      <c r="A339" s="7" t="s">
        <v>334</v>
      </c>
      <c r="B339" s="2" t="s">
        <v>1277</v>
      </c>
      <c r="C339" s="2" t="s">
        <v>1309</v>
      </c>
      <c r="D339" s="2" t="s">
        <v>1946</v>
      </c>
      <c r="E339" s="2" t="s">
        <v>334</v>
      </c>
      <c r="F339" s="2" t="s">
        <v>1278</v>
      </c>
      <c r="G339" s="2" t="s">
        <v>1279</v>
      </c>
      <c r="H339">
        <f>VLOOKUP(A339,'Export Worksheet'!A:L,6,FALSE)</f>
        <v>2</v>
      </c>
      <c r="I339" t="str">
        <f>VLOOKUP(A339,'Tableau single and bulk'!A:B,2,FALSE)</f>
        <v>NEBAUTO</v>
      </c>
      <c r="K339" s="9">
        <f>VLOOKUP(A339,'Tableau single and bulk'!A:I,9,FALSE)</f>
        <v>45939.492222222223</v>
      </c>
      <c r="L339">
        <f>VLOOKUP(A339,'Tableau single and bulk'!A:L,12,FALSE)</f>
        <v>603642</v>
      </c>
      <c r="M339" t="str">
        <f>VLOOKUP(A339,'Tableau single and bulk'!A:AA,27,FALSE)</f>
        <v>Inizio Healthcare Limited</v>
      </c>
    </row>
    <row r="340" spans="1:13">
      <c r="A340" s="7" t="s">
        <v>2193</v>
      </c>
      <c r="B340" s="2" t="s">
        <v>1277</v>
      </c>
      <c r="C340" s="2" t="s">
        <v>1309</v>
      </c>
      <c r="D340" s="2" t="s">
        <v>2192</v>
      </c>
      <c r="E340" s="2" t="s">
        <v>2193</v>
      </c>
      <c r="F340" s="2" t="s">
        <v>1278</v>
      </c>
      <c r="G340" s="2" t="s">
        <v>1279</v>
      </c>
      <c r="H340" t="e">
        <f>VLOOKUP(A340,'Export Worksheet'!A:L,6,FALSE)</f>
        <v>#N/A</v>
      </c>
      <c r="I340" t="str">
        <f>VLOOKUP(A340,'Tableau single and bulk'!A:B,2,FALSE)</f>
        <v>NEBAUTO</v>
      </c>
      <c r="K340" s="9">
        <f>VLOOKUP(A340,'Tableau single and bulk'!A:I,9,FALSE)</f>
        <v>45932.676944444444</v>
      </c>
      <c r="L340">
        <f>VLOOKUP(A340,'Tableau single and bulk'!A:L,12,FALSE)</f>
        <v>602521</v>
      </c>
      <c r="M340" t="str">
        <f>VLOOKUP(A340,'Tableau single and bulk'!A:AA,27,FALSE)</f>
        <v>Zarion Limited</v>
      </c>
    </row>
    <row r="341" spans="1:13">
      <c r="A341" s="7" t="s">
        <v>332</v>
      </c>
      <c r="B341" s="2" t="s">
        <v>1277</v>
      </c>
      <c r="C341" s="2" t="s">
        <v>1309</v>
      </c>
      <c r="D341" s="2" t="s">
        <v>2201</v>
      </c>
      <c r="E341" s="2" t="s">
        <v>332</v>
      </c>
      <c r="F341" s="2" t="s">
        <v>1278</v>
      </c>
      <c r="G341" s="2" t="s">
        <v>1279</v>
      </c>
      <c r="H341">
        <f>VLOOKUP(A341,'Export Worksheet'!A:L,6,FALSE)</f>
        <v>21</v>
      </c>
      <c r="I341" t="str">
        <f>VLOOKUP(A341,'Tableau single and bulk'!A:B,2,FALSE)</f>
        <v>NEBAUTO</v>
      </c>
      <c r="K341" s="9">
        <f>VLOOKUP(A341,'Tableau single and bulk'!A:I,9,FALSE)</f>
        <v>45932.646840277775</v>
      </c>
      <c r="L341">
        <f>VLOOKUP(A341,'Tableau single and bulk'!A:L,12,FALSE)</f>
        <v>602276</v>
      </c>
      <c r="M341" t="str">
        <f>VLOOKUP(A341,'Tableau single and bulk'!A:AA,27,FALSE)</f>
        <v>Waterford Credit Union Ltd</v>
      </c>
    </row>
    <row r="342" spans="1:13" hidden="1">
      <c r="A342" s="7" t="s">
        <v>2084</v>
      </c>
      <c r="B342" s="2" t="s">
        <v>1307</v>
      </c>
      <c r="C342" s="2" t="s">
        <v>1309</v>
      </c>
      <c r="D342" s="2" t="s">
        <v>2083</v>
      </c>
      <c r="E342" s="2" t="s">
        <v>2084</v>
      </c>
      <c r="F342" s="2" t="s">
        <v>1278</v>
      </c>
      <c r="G342" s="2" t="s">
        <v>1279</v>
      </c>
      <c r="H342" t="e">
        <f>VLOOKUP(A342,'Export Worksheet'!A:L,6,FALSE)</f>
        <v>#N/A</v>
      </c>
      <c r="I342" t="str">
        <f>VLOOKUP(A342,'Tableau single and bulk'!A:B,2,FALSE)</f>
        <v>NESAUTO</v>
      </c>
      <c r="K342" s="9">
        <f>VLOOKUP(A342,'Tableau single and bulk'!A:I,9,FALSE)</f>
        <v>45937.400231481479</v>
      </c>
      <c r="L342">
        <f>VLOOKUP(A342,'Tableau single and bulk'!A:L,12,FALSE)</f>
        <v>602876</v>
      </c>
      <c r="M342" t="str">
        <f>VLOOKUP(A342,'Tableau single and bulk'!A:AA,27,FALSE)</f>
        <v>Open Text Ireland Ltd</v>
      </c>
    </row>
    <row r="343" spans="1:13">
      <c r="A343" s="7" t="s">
        <v>2195</v>
      </c>
      <c r="B343" s="2" t="s">
        <v>1368</v>
      </c>
      <c r="C343" s="2" t="s">
        <v>1309</v>
      </c>
      <c r="D343" s="2" t="s">
        <v>2194</v>
      </c>
      <c r="E343" s="2" t="s">
        <v>2195</v>
      </c>
      <c r="F343" s="2" t="s">
        <v>1278</v>
      </c>
      <c r="G343" s="2" t="s">
        <v>1279</v>
      </c>
      <c r="H343" t="e">
        <f>VLOOKUP(A343,'Export Worksheet'!A:L,6,FALSE)</f>
        <v>#N/A</v>
      </c>
      <c r="I343" t="str">
        <f>VLOOKUP(A343,'Tableau single and bulk'!A:B,2,FALSE)</f>
        <v>NEBAUTO</v>
      </c>
      <c r="K343" s="9">
        <f>VLOOKUP(A343,'Tableau single and bulk'!A:I,9,FALSE)</f>
        <v>45932.676817129628</v>
      </c>
      <c r="L343">
        <f>VLOOKUP(A343,'Tableau single and bulk'!A:L,12,FALSE)</f>
        <v>606860</v>
      </c>
      <c r="M343" t="str">
        <f>VLOOKUP(A343,'Tableau single and bulk'!A:AA,27,FALSE)</f>
        <v>ADP HR &amp; Payroll Services Ireland Ltd</v>
      </c>
    </row>
    <row r="344" spans="1:13">
      <c r="A344" s="7" t="s">
        <v>2197</v>
      </c>
      <c r="B344" s="2" t="s">
        <v>1324</v>
      </c>
      <c r="C344" s="2" t="s">
        <v>1309</v>
      </c>
      <c r="D344" s="2" t="s">
        <v>2196</v>
      </c>
      <c r="E344" s="2" t="s">
        <v>2197</v>
      </c>
      <c r="F344" s="2" t="s">
        <v>1278</v>
      </c>
      <c r="G344" s="2" t="s">
        <v>1279</v>
      </c>
      <c r="H344" t="e">
        <f>VLOOKUP(A344,'Export Worksheet'!A:L,6,FALSE)</f>
        <v>#N/A</v>
      </c>
      <c r="I344" t="str">
        <f>VLOOKUP(A344,'Tableau single and bulk'!A:B,2,FALSE)</f>
        <v>NEBAUTO</v>
      </c>
      <c r="K344" s="9">
        <f>VLOOKUP(A344,'Tableau single and bulk'!A:I,9,FALSE)</f>
        <v>45932.676701388889</v>
      </c>
      <c r="L344">
        <f>VLOOKUP(A344,'Tableau single and bulk'!A:L,12,FALSE)</f>
        <v>602460</v>
      </c>
      <c r="M344" t="str">
        <f>VLOOKUP(A344,'Tableau single and bulk'!A:AA,27,FALSE)</f>
        <v>Valve Services Ltd</v>
      </c>
    </row>
    <row r="345" spans="1:13">
      <c r="A345" s="7" t="s">
        <v>1252</v>
      </c>
      <c r="B345" s="2" t="s">
        <v>1314</v>
      </c>
      <c r="C345" s="2" t="s">
        <v>1309</v>
      </c>
      <c r="D345" s="2" t="s">
        <v>2062</v>
      </c>
      <c r="E345" s="2" t="s">
        <v>1252</v>
      </c>
      <c r="F345" s="2" t="s">
        <v>1278</v>
      </c>
      <c r="G345" s="2" t="s">
        <v>1279</v>
      </c>
      <c r="H345">
        <f>VLOOKUP(A345,'Export Worksheet'!A:L,6,FALSE)</f>
        <v>1</v>
      </c>
      <c r="I345" t="str">
        <f>VLOOKUP(A345,'Tableau single and bulk'!A:B,2,FALSE)</f>
        <v>NEBAUTO</v>
      </c>
      <c r="K345" s="9">
        <f>VLOOKUP(A345,'Tableau single and bulk'!A:I,9,FALSE)</f>
        <v>45937.506168981483</v>
      </c>
      <c r="L345">
        <f>VLOOKUP(A345,'Tableau single and bulk'!A:L,12,FALSE)</f>
        <v>603568</v>
      </c>
      <c r="M345" t="str">
        <f>VLOOKUP(A345,'Tableau single and bulk'!A:AA,27,FALSE)</f>
        <v>Cuna Mutual Group Services (Ireland) Ltd</v>
      </c>
    </row>
    <row r="346" spans="1:13">
      <c r="A346" s="7" t="s">
        <v>765</v>
      </c>
      <c r="B346" s="2" t="s">
        <v>1368</v>
      </c>
      <c r="C346" s="2" t="s">
        <v>1309</v>
      </c>
      <c r="D346" s="2" t="s">
        <v>2054</v>
      </c>
      <c r="E346" s="2" t="s">
        <v>765</v>
      </c>
      <c r="F346" s="2" t="s">
        <v>1278</v>
      </c>
      <c r="G346" s="2" t="s">
        <v>1279</v>
      </c>
      <c r="H346">
        <f>VLOOKUP(A346,'Export Worksheet'!A:L,6,FALSE)</f>
        <v>1</v>
      </c>
      <c r="I346" t="str">
        <f>VLOOKUP(A346,'Tableau single and bulk'!A:B,2,FALSE)</f>
        <v>NEBAUTO</v>
      </c>
      <c r="K346" s="9">
        <f>VLOOKUP(A346,'Tableau single and bulk'!A:I,9,FALSE)</f>
        <v>45937.53670138889</v>
      </c>
      <c r="L346">
        <f>VLOOKUP(A346,'Tableau single and bulk'!A:L,12,FALSE)</f>
        <v>606860</v>
      </c>
      <c r="M346" t="str">
        <f>VLOOKUP(A346,'Tableau single and bulk'!A:AA,27,FALSE)</f>
        <v>ADP HR &amp; Payroll Services Ireland Ltd</v>
      </c>
    </row>
    <row r="347" spans="1:13" hidden="1">
      <c r="A347" s="7" t="s">
        <v>2140</v>
      </c>
      <c r="B347" s="2" t="s">
        <v>1425</v>
      </c>
      <c r="C347" s="2" t="s">
        <v>1309</v>
      </c>
      <c r="D347" s="2" t="s">
        <v>2139</v>
      </c>
      <c r="E347" s="2" t="s">
        <v>2140</v>
      </c>
      <c r="F347" s="2" t="s">
        <v>1278</v>
      </c>
      <c r="G347" s="2" t="s">
        <v>1279</v>
      </c>
      <c r="H347" t="e">
        <f>VLOOKUP(A347,'Export Worksheet'!A:L,6,FALSE)</f>
        <v>#N/A</v>
      </c>
      <c r="I347" t="str">
        <f>VLOOKUP(A347,'Tableau single and bulk'!A:B,2,FALSE)</f>
        <v>NESAUTO</v>
      </c>
      <c r="K347" s="9">
        <f>VLOOKUP(A347,'Tableau single and bulk'!A:I,9,FALSE)</f>
        <v>45934.467245370368</v>
      </c>
      <c r="L347">
        <f>VLOOKUP(A347,'Tableau single and bulk'!A:L,12,FALSE)</f>
        <v>602944</v>
      </c>
      <c r="M347" t="str">
        <f>VLOOKUP(A347,'Tableau single and bulk'!A:AA,27,FALSE)</f>
        <v>PATRICK J TOBIN LTD</v>
      </c>
    </row>
    <row r="348" spans="1:13" hidden="1">
      <c r="A348" s="7" t="s">
        <v>2134</v>
      </c>
      <c r="B348" s="2" t="s">
        <v>1425</v>
      </c>
      <c r="C348" s="2" t="s">
        <v>1309</v>
      </c>
      <c r="D348" s="2" t="s">
        <v>2133</v>
      </c>
      <c r="E348" s="2" t="s">
        <v>2134</v>
      </c>
      <c r="F348" s="2" t="s">
        <v>1278</v>
      </c>
      <c r="G348" s="2" t="s">
        <v>1279</v>
      </c>
      <c r="H348" t="e">
        <f>VLOOKUP(A348,'Export Worksheet'!A:L,6,FALSE)</f>
        <v>#N/A</v>
      </c>
      <c r="I348" t="str">
        <f>VLOOKUP(A348,'Tableau single and bulk'!A:B,2,FALSE)</f>
        <v>NESAUTO</v>
      </c>
      <c r="K348" s="9">
        <f>VLOOKUP(A348,'Tableau single and bulk'!A:I,9,FALSE)</f>
        <v>45934.472708333335</v>
      </c>
      <c r="L348">
        <f>VLOOKUP(A348,'Tableau single and bulk'!A:L,12,FALSE)</f>
        <v>602944</v>
      </c>
      <c r="M348" t="str">
        <f>VLOOKUP(A348,'Tableau single and bulk'!A:AA,27,FALSE)</f>
        <v>PATRICK J TOBIN LTD</v>
      </c>
    </row>
    <row r="349" spans="1:13" hidden="1">
      <c r="A349" s="7" t="s">
        <v>2138</v>
      </c>
      <c r="B349" s="2" t="s">
        <v>1425</v>
      </c>
      <c r="C349" s="2" t="s">
        <v>1309</v>
      </c>
      <c r="D349" s="2" t="s">
        <v>2137</v>
      </c>
      <c r="E349" s="2" t="s">
        <v>2138</v>
      </c>
      <c r="F349" s="2" t="s">
        <v>1278</v>
      </c>
      <c r="G349" s="2" t="s">
        <v>1279</v>
      </c>
      <c r="H349" t="e">
        <f>VLOOKUP(A349,'Export Worksheet'!A:L,6,FALSE)</f>
        <v>#N/A</v>
      </c>
      <c r="I349" t="str">
        <f>VLOOKUP(A349,'Tableau single and bulk'!A:B,2,FALSE)</f>
        <v>NESAUTO</v>
      </c>
      <c r="K349" s="9">
        <f>VLOOKUP(A349,'Tableau single and bulk'!A:I,9,FALSE)</f>
        <v>45934.469027777777</v>
      </c>
      <c r="L349">
        <f>VLOOKUP(A349,'Tableau single and bulk'!A:L,12,FALSE)</f>
        <v>602944</v>
      </c>
      <c r="M349" t="str">
        <f>VLOOKUP(A349,'Tableau single and bulk'!A:AA,27,FALSE)</f>
        <v>PATRICK J TOBIN LTD</v>
      </c>
    </row>
    <row r="350" spans="1:13">
      <c r="A350" s="7" t="s">
        <v>1256</v>
      </c>
      <c r="B350" s="2" t="s">
        <v>1368</v>
      </c>
      <c r="C350" s="2" t="s">
        <v>1309</v>
      </c>
      <c r="D350" s="2" t="s">
        <v>2056</v>
      </c>
      <c r="E350" s="2" t="s">
        <v>1256</v>
      </c>
      <c r="F350" s="2" t="s">
        <v>1278</v>
      </c>
      <c r="G350" s="2" t="s">
        <v>1279</v>
      </c>
      <c r="H350">
        <f>VLOOKUP(A350,'Export Worksheet'!A:L,6,FALSE)</f>
        <v>1</v>
      </c>
      <c r="I350" t="str">
        <f>VLOOKUP(A350,'Tableau single and bulk'!A:B,2,FALSE)</f>
        <v>NEBAUTO</v>
      </c>
      <c r="K350" s="9">
        <f>VLOOKUP(A350,'Tableau single and bulk'!A:I,9,FALSE)</f>
        <v>45937.522453703707</v>
      </c>
      <c r="L350">
        <f>VLOOKUP(A350,'Tableau single and bulk'!A:L,12,FALSE)</f>
        <v>605521</v>
      </c>
      <c r="M350" t="str">
        <f>VLOOKUP(A350,'Tableau single and bulk'!A:AA,27,FALSE)</f>
        <v>Henry J Lyons (Architects) Ltd</v>
      </c>
    </row>
    <row r="351" spans="1:13">
      <c r="A351" s="7" t="s">
        <v>1249</v>
      </c>
      <c r="B351" s="2" t="s">
        <v>1535</v>
      </c>
      <c r="C351" s="2" t="s">
        <v>1309</v>
      </c>
      <c r="D351" s="2" t="s">
        <v>2067</v>
      </c>
      <c r="E351" s="2" t="s">
        <v>1249</v>
      </c>
      <c r="F351" s="2" t="s">
        <v>1278</v>
      </c>
      <c r="G351" s="2" t="s">
        <v>1279</v>
      </c>
      <c r="H351">
        <f>VLOOKUP(A351,'Export Worksheet'!A:L,6,FALSE)</f>
        <v>1</v>
      </c>
      <c r="I351" t="str">
        <f>VLOOKUP(A351,'Tableau single and bulk'!A:B,2,FALSE)</f>
        <v>NEBAUTO</v>
      </c>
      <c r="K351" s="9">
        <f>VLOOKUP(A351,'Tableau single and bulk'!A:I,9,FALSE)</f>
        <v>45937.476678240739</v>
      </c>
      <c r="L351">
        <f>VLOOKUP(A351,'Tableau single and bulk'!A:L,12,FALSE)</f>
        <v>602471</v>
      </c>
      <c r="M351" t="str">
        <f>VLOOKUP(A351,'Tableau single and bulk'!A:AA,27,FALSE)</f>
        <v>Cushman &amp; Wakefield Ireland</v>
      </c>
    </row>
    <row r="352" spans="1:13">
      <c r="A352" s="7" t="s">
        <v>372</v>
      </c>
      <c r="B352" s="2" t="s">
        <v>2036</v>
      </c>
      <c r="C352" s="2" t="s">
        <v>1309</v>
      </c>
      <c r="D352" s="2" t="s">
        <v>2037</v>
      </c>
      <c r="E352" s="2" t="s">
        <v>372</v>
      </c>
      <c r="F352" s="2" t="s">
        <v>1278</v>
      </c>
      <c r="G352" s="2" t="s">
        <v>1279</v>
      </c>
      <c r="H352">
        <f>VLOOKUP(A352,'Export Worksheet'!A:L,6,FALSE)</f>
        <v>2</v>
      </c>
      <c r="I352" t="str">
        <f>VLOOKUP(A352,'Tableau single and bulk'!A:B,2,FALSE)</f>
        <v>NEBAUTO</v>
      </c>
      <c r="K352" s="9">
        <f>VLOOKUP(A352,'Tableau single and bulk'!A:I,9,FALSE)</f>
        <v>45937.708796296298</v>
      </c>
      <c r="L352">
        <f>VLOOKUP(A352,'Tableau single and bulk'!A:L,12,FALSE)</f>
        <v>603008</v>
      </c>
      <c r="M352" t="str">
        <f>VLOOKUP(A352,'Tableau single and bulk'!A:AA,27,FALSE)</f>
        <v>Cara Partners DC</v>
      </c>
    </row>
    <row r="353" spans="1:13" hidden="1">
      <c r="A353" s="7" t="s">
        <v>2012</v>
      </c>
      <c r="B353" s="2" t="s">
        <v>1425</v>
      </c>
      <c r="C353" s="2" t="s">
        <v>1309</v>
      </c>
      <c r="D353" s="2" t="s">
        <v>2011</v>
      </c>
      <c r="E353" s="2" t="s">
        <v>2012</v>
      </c>
      <c r="F353" s="2" t="s">
        <v>1278</v>
      </c>
      <c r="G353" s="2" t="s">
        <v>1279</v>
      </c>
      <c r="H353" t="e">
        <f>VLOOKUP(A353,'Export Worksheet'!A:L,6,FALSE)</f>
        <v>#N/A</v>
      </c>
      <c r="I353" t="str">
        <f>VLOOKUP(A353,'Tableau single and bulk'!A:B,2,FALSE)</f>
        <v>NESAUTO</v>
      </c>
      <c r="K353" s="9">
        <f>VLOOKUP(A353,'Tableau single and bulk'!A:I,9,FALSE)</f>
        <v>45938.482094907406</v>
      </c>
      <c r="L353">
        <f>VLOOKUP(A353,'Tableau single and bulk'!A:L,12,FALSE)</f>
        <v>602944</v>
      </c>
      <c r="M353" t="str">
        <f>VLOOKUP(A353,'Tableau single and bulk'!A:AA,27,FALSE)</f>
        <v>PATRICK J TOBIN LTD</v>
      </c>
    </row>
    <row r="354" spans="1:13">
      <c r="A354" s="7" t="s">
        <v>1067</v>
      </c>
      <c r="B354" s="2" t="s">
        <v>1306</v>
      </c>
      <c r="C354" s="2" t="s">
        <v>1309</v>
      </c>
      <c r="D354" s="2" t="s">
        <v>2015</v>
      </c>
      <c r="E354" s="2" t="s">
        <v>1067</v>
      </c>
      <c r="F354" s="2" t="s">
        <v>1278</v>
      </c>
      <c r="G354" s="2" t="s">
        <v>1279</v>
      </c>
      <c r="H354">
        <f>VLOOKUP(A354,'Export Worksheet'!A:L,6,FALSE)</f>
        <v>4</v>
      </c>
      <c r="I354" t="str">
        <f>VLOOKUP(A354,'Tableau single and bulk'!A:B,2,FALSE)</f>
        <v>NEBAUTO</v>
      </c>
      <c r="K354" s="9">
        <f>VLOOKUP(A354,'Tableau single and bulk'!A:I,9,FALSE)</f>
        <v>45938.439571759256</v>
      </c>
      <c r="L354">
        <f>VLOOKUP(A354,'Tableau single and bulk'!A:L,12,FALSE)</f>
        <v>606874</v>
      </c>
      <c r="M354" t="str">
        <f>VLOOKUP(A354,'Tableau single and bulk'!A:AA,27,FALSE)</f>
        <v>Tata Consultancy Services Ltd</v>
      </c>
    </row>
    <row r="355" spans="1:13" hidden="1">
      <c r="A355" s="7" t="s">
        <v>2099</v>
      </c>
      <c r="B355" s="2" t="s">
        <v>1418</v>
      </c>
      <c r="C355" s="2" t="s">
        <v>1309</v>
      </c>
      <c r="D355" s="2" t="s">
        <v>2098</v>
      </c>
      <c r="E355" s="2" t="s">
        <v>2099</v>
      </c>
      <c r="F355" s="2" t="s">
        <v>1278</v>
      </c>
      <c r="G355" s="2" t="s">
        <v>1279</v>
      </c>
      <c r="H355" t="e">
        <f>VLOOKUP(A355,'Export Worksheet'!A:L,6,FALSE)</f>
        <v>#N/A</v>
      </c>
      <c r="I355" t="str">
        <f>VLOOKUP(A355,'Tableau single and bulk'!A:B,2,FALSE)</f>
        <v>NESAUTO</v>
      </c>
      <c r="K355" s="9">
        <f>VLOOKUP(A355,'Tableau single and bulk'!A:I,9,FALSE)</f>
        <v>45936.700370370374</v>
      </c>
      <c r="L355">
        <f>VLOOKUP(A355,'Tableau single and bulk'!A:L,12,FALSE)</f>
        <v>601397</v>
      </c>
      <c r="M355" t="str">
        <f>VLOOKUP(A355,'Tableau single and bulk'!A:AA,27,FALSE)</f>
        <v>Tokyo Electron Europe Ltd</v>
      </c>
    </row>
    <row r="356" spans="1:13">
      <c r="A356" s="7" t="s">
        <v>585</v>
      </c>
      <c r="B356" s="2" t="s">
        <v>1989</v>
      </c>
      <c r="C356" s="2" t="s">
        <v>1309</v>
      </c>
      <c r="D356" s="2" t="s">
        <v>1990</v>
      </c>
      <c r="E356" s="2" t="s">
        <v>585</v>
      </c>
      <c r="F356" s="2" t="s">
        <v>1278</v>
      </c>
      <c r="G356" s="2" t="s">
        <v>1279</v>
      </c>
      <c r="H356">
        <f>VLOOKUP(A356,'Export Worksheet'!A:L,6,FALSE)</f>
        <v>2</v>
      </c>
      <c r="I356" t="str">
        <f>VLOOKUP(A356,'Tableau single and bulk'!A:B,2,FALSE)</f>
        <v>NEBAUTO</v>
      </c>
      <c r="K356" s="9">
        <f>VLOOKUP(A356,'Tableau single and bulk'!A:I,9,FALSE)</f>
        <v>45938.605185185188</v>
      </c>
      <c r="L356">
        <f>VLOOKUP(A356,'Tableau single and bulk'!A:L,12,FALSE)</f>
        <v>602873</v>
      </c>
      <c r="M356" t="str">
        <f>VLOOKUP(A356,'Tableau single and bulk'!A:AA,27,FALSE)</f>
        <v>SGS IRELAND LIMITED</v>
      </c>
    </row>
    <row r="357" spans="1:13" hidden="1">
      <c r="A357" s="7" t="s">
        <v>2132</v>
      </c>
      <c r="B357" s="2" t="s">
        <v>1425</v>
      </c>
      <c r="C357" s="2" t="s">
        <v>1309</v>
      </c>
      <c r="D357" s="2" t="s">
        <v>2131</v>
      </c>
      <c r="E357" s="2" t="s">
        <v>2132</v>
      </c>
      <c r="F357" s="2" t="s">
        <v>1278</v>
      </c>
      <c r="G357" s="2" t="s">
        <v>1279</v>
      </c>
      <c r="H357" t="e">
        <f>VLOOKUP(A357,'Export Worksheet'!A:L,6,FALSE)</f>
        <v>#N/A</v>
      </c>
      <c r="I357" t="str">
        <f>VLOOKUP(A357,'Tableau single and bulk'!A:B,2,FALSE)</f>
        <v>NESAUTO</v>
      </c>
      <c r="K357" s="9">
        <f>VLOOKUP(A357,'Tableau single and bulk'!A:I,9,FALSE)</f>
        <v>45934.474293981482</v>
      </c>
      <c r="L357">
        <f>VLOOKUP(A357,'Tableau single and bulk'!A:L,12,FALSE)</f>
        <v>602944</v>
      </c>
      <c r="M357" t="str">
        <f>VLOOKUP(A357,'Tableau single and bulk'!A:AA,27,FALSE)</f>
        <v>PATRICK J TOBIN LTD</v>
      </c>
    </row>
    <row r="358" spans="1:13">
      <c r="A358" s="7" t="s">
        <v>359</v>
      </c>
      <c r="B358" s="2" t="s">
        <v>1277</v>
      </c>
      <c r="C358" s="2" t="s">
        <v>1309</v>
      </c>
      <c r="D358" s="2" t="s">
        <v>2176</v>
      </c>
      <c r="E358" s="2" t="s">
        <v>359</v>
      </c>
      <c r="F358" s="2" t="s">
        <v>1278</v>
      </c>
      <c r="G358" s="2" t="s">
        <v>1279</v>
      </c>
      <c r="H358">
        <f>VLOOKUP(A358,'Export Worksheet'!A:L,6,FALSE)</f>
        <v>1</v>
      </c>
      <c r="I358" t="str">
        <f>VLOOKUP(A358,'Tableau single and bulk'!A:B,2,FALSE)</f>
        <v>NEBAUTO</v>
      </c>
      <c r="K358" s="9">
        <f>VLOOKUP(A358,'Tableau single and bulk'!A:I,9,FALSE)</f>
        <v>45933.457743055558</v>
      </c>
      <c r="L358">
        <f>VLOOKUP(A358,'Tableau single and bulk'!A:L,12,FALSE)</f>
        <v>603783</v>
      </c>
      <c r="M358" t="str">
        <f>VLOOKUP(A358,'Tableau single and bulk'!A:AA,27,FALSE)</f>
        <v>Kverneland Group Ireland Limited</v>
      </c>
    </row>
    <row r="359" spans="1:13">
      <c r="A359" s="7" t="s">
        <v>832</v>
      </c>
      <c r="B359" s="2" t="s">
        <v>1277</v>
      </c>
      <c r="C359" s="2" t="s">
        <v>1309</v>
      </c>
      <c r="D359" s="2" t="s">
        <v>2038</v>
      </c>
      <c r="E359" s="2" t="s">
        <v>832</v>
      </c>
      <c r="F359" s="2" t="s">
        <v>1278</v>
      </c>
      <c r="G359" s="2" t="s">
        <v>1279</v>
      </c>
      <c r="H359">
        <f>VLOOKUP(A359,'Export Worksheet'!A:L,6,FALSE)</f>
        <v>144</v>
      </c>
      <c r="I359" t="str">
        <f>VLOOKUP(A359,'Tableau single and bulk'!A:B,2,FALSE)</f>
        <v>NEBAUTO</v>
      </c>
      <c r="K359" s="9">
        <f>VLOOKUP(A359,'Tableau single and bulk'!A:I,9,FALSE)</f>
        <v>45937.667280092595</v>
      </c>
      <c r="L359">
        <f>VLOOKUP(A359,'Tableau single and bulk'!A:L,12,FALSE)</f>
        <v>603759</v>
      </c>
      <c r="M359" t="str">
        <f>VLOOKUP(A359,'Tableau single and bulk'!A:AA,27,FALSE)</f>
        <v>Ernst &amp; Young</v>
      </c>
    </row>
    <row r="360" spans="1:13">
      <c r="A360" s="7" t="s">
        <v>168</v>
      </c>
      <c r="B360" s="2" t="s">
        <v>1277</v>
      </c>
      <c r="C360" s="2" t="s">
        <v>1309</v>
      </c>
      <c r="D360" s="2" t="s">
        <v>2013</v>
      </c>
      <c r="E360" s="2" t="s">
        <v>168</v>
      </c>
      <c r="F360" s="2" t="s">
        <v>1278</v>
      </c>
      <c r="G360" s="2" t="s">
        <v>1279</v>
      </c>
      <c r="H360">
        <f>VLOOKUP(A360,'Export Worksheet'!A:L,6,FALSE)</f>
        <v>55</v>
      </c>
      <c r="I360" t="str">
        <f>VLOOKUP(A360,'Tableau single and bulk'!A:B,2,FALSE)</f>
        <v>NEBAUTO</v>
      </c>
      <c r="K360" s="9">
        <f>VLOOKUP(A360,'Tableau single and bulk'!A:I,9,FALSE)</f>
        <v>45938.462500000001</v>
      </c>
      <c r="L360">
        <f>VLOOKUP(A360,'Tableau single and bulk'!A:L,12,FALSE)</f>
        <v>608028</v>
      </c>
      <c r="M360" t="str">
        <f>VLOOKUP(A360,'Tableau single and bulk'!A:AA,27,FALSE)</f>
        <v>Apple</v>
      </c>
    </row>
    <row r="361" spans="1:13">
      <c r="A361" s="7" t="s">
        <v>587</v>
      </c>
      <c r="B361" s="2" t="s">
        <v>1277</v>
      </c>
      <c r="C361" s="2" t="s">
        <v>1309</v>
      </c>
      <c r="D361" s="2" t="s">
        <v>1969</v>
      </c>
      <c r="E361" s="2" t="s">
        <v>587</v>
      </c>
      <c r="F361" s="2" t="s">
        <v>1278</v>
      </c>
      <c r="G361" s="2" t="s">
        <v>1279</v>
      </c>
      <c r="H361">
        <f>VLOOKUP(A361,'Export Worksheet'!A:L,6,FALSE)</f>
        <v>1</v>
      </c>
      <c r="I361" t="str">
        <f>VLOOKUP(A361,'Tableau single and bulk'!A:B,2,FALSE)</f>
        <v>NEBAUTO</v>
      </c>
      <c r="K361" s="9">
        <f>VLOOKUP(A361,'Tableau single and bulk'!A:I,9,FALSE)</f>
        <v>45938.685416666667</v>
      </c>
      <c r="L361">
        <f>VLOOKUP(A361,'Tableau single and bulk'!A:L,12,FALSE)</f>
        <v>601379</v>
      </c>
      <c r="M361" t="str">
        <f>VLOOKUP(A361,'Tableau single and bulk'!A:AA,27,FALSE)</f>
        <v>AWP Health &amp; Life SA</v>
      </c>
    </row>
    <row r="362" spans="1:13" hidden="1">
      <c r="A362" s="7" t="s">
        <v>2044</v>
      </c>
      <c r="B362" s="2" t="s">
        <v>1433</v>
      </c>
      <c r="C362" s="2" t="s">
        <v>1309</v>
      </c>
      <c r="D362" s="2" t="s">
        <v>2043</v>
      </c>
      <c r="E362" s="2" t="s">
        <v>2044</v>
      </c>
      <c r="F362" s="2" t="s">
        <v>1278</v>
      </c>
      <c r="G362" s="2" t="s">
        <v>1279</v>
      </c>
      <c r="H362" t="e">
        <f>VLOOKUP(A362,'Export Worksheet'!A:L,6,FALSE)</f>
        <v>#N/A</v>
      </c>
      <c r="I362" t="str">
        <f>VLOOKUP(A362,'Tableau single and bulk'!A:B,2,FALSE)</f>
        <v>NESAUTO</v>
      </c>
      <c r="K362" s="9">
        <f>VLOOKUP(A362,'Tableau single and bulk'!A:I,9,FALSE)</f>
        <v>45937.65252314815</v>
      </c>
      <c r="L362">
        <f>VLOOKUP(A362,'Tableau single and bulk'!A:L,12,FALSE)</f>
        <v>602383</v>
      </c>
      <c r="M362" t="str">
        <f>VLOOKUP(A362,'Tableau single and bulk'!A:AA,27,FALSE)</f>
        <v>SR Technics Airfoil Services Limited</v>
      </c>
    </row>
    <row r="363" spans="1:13" hidden="1">
      <c r="A363" s="7" t="s">
        <v>2052</v>
      </c>
      <c r="B363" s="2" t="s">
        <v>1588</v>
      </c>
      <c r="C363" s="2" t="s">
        <v>1309</v>
      </c>
      <c r="D363" s="2" t="s">
        <v>2051</v>
      </c>
      <c r="E363" s="2" t="s">
        <v>2052</v>
      </c>
      <c r="F363" s="2" t="s">
        <v>1278</v>
      </c>
      <c r="G363" s="2" t="s">
        <v>1279</v>
      </c>
      <c r="H363" t="e">
        <f>VLOOKUP(A363,'Export Worksheet'!A:L,6,FALSE)</f>
        <v>#N/A</v>
      </c>
      <c r="I363" t="str">
        <f>VLOOKUP(A363,'Tableau single and bulk'!A:B,2,FALSE)</f>
        <v>NESAUTO</v>
      </c>
      <c r="K363" s="9">
        <f>VLOOKUP(A363,'Tableau single and bulk'!A:I,9,FALSE)</f>
        <v>45937.634270833332</v>
      </c>
      <c r="L363">
        <f>VLOOKUP(A363,'Tableau single and bulk'!A:L,12,FALSE)</f>
        <v>601479</v>
      </c>
      <c r="M363" t="str">
        <f>VLOOKUP(A363,'Tableau single and bulk'!A:AA,27,FALSE)</f>
        <v>ByrneWallace RS Plan</v>
      </c>
    </row>
    <row r="364" spans="1:13">
      <c r="A364" s="7" t="s">
        <v>546</v>
      </c>
      <c r="B364" s="2" t="s">
        <v>1277</v>
      </c>
      <c r="C364" s="2" t="s">
        <v>1309</v>
      </c>
      <c r="D364" s="2" t="s">
        <v>2161</v>
      </c>
      <c r="E364" s="2" t="s">
        <v>546</v>
      </c>
      <c r="F364" s="2" t="s">
        <v>1278</v>
      </c>
      <c r="G364" s="2" t="s">
        <v>1279</v>
      </c>
      <c r="H364">
        <f>VLOOKUP(A364,'Export Worksheet'!A:L,6,FALSE)</f>
        <v>18</v>
      </c>
      <c r="I364" t="str">
        <f>VLOOKUP(A364,'Tableau single and bulk'!A:B,2,FALSE)</f>
        <v>NEBAUTO</v>
      </c>
      <c r="K364" s="9">
        <f>VLOOKUP(A364,'Tableau single and bulk'!A:I,9,FALSE)</f>
        <v>45933.529988425929</v>
      </c>
      <c r="L364">
        <f>VLOOKUP(A364,'Tableau single and bulk'!A:L,12,FALSE)</f>
        <v>601876</v>
      </c>
      <c r="M364" t="str">
        <f>VLOOKUP(A364,'Tableau single and bulk'!A:AA,27,FALSE)</f>
        <v>Moloney Mortgages Pens. &amp; Investments Lt</v>
      </c>
    </row>
    <row r="365" spans="1:13" hidden="1">
      <c r="A365" s="7" t="s">
        <v>2048</v>
      </c>
      <c r="B365" s="2" t="s">
        <v>1362</v>
      </c>
      <c r="C365" s="2" t="s">
        <v>1309</v>
      </c>
      <c r="D365" s="2" t="s">
        <v>2047</v>
      </c>
      <c r="E365" s="2" t="s">
        <v>2048</v>
      </c>
      <c r="F365" s="2" t="s">
        <v>1278</v>
      </c>
      <c r="G365" s="2" t="s">
        <v>1279</v>
      </c>
      <c r="H365" t="e">
        <f>VLOOKUP(A365,'Export Worksheet'!A:L,6,FALSE)</f>
        <v>#N/A</v>
      </c>
      <c r="I365" t="str">
        <f>VLOOKUP(A365,'Tableau single and bulk'!A:B,2,FALSE)</f>
        <v>NESAUTO</v>
      </c>
      <c r="K365" s="9">
        <f>VLOOKUP(A365,'Tableau single and bulk'!A:I,9,FALSE)</f>
        <v>45937.635763888888</v>
      </c>
      <c r="L365">
        <f>VLOOKUP(A365,'Tableau single and bulk'!A:L,12,FALSE)</f>
        <v>602712</v>
      </c>
      <c r="M365" t="str">
        <f>VLOOKUP(A365,'Tableau single and bulk'!A:AA,27,FALSE)</f>
        <v>MUNSTER CATTLE BREEDING GROUP LTD</v>
      </c>
    </row>
    <row r="366" spans="1:13">
      <c r="A366" s="7" t="s">
        <v>386</v>
      </c>
      <c r="B366" s="2" t="s">
        <v>871</v>
      </c>
      <c r="C366" s="2" t="s">
        <v>1309</v>
      </c>
      <c r="D366" s="2" t="s">
        <v>2008</v>
      </c>
      <c r="E366" s="2" t="s">
        <v>386</v>
      </c>
      <c r="F366" s="2" t="s">
        <v>1278</v>
      </c>
      <c r="G366" s="2" t="s">
        <v>1279</v>
      </c>
      <c r="H366">
        <f>VLOOKUP(A366,'Export Worksheet'!A:L,6,FALSE)</f>
        <v>2</v>
      </c>
      <c r="I366" t="str">
        <f>VLOOKUP(A366,'Tableau single and bulk'!A:B,2,FALSE)</f>
        <v>NEBAUTO</v>
      </c>
      <c r="K366" s="9">
        <f>VLOOKUP(A366,'Tableau single and bulk'!A:I,9,FALSE)</f>
        <v>45938.493923611109</v>
      </c>
      <c r="L366">
        <f>VLOOKUP(A366,'Tableau single and bulk'!A:L,12,FALSE)</f>
        <v>602197</v>
      </c>
      <c r="M366" t="str">
        <f>VLOOKUP(A366,'Tableau single and bulk'!A:AA,27,FALSE)</f>
        <v>Stryker Orthopaedics Pension Hourly</v>
      </c>
    </row>
    <row r="367" spans="1:13">
      <c r="A367" s="7" t="s">
        <v>579</v>
      </c>
      <c r="B367" s="2" t="s">
        <v>1314</v>
      </c>
      <c r="C367" s="2" t="s">
        <v>1309</v>
      </c>
      <c r="D367" s="2" t="s">
        <v>2034</v>
      </c>
      <c r="E367" s="2" t="s">
        <v>579</v>
      </c>
      <c r="F367" s="2" t="s">
        <v>1278</v>
      </c>
      <c r="G367" s="2" t="s">
        <v>1279</v>
      </c>
      <c r="H367">
        <f>VLOOKUP(A367,'Export Worksheet'!A:L,6,FALSE)</f>
        <v>1</v>
      </c>
      <c r="I367" t="str">
        <f>VLOOKUP(A367,'Tableau single and bulk'!A:B,2,FALSE)</f>
        <v>NEBAUTO</v>
      </c>
      <c r="K367" s="9">
        <f>VLOOKUP(A367,'Tableau single and bulk'!A:I,9,FALSE)</f>
        <v>45937.726759259262</v>
      </c>
      <c r="L367">
        <f>VLOOKUP(A367,'Tableau single and bulk'!A:L,12,FALSE)</f>
        <v>603345</v>
      </c>
      <c r="M367" t="str">
        <f>VLOOKUP(A367,'Tableau single and bulk'!A:AA,27,FALSE)</f>
        <v>The Kepak Group</v>
      </c>
    </row>
    <row r="368" spans="1:13">
      <c r="A368" s="7" t="s">
        <v>828</v>
      </c>
      <c r="B368" s="2" t="s">
        <v>2049</v>
      </c>
      <c r="C368" s="2" t="s">
        <v>1309</v>
      </c>
      <c r="D368" s="2" t="s">
        <v>2050</v>
      </c>
      <c r="E368" s="2" t="s">
        <v>828</v>
      </c>
      <c r="F368" s="2" t="s">
        <v>1278</v>
      </c>
      <c r="G368" s="2" t="s">
        <v>1279</v>
      </c>
      <c r="H368">
        <f>VLOOKUP(A368,'Export Worksheet'!A:L,6,FALSE)</f>
        <v>1</v>
      </c>
      <c r="I368" t="str">
        <f>VLOOKUP(A368,'Tableau single and bulk'!A:B,2,FALSE)</f>
        <v>NEBAUTO</v>
      </c>
      <c r="K368" s="9">
        <f>VLOOKUP(A368,'Tableau single and bulk'!A:I,9,FALSE)</f>
        <v>45937.635115740741</v>
      </c>
      <c r="L368">
        <f>VLOOKUP(A368,'Tableau single and bulk'!A:L,12,FALSE)</f>
        <v>603739</v>
      </c>
      <c r="M368" t="str">
        <f>VLOOKUP(A368,'Tableau single and bulk'!A:AA,27,FALSE)</f>
        <v>X Internet Unlimited Company</v>
      </c>
    </row>
    <row r="369" spans="1:13">
      <c r="A369" s="7" t="s">
        <v>370</v>
      </c>
      <c r="B369" s="2" t="s">
        <v>2045</v>
      </c>
      <c r="C369" s="2" t="s">
        <v>1309</v>
      </c>
      <c r="D369" s="2" t="s">
        <v>2046</v>
      </c>
      <c r="E369" s="2" t="s">
        <v>370</v>
      </c>
      <c r="F369" s="2" t="s">
        <v>1278</v>
      </c>
      <c r="G369" s="2" t="s">
        <v>1279</v>
      </c>
      <c r="H369">
        <f>VLOOKUP(A369,'Export Worksheet'!A:L,6,FALSE)</f>
        <v>2</v>
      </c>
      <c r="I369" t="str">
        <f>VLOOKUP(A369,'Tableau single and bulk'!A:B,2,FALSE)</f>
        <v>NEBAUTO</v>
      </c>
      <c r="K369" s="9">
        <f>VLOOKUP(A369,'Tableau single and bulk'!A:I,9,FALSE)</f>
        <v>45937.645532407405</v>
      </c>
      <c r="L369">
        <f>VLOOKUP(A369,'Tableau single and bulk'!A:L,12,FALSE)</f>
        <v>602273</v>
      </c>
      <c r="M369" t="str">
        <f>VLOOKUP(A369,'Tableau single and bulk'!A:AA,27,FALSE)</f>
        <v>Retail in Motion Limited</v>
      </c>
    </row>
    <row r="370" spans="1:13">
      <c r="A370" s="7" t="s">
        <v>373</v>
      </c>
      <c r="B370" s="2" t="s">
        <v>2018</v>
      </c>
      <c r="C370" s="2" t="s">
        <v>1309</v>
      </c>
      <c r="D370" s="2" t="s">
        <v>2019</v>
      </c>
      <c r="E370" s="2" t="s">
        <v>373</v>
      </c>
      <c r="F370" s="2" t="s">
        <v>1278</v>
      </c>
      <c r="G370" s="2" t="s">
        <v>1279</v>
      </c>
      <c r="H370">
        <f>VLOOKUP(A370,'Export Worksheet'!A:L,6,FALSE)</f>
        <v>7</v>
      </c>
      <c r="I370" t="str">
        <f>VLOOKUP(A370,'Tableau single and bulk'!A:B,2,FALSE)</f>
        <v>NEBAUTO</v>
      </c>
      <c r="K370" s="9">
        <f>VLOOKUP(A370,'Tableau single and bulk'!A:I,9,FALSE)</f>
        <v>45938.435486111113</v>
      </c>
      <c r="L370">
        <f>VLOOKUP(A370,'Tableau single and bulk'!A:L,12,FALSE)</f>
        <v>609712</v>
      </c>
      <c r="M370" t="str">
        <f>VLOOKUP(A370,'Tableau single and bulk'!A:AA,27,FALSE)</f>
        <v>NFVSP The Children's Sunshine Home</v>
      </c>
    </row>
    <row r="371" spans="1:13">
      <c r="A371" s="7" t="s">
        <v>1244</v>
      </c>
      <c r="B371" s="2" t="s">
        <v>1277</v>
      </c>
      <c r="C371" s="2" t="s">
        <v>1309</v>
      </c>
      <c r="D371" s="2" t="s">
        <v>2146</v>
      </c>
      <c r="E371" s="2" t="s">
        <v>1244</v>
      </c>
      <c r="F371" s="2" t="s">
        <v>1278</v>
      </c>
      <c r="G371" s="2" t="s">
        <v>1279</v>
      </c>
      <c r="H371">
        <f>VLOOKUP(A371,'Export Worksheet'!A:L,6,FALSE)</f>
        <v>3</v>
      </c>
      <c r="I371" t="str">
        <f>VLOOKUP(A371,'Tableau single and bulk'!A:B,2,FALSE)</f>
        <v>NEBAUTO</v>
      </c>
      <c r="K371" s="9">
        <f>VLOOKUP(A371,'Tableau single and bulk'!A:I,9,FALSE)</f>
        <v>45933.769675925927</v>
      </c>
      <c r="L371">
        <f>VLOOKUP(A371,'Tableau single and bulk'!A:L,12,FALSE)</f>
        <v>609982</v>
      </c>
      <c r="M371" t="str">
        <f>VLOOKUP(A371,'Tableau single and bulk'!A:AA,27,FALSE)</f>
        <v>Lake Region Medical Limited</v>
      </c>
    </row>
    <row r="372" spans="1:13">
      <c r="A372" s="7" t="s">
        <v>556</v>
      </c>
      <c r="B372" s="2" t="s">
        <v>1277</v>
      </c>
      <c r="C372" s="2" t="s">
        <v>1309</v>
      </c>
      <c r="D372" s="2" t="s">
        <v>2000</v>
      </c>
      <c r="E372" s="2" t="s">
        <v>556</v>
      </c>
      <c r="F372" s="2" t="s">
        <v>1278</v>
      </c>
      <c r="G372" s="2" t="s">
        <v>1279</v>
      </c>
      <c r="H372">
        <f>VLOOKUP(A372,'Export Worksheet'!A:L,6,FALSE)</f>
        <v>1</v>
      </c>
      <c r="I372" t="str">
        <f>VLOOKUP(A372,'Tableau single and bulk'!A:B,2,FALSE)</f>
        <v>NEBAUTO</v>
      </c>
      <c r="K372" s="9">
        <f>VLOOKUP(A372,'Tableau single and bulk'!A:I,9,FALSE)</f>
        <v>45938.576643518521</v>
      </c>
      <c r="L372">
        <f>VLOOKUP(A372,'Tableau single and bulk'!A:L,12,FALSE)</f>
        <v>603681</v>
      </c>
      <c r="M372" t="str">
        <f>VLOOKUP(A372,'Tableau single and bulk'!A:AA,27,FALSE)</f>
        <v>Wynshop Commerce Limited</v>
      </c>
    </row>
    <row r="373" spans="1:13" hidden="1">
      <c r="A373" s="7" t="s">
        <v>2022</v>
      </c>
      <c r="B373" s="2" t="s">
        <v>2020</v>
      </c>
      <c r="C373" s="2" t="s">
        <v>1309</v>
      </c>
      <c r="D373" s="2" t="s">
        <v>2021</v>
      </c>
      <c r="E373" s="2" t="s">
        <v>2022</v>
      </c>
      <c r="F373" s="2" t="s">
        <v>1278</v>
      </c>
      <c r="G373" s="2" t="s">
        <v>1279</v>
      </c>
      <c r="H373" t="e">
        <f>VLOOKUP(A373,'Export Worksheet'!A:L,6,FALSE)</f>
        <v>#N/A</v>
      </c>
      <c r="I373" t="str">
        <f>VLOOKUP(A373,'Tableau single and bulk'!A:B,2,FALSE)</f>
        <v>NESAUTO</v>
      </c>
      <c r="K373" s="9">
        <f>VLOOKUP(A373,'Tableau single and bulk'!A:I,9,FALSE)</f>
        <v>45938.372893518521</v>
      </c>
      <c r="L373">
        <f>VLOOKUP(A373,'Tableau single and bulk'!A:L,12,FALSE)</f>
        <v>603294</v>
      </c>
      <c r="M373" t="str">
        <f>VLOOKUP(A373,'Tableau single and bulk'!A:AA,27,FALSE)</f>
        <v>Carl Zeiss Vision Ireland Limited</v>
      </c>
    </row>
    <row r="374" spans="1:13" hidden="1">
      <c r="A374" s="7" t="s">
        <v>1992</v>
      </c>
      <c r="B374" s="2" t="s">
        <v>1702</v>
      </c>
      <c r="C374" s="2" t="s">
        <v>1309</v>
      </c>
      <c r="D374" s="2" t="s">
        <v>1991</v>
      </c>
      <c r="E374" s="2" t="s">
        <v>1992</v>
      </c>
      <c r="F374" s="2" t="s">
        <v>1278</v>
      </c>
      <c r="G374" s="2" t="s">
        <v>1279</v>
      </c>
      <c r="H374" t="e">
        <f>VLOOKUP(A374,'Export Worksheet'!A:L,6,FALSE)</f>
        <v>#N/A</v>
      </c>
      <c r="I374" t="str">
        <f>VLOOKUP(A374,'Tableau single and bulk'!A:B,2,FALSE)</f>
        <v>NESAUTO</v>
      </c>
      <c r="K374" s="9">
        <f>VLOOKUP(A374,'Tableau single and bulk'!A:I,9,FALSE)</f>
        <v>45938.599317129629</v>
      </c>
      <c r="L374">
        <f>VLOOKUP(A374,'Tableau single and bulk'!A:L,12,FALSE)</f>
        <v>601924</v>
      </c>
      <c r="M374" t="str">
        <f>VLOOKUP(A374,'Tableau single and bulk'!A:AA,27,FALSE)</f>
        <v>G4S Secure Solutions (Ire) Limited</v>
      </c>
    </row>
    <row r="375" spans="1:13" hidden="1">
      <c r="A375" s="7" t="s">
        <v>2041</v>
      </c>
      <c r="B375" s="2" t="s">
        <v>2039</v>
      </c>
      <c r="C375" s="2" t="s">
        <v>1309</v>
      </c>
      <c r="D375" s="2" t="s">
        <v>2040</v>
      </c>
      <c r="E375" s="2" t="s">
        <v>2041</v>
      </c>
      <c r="F375" s="2" t="s">
        <v>1278</v>
      </c>
      <c r="G375" s="2" t="s">
        <v>1279</v>
      </c>
      <c r="H375" t="e">
        <f>VLOOKUP(A375,'Export Worksheet'!A:L,6,FALSE)</f>
        <v>#N/A</v>
      </c>
      <c r="I375" t="str">
        <f>VLOOKUP(A375,'Tableau single and bulk'!A:B,2,FALSE)</f>
        <v>NESAUTO</v>
      </c>
      <c r="K375" s="9">
        <f>VLOOKUP(A375,'Tableau single and bulk'!A:I,9,FALSE)</f>
        <v>45937.665300925924</v>
      </c>
      <c r="L375">
        <f>VLOOKUP(A375,'Tableau single and bulk'!A:L,12,FALSE)</f>
        <v>606951</v>
      </c>
      <c r="M375" t="str">
        <f>VLOOKUP(A375,'Tableau single and bulk'!A:AA,27,FALSE)</f>
        <v>Boxever Limited</v>
      </c>
    </row>
    <row r="376" spans="1:13">
      <c r="A376" s="7" t="s">
        <v>919</v>
      </c>
      <c r="B376" s="2" t="s">
        <v>1277</v>
      </c>
      <c r="C376" s="2" t="s">
        <v>1309</v>
      </c>
      <c r="D376" s="2" t="s">
        <v>1429</v>
      </c>
      <c r="E376" s="2" t="s">
        <v>919</v>
      </c>
      <c r="F376" s="2" t="s">
        <v>1278</v>
      </c>
      <c r="G376" s="2" t="s">
        <v>1279</v>
      </c>
      <c r="H376">
        <f>VLOOKUP(A376,'Export Worksheet'!A:L,6,FALSE)</f>
        <v>2</v>
      </c>
      <c r="I376" t="str">
        <f>VLOOKUP(A376,'Tableau single and bulk'!A:B,2,FALSE)</f>
        <v>NEBAUTO</v>
      </c>
      <c r="K376" s="9">
        <f>VLOOKUP(A376,'Tableau single and bulk'!A:I,9,FALSE)</f>
        <v>45946.448888888888</v>
      </c>
      <c r="L376">
        <f>VLOOKUP(A376,'Tableau single and bulk'!A:L,12,FALSE)</f>
        <v>603681</v>
      </c>
      <c r="M376" t="str">
        <f>VLOOKUP(A376,'Tableau single and bulk'!A:AA,27,FALSE)</f>
        <v>Wynshop Commerce Limited</v>
      </c>
    </row>
    <row r="377" spans="1:13" hidden="1">
      <c r="A377" s="7" t="s">
        <v>2097</v>
      </c>
      <c r="B377" s="2" t="s">
        <v>1324</v>
      </c>
      <c r="C377" s="2" t="s">
        <v>1309</v>
      </c>
      <c r="D377" s="2" t="s">
        <v>2096</v>
      </c>
      <c r="E377" s="2" t="s">
        <v>2097</v>
      </c>
      <c r="F377" s="2" t="s">
        <v>1278</v>
      </c>
      <c r="G377" s="2" t="s">
        <v>1279</v>
      </c>
      <c r="H377" t="e">
        <f>VLOOKUP(A377,'Export Worksheet'!A:L,6,FALSE)</f>
        <v>#N/A</v>
      </c>
      <c r="I377" t="str">
        <f>VLOOKUP(A377,'Tableau single and bulk'!A:B,2,FALSE)</f>
        <v>NESAUTO</v>
      </c>
      <c r="K377" s="9">
        <f>VLOOKUP(A377,'Tableau single and bulk'!A:I,9,FALSE)</f>
        <v>45936.755497685182</v>
      </c>
      <c r="L377">
        <f>VLOOKUP(A377,'Tableau single and bulk'!A:L,12,FALSE)</f>
        <v>609894</v>
      </c>
      <c r="M377" t="str">
        <f>VLOOKUP(A377,'Tableau single and bulk'!A:AA,27,FALSE)</f>
        <v>Sunglass Hut Ireland Ltd</v>
      </c>
    </row>
    <row r="378" spans="1:13">
      <c r="A378" s="7" t="s">
        <v>567</v>
      </c>
      <c r="B378" s="2" t="s">
        <v>1292</v>
      </c>
      <c r="C378" s="2" t="s">
        <v>1309</v>
      </c>
      <c r="D378" s="2" t="s">
        <v>2072</v>
      </c>
      <c r="E378" s="2" t="s">
        <v>567</v>
      </c>
      <c r="F378" s="2" t="s">
        <v>1278</v>
      </c>
      <c r="G378" s="2" t="s">
        <v>1279</v>
      </c>
      <c r="H378">
        <f>VLOOKUP(A378,'Export Worksheet'!A:L,6,FALSE)</f>
        <v>3</v>
      </c>
      <c r="I378" t="str">
        <f>VLOOKUP(A378,'Tableau single and bulk'!A:B,2,FALSE)</f>
        <v>NEBAUTO</v>
      </c>
      <c r="K378" s="9">
        <f>VLOOKUP(A378,'Tableau single and bulk'!A:I,9,FALSE)</f>
        <v>45937.454641203702</v>
      </c>
      <c r="L378">
        <f>VLOOKUP(A378,'Tableau single and bulk'!A:L,12,FALSE)</f>
        <v>609748</v>
      </c>
      <c r="M378" t="str">
        <f>VLOOKUP(A378,'Tableau single and bulk'!A:AA,27,FALSE)</f>
        <v>NFVSP Prosper Fingal</v>
      </c>
    </row>
    <row r="379" spans="1:13">
      <c r="A379" s="7" t="s">
        <v>566</v>
      </c>
      <c r="B379" s="2" t="s">
        <v>1292</v>
      </c>
      <c r="C379" s="2" t="s">
        <v>1309</v>
      </c>
      <c r="D379" s="2" t="s">
        <v>2078</v>
      </c>
      <c r="E379" s="2" t="s">
        <v>566</v>
      </c>
      <c r="F379" s="2" t="s">
        <v>1278</v>
      </c>
      <c r="G379" s="2" t="s">
        <v>1279</v>
      </c>
      <c r="H379">
        <f>VLOOKUP(A379,'Export Worksheet'!A:L,6,FALSE)</f>
        <v>1</v>
      </c>
      <c r="I379" t="str">
        <f>VLOOKUP(A379,'Tableau single and bulk'!A:B,2,FALSE)</f>
        <v>NEBAUTO</v>
      </c>
      <c r="K379" s="9">
        <f>VLOOKUP(A379,'Tableau single and bulk'!A:I,9,FALSE)</f>
        <v>45937.421296296299</v>
      </c>
      <c r="L379">
        <f>VLOOKUP(A379,'Tableau single and bulk'!A:L,12,FALSE)</f>
        <v>609705</v>
      </c>
      <c r="M379" t="str">
        <f>VLOOKUP(A379,'Tableau single and bulk'!A:AA,27,FALSE)</f>
        <v>NFVSP Prosper Meath CLG</v>
      </c>
    </row>
    <row r="380" spans="1:13" hidden="1">
      <c r="A380" s="7" t="s">
        <v>1988</v>
      </c>
      <c r="B380" s="2" t="s">
        <v>1986</v>
      </c>
      <c r="C380" s="2" t="s">
        <v>1309</v>
      </c>
      <c r="D380" s="2" t="s">
        <v>1987</v>
      </c>
      <c r="E380" s="2" t="s">
        <v>1988</v>
      </c>
      <c r="F380" s="2" t="s">
        <v>1278</v>
      </c>
      <c r="G380" s="2" t="s">
        <v>1279</v>
      </c>
      <c r="H380" t="e">
        <f>VLOOKUP(A380,'Export Worksheet'!A:L,6,FALSE)</f>
        <v>#N/A</v>
      </c>
      <c r="I380" t="str">
        <f>VLOOKUP(A380,'Tableau single and bulk'!A:B,2,FALSE)</f>
        <v>NESAUTO</v>
      </c>
      <c r="K380" s="9">
        <f>VLOOKUP(A380,'Tableau single and bulk'!A:I,9,FALSE)</f>
        <v>45938.610694444447</v>
      </c>
      <c r="L380">
        <f>VLOOKUP(A380,'Tableau single and bulk'!A:L,12,FALSE)</f>
        <v>603722</v>
      </c>
      <c r="M380" t="str">
        <f>VLOOKUP(A380,'Tableau single and bulk'!A:AA,27,FALSE)</f>
        <v>Lisavaird Co-operative Creamery Limited</v>
      </c>
    </row>
    <row r="381" spans="1:13">
      <c r="A381" s="7" t="s">
        <v>362</v>
      </c>
      <c r="B381" s="2" t="s">
        <v>1277</v>
      </c>
      <c r="C381" s="2" t="s">
        <v>1309</v>
      </c>
      <c r="D381" s="2" t="s">
        <v>2145</v>
      </c>
      <c r="E381" s="2" t="s">
        <v>362</v>
      </c>
      <c r="F381" s="2" t="s">
        <v>1278</v>
      </c>
      <c r="G381" s="2" t="s">
        <v>1279</v>
      </c>
      <c r="H381">
        <f>VLOOKUP(A381,'Export Worksheet'!A:L,6,FALSE)</f>
        <v>11</v>
      </c>
      <c r="I381" t="str">
        <f>VLOOKUP(A381,'Tableau single and bulk'!A:B,2,FALSE)</f>
        <v>NEBAUTO</v>
      </c>
      <c r="K381" s="9">
        <f>VLOOKUP(A381,'Tableau single and bulk'!A:I,9,FALSE)</f>
        <v>45933.778437499997</v>
      </c>
      <c r="L381">
        <f>VLOOKUP(A381,'Tableau single and bulk'!A:L,12,FALSE)</f>
        <v>609982</v>
      </c>
      <c r="M381" t="str">
        <f>VLOOKUP(A381,'Tableau single and bulk'!A:AA,27,FALSE)</f>
        <v>Lake Region Medical Limited</v>
      </c>
    </row>
    <row r="382" spans="1:13">
      <c r="A382" s="7" t="s">
        <v>552</v>
      </c>
      <c r="B382" s="2" t="s">
        <v>1277</v>
      </c>
      <c r="C382" s="2" t="s">
        <v>1309</v>
      </c>
      <c r="D382" s="2" t="s">
        <v>2115</v>
      </c>
      <c r="E382" s="2" t="s">
        <v>552</v>
      </c>
      <c r="F382" s="2" t="s">
        <v>1278</v>
      </c>
      <c r="G382" s="2" t="s">
        <v>1279</v>
      </c>
      <c r="H382">
        <f>VLOOKUP(A382,'Export Worksheet'!A:L,6,FALSE)</f>
        <v>7</v>
      </c>
      <c r="I382" t="str">
        <f>VLOOKUP(A382,'Tableau single and bulk'!A:B,2,FALSE)</f>
        <v>NEBAUTO</v>
      </c>
      <c r="K382" s="9">
        <f>VLOOKUP(A382,'Tableau single and bulk'!A:I,9,FALSE)</f>
        <v>45936.440243055556</v>
      </c>
      <c r="L382">
        <f>VLOOKUP(A382,'Tableau single and bulk'!A:L,12,FALSE)</f>
        <v>609982</v>
      </c>
      <c r="M382" t="str">
        <f>VLOOKUP(A382,'Tableau single and bulk'!A:AA,27,FALSE)</f>
        <v>Lake Region Medical Limited</v>
      </c>
    </row>
    <row r="383" spans="1:13">
      <c r="A383" s="7" t="s">
        <v>827</v>
      </c>
      <c r="B383" s="2" t="s">
        <v>1533</v>
      </c>
      <c r="C383" s="2" t="s">
        <v>1309</v>
      </c>
      <c r="D383" s="2" t="s">
        <v>1961</v>
      </c>
      <c r="E383" s="2" t="s">
        <v>827</v>
      </c>
      <c r="F383" s="2" t="s">
        <v>1278</v>
      </c>
      <c r="G383" s="2" t="s">
        <v>1279</v>
      </c>
      <c r="H383">
        <f>VLOOKUP(A383,'Export Worksheet'!A:L,6,FALSE)</f>
        <v>1</v>
      </c>
      <c r="I383" t="str">
        <f>VLOOKUP(A383,'Tableau single and bulk'!A:B,2,FALSE)</f>
        <v>NEBAUTO</v>
      </c>
      <c r="K383" s="9">
        <f>VLOOKUP(A383,'Tableau single and bulk'!A:I,9,FALSE)</f>
        <v>45939.381678240738</v>
      </c>
      <c r="L383">
        <f>VLOOKUP(A383,'Tableau single and bulk'!A:L,12,FALSE)</f>
        <v>603026</v>
      </c>
      <c r="M383" t="str">
        <f>VLOOKUP(A383,'Tableau single and bulk'!A:AA,27,FALSE)</f>
        <v>Vestas Ireland Limited</v>
      </c>
    </row>
    <row r="384" spans="1:13">
      <c r="A384" s="7" t="s">
        <v>170</v>
      </c>
      <c r="B384" s="2" t="s">
        <v>1290</v>
      </c>
      <c r="C384" s="2" t="s">
        <v>1309</v>
      </c>
      <c r="D384" s="2" t="s">
        <v>2009</v>
      </c>
      <c r="E384" s="2" t="s">
        <v>170</v>
      </c>
      <c r="F384" s="2" t="s">
        <v>1278</v>
      </c>
      <c r="G384" s="2" t="s">
        <v>1279</v>
      </c>
      <c r="H384">
        <f>VLOOKUP(A384,'Export Worksheet'!A:L,6,FALSE)</f>
        <v>6</v>
      </c>
      <c r="I384" t="str">
        <f>VLOOKUP(A384,'Tableau single and bulk'!A:B,2,FALSE)</f>
        <v>NEBAUTO</v>
      </c>
      <c r="K384" s="9">
        <f>VLOOKUP(A384,'Tableau single and bulk'!A:I,9,FALSE)</f>
        <v>45938.48605324074</v>
      </c>
      <c r="L384">
        <f>VLOOKUP(A384,'Tableau single and bulk'!A:L,12,FALSE)</f>
        <v>603756</v>
      </c>
      <c r="M384" t="str">
        <f>VLOOKUP(A384,'Tableau single and bulk'!A:AA,27,FALSE)</f>
        <v>eircom</v>
      </c>
    </row>
    <row r="385" spans="1:13" hidden="1">
      <c r="A385" s="7" t="s">
        <v>2095</v>
      </c>
      <c r="B385" s="2" t="s">
        <v>1418</v>
      </c>
      <c r="C385" s="2" t="s">
        <v>1309</v>
      </c>
      <c r="D385" s="2" t="s">
        <v>2094</v>
      </c>
      <c r="E385" s="2" t="s">
        <v>2095</v>
      </c>
      <c r="F385" s="2" t="s">
        <v>1278</v>
      </c>
      <c r="G385" s="2" t="s">
        <v>1279</v>
      </c>
      <c r="H385" t="e">
        <f>VLOOKUP(A385,'Export Worksheet'!A:L,6,FALSE)</f>
        <v>#N/A</v>
      </c>
      <c r="I385" t="str">
        <f>VLOOKUP(A385,'Tableau single and bulk'!A:B,2,FALSE)</f>
        <v>NESAUTO</v>
      </c>
      <c r="K385" s="9">
        <f>VLOOKUP(A385,'Tableau single and bulk'!A:I,9,FALSE)</f>
        <v>45936.824317129627</v>
      </c>
      <c r="L385">
        <f>VLOOKUP(A385,'Tableau single and bulk'!A:L,12,FALSE)</f>
        <v>601397</v>
      </c>
      <c r="M385" t="str">
        <f>VLOOKUP(A385,'Tableau single and bulk'!A:AA,27,FALSE)</f>
        <v>Tokyo Electron Europe Ltd</v>
      </c>
    </row>
    <row r="386" spans="1:13" hidden="1">
      <c r="A386" s="7" t="s">
        <v>1848</v>
      </c>
      <c r="B386" s="2" t="s">
        <v>1375</v>
      </c>
      <c r="C386" s="2" t="s">
        <v>1309</v>
      </c>
      <c r="D386" s="2" t="s">
        <v>1847</v>
      </c>
      <c r="E386" s="2" t="s">
        <v>1848</v>
      </c>
      <c r="F386" s="2" t="s">
        <v>1278</v>
      </c>
      <c r="G386" s="2" t="s">
        <v>1279</v>
      </c>
      <c r="H386" t="e">
        <f>VLOOKUP(A386,'Export Worksheet'!A:L,6,FALSE)</f>
        <v>#N/A</v>
      </c>
      <c r="I386" t="e">
        <f>VLOOKUP(A386,'Tableau single and bulk'!A:B,2,FALSE)</f>
        <v>#N/A</v>
      </c>
      <c r="K386" s="9" t="e">
        <f>VLOOKUP(A386,'Tableau single and bulk'!A:I,9,FALSE)</f>
        <v>#N/A</v>
      </c>
      <c r="L386" t="e">
        <f>VLOOKUP(A386,'Tableau single and bulk'!A:L,12,FALSE)</f>
        <v>#N/A</v>
      </c>
      <c r="M386" t="e">
        <f>VLOOKUP(A386,'Tableau single and bulk'!A:AA,27,FALSE)</f>
        <v>#N/A</v>
      </c>
    </row>
    <row r="387" spans="1:13" hidden="1">
      <c r="A387" s="7" t="s">
        <v>1819</v>
      </c>
      <c r="B387" s="2" t="s">
        <v>1764</v>
      </c>
      <c r="C387" s="2" t="s">
        <v>1309</v>
      </c>
      <c r="D387" s="2" t="s">
        <v>1818</v>
      </c>
      <c r="E387" s="2" t="s">
        <v>1819</v>
      </c>
      <c r="F387" s="2" t="s">
        <v>1278</v>
      </c>
      <c r="G387" s="2" t="s">
        <v>1279</v>
      </c>
      <c r="H387" t="e">
        <f>VLOOKUP(A387,'Export Worksheet'!A:L,6,FALSE)</f>
        <v>#N/A</v>
      </c>
      <c r="I387" t="str">
        <f>VLOOKUP(A387,'Tableau single and bulk'!A:B,2,FALSE)</f>
        <v>NESAUTO</v>
      </c>
      <c r="K387" s="9">
        <f>VLOOKUP(A387,'Tableau single and bulk'!A:I,9,FALSE)</f>
        <v>45939.638831018521</v>
      </c>
      <c r="L387">
        <f>VLOOKUP(A387,'Tableau single and bulk'!A:L,12,FALSE)</f>
        <v>605011</v>
      </c>
      <c r="M387" t="str">
        <f>VLOOKUP(A387,'Tableau single and bulk'!A:AA,27,FALSE)</f>
        <v>Liberty Information Technology Ltd</v>
      </c>
    </row>
    <row r="388" spans="1:13">
      <c r="A388" s="7" t="s">
        <v>159</v>
      </c>
      <c r="B388" s="2" t="s">
        <v>1277</v>
      </c>
      <c r="C388" s="2" t="s">
        <v>1309</v>
      </c>
      <c r="D388" s="2" t="s">
        <v>2073</v>
      </c>
      <c r="E388" s="2" t="s">
        <v>159</v>
      </c>
      <c r="F388" s="2" t="s">
        <v>1278</v>
      </c>
      <c r="G388" s="2" t="s">
        <v>1279</v>
      </c>
      <c r="H388">
        <f>VLOOKUP(A388,'Export Worksheet'!A:L,6,FALSE)</f>
        <v>1</v>
      </c>
      <c r="I388" t="str">
        <f>VLOOKUP(A388,'Tableau single and bulk'!A:B,2,FALSE)</f>
        <v>NEBAUTO</v>
      </c>
      <c r="K388" s="9">
        <f>VLOOKUP(A388,'Tableau single and bulk'!A:I,9,FALSE)</f>
        <v>45937.454629629632</v>
      </c>
      <c r="L388">
        <f>VLOOKUP(A388,'Tableau single and bulk'!A:L,12,FALSE)</f>
        <v>603640</v>
      </c>
      <c r="M388" t="str">
        <f>VLOOKUP(A388,'Tableau single and bulk'!A:AA,27,FALSE)</f>
        <v>Petrogas Group Limited</v>
      </c>
    </row>
    <row r="389" spans="1:13" hidden="1">
      <c r="A389" s="7" t="s">
        <v>2025</v>
      </c>
      <c r="B389" s="2" t="s">
        <v>1425</v>
      </c>
      <c r="C389" s="2" t="s">
        <v>1309</v>
      </c>
      <c r="D389" s="2" t="s">
        <v>2024</v>
      </c>
      <c r="E389" s="2" t="s">
        <v>2025</v>
      </c>
      <c r="F389" s="2" t="s">
        <v>1278</v>
      </c>
      <c r="G389" s="2" t="s">
        <v>1279</v>
      </c>
      <c r="H389" t="e">
        <f>VLOOKUP(A389,'Export Worksheet'!A:L,6,FALSE)</f>
        <v>#N/A</v>
      </c>
      <c r="I389" t="str">
        <f>VLOOKUP(A389,'Tableau single and bulk'!A:B,2,FALSE)</f>
        <v>NESAUTO</v>
      </c>
      <c r="K389" s="9">
        <f>VLOOKUP(A389,'Tableau single and bulk'!A:I,9,FALSE)</f>
        <v>45937.847453703704</v>
      </c>
      <c r="L389">
        <f>VLOOKUP(A389,'Tableau single and bulk'!A:L,12,FALSE)</f>
        <v>602944</v>
      </c>
      <c r="M389" t="str">
        <f>VLOOKUP(A389,'Tableau single and bulk'!A:AA,27,FALSE)</f>
        <v>PATRICK J TOBIN LTD</v>
      </c>
    </row>
    <row r="390" spans="1:13" hidden="1">
      <c r="A390" s="7" t="s">
        <v>2033</v>
      </c>
      <c r="B390" s="2" t="s">
        <v>1425</v>
      </c>
      <c r="C390" s="2" t="s">
        <v>1309</v>
      </c>
      <c r="D390" s="2" t="s">
        <v>2032</v>
      </c>
      <c r="E390" s="2" t="s">
        <v>2033</v>
      </c>
      <c r="F390" s="2" t="s">
        <v>1278</v>
      </c>
      <c r="G390" s="2" t="s">
        <v>1279</v>
      </c>
      <c r="H390" t="e">
        <f>VLOOKUP(A390,'Export Worksheet'!A:L,6,FALSE)</f>
        <v>#N/A</v>
      </c>
      <c r="I390" t="str">
        <f>VLOOKUP(A390,'Tableau single and bulk'!A:B,2,FALSE)</f>
        <v>NESAUTO</v>
      </c>
      <c r="K390" s="9">
        <f>VLOOKUP(A390,'Tableau single and bulk'!A:I,9,FALSE)</f>
        <v>45937.813877314817</v>
      </c>
      <c r="L390">
        <f>VLOOKUP(A390,'Tableau single and bulk'!A:L,12,FALSE)</f>
        <v>602944</v>
      </c>
      <c r="M390" t="str">
        <f>VLOOKUP(A390,'Tableau single and bulk'!A:AA,27,FALSE)</f>
        <v>PATRICK J TOBIN LTD</v>
      </c>
    </row>
    <row r="391" spans="1:13" hidden="1">
      <c r="A391" s="7" t="s">
        <v>2029</v>
      </c>
      <c r="B391" s="2" t="s">
        <v>1425</v>
      </c>
      <c r="C391" s="2" t="s">
        <v>1309</v>
      </c>
      <c r="D391" s="2" t="s">
        <v>2028</v>
      </c>
      <c r="E391" s="2" t="s">
        <v>2029</v>
      </c>
      <c r="F391" s="2" t="s">
        <v>1278</v>
      </c>
      <c r="G391" s="2" t="s">
        <v>1279</v>
      </c>
      <c r="H391" t="e">
        <f>VLOOKUP(A391,'Export Worksheet'!A:L,6,FALSE)</f>
        <v>#N/A</v>
      </c>
      <c r="I391" t="str">
        <f>VLOOKUP(A391,'Tableau single and bulk'!A:B,2,FALSE)</f>
        <v>NESAUTO</v>
      </c>
      <c r="K391" s="9">
        <f>VLOOKUP(A391,'Tableau single and bulk'!A:I,9,FALSE)</f>
        <v>45937.823912037034</v>
      </c>
      <c r="L391">
        <f>VLOOKUP(A391,'Tableau single and bulk'!A:L,12,FALSE)</f>
        <v>602944</v>
      </c>
      <c r="M391" t="str">
        <f>VLOOKUP(A391,'Tableau single and bulk'!A:AA,27,FALSE)</f>
        <v>PATRICK J TOBIN LTD</v>
      </c>
    </row>
    <row r="392" spans="1:13" hidden="1">
      <c r="A392" s="7" t="s">
        <v>2031</v>
      </c>
      <c r="B392" s="2" t="s">
        <v>1425</v>
      </c>
      <c r="C392" s="2" t="s">
        <v>1309</v>
      </c>
      <c r="D392" s="2" t="s">
        <v>2030</v>
      </c>
      <c r="E392" s="2" t="s">
        <v>2031</v>
      </c>
      <c r="F392" s="2" t="s">
        <v>1278</v>
      </c>
      <c r="G392" s="2" t="s">
        <v>1279</v>
      </c>
      <c r="H392" t="e">
        <f>VLOOKUP(A392,'Export Worksheet'!A:L,6,FALSE)</f>
        <v>#N/A</v>
      </c>
      <c r="I392" t="str">
        <f>VLOOKUP(A392,'Tableau single and bulk'!A:B,2,FALSE)</f>
        <v>NESAUTO</v>
      </c>
      <c r="K392" s="9">
        <f>VLOOKUP(A392,'Tableau single and bulk'!A:I,9,FALSE)</f>
        <v>45937.818472222221</v>
      </c>
      <c r="L392">
        <f>VLOOKUP(A392,'Tableau single and bulk'!A:L,12,FALSE)</f>
        <v>602944</v>
      </c>
      <c r="M392" t="str">
        <f>VLOOKUP(A392,'Tableau single and bulk'!A:AA,27,FALSE)</f>
        <v>PATRICK J TOBIN LTD</v>
      </c>
    </row>
    <row r="393" spans="1:13" hidden="1">
      <c r="A393" s="7" t="s">
        <v>2027</v>
      </c>
      <c r="B393" s="2" t="s">
        <v>1425</v>
      </c>
      <c r="C393" s="2" t="s">
        <v>1309</v>
      </c>
      <c r="D393" s="2" t="s">
        <v>2026</v>
      </c>
      <c r="E393" s="2" t="s">
        <v>2027</v>
      </c>
      <c r="F393" s="2" t="s">
        <v>1278</v>
      </c>
      <c r="G393" s="2" t="s">
        <v>1279</v>
      </c>
      <c r="H393" t="e">
        <f>VLOOKUP(A393,'Export Worksheet'!A:L,6,FALSE)</f>
        <v>#N/A</v>
      </c>
      <c r="I393" t="str">
        <f>VLOOKUP(A393,'Tableau single and bulk'!A:B,2,FALSE)</f>
        <v>NESAUTO</v>
      </c>
      <c r="K393" s="9">
        <f>VLOOKUP(A393,'Tableau single and bulk'!A:I,9,FALSE)</f>
        <v>45937.832719907405</v>
      </c>
      <c r="L393">
        <f>VLOOKUP(A393,'Tableau single and bulk'!A:L,12,FALSE)</f>
        <v>602944</v>
      </c>
      <c r="M393" t="str">
        <f>VLOOKUP(A393,'Tableau single and bulk'!A:AA,27,FALSE)</f>
        <v>PATRICK J TOBIN LTD</v>
      </c>
    </row>
    <row r="394" spans="1:13" hidden="1">
      <c r="A394" s="7" t="s">
        <v>1754</v>
      </c>
      <c r="B394" s="2" t="s">
        <v>1425</v>
      </c>
      <c r="C394" s="2" t="s">
        <v>1309</v>
      </c>
      <c r="D394" s="2" t="s">
        <v>1753</v>
      </c>
      <c r="E394" s="2" t="s">
        <v>1754</v>
      </c>
      <c r="F394" s="2" t="s">
        <v>1278</v>
      </c>
      <c r="G394" s="2" t="s">
        <v>1279</v>
      </c>
      <c r="H394" t="e">
        <f>VLOOKUP(A394,'Export Worksheet'!A:L,6,FALSE)</f>
        <v>#N/A</v>
      </c>
      <c r="I394" t="str">
        <f>VLOOKUP(A394,'Tableau single and bulk'!A:B,2,FALSE)</f>
        <v>NESAUTO</v>
      </c>
      <c r="K394" s="9">
        <f>VLOOKUP(A394,'Tableau single and bulk'!A:I,9,FALSE)</f>
        <v>45940.560740740744</v>
      </c>
      <c r="L394">
        <f>VLOOKUP(A394,'Tableau single and bulk'!A:L,12,FALSE)</f>
        <v>602944</v>
      </c>
      <c r="M394" t="str">
        <f>VLOOKUP(A394,'Tableau single and bulk'!A:AA,27,FALSE)</f>
        <v>PATRICK J TOBIN LTD</v>
      </c>
    </row>
    <row r="395" spans="1:13">
      <c r="A395" s="7" t="s">
        <v>1004</v>
      </c>
      <c r="B395" s="2" t="s">
        <v>1277</v>
      </c>
      <c r="C395" s="2" t="s">
        <v>1309</v>
      </c>
      <c r="D395" s="2" t="s">
        <v>2002</v>
      </c>
      <c r="E395" s="2" t="s">
        <v>1004</v>
      </c>
      <c r="F395" s="2" t="s">
        <v>1278</v>
      </c>
      <c r="G395" s="2" t="s">
        <v>1279</v>
      </c>
      <c r="H395">
        <f>VLOOKUP(A395,'Export Worksheet'!A:L,6,FALSE)</f>
        <v>5</v>
      </c>
      <c r="I395" t="str">
        <f>VLOOKUP(A395,'Tableau single and bulk'!A:B,2,FALSE)</f>
        <v>NEBAUTO</v>
      </c>
      <c r="K395" s="9">
        <f>VLOOKUP(A395,'Tableau single and bulk'!A:I,9,FALSE)</f>
        <v>45938.57640046296</v>
      </c>
      <c r="L395">
        <f>VLOOKUP(A395,'Tableau single and bulk'!A:L,12,FALSE)</f>
        <v>609839</v>
      </c>
      <c r="M395" t="str">
        <f>VLOOKUP(A395,'Tableau single and bulk'!A:AA,27,FALSE)</f>
        <v>Viatris Pension Plan</v>
      </c>
    </row>
    <row r="396" spans="1:13">
      <c r="A396" s="7" t="s">
        <v>878</v>
      </c>
      <c r="B396" s="2" t="s">
        <v>1954</v>
      </c>
      <c r="C396" s="2" t="s">
        <v>1309</v>
      </c>
      <c r="D396" s="2" t="s">
        <v>1955</v>
      </c>
      <c r="E396" s="2" t="s">
        <v>878</v>
      </c>
      <c r="F396" s="2" t="s">
        <v>1278</v>
      </c>
      <c r="G396" s="2" t="s">
        <v>1279</v>
      </c>
      <c r="H396">
        <f>VLOOKUP(A396,'Export Worksheet'!A:L,6,FALSE)</f>
        <v>4</v>
      </c>
      <c r="I396" t="str">
        <f>VLOOKUP(A396,'Tableau single and bulk'!A:B,2,FALSE)</f>
        <v>NEBAUTO</v>
      </c>
      <c r="K396" s="9">
        <f>VLOOKUP(A396,'Tableau single and bulk'!A:I,9,FALSE)</f>
        <v>45939.429224537038</v>
      </c>
      <c r="L396">
        <f>VLOOKUP(A396,'Tableau single and bulk'!A:L,12,FALSE)</f>
        <v>602557</v>
      </c>
      <c r="M396" t="str">
        <f>VLOOKUP(A396,'Tableau single and bulk'!A:AA,27,FALSE)</f>
        <v>PROMETRIC IRELAND LTD</v>
      </c>
    </row>
    <row r="397" spans="1:13" hidden="1">
      <c r="A397" s="7" t="s">
        <v>1817</v>
      </c>
      <c r="B397" s="2" t="s">
        <v>1815</v>
      </c>
      <c r="C397" s="2" t="s">
        <v>1309</v>
      </c>
      <c r="D397" s="2" t="s">
        <v>1816</v>
      </c>
      <c r="E397" s="2" t="s">
        <v>1817</v>
      </c>
      <c r="F397" s="2" t="s">
        <v>1278</v>
      </c>
      <c r="G397" s="2" t="s">
        <v>1279</v>
      </c>
      <c r="H397" t="e">
        <f>VLOOKUP(A397,'Export Worksheet'!A:L,6,FALSE)</f>
        <v>#N/A</v>
      </c>
      <c r="I397" t="str">
        <f>VLOOKUP(A397,'Tableau single and bulk'!A:B,2,FALSE)</f>
        <v>NESAUTO</v>
      </c>
      <c r="K397" s="9">
        <f>VLOOKUP(A397,'Tableau single and bulk'!A:I,9,FALSE)</f>
        <v>45939.64203703704</v>
      </c>
      <c r="L397">
        <f>VLOOKUP(A397,'Tableau single and bulk'!A:L,12,FALSE)</f>
        <v>601054</v>
      </c>
      <c r="M397" t="str">
        <f>VLOOKUP(A397,'Tableau single and bulk'!A:AA,27,FALSE)</f>
        <v>Chime</v>
      </c>
    </row>
    <row r="398" spans="1:13" hidden="1">
      <c r="A398" s="7" t="s">
        <v>2101</v>
      </c>
      <c r="B398" s="2" t="s">
        <v>1368</v>
      </c>
      <c r="C398" s="2" t="s">
        <v>1309</v>
      </c>
      <c r="D398" s="2" t="s">
        <v>2100</v>
      </c>
      <c r="E398" s="2" t="s">
        <v>2101</v>
      </c>
      <c r="F398" s="2" t="s">
        <v>1278</v>
      </c>
      <c r="G398" s="2" t="s">
        <v>1279</v>
      </c>
      <c r="H398" t="e">
        <f>VLOOKUP(A398,'Export Worksheet'!A:L,6,FALSE)</f>
        <v>#N/A</v>
      </c>
      <c r="I398" t="str">
        <f>VLOOKUP(A398,'Tableau single and bulk'!A:B,2,FALSE)</f>
        <v>NESAUTO</v>
      </c>
      <c r="K398" s="9">
        <f>VLOOKUP(A398,'Tableau single and bulk'!A:I,9,FALSE)</f>
        <v>45936.690312500003</v>
      </c>
      <c r="L398">
        <f>VLOOKUP(A398,'Tableau single and bulk'!A:L,12,FALSE)</f>
        <v>603293</v>
      </c>
      <c r="M398" t="str">
        <f>VLOOKUP(A398,'Tableau single and bulk'!A:AA,27,FALSE)</f>
        <v>Advanced Laboratory Testing Limited</v>
      </c>
    </row>
    <row r="399" spans="1:13" hidden="1">
      <c r="A399" s="7" t="s">
        <v>1971</v>
      </c>
      <c r="B399" s="2" t="s">
        <v>813</v>
      </c>
      <c r="C399" s="2" t="s">
        <v>1309</v>
      </c>
      <c r="D399" s="2" t="s">
        <v>1970</v>
      </c>
      <c r="E399" s="2" t="s">
        <v>1971</v>
      </c>
      <c r="F399" s="2" t="s">
        <v>1278</v>
      </c>
      <c r="G399" s="2" t="s">
        <v>1279</v>
      </c>
      <c r="H399" t="e">
        <f>VLOOKUP(A399,'Export Worksheet'!A:L,6,FALSE)</f>
        <v>#N/A</v>
      </c>
      <c r="I399" t="str">
        <f>VLOOKUP(A399,'Tableau single and bulk'!A:B,2,FALSE)</f>
        <v>NESAUTO</v>
      </c>
      <c r="K399" s="9">
        <f>VLOOKUP(A399,'Tableau single and bulk'!A:I,9,FALSE)</f>
        <v>45938.679907407408</v>
      </c>
      <c r="L399">
        <f>VLOOKUP(A399,'Tableau single and bulk'!A:L,12,FALSE)</f>
        <v>603549</v>
      </c>
      <c r="M399" t="str">
        <f>VLOOKUP(A399,'Tableau single and bulk'!A:AA,27,FALSE)</f>
        <v>Royal London Mutual Ins. Society Ltd.</v>
      </c>
    </row>
    <row r="400" spans="1:13" hidden="1">
      <c r="A400" s="7" t="s">
        <v>1976</v>
      </c>
      <c r="B400" s="2" t="s">
        <v>1974</v>
      </c>
      <c r="C400" s="2" t="s">
        <v>1309</v>
      </c>
      <c r="D400" s="2" t="s">
        <v>1975</v>
      </c>
      <c r="E400" s="2" t="s">
        <v>1976</v>
      </c>
      <c r="F400" s="2" t="s">
        <v>1278</v>
      </c>
      <c r="G400" s="2" t="s">
        <v>1279</v>
      </c>
      <c r="H400" t="e">
        <f>VLOOKUP(A400,'Export Worksheet'!A:L,6,FALSE)</f>
        <v>#N/A</v>
      </c>
      <c r="I400" t="str">
        <f>VLOOKUP(A400,'Tableau single and bulk'!A:B,2,FALSE)</f>
        <v>NESAUTO</v>
      </c>
      <c r="K400" s="9">
        <f>VLOOKUP(A400,'Tableau single and bulk'!A:I,9,FALSE)</f>
        <v>45938.636296296296</v>
      </c>
      <c r="L400">
        <f>VLOOKUP(A400,'Tableau single and bulk'!A:L,12,FALSE)</f>
        <v>609726</v>
      </c>
      <c r="M400" t="str">
        <f>VLOOKUP(A400,'Tableau single and bulk'!A:AA,27,FALSE)</f>
        <v>Discover Limerick DAC</v>
      </c>
    </row>
    <row r="401" spans="1:13">
      <c r="A401" s="7" t="s">
        <v>834</v>
      </c>
      <c r="B401" s="2" t="s">
        <v>1277</v>
      </c>
      <c r="C401" s="2" t="s">
        <v>1309</v>
      </c>
      <c r="D401" s="2" t="s">
        <v>1981</v>
      </c>
      <c r="E401" s="2" t="s">
        <v>834</v>
      </c>
      <c r="F401" s="2" t="s">
        <v>1278</v>
      </c>
      <c r="G401" s="2" t="s">
        <v>1279</v>
      </c>
      <c r="H401">
        <f>VLOOKUP(A401,'Export Worksheet'!A:L,6,FALSE)</f>
        <v>16</v>
      </c>
      <c r="I401" t="str">
        <f>VLOOKUP(A401,'Tableau single and bulk'!A:B,2,FALSE)</f>
        <v>NEBAUTO</v>
      </c>
      <c r="K401" s="9">
        <f>VLOOKUP(A401,'Tableau single and bulk'!A:I,9,FALSE)</f>
        <v>45938.629247685189</v>
      </c>
      <c r="L401">
        <f>VLOOKUP(A401,'Tableau single and bulk'!A:L,12,FALSE)</f>
        <v>603616</v>
      </c>
      <c r="M401" t="str">
        <f>VLOOKUP(A401,'Tableau single and bulk'!A:AA,27,FALSE)</f>
        <v>Google Ireland Limited</v>
      </c>
    </row>
    <row r="402" spans="1:13">
      <c r="A402" s="7" t="s">
        <v>838</v>
      </c>
      <c r="B402" s="2" t="s">
        <v>1277</v>
      </c>
      <c r="C402" s="2" t="s">
        <v>1309</v>
      </c>
      <c r="D402" s="2" t="s">
        <v>1972</v>
      </c>
      <c r="E402" s="2" t="s">
        <v>838</v>
      </c>
      <c r="F402" s="2" t="s">
        <v>1278</v>
      </c>
      <c r="G402" s="2" t="s">
        <v>1279</v>
      </c>
      <c r="H402">
        <f>VLOOKUP(A402,'Export Worksheet'!A:L,6,FALSE)</f>
        <v>13</v>
      </c>
      <c r="I402" t="str">
        <f>VLOOKUP(A402,'Tableau single and bulk'!A:B,2,FALSE)</f>
        <v>NEBAUTO</v>
      </c>
      <c r="K402" s="9">
        <f>VLOOKUP(A402,'Tableau single and bulk'!A:I,9,FALSE)</f>
        <v>45938.65902777778</v>
      </c>
      <c r="L402">
        <f>VLOOKUP(A402,'Tableau single and bulk'!A:L,12,FALSE)</f>
        <v>603011</v>
      </c>
      <c r="M402" t="str">
        <f>VLOOKUP(A402,'Tableau single and bulk'!A:AA,27,FALSE)</f>
        <v>Cornmarket GFS Ltd.</v>
      </c>
    </row>
    <row r="403" spans="1:13" hidden="1">
      <c r="A403" s="7" t="s">
        <v>2086</v>
      </c>
      <c r="B403" s="2" t="s">
        <v>1588</v>
      </c>
      <c r="C403" s="2" t="s">
        <v>1309</v>
      </c>
      <c r="D403" s="2" t="s">
        <v>2085</v>
      </c>
      <c r="E403" s="2" t="s">
        <v>2086</v>
      </c>
      <c r="F403" s="2" t="s">
        <v>1278</v>
      </c>
      <c r="G403" s="2" t="s">
        <v>1279</v>
      </c>
      <c r="H403" t="e">
        <f>VLOOKUP(A403,'Export Worksheet'!A:L,6,FALSE)</f>
        <v>#N/A</v>
      </c>
      <c r="I403" t="str">
        <f>VLOOKUP(A403,'Tableau single and bulk'!A:B,2,FALSE)</f>
        <v>NESAUTO</v>
      </c>
      <c r="K403" s="9">
        <f>VLOOKUP(A403,'Tableau single and bulk'!A:I,9,FALSE)</f>
        <v>45937.399293981478</v>
      </c>
      <c r="L403">
        <f>VLOOKUP(A403,'Tableau single and bulk'!A:L,12,FALSE)</f>
        <v>601479</v>
      </c>
      <c r="M403" t="str">
        <f>VLOOKUP(A403,'Tableau single and bulk'!A:AA,27,FALSE)</f>
        <v>ByrneWallace RS Plan</v>
      </c>
    </row>
    <row r="404" spans="1:13">
      <c r="A404" s="7" t="s">
        <v>876</v>
      </c>
      <c r="B404" s="2" t="s">
        <v>1954</v>
      </c>
      <c r="C404" s="2" t="s">
        <v>1309</v>
      </c>
      <c r="D404" s="2" t="s">
        <v>1956</v>
      </c>
      <c r="E404" s="2" t="s">
        <v>876</v>
      </c>
      <c r="F404" s="2" t="s">
        <v>1278</v>
      </c>
      <c r="G404" s="2" t="s">
        <v>1279</v>
      </c>
      <c r="H404">
        <f>VLOOKUP(A404,'Export Worksheet'!A:L,6,FALSE)</f>
        <v>2</v>
      </c>
      <c r="I404" t="str">
        <f>VLOOKUP(A404,'Tableau single and bulk'!A:B,2,FALSE)</f>
        <v>NEBAUTO</v>
      </c>
      <c r="K404" s="9">
        <f>VLOOKUP(A404,'Tableau single and bulk'!A:I,9,FALSE)</f>
        <v>45939.420219907406</v>
      </c>
      <c r="L404">
        <f>VLOOKUP(A404,'Tableau single and bulk'!A:L,12,FALSE)</f>
        <v>602557</v>
      </c>
      <c r="M404" t="str">
        <f>VLOOKUP(A404,'Tableau single and bulk'!A:AA,27,FALSE)</f>
        <v>PROMETRIC IRELAND LTD</v>
      </c>
    </row>
    <row r="405" spans="1:13">
      <c r="A405" s="7" t="s">
        <v>601</v>
      </c>
      <c r="B405" s="2" t="s">
        <v>1293</v>
      </c>
      <c r="C405" s="2" t="s">
        <v>1309</v>
      </c>
      <c r="D405" s="2" t="s">
        <v>1842</v>
      </c>
      <c r="E405" s="2" t="s">
        <v>601</v>
      </c>
      <c r="F405" s="2" t="s">
        <v>1278</v>
      </c>
      <c r="G405" s="2" t="s">
        <v>1279</v>
      </c>
      <c r="H405">
        <f>VLOOKUP(A405,'Export Worksheet'!A:L,6,FALSE)</f>
        <v>12</v>
      </c>
      <c r="I405" t="str">
        <f>VLOOKUP(A405,'Tableau single and bulk'!A:B,2,FALSE)</f>
        <v>NEBAUTO</v>
      </c>
      <c r="K405" s="9">
        <f>VLOOKUP(A405,'Tableau single and bulk'!A:I,9,FALSE)</f>
        <v>45939.553587962961</v>
      </c>
      <c r="L405">
        <f>VLOOKUP(A405,'Tableau single and bulk'!A:L,12,FALSE)</f>
        <v>608020</v>
      </c>
      <c r="M405" t="str">
        <f>VLOOKUP(A405,'Tableau single and bulk'!A:AA,27,FALSE)</f>
        <v>Renaissance Services of Europe Limited</v>
      </c>
    </row>
    <row r="406" spans="1:13">
      <c r="A406" s="7" t="s">
        <v>175</v>
      </c>
      <c r="B406" s="2" t="s">
        <v>1527</v>
      </c>
      <c r="C406" s="2" t="s">
        <v>1309</v>
      </c>
      <c r="D406" s="2" t="s">
        <v>1838</v>
      </c>
      <c r="E406" s="2" t="s">
        <v>175</v>
      </c>
      <c r="F406" s="2" t="s">
        <v>1278</v>
      </c>
      <c r="G406" s="2" t="s">
        <v>1279</v>
      </c>
      <c r="H406">
        <f>VLOOKUP(A406,'Export Worksheet'!A:L,6,FALSE)</f>
        <v>5</v>
      </c>
      <c r="I406" t="str">
        <f>VLOOKUP(A406,'Tableau single and bulk'!A:B,2,FALSE)</f>
        <v>NEBAUTO</v>
      </c>
      <c r="K406" s="9">
        <f>VLOOKUP(A406,'Tableau single and bulk'!A:I,9,FALSE)</f>
        <v>45939.604097222225</v>
      </c>
      <c r="L406">
        <f>VLOOKUP(A406,'Tableau single and bulk'!A:L,12,FALSE)</f>
        <v>603471</v>
      </c>
      <c r="M406" t="str">
        <f>VLOOKUP(A406,'Tableau single and bulk'!A:AA,27,FALSE)</f>
        <v>Zendesk International Limited</v>
      </c>
    </row>
    <row r="407" spans="1:13" hidden="1">
      <c r="A407" s="7" t="s">
        <v>1934</v>
      </c>
      <c r="B407" s="2" t="s">
        <v>1844</v>
      </c>
      <c r="C407" s="2" t="s">
        <v>1309</v>
      </c>
      <c r="D407" s="2" t="s">
        <v>1933</v>
      </c>
      <c r="E407" s="2" t="s">
        <v>1934</v>
      </c>
      <c r="F407" s="2" t="s">
        <v>1278</v>
      </c>
      <c r="G407" s="2" t="s">
        <v>1279</v>
      </c>
      <c r="H407" t="e">
        <f>VLOOKUP(A407,'Export Worksheet'!A:L,6,FALSE)</f>
        <v>#N/A</v>
      </c>
      <c r="I407" t="str">
        <f>VLOOKUP(A407,'Tableau single and bulk'!A:B,2,FALSE)</f>
        <v>NESAUTO</v>
      </c>
      <c r="K407" s="9">
        <f>VLOOKUP(A407,'Tableau single and bulk'!A:I,9,FALSE)</f>
        <v>45939.510034722225</v>
      </c>
      <c r="L407">
        <f>VLOOKUP(A407,'Tableau single and bulk'!A:L,12,FALSE)</f>
        <v>606871</v>
      </c>
      <c r="M407" t="str">
        <f>VLOOKUP(A407,'Tableau single and bulk'!A:AA,27,FALSE)</f>
        <v>Capita PLC</v>
      </c>
    </row>
    <row r="408" spans="1:13">
      <c r="A408" s="7" t="s">
        <v>397</v>
      </c>
      <c r="B408" s="2" t="s">
        <v>1939</v>
      </c>
      <c r="C408" s="2" t="s">
        <v>1309</v>
      </c>
      <c r="D408" s="2" t="s">
        <v>1940</v>
      </c>
      <c r="E408" s="2" t="s">
        <v>397</v>
      </c>
      <c r="F408" s="2" t="s">
        <v>1278</v>
      </c>
      <c r="G408" s="2" t="s">
        <v>1279</v>
      </c>
      <c r="H408">
        <f>VLOOKUP(A408,'Export Worksheet'!A:L,6,FALSE)</f>
        <v>7</v>
      </c>
      <c r="I408" t="str">
        <f>VLOOKUP(A408,'Tableau single and bulk'!A:B,2,FALSE)</f>
        <v>NEBAUTO</v>
      </c>
      <c r="K408" s="9">
        <f>VLOOKUP(A408,'Tableau single and bulk'!A:I,9,FALSE)</f>
        <v>45939.502905092595</v>
      </c>
      <c r="L408">
        <f>VLOOKUP(A408,'Tableau single and bulk'!A:L,12,FALSE)</f>
        <v>602115</v>
      </c>
      <c r="M408" t="str">
        <f>VLOOKUP(A408,'Tableau single and bulk'!A:AA,27,FALSE)</f>
        <v>Symphonyai Netreveal Ireland Limited</v>
      </c>
    </row>
    <row r="409" spans="1:13">
      <c r="A409" s="7" t="s">
        <v>767</v>
      </c>
      <c r="B409" s="2" t="s">
        <v>1277</v>
      </c>
      <c r="C409" s="2" t="s">
        <v>1309</v>
      </c>
      <c r="D409" s="2" t="s">
        <v>2001</v>
      </c>
      <c r="E409" s="2" t="s">
        <v>767</v>
      </c>
      <c r="F409" s="2" t="s">
        <v>1278</v>
      </c>
      <c r="G409" s="2" t="s">
        <v>1279</v>
      </c>
      <c r="H409">
        <f>VLOOKUP(A409,'Export Worksheet'!A:L,6,FALSE)</f>
        <v>2</v>
      </c>
      <c r="I409" t="str">
        <f>VLOOKUP(A409,'Tableau single and bulk'!A:B,2,FALSE)</f>
        <v>NEBAUTO</v>
      </c>
      <c r="K409" s="9">
        <f>VLOOKUP(A409,'Tableau single and bulk'!A:I,9,FALSE)</f>
        <v>45938.576574074075</v>
      </c>
      <c r="L409">
        <f>VLOOKUP(A409,'Tableau single and bulk'!A:L,12,FALSE)</f>
        <v>603688</v>
      </c>
      <c r="M409" t="str">
        <f>VLOOKUP(A409,'Tableau single and bulk'!A:AA,27,FALSE)</f>
        <v>Thera Pharmaceuticals Ltd</v>
      </c>
    </row>
    <row r="410" spans="1:13">
      <c r="A410" s="7" t="s">
        <v>2065</v>
      </c>
      <c r="B410" s="2" t="s">
        <v>1277</v>
      </c>
      <c r="C410" s="2" t="s">
        <v>1309</v>
      </c>
      <c r="D410" s="2" t="s">
        <v>2064</v>
      </c>
      <c r="E410" s="2" t="s">
        <v>2065</v>
      </c>
      <c r="F410" s="2" t="s">
        <v>1278</v>
      </c>
      <c r="G410" s="2" t="s">
        <v>1279</v>
      </c>
      <c r="H410" t="e">
        <f>VLOOKUP(A410,'Export Worksheet'!A:L,6,FALSE)</f>
        <v>#N/A</v>
      </c>
      <c r="I410" t="str">
        <f>VLOOKUP(A410,'Tableau single and bulk'!A:B,2,FALSE)</f>
        <v>NEBAUTO</v>
      </c>
      <c r="K410" s="9">
        <f>VLOOKUP(A410,'Tableau single and bulk'!A:I,9,FALSE)</f>
        <v>45937.492199074077</v>
      </c>
      <c r="L410">
        <f>VLOOKUP(A410,'Tableau single and bulk'!A:L,12,FALSE)</f>
        <v>603505</v>
      </c>
      <c r="M410" t="str">
        <f>VLOOKUP(A410,'Tableau single and bulk'!A:AA,27,FALSE)</f>
        <v>Grifols Worldwide Operations Ltd</v>
      </c>
    </row>
    <row r="411" spans="1:13" hidden="1">
      <c r="A411" s="7" t="s">
        <v>1949</v>
      </c>
      <c r="B411" s="2" t="s">
        <v>1947</v>
      </c>
      <c r="C411" s="2" t="s">
        <v>1309</v>
      </c>
      <c r="D411" s="2" t="s">
        <v>1948</v>
      </c>
      <c r="E411" s="2" t="s">
        <v>1949</v>
      </c>
      <c r="F411" s="2" t="s">
        <v>1278</v>
      </c>
      <c r="G411" s="2" t="s">
        <v>1279</v>
      </c>
      <c r="H411" t="e">
        <f>VLOOKUP(A411,'Export Worksheet'!A:L,6,FALSE)</f>
        <v>#N/A</v>
      </c>
      <c r="I411" t="str">
        <f>VLOOKUP(A411,'Tableau single and bulk'!A:B,2,FALSE)</f>
        <v>NESAUTO</v>
      </c>
      <c r="K411" s="9">
        <f>VLOOKUP(A411,'Tableau single and bulk'!A:I,9,FALSE)</f>
        <v>45939.489340277774</v>
      </c>
      <c r="L411">
        <f>VLOOKUP(A411,'Tableau single and bulk'!A:L,12,FALSE)</f>
        <v>603386</v>
      </c>
      <c r="M411" t="str">
        <f>VLOOKUP(A411,'Tableau single and bulk'!A:AA,27,FALSE)</f>
        <v>Signode Packaging Ireland Limited</v>
      </c>
    </row>
    <row r="412" spans="1:13" hidden="1">
      <c r="A412" s="7" t="s">
        <v>1821</v>
      </c>
      <c r="B412" s="2" t="s">
        <v>1764</v>
      </c>
      <c r="C412" s="2" t="s">
        <v>1309</v>
      </c>
      <c r="D412" s="2" t="s">
        <v>1820</v>
      </c>
      <c r="E412" s="2" t="s">
        <v>1821</v>
      </c>
      <c r="F412" s="2" t="s">
        <v>1278</v>
      </c>
      <c r="G412" s="2" t="s">
        <v>1279</v>
      </c>
      <c r="H412" t="e">
        <f>VLOOKUP(A412,'Export Worksheet'!A:L,6,FALSE)</f>
        <v>#N/A</v>
      </c>
      <c r="I412" t="str">
        <f>VLOOKUP(A412,'Tableau single and bulk'!A:B,2,FALSE)</f>
        <v>NESAUTO</v>
      </c>
      <c r="K412" s="9">
        <f>VLOOKUP(A412,'Tableau single and bulk'!A:I,9,FALSE)</f>
        <v>45939.633935185186</v>
      </c>
      <c r="L412">
        <f>VLOOKUP(A412,'Tableau single and bulk'!A:L,12,FALSE)</f>
        <v>605011</v>
      </c>
      <c r="M412" t="str">
        <f>VLOOKUP(A412,'Tableau single and bulk'!A:AA,27,FALSE)</f>
        <v>Liberty Information Technology Ltd</v>
      </c>
    </row>
    <row r="413" spans="1:13" hidden="1">
      <c r="A413" s="7" t="s">
        <v>1832</v>
      </c>
      <c r="B413" s="2" t="s">
        <v>1776</v>
      </c>
      <c r="C413" s="2" t="s">
        <v>1309</v>
      </c>
      <c r="D413" s="2" t="s">
        <v>1831</v>
      </c>
      <c r="E413" s="2" t="s">
        <v>1832</v>
      </c>
      <c r="F413" s="2" t="s">
        <v>1278</v>
      </c>
      <c r="G413" s="2" t="s">
        <v>1279</v>
      </c>
      <c r="H413" t="e">
        <f>VLOOKUP(A413,'Export Worksheet'!A:L,6,FALSE)</f>
        <v>#N/A</v>
      </c>
      <c r="I413" t="str">
        <f>VLOOKUP(A413,'Tableau single and bulk'!A:B,2,FALSE)</f>
        <v>NESAUTO</v>
      </c>
      <c r="K413" s="9">
        <f>VLOOKUP(A413,'Tableau single and bulk'!A:I,9,FALSE)</f>
        <v>45939.611851851849</v>
      </c>
      <c r="L413">
        <f>VLOOKUP(A413,'Tableau single and bulk'!A:L,12,FALSE)</f>
        <v>602880</v>
      </c>
      <c r="M413" t="str">
        <f>VLOOKUP(A413,'Tableau single and bulk'!A:AA,27,FALSE)</f>
        <v>Chemifloc Limited</v>
      </c>
    </row>
    <row r="414" spans="1:13" hidden="1">
      <c r="A414" s="7" t="s">
        <v>1830</v>
      </c>
      <c r="B414" s="2" t="s">
        <v>1452</v>
      </c>
      <c r="C414" s="2" t="s">
        <v>1309</v>
      </c>
      <c r="D414" s="2" t="s">
        <v>1829</v>
      </c>
      <c r="E414" s="2" t="s">
        <v>1830</v>
      </c>
      <c r="F414" s="2" t="s">
        <v>1278</v>
      </c>
      <c r="G414" s="2" t="s">
        <v>1279</v>
      </c>
      <c r="H414" t="e">
        <f>VLOOKUP(A414,'Export Worksheet'!A:L,6,FALSE)</f>
        <v>#N/A</v>
      </c>
      <c r="I414" t="str">
        <f>VLOOKUP(A414,'Tableau single and bulk'!A:B,2,FALSE)</f>
        <v>NESAUTO</v>
      </c>
      <c r="K414" s="9">
        <f>VLOOKUP(A414,'Tableau single and bulk'!A:I,9,FALSE)</f>
        <v>45939.617465277777</v>
      </c>
      <c r="L414">
        <f>VLOOKUP(A414,'Tableau single and bulk'!A:L,12,FALSE)</f>
        <v>602598</v>
      </c>
      <c r="M414" t="str">
        <f>VLOOKUP(A414,'Tableau single and bulk'!A:AA,27,FALSE)</f>
        <v>ING Bank N.V. Dublin Branch</v>
      </c>
    </row>
    <row r="415" spans="1:13">
      <c r="A415" s="7" t="s">
        <v>599</v>
      </c>
      <c r="B415" s="2" t="s">
        <v>1616</v>
      </c>
      <c r="C415" s="2" t="s">
        <v>1309</v>
      </c>
      <c r="D415" s="2" t="s">
        <v>1850</v>
      </c>
      <c r="E415" s="2" t="s">
        <v>599</v>
      </c>
      <c r="F415" s="2" t="s">
        <v>1278</v>
      </c>
      <c r="G415" s="2" t="s">
        <v>1279</v>
      </c>
      <c r="H415">
        <f>VLOOKUP(A415,'Export Worksheet'!A:L,6,FALSE)</f>
        <v>1</v>
      </c>
      <c r="I415" t="str">
        <f>VLOOKUP(A415,'Tableau single and bulk'!A:B,2,FALSE)</f>
        <v>NEBAUTO</v>
      </c>
      <c r="K415" s="9">
        <f>VLOOKUP(A415,'Tableau single and bulk'!A:I,9,FALSE)</f>
        <v>45939.516516203701</v>
      </c>
      <c r="L415">
        <f>VLOOKUP(A415,'Tableau single and bulk'!A:L,12,FALSE)</f>
        <v>605239</v>
      </c>
      <c r="M415" t="str">
        <f>VLOOKUP(A415,'Tableau single and bulk'!A:AA,27,FALSE)</f>
        <v>Arctera International Limited</v>
      </c>
    </row>
    <row r="416" spans="1:13" hidden="1">
      <c r="A416" s="7" t="s">
        <v>1840</v>
      </c>
      <c r="B416" s="2" t="s">
        <v>1425</v>
      </c>
      <c r="C416" s="2" t="s">
        <v>1309</v>
      </c>
      <c r="D416" s="2" t="s">
        <v>1839</v>
      </c>
      <c r="E416" s="2" t="s">
        <v>1840</v>
      </c>
      <c r="F416" s="2" t="s">
        <v>1278</v>
      </c>
      <c r="G416" s="2" t="s">
        <v>1279</v>
      </c>
      <c r="H416" t="e">
        <f>VLOOKUP(A416,'Export Worksheet'!A:L,6,FALSE)</f>
        <v>#N/A</v>
      </c>
      <c r="I416" t="str">
        <f>VLOOKUP(A416,'Tableau single and bulk'!A:B,2,FALSE)</f>
        <v>NESAUTO</v>
      </c>
      <c r="K416" s="9">
        <f>VLOOKUP(A416,'Tableau single and bulk'!A:I,9,FALSE)</f>
        <v>45939.593773148146</v>
      </c>
      <c r="L416">
        <f>VLOOKUP(A416,'Tableau single and bulk'!A:L,12,FALSE)</f>
        <v>602944</v>
      </c>
      <c r="M416" t="str">
        <f>VLOOKUP(A416,'Tableau single and bulk'!A:AA,27,FALSE)</f>
        <v>PATRICK J TOBIN LTD</v>
      </c>
    </row>
    <row r="417" spans="1:13">
      <c r="A417" s="7" t="s">
        <v>392</v>
      </c>
      <c r="B417" s="2" t="s">
        <v>1304</v>
      </c>
      <c r="C417" s="2" t="s">
        <v>1309</v>
      </c>
      <c r="D417" s="2" t="s">
        <v>1958</v>
      </c>
      <c r="E417" s="2" t="s">
        <v>392</v>
      </c>
      <c r="F417" s="2" t="s">
        <v>1278</v>
      </c>
      <c r="G417" s="2" t="s">
        <v>1279</v>
      </c>
      <c r="H417">
        <f>VLOOKUP(A417,'Export Worksheet'!A:L,6,FALSE)</f>
        <v>8</v>
      </c>
      <c r="I417" t="str">
        <f>VLOOKUP(A417,'Tableau single and bulk'!A:B,2,FALSE)</f>
        <v>NEBAUTO</v>
      </c>
      <c r="K417" s="9">
        <f>VLOOKUP(A417,'Tableau single and bulk'!A:I,9,FALSE)</f>
        <v>45939.403877314813</v>
      </c>
      <c r="L417">
        <f>VLOOKUP(A417,'Tableau single and bulk'!A:L,12,FALSE)</f>
        <v>601448</v>
      </c>
      <c r="M417" t="str">
        <f>VLOOKUP(A417,'Tableau single and bulk'!A:AA,27,FALSE)</f>
        <v>Arvato Ireland Ltd</v>
      </c>
    </row>
    <row r="418" spans="1:13" hidden="1">
      <c r="A418" s="7" t="s">
        <v>1824</v>
      </c>
      <c r="B418" s="2" t="s">
        <v>1822</v>
      </c>
      <c r="C418" s="2" t="s">
        <v>1309</v>
      </c>
      <c r="D418" s="2" t="s">
        <v>1823</v>
      </c>
      <c r="E418" s="2" t="s">
        <v>1824</v>
      </c>
      <c r="F418" s="2" t="s">
        <v>1278</v>
      </c>
      <c r="G418" s="2" t="s">
        <v>1279</v>
      </c>
      <c r="H418" t="e">
        <f>VLOOKUP(A418,'Export Worksheet'!A:L,6,FALSE)</f>
        <v>#N/A</v>
      </c>
      <c r="I418" t="str">
        <f>VLOOKUP(A418,'Tableau single and bulk'!A:B,2,FALSE)</f>
        <v>NESAUTO</v>
      </c>
      <c r="K418" s="9">
        <f>VLOOKUP(A418,'Tableau single and bulk'!A:I,9,FALSE)</f>
        <v>45939.633437500001</v>
      </c>
      <c r="L418">
        <f>VLOOKUP(A418,'Tableau single and bulk'!A:L,12,FALSE)</f>
        <v>606944</v>
      </c>
      <c r="M418" t="str">
        <f>VLOOKUP(A418,'Tableau single and bulk'!A:AA,27,FALSE)</f>
        <v>Fortinet Ireland Limited</v>
      </c>
    </row>
    <row r="419" spans="1:13" hidden="1">
      <c r="A419" s="7" t="s">
        <v>1814</v>
      </c>
      <c r="B419" s="2" t="s">
        <v>1812</v>
      </c>
      <c r="C419" s="2" t="s">
        <v>1309</v>
      </c>
      <c r="D419" s="2" t="s">
        <v>1813</v>
      </c>
      <c r="E419" s="2" t="s">
        <v>1814</v>
      </c>
      <c r="F419" s="2" t="s">
        <v>1278</v>
      </c>
      <c r="G419" s="2" t="s">
        <v>1279</v>
      </c>
      <c r="H419" t="e">
        <f>VLOOKUP(A419,'Export Worksheet'!A:L,6,FALSE)</f>
        <v>#N/A</v>
      </c>
      <c r="I419" t="str">
        <f>VLOOKUP(A419,'Tableau single and bulk'!A:B,2,FALSE)</f>
        <v>NESAUTO</v>
      </c>
      <c r="K419" s="9">
        <f>VLOOKUP(A419,'Tableau single and bulk'!A:I,9,FALSE)</f>
        <v>45939.649131944447</v>
      </c>
      <c r="L419">
        <f>VLOOKUP(A419,'Tableau single and bulk'!A:L,12,FALSE)</f>
        <v>603017</v>
      </c>
      <c r="M419" t="str">
        <f>VLOOKUP(A419,'Tableau single and bulk'!A:AA,27,FALSE)</f>
        <v>NSRS Comms Ireland Limited</v>
      </c>
    </row>
    <row r="420" spans="1:13">
      <c r="A420" s="7" t="s">
        <v>595</v>
      </c>
      <c r="B420" s="2" t="s">
        <v>1941</v>
      </c>
      <c r="C420" s="2" t="s">
        <v>1309</v>
      </c>
      <c r="D420" s="2" t="s">
        <v>1942</v>
      </c>
      <c r="E420" s="2" t="s">
        <v>595</v>
      </c>
      <c r="F420" s="2" t="s">
        <v>1278</v>
      </c>
      <c r="G420" s="2" t="s">
        <v>1279</v>
      </c>
      <c r="H420">
        <f>VLOOKUP(A420,'Export Worksheet'!A:L,6,FALSE)</f>
        <v>9</v>
      </c>
      <c r="I420" t="str">
        <f>VLOOKUP(A420,'Tableau single and bulk'!A:B,2,FALSE)</f>
        <v>NEBAUTO</v>
      </c>
      <c r="K420" s="9">
        <f>VLOOKUP(A420,'Tableau single and bulk'!A:I,9,FALSE)</f>
        <v>45939.496874999997</v>
      </c>
      <c r="L420">
        <f>VLOOKUP(A420,'Tableau single and bulk'!A:L,12,FALSE)</f>
        <v>609984</v>
      </c>
      <c r="M420" t="str">
        <f>VLOOKUP(A420,'Tableau single and bulk'!A:AA,27,FALSE)</f>
        <v>Rippling Ireland Limited</v>
      </c>
    </row>
    <row r="421" spans="1:13">
      <c r="A421" s="7" t="s">
        <v>400</v>
      </c>
      <c r="B421" s="2" t="s">
        <v>1425</v>
      </c>
      <c r="C421" s="2" t="s">
        <v>1309</v>
      </c>
      <c r="D421" s="2" t="s">
        <v>1793</v>
      </c>
      <c r="E421" s="2" t="s">
        <v>400</v>
      </c>
      <c r="F421" s="2" t="s">
        <v>1278</v>
      </c>
      <c r="G421" s="2" t="s">
        <v>1279</v>
      </c>
      <c r="H421">
        <f>VLOOKUP(A421,'Export Worksheet'!A:L,6,FALSE)</f>
        <v>1</v>
      </c>
      <c r="I421" t="str">
        <f>VLOOKUP(A421,'Tableau single and bulk'!A:B,2,FALSE)</f>
        <v>NEBAUTO</v>
      </c>
      <c r="K421" s="9">
        <f>VLOOKUP(A421,'Tableau single and bulk'!A:I,9,FALSE)</f>
        <v>45940.347384259258</v>
      </c>
      <c r="L421">
        <f>VLOOKUP(A421,'Tableau single and bulk'!A:L,12,FALSE)</f>
        <v>602944</v>
      </c>
      <c r="M421" t="str">
        <f>VLOOKUP(A421,'Tableau single and bulk'!A:AA,27,FALSE)</f>
        <v>PATRICK J TOBIN LTD</v>
      </c>
    </row>
    <row r="422" spans="1:13" hidden="1">
      <c r="A422" s="7" t="s">
        <v>2017</v>
      </c>
      <c r="B422" s="2" t="s">
        <v>1452</v>
      </c>
      <c r="C422" s="2" t="s">
        <v>1309</v>
      </c>
      <c r="D422" s="2" t="s">
        <v>2016</v>
      </c>
      <c r="E422" s="2" t="s">
        <v>2017</v>
      </c>
      <c r="F422" s="2" t="s">
        <v>1278</v>
      </c>
      <c r="G422" s="2" t="s">
        <v>1279</v>
      </c>
      <c r="H422" t="e">
        <f>VLOOKUP(A422,'Export Worksheet'!A:L,6,FALSE)</f>
        <v>#N/A</v>
      </c>
      <c r="I422" t="str">
        <f>VLOOKUP(A422,'Tableau single and bulk'!A:B,2,FALSE)</f>
        <v>NESAUTO</v>
      </c>
      <c r="K422" s="9">
        <f>VLOOKUP(A422,'Tableau single and bulk'!A:I,9,FALSE)</f>
        <v>45938.437557870369</v>
      </c>
      <c r="L422">
        <f>VLOOKUP(A422,'Tableau single and bulk'!A:L,12,FALSE)</f>
        <v>602598</v>
      </c>
      <c r="M422" t="str">
        <f>VLOOKUP(A422,'Tableau single and bulk'!A:AA,27,FALSE)</f>
        <v>ING Bank N.V. Dublin Branch</v>
      </c>
    </row>
    <row r="423" spans="1:13" hidden="1">
      <c r="A423" s="7" t="s">
        <v>1807</v>
      </c>
      <c r="B423" s="2" t="s">
        <v>1333</v>
      </c>
      <c r="C423" s="2" t="s">
        <v>1309</v>
      </c>
      <c r="D423" s="2" t="s">
        <v>1806</v>
      </c>
      <c r="E423" s="2" t="s">
        <v>1807</v>
      </c>
      <c r="F423" s="2" t="s">
        <v>1278</v>
      </c>
      <c r="G423" s="2" t="s">
        <v>1279</v>
      </c>
      <c r="H423" t="e">
        <f>VLOOKUP(A423,'Export Worksheet'!A:L,6,FALSE)</f>
        <v>#N/A</v>
      </c>
      <c r="I423" t="str">
        <f>VLOOKUP(A423,'Tableau single and bulk'!A:B,2,FALSE)</f>
        <v>NESAUTO</v>
      </c>
      <c r="K423" s="9">
        <f>VLOOKUP(A423,'Tableau single and bulk'!A:I,9,FALSE)</f>
        <v>45939.713819444441</v>
      </c>
      <c r="L423">
        <f>VLOOKUP(A423,'Tableau single and bulk'!A:L,12,FALSE)</f>
        <v>609781</v>
      </c>
      <c r="M423" t="str">
        <f>VLOOKUP(A423,'Tableau single and bulk'!A:AA,27,FALSE)</f>
        <v>Anart Restaurants Limited</v>
      </c>
    </row>
    <row r="424" spans="1:13" hidden="1">
      <c r="A424" s="7" t="s">
        <v>1599</v>
      </c>
      <c r="B424" s="2" t="s">
        <v>1433</v>
      </c>
      <c r="C424" s="2" t="s">
        <v>1309</v>
      </c>
      <c r="D424" s="2" t="s">
        <v>1598</v>
      </c>
      <c r="E424" s="2" t="s">
        <v>1599</v>
      </c>
      <c r="F424" s="2" t="s">
        <v>1278</v>
      </c>
      <c r="G424" s="2" t="s">
        <v>1279</v>
      </c>
      <c r="H424" t="e">
        <f>VLOOKUP(A424,'Export Worksheet'!A:L,6,FALSE)</f>
        <v>#N/A</v>
      </c>
      <c r="I424" t="str">
        <f>VLOOKUP(A424,'Tableau single and bulk'!A:B,2,FALSE)</f>
        <v>NESAUTO</v>
      </c>
      <c r="K424" s="9">
        <f>VLOOKUP(A424,'Tableau single and bulk'!A:I,9,FALSE)</f>
        <v>45944.502696759257</v>
      </c>
      <c r="L424">
        <f>VLOOKUP(A424,'Tableau single and bulk'!A:L,12,FALSE)</f>
        <v>601417</v>
      </c>
      <c r="M424" t="str">
        <f>VLOOKUP(A424,'Tableau single and bulk'!A:AA,27,FALSE)</f>
        <v>Fieldmaster Limited</v>
      </c>
    </row>
    <row r="425" spans="1:13">
      <c r="A425" s="7" t="s">
        <v>885</v>
      </c>
      <c r="B425" s="2" t="s">
        <v>1742</v>
      </c>
      <c r="C425" s="2" t="s">
        <v>1309</v>
      </c>
      <c r="D425" s="2" t="s">
        <v>1743</v>
      </c>
      <c r="E425" s="2" t="s">
        <v>885</v>
      </c>
      <c r="F425" s="2" t="s">
        <v>1278</v>
      </c>
      <c r="G425" s="2" t="s">
        <v>1279</v>
      </c>
      <c r="H425">
        <f>VLOOKUP(A425,'Export Worksheet'!A:L,6,FALSE)</f>
        <v>1</v>
      </c>
      <c r="I425" t="str">
        <f>VLOOKUP(A425,'Tableau single and bulk'!A:B,2,FALSE)</f>
        <v>NEBAUTO</v>
      </c>
      <c r="K425" s="9">
        <f>VLOOKUP(A425,'Tableau single and bulk'!A:I,9,FALSE)</f>
        <v>45940.64203703704</v>
      </c>
      <c r="L425">
        <f>VLOOKUP(A425,'Tableau single and bulk'!A:L,12,FALSE)</f>
        <v>602438</v>
      </c>
      <c r="M425" t="str">
        <f>VLOOKUP(A425,'Tableau single and bulk'!A:AA,27,FALSE)</f>
        <v>Cool Planet Group Limited</v>
      </c>
    </row>
    <row r="426" spans="1:13">
      <c r="A426" s="7" t="s">
        <v>568</v>
      </c>
      <c r="B426" s="2" t="s">
        <v>1277</v>
      </c>
      <c r="C426" s="2" t="s">
        <v>1309</v>
      </c>
      <c r="D426" s="2" t="s">
        <v>2068</v>
      </c>
      <c r="E426" s="2" t="s">
        <v>568</v>
      </c>
      <c r="F426" s="2" t="s">
        <v>1278</v>
      </c>
      <c r="G426" s="2" t="s">
        <v>1279</v>
      </c>
      <c r="H426">
        <f>VLOOKUP(A426,'Export Worksheet'!A:L,6,FALSE)</f>
        <v>4</v>
      </c>
      <c r="I426" t="str">
        <f>VLOOKUP(A426,'Tableau single and bulk'!A:B,2,FALSE)</f>
        <v>NEBAUTO</v>
      </c>
      <c r="K426" s="9">
        <f>VLOOKUP(A426,'Tableau single and bulk'!A:I,9,FALSE)</f>
        <v>45937.469965277778</v>
      </c>
      <c r="L426">
        <f>VLOOKUP(A426,'Tableau single and bulk'!A:L,12,FALSE)</f>
        <v>609743</v>
      </c>
      <c r="M426" t="str">
        <f>VLOOKUP(A426,'Tableau single and bulk'!A:AA,27,FALSE)</f>
        <v>Motorola Solutions UK Ltd (Irl Branch)</v>
      </c>
    </row>
    <row r="427" spans="1:13">
      <c r="A427" s="7" t="s">
        <v>1006</v>
      </c>
      <c r="B427" s="2" t="s">
        <v>1329</v>
      </c>
      <c r="C427" s="2" t="s">
        <v>1309</v>
      </c>
      <c r="D427" s="2" t="s">
        <v>1841</v>
      </c>
      <c r="E427" s="2" t="s">
        <v>1006</v>
      </c>
      <c r="F427" s="2" t="s">
        <v>1278</v>
      </c>
      <c r="G427" s="2" t="s">
        <v>1279</v>
      </c>
      <c r="H427">
        <f>VLOOKUP(A427,'Export Worksheet'!A:L,6,FALSE)</f>
        <v>3</v>
      </c>
      <c r="I427" t="str">
        <f>VLOOKUP(A427,'Tableau single and bulk'!A:B,2,FALSE)</f>
        <v>NEBAUTO</v>
      </c>
      <c r="K427" s="9">
        <f>VLOOKUP(A427,'Tableau single and bulk'!A:I,9,FALSE)</f>
        <v>45939.571504629632</v>
      </c>
      <c r="L427">
        <f>VLOOKUP(A427,'Tableau single and bulk'!A:L,12,FALSE)</f>
        <v>605043</v>
      </c>
      <c r="M427" t="str">
        <f>VLOOKUP(A427,'Tableau single and bulk'!A:AA,27,FALSE)</f>
        <v>Proofpoint Ireland Limited</v>
      </c>
    </row>
    <row r="428" spans="1:13" hidden="1">
      <c r="A428" s="7" t="s">
        <v>1739</v>
      </c>
      <c r="B428" s="2" t="s">
        <v>1381</v>
      </c>
      <c r="C428" s="2" t="s">
        <v>1309</v>
      </c>
      <c r="D428" s="2" t="s">
        <v>1738</v>
      </c>
      <c r="E428" s="2" t="s">
        <v>1739</v>
      </c>
      <c r="F428" s="2" t="s">
        <v>1278</v>
      </c>
      <c r="G428" s="2" t="s">
        <v>1279</v>
      </c>
      <c r="H428" t="e">
        <f>VLOOKUP(A428,'Export Worksheet'!A:L,6,FALSE)</f>
        <v>#N/A</v>
      </c>
      <c r="I428" t="str">
        <f>VLOOKUP(A428,'Tableau single and bulk'!A:B,2,FALSE)</f>
        <v>NESAUTO</v>
      </c>
      <c r="K428" s="9">
        <f>VLOOKUP(A428,'Tableau single and bulk'!A:I,9,FALSE)</f>
        <v>45940.666215277779</v>
      </c>
      <c r="L428">
        <f>VLOOKUP(A428,'Tableau single and bulk'!A:L,12,FALSE)</f>
        <v>601991</v>
      </c>
      <c r="M428" t="str">
        <f>VLOOKUP(A428,'Tableau single and bulk'!A:AA,27,FALSE)</f>
        <v>Securitas Security Services (Ireland)Ltd</v>
      </c>
    </row>
    <row r="429" spans="1:13">
      <c r="A429" s="7" t="s">
        <v>364</v>
      </c>
      <c r="B429" s="2" t="s">
        <v>1277</v>
      </c>
      <c r="C429" s="2" t="s">
        <v>1309</v>
      </c>
      <c r="D429" s="2" t="s">
        <v>2069</v>
      </c>
      <c r="E429" s="2" t="s">
        <v>364</v>
      </c>
      <c r="F429" s="2" t="s">
        <v>1278</v>
      </c>
      <c r="G429" s="2" t="s">
        <v>1279</v>
      </c>
      <c r="H429">
        <f>VLOOKUP(A429,'Export Worksheet'!A:L,6,FALSE)</f>
        <v>5</v>
      </c>
      <c r="I429" t="str">
        <f>VLOOKUP(A429,'Tableau single and bulk'!A:B,2,FALSE)</f>
        <v>NEBAUTO</v>
      </c>
      <c r="K429" s="9">
        <f>VLOOKUP(A429,'Tableau single and bulk'!A:I,9,FALSE)</f>
        <v>45937.466944444444</v>
      </c>
      <c r="L429">
        <f>VLOOKUP(A429,'Tableau single and bulk'!A:L,12,FALSE)</f>
        <v>605252</v>
      </c>
      <c r="M429" t="str">
        <f>VLOOKUP(A429,'Tableau single and bulk'!A:AA,27,FALSE)</f>
        <v>Cohesity International Limited</v>
      </c>
    </row>
    <row r="430" spans="1:13">
      <c r="A430" s="7" t="s">
        <v>177</v>
      </c>
      <c r="B430" s="2" t="s">
        <v>1277</v>
      </c>
      <c r="C430" s="2" t="s">
        <v>1309</v>
      </c>
      <c r="D430" s="2" t="s">
        <v>1826</v>
      </c>
      <c r="E430" s="2" t="s">
        <v>177</v>
      </c>
      <c r="F430" s="2" t="s">
        <v>1278</v>
      </c>
      <c r="G430" s="2" t="s">
        <v>1279</v>
      </c>
      <c r="H430">
        <f>VLOOKUP(A430,'Export Worksheet'!A:L,6,FALSE)</f>
        <v>7</v>
      </c>
      <c r="I430" t="str">
        <f>VLOOKUP(A430,'Tableau single and bulk'!A:B,2,FALSE)</f>
        <v>NEBAUTO</v>
      </c>
      <c r="K430" s="9">
        <f>VLOOKUP(A430,'Tableau single and bulk'!A:I,9,FALSE)</f>
        <v>45939.628680555557</v>
      </c>
      <c r="L430">
        <f>VLOOKUP(A430,'Tableau single and bulk'!A:L,12,FALSE)</f>
        <v>603955</v>
      </c>
      <c r="M430" t="str">
        <f>VLOOKUP(A430,'Tableau single and bulk'!A:AA,27,FALSE)</f>
        <v>Univar Ireland Limited</v>
      </c>
    </row>
    <row r="431" spans="1:13">
      <c r="A431" s="7" t="s">
        <v>881</v>
      </c>
      <c r="B431" s="2" t="s">
        <v>1277</v>
      </c>
      <c r="C431" s="2" t="s">
        <v>1309</v>
      </c>
      <c r="D431" s="2" t="s">
        <v>1808</v>
      </c>
      <c r="E431" s="2" t="s">
        <v>881</v>
      </c>
      <c r="F431" s="2" t="s">
        <v>1278</v>
      </c>
      <c r="G431" s="2" t="s">
        <v>1279</v>
      </c>
      <c r="H431">
        <f>VLOOKUP(A431,'Export Worksheet'!A:L,6,FALSE)</f>
        <v>2</v>
      </c>
      <c r="I431" t="str">
        <f>VLOOKUP(A431,'Tableau single and bulk'!A:B,2,FALSE)</f>
        <v>NEBAUTO</v>
      </c>
      <c r="K431" s="9">
        <f>VLOOKUP(A431,'Tableau single and bulk'!A:I,9,FALSE)</f>
        <v>45939.675775462965</v>
      </c>
      <c r="L431">
        <f>VLOOKUP(A431,'Tableau single and bulk'!A:L,12,FALSE)</f>
        <v>601335</v>
      </c>
      <c r="M431" t="str">
        <f>VLOOKUP(A431,'Tableau single and bulk'!A:AA,27,FALSE)</f>
        <v>Uniphar Group Retirement Benefits Scheme</v>
      </c>
    </row>
    <row r="432" spans="1:13" hidden="1">
      <c r="A432" s="7" t="s">
        <v>1735</v>
      </c>
      <c r="B432" s="2" t="s">
        <v>1324</v>
      </c>
      <c r="C432" s="2" t="s">
        <v>1309</v>
      </c>
      <c r="D432" s="2" t="s">
        <v>1734</v>
      </c>
      <c r="E432" s="2" t="s">
        <v>1735</v>
      </c>
      <c r="F432" s="2" t="s">
        <v>1278</v>
      </c>
      <c r="G432" s="2" t="s">
        <v>1279</v>
      </c>
      <c r="H432" t="e">
        <f>VLOOKUP(A432,'Export Worksheet'!A:L,6,FALSE)</f>
        <v>#N/A</v>
      </c>
      <c r="I432" t="str">
        <f>VLOOKUP(A432,'Tableau single and bulk'!A:B,2,FALSE)</f>
        <v>NESAUTO</v>
      </c>
      <c r="K432" s="9">
        <f>VLOOKUP(A432,'Tableau single and bulk'!A:I,9,FALSE)</f>
        <v>45940.672939814816</v>
      </c>
      <c r="L432">
        <f>VLOOKUP(A432,'Tableau single and bulk'!A:L,12,FALSE)</f>
        <v>609002</v>
      </c>
      <c r="M432" t="str">
        <f>VLOOKUP(A432,'Tableau single and bulk'!A:AA,27,FALSE)</f>
        <v>Omnipresent Ireland Limited</v>
      </c>
    </row>
    <row r="433" spans="1:13">
      <c r="A433" s="7" t="s">
        <v>198</v>
      </c>
      <c r="B433" s="2" t="s">
        <v>1277</v>
      </c>
      <c r="C433" s="2" t="s">
        <v>1309</v>
      </c>
      <c r="D433" s="2" t="s">
        <v>1456</v>
      </c>
      <c r="E433" s="2" t="s">
        <v>198</v>
      </c>
      <c r="F433" s="2" t="s">
        <v>1278</v>
      </c>
      <c r="G433" s="2" t="s">
        <v>1279</v>
      </c>
      <c r="H433">
        <f>VLOOKUP(A433,'Export Worksheet'!A:L,6,FALSE)</f>
        <v>3</v>
      </c>
      <c r="I433" t="str">
        <f>VLOOKUP(A433,'Tableau single and bulk'!A:B,2,FALSE)</f>
        <v>NEBAUTO</v>
      </c>
      <c r="K433" s="9">
        <f>VLOOKUP(A433,'Tableau single and bulk'!A:I,9,FALSE)</f>
        <v>45945.663506944446</v>
      </c>
      <c r="L433">
        <f>VLOOKUP(A433,'Tableau single and bulk'!A:L,12,FALSE)</f>
        <v>609918</v>
      </c>
      <c r="M433" t="str">
        <f>VLOOKUP(A433,'Tableau single and bulk'!A:AA,27,FALSE)</f>
        <v>Avolon Aerospace Leasing Limited</v>
      </c>
    </row>
    <row r="434" spans="1:13">
      <c r="A434" s="7" t="s">
        <v>571</v>
      </c>
      <c r="B434" s="2" t="s">
        <v>1277</v>
      </c>
      <c r="C434" s="2" t="s">
        <v>1309</v>
      </c>
      <c r="D434" s="2" t="s">
        <v>1998</v>
      </c>
      <c r="E434" s="2" t="s">
        <v>571</v>
      </c>
      <c r="F434" s="2" t="s">
        <v>1278</v>
      </c>
      <c r="G434" s="2" t="s">
        <v>1279</v>
      </c>
      <c r="H434">
        <f>VLOOKUP(A434,'Export Worksheet'!A:L,6,FALSE)</f>
        <v>1</v>
      </c>
      <c r="I434" t="str">
        <f>VLOOKUP(A434,'Tableau single and bulk'!A:B,2,FALSE)</f>
        <v>NEBAUTO</v>
      </c>
      <c r="K434" s="9">
        <f>VLOOKUP(A434,'Tableau single and bulk'!A:I,9,FALSE)</f>
        <v>45938.580393518518</v>
      </c>
      <c r="L434">
        <f>VLOOKUP(A434,'Tableau single and bulk'!A:L,12,FALSE)</f>
        <v>601454</v>
      </c>
      <c r="M434" t="str">
        <f>VLOOKUP(A434,'Tableau single and bulk'!A:AA,27,FALSE)</f>
        <v>Philip Lee Solicitors</v>
      </c>
    </row>
    <row r="435" spans="1:13">
      <c r="A435" s="7" t="s">
        <v>573</v>
      </c>
      <c r="B435" s="2" t="s">
        <v>1277</v>
      </c>
      <c r="C435" s="2" t="s">
        <v>1309</v>
      </c>
      <c r="D435" s="2" t="s">
        <v>1999</v>
      </c>
      <c r="E435" s="2" t="s">
        <v>573</v>
      </c>
      <c r="F435" s="2" t="s">
        <v>1278</v>
      </c>
      <c r="G435" s="2" t="s">
        <v>1279</v>
      </c>
      <c r="H435">
        <f>VLOOKUP(A435,'Export Worksheet'!A:L,6,FALSE)</f>
        <v>1</v>
      </c>
      <c r="I435" t="str">
        <f>VLOOKUP(A435,'Tableau single and bulk'!A:B,2,FALSE)</f>
        <v>NEBAUTO</v>
      </c>
      <c r="K435" s="9">
        <f>VLOOKUP(A435,'Tableau single and bulk'!A:I,9,FALSE)</f>
        <v>45938.580335648148</v>
      </c>
      <c r="L435">
        <f>VLOOKUP(A435,'Tableau single and bulk'!A:L,12,FALSE)</f>
        <v>601544</v>
      </c>
      <c r="M435" t="str">
        <f>VLOOKUP(A435,'Tableau single and bulk'!A:AA,27,FALSE)</f>
        <v>I.T Alliance Group Ltd.</v>
      </c>
    </row>
    <row r="436" spans="1:13">
      <c r="A436" s="7" t="s">
        <v>569</v>
      </c>
      <c r="B436" s="2" t="s">
        <v>1277</v>
      </c>
      <c r="C436" s="2" t="s">
        <v>1309</v>
      </c>
      <c r="D436" s="2" t="s">
        <v>2066</v>
      </c>
      <c r="E436" s="2" t="s">
        <v>569</v>
      </c>
      <c r="F436" s="2" t="s">
        <v>1278</v>
      </c>
      <c r="G436" s="2" t="s">
        <v>1279</v>
      </c>
      <c r="H436">
        <f>VLOOKUP(A436,'Export Worksheet'!A:L,6,FALSE)</f>
        <v>1</v>
      </c>
      <c r="I436" t="str">
        <f>VLOOKUP(A436,'Tableau single and bulk'!A:B,2,FALSE)</f>
        <v>NEBAUTO</v>
      </c>
      <c r="K436" s="9">
        <f>VLOOKUP(A436,'Tableau single and bulk'!A:I,9,FALSE)</f>
        <v>45937.482893518521</v>
      </c>
      <c r="L436">
        <f>VLOOKUP(A436,'Tableau single and bulk'!A:L,12,FALSE)</f>
        <v>602408</v>
      </c>
      <c r="M436" t="str">
        <f>VLOOKUP(A436,'Tableau single and bulk'!A:AA,27,FALSE)</f>
        <v>Aimware Limited</v>
      </c>
    </row>
    <row r="437" spans="1:13">
      <c r="A437" s="7" t="s">
        <v>186</v>
      </c>
      <c r="B437" s="2" t="s">
        <v>1368</v>
      </c>
      <c r="C437" s="2" t="s">
        <v>1309</v>
      </c>
      <c r="D437" s="2" t="s">
        <v>1758</v>
      </c>
      <c r="E437" s="2" t="s">
        <v>186</v>
      </c>
      <c r="F437" s="2" t="s">
        <v>1278</v>
      </c>
      <c r="G437" s="2" t="s">
        <v>1279</v>
      </c>
      <c r="H437">
        <f>VLOOKUP(A437,'Export Worksheet'!A:L,6,FALSE)</f>
        <v>63</v>
      </c>
      <c r="I437" t="str">
        <f>VLOOKUP(A437,'Tableau single and bulk'!A:B,2,FALSE)</f>
        <v>NEBAUTO</v>
      </c>
      <c r="K437" s="9">
        <f>VLOOKUP(A437,'Tableau single and bulk'!A:I,9,FALSE)</f>
        <v>45940.522476851853</v>
      </c>
      <c r="L437">
        <f>VLOOKUP(A437,'Tableau single and bulk'!A:L,12,FALSE)</f>
        <v>606059</v>
      </c>
      <c r="M437" t="str">
        <f>VLOOKUP(A437,'Tableau single and bulk'!A:AA,27,FALSE)</f>
        <v>Cloudera International Limited</v>
      </c>
    </row>
    <row r="438" spans="1:13">
      <c r="A438" s="7" t="s">
        <v>366</v>
      </c>
      <c r="B438" s="2" t="s">
        <v>1277</v>
      </c>
      <c r="C438" s="2" t="s">
        <v>1309</v>
      </c>
      <c r="D438" s="2" t="s">
        <v>1997</v>
      </c>
      <c r="E438" s="2" t="s">
        <v>366</v>
      </c>
      <c r="F438" s="2" t="s">
        <v>1278</v>
      </c>
      <c r="G438" s="2" t="s">
        <v>1279</v>
      </c>
      <c r="H438">
        <f>VLOOKUP(A438,'Export Worksheet'!A:L,6,FALSE)</f>
        <v>8</v>
      </c>
      <c r="I438" t="str">
        <f>VLOOKUP(A438,'Tableau single and bulk'!A:B,2,FALSE)</f>
        <v>NEBAUTO</v>
      </c>
      <c r="K438" s="9">
        <f>VLOOKUP(A438,'Tableau single and bulk'!A:I,9,FALSE)</f>
        <v>45938.580393518518</v>
      </c>
      <c r="L438">
        <f>VLOOKUP(A438,'Tableau single and bulk'!A:L,12,FALSE)</f>
        <v>602835</v>
      </c>
      <c r="M438" t="str">
        <f>VLOOKUP(A438,'Tableau single and bulk'!A:AA,27,FALSE)</f>
        <v>Electronic Arts Ireland Limited</v>
      </c>
    </row>
    <row r="439" spans="1:13">
      <c r="A439" s="7" t="s">
        <v>887</v>
      </c>
      <c r="B439" s="2" t="s">
        <v>1435</v>
      </c>
      <c r="C439" s="2" t="s">
        <v>1309</v>
      </c>
      <c r="D439" s="2" t="s">
        <v>1741</v>
      </c>
      <c r="E439" s="2" t="s">
        <v>887</v>
      </c>
      <c r="F439" s="2" t="s">
        <v>1278</v>
      </c>
      <c r="G439" s="2" t="s">
        <v>1279</v>
      </c>
      <c r="H439">
        <f>VLOOKUP(A439,'Export Worksheet'!A:L,6,FALSE)</f>
        <v>13</v>
      </c>
      <c r="I439" t="str">
        <f>VLOOKUP(A439,'Tableau single and bulk'!A:B,2,FALSE)</f>
        <v>NEBAUTO</v>
      </c>
      <c r="K439" s="9">
        <f>VLOOKUP(A439,'Tableau single and bulk'!A:I,9,FALSE)</f>
        <v>45940.650810185187</v>
      </c>
      <c r="L439">
        <f>VLOOKUP(A439,'Tableau single and bulk'!A:L,12,FALSE)</f>
        <v>601294</v>
      </c>
      <c r="M439" t="str">
        <f>VLOOKUP(A439,'Tableau single and bulk'!A:AA,27,FALSE)</f>
        <v>Cheshire Foundation in Ireland</v>
      </c>
    </row>
    <row r="440" spans="1:13">
      <c r="A440" s="7" t="s">
        <v>368</v>
      </c>
      <c r="B440" s="2" t="s">
        <v>1277</v>
      </c>
      <c r="C440" s="2" t="s">
        <v>1309</v>
      </c>
      <c r="D440" s="2" t="s">
        <v>1993</v>
      </c>
      <c r="E440" s="2" t="s">
        <v>368</v>
      </c>
      <c r="F440" s="2" t="s">
        <v>1278</v>
      </c>
      <c r="G440" s="2" t="s">
        <v>1279</v>
      </c>
      <c r="H440">
        <f>VLOOKUP(A440,'Export Worksheet'!A:L,6,FALSE)</f>
        <v>1</v>
      </c>
      <c r="I440" t="str">
        <f>VLOOKUP(A440,'Tableau single and bulk'!A:B,2,FALSE)</f>
        <v>NEBAUTO</v>
      </c>
      <c r="K440" s="9">
        <f>VLOOKUP(A440,'Tableau single and bulk'!A:I,9,FALSE)</f>
        <v>45938.585787037038</v>
      </c>
      <c r="L440">
        <f>VLOOKUP(A440,'Tableau single and bulk'!A:L,12,FALSE)</f>
        <v>609899</v>
      </c>
      <c r="M440" t="str">
        <f>VLOOKUP(A440,'Tableau single and bulk'!A:AA,27,FALSE)</f>
        <v>IPM Potato Group Limited</v>
      </c>
    </row>
    <row r="441" spans="1:13" hidden="1">
      <c r="A441" s="7" t="s">
        <v>1678</v>
      </c>
      <c r="B441" s="2" t="s">
        <v>1324</v>
      </c>
      <c r="C441" s="2" t="s">
        <v>1309</v>
      </c>
      <c r="D441" s="2" t="s">
        <v>1677</v>
      </c>
      <c r="E441" s="2" t="s">
        <v>1678</v>
      </c>
      <c r="F441" s="2" t="s">
        <v>1278</v>
      </c>
      <c r="G441" s="2" t="s">
        <v>1279</v>
      </c>
      <c r="H441" t="e">
        <f>VLOOKUP(A441,'Export Worksheet'!A:L,6,FALSE)</f>
        <v>#N/A</v>
      </c>
      <c r="I441" t="str">
        <f>VLOOKUP(A441,'Tableau single and bulk'!A:B,2,FALSE)</f>
        <v>NESAUTO</v>
      </c>
      <c r="K441" s="9">
        <f>VLOOKUP(A441,'Tableau single and bulk'!A:I,9,FALSE)</f>
        <v>45943.563402777778</v>
      </c>
      <c r="L441">
        <f>VLOOKUP(A441,'Tableau single and bulk'!A:L,12,FALSE)</f>
        <v>604367</v>
      </c>
      <c r="M441" t="str">
        <f>VLOOKUP(A441,'Tableau single and bulk'!A:AA,27,FALSE)</f>
        <v>Mediolanum International Funds Limited</v>
      </c>
    </row>
    <row r="442" spans="1:13" hidden="1">
      <c r="A442" s="7" t="s">
        <v>1762</v>
      </c>
      <c r="B442" s="2" t="s">
        <v>1760</v>
      </c>
      <c r="C442" s="2" t="s">
        <v>1309</v>
      </c>
      <c r="D442" s="2" t="s">
        <v>1761</v>
      </c>
      <c r="E442" s="2" t="s">
        <v>1762</v>
      </c>
      <c r="F442" s="2" t="s">
        <v>1278</v>
      </c>
      <c r="G442" s="2" t="s">
        <v>1279</v>
      </c>
      <c r="H442" t="e">
        <f>VLOOKUP(A442,'Export Worksheet'!A:L,6,FALSE)</f>
        <v>#N/A</v>
      </c>
      <c r="I442" t="str">
        <f>VLOOKUP(A442,'Tableau single and bulk'!A:B,2,FALSE)</f>
        <v>NESAUTO</v>
      </c>
      <c r="K442" s="9">
        <f>VLOOKUP(A442,'Tableau single and bulk'!A:I,9,FALSE)</f>
        <v>45940.510555555556</v>
      </c>
      <c r="L442">
        <f>VLOOKUP(A442,'Tableau single and bulk'!A:L,12,FALSE)</f>
        <v>601385</v>
      </c>
      <c r="M442" t="str">
        <f>VLOOKUP(A442,'Tableau single and bulk'!A:AA,27,FALSE)</f>
        <v>Mincon International Limited</v>
      </c>
    </row>
    <row r="443" spans="1:13" hidden="1">
      <c r="A443" s="7" t="s">
        <v>1726</v>
      </c>
      <c r="B443" s="2" t="s">
        <v>1381</v>
      </c>
      <c r="C443" s="2" t="s">
        <v>1309</v>
      </c>
      <c r="D443" s="2" t="s">
        <v>1725</v>
      </c>
      <c r="E443" s="2" t="s">
        <v>1726</v>
      </c>
      <c r="F443" s="2" t="s">
        <v>1278</v>
      </c>
      <c r="G443" s="2" t="s">
        <v>1279</v>
      </c>
      <c r="H443" t="e">
        <f>VLOOKUP(A443,'Export Worksheet'!A:L,6,FALSE)</f>
        <v>#N/A</v>
      </c>
      <c r="I443" t="str">
        <f>VLOOKUP(A443,'Tableau single and bulk'!A:B,2,FALSE)</f>
        <v>NESAUTO</v>
      </c>
      <c r="K443" s="9">
        <f>VLOOKUP(A443,'Tableau single and bulk'!A:I,9,FALSE)</f>
        <v>45940.712118055555</v>
      </c>
      <c r="L443">
        <f>VLOOKUP(A443,'Tableau single and bulk'!A:L,12,FALSE)</f>
        <v>601991</v>
      </c>
      <c r="M443" t="str">
        <f>VLOOKUP(A443,'Tableau single and bulk'!A:AA,27,FALSE)</f>
        <v>Securitas Security Services (Ireland)Ltd</v>
      </c>
    </row>
    <row r="444" spans="1:13" hidden="1">
      <c r="A444" s="7" t="s">
        <v>1737</v>
      </c>
      <c r="B444" s="2" t="s">
        <v>1324</v>
      </c>
      <c r="C444" s="2" t="s">
        <v>1309</v>
      </c>
      <c r="D444" s="2" t="s">
        <v>1736</v>
      </c>
      <c r="E444" s="2" t="s">
        <v>1737</v>
      </c>
      <c r="F444" s="2" t="s">
        <v>1278</v>
      </c>
      <c r="G444" s="2" t="s">
        <v>1279</v>
      </c>
      <c r="H444" t="e">
        <f>VLOOKUP(A444,'Export Worksheet'!A:L,6,FALSE)</f>
        <v>#N/A</v>
      </c>
      <c r="I444" t="str">
        <f>VLOOKUP(A444,'Tableau single and bulk'!A:B,2,FALSE)</f>
        <v>NESAUTO</v>
      </c>
      <c r="K444" s="9">
        <f>VLOOKUP(A444,'Tableau single and bulk'!A:I,9,FALSE)</f>
        <v>45940.669548611113</v>
      </c>
      <c r="L444">
        <f>VLOOKUP(A444,'Tableau single and bulk'!A:L,12,FALSE)</f>
        <v>609002</v>
      </c>
      <c r="M444" t="str">
        <f>VLOOKUP(A444,'Tableau single and bulk'!A:AA,27,FALSE)</f>
        <v>Omnipresent Ireland Limited</v>
      </c>
    </row>
    <row r="445" spans="1:13" hidden="1">
      <c r="A445" s="7" t="s">
        <v>1896</v>
      </c>
      <c r="B445" s="2" t="s">
        <v>1470</v>
      </c>
      <c r="C445" s="2" t="s">
        <v>1309</v>
      </c>
      <c r="D445" s="2" t="s">
        <v>1895</v>
      </c>
      <c r="E445" s="2" t="s">
        <v>1896</v>
      </c>
      <c r="F445" s="2" t="s">
        <v>1278</v>
      </c>
      <c r="G445" s="2" t="s">
        <v>1279</v>
      </c>
      <c r="H445" t="e">
        <f>VLOOKUP(A445,'Export Worksheet'!A:L,6,FALSE)</f>
        <v>#N/A</v>
      </c>
      <c r="I445" t="str">
        <f>VLOOKUP(A445,'Tableau single and bulk'!A:B,2,FALSE)</f>
        <v>NESAUTO</v>
      </c>
      <c r="K445" s="9">
        <f>VLOOKUP(A445,'Tableau single and bulk'!A:I,9,FALSE)</f>
        <v>45939.514872685184</v>
      </c>
      <c r="L445">
        <f>VLOOKUP(A445,'Tableau single and bulk'!A:L,12,FALSE)</f>
        <v>609841</v>
      </c>
      <c r="M445" t="str">
        <f>VLOOKUP(A445,'Tableau single and bulk'!A:AA,27,FALSE)</f>
        <v>Galway Clinic Doughiska Unltd Co</v>
      </c>
    </row>
    <row r="446" spans="1:13" hidden="1">
      <c r="A446" s="7" t="s">
        <v>1922</v>
      </c>
      <c r="B446" s="2" t="s">
        <v>1470</v>
      </c>
      <c r="C446" s="2" t="s">
        <v>1309</v>
      </c>
      <c r="D446" s="2" t="s">
        <v>1921</v>
      </c>
      <c r="E446" s="2" t="s">
        <v>1922</v>
      </c>
      <c r="F446" s="2" t="s">
        <v>1278</v>
      </c>
      <c r="G446" s="2" t="s">
        <v>1279</v>
      </c>
      <c r="H446" t="e">
        <f>VLOOKUP(A446,'Export Worksheet'!A:L,6,FALSE)</f>
        <v>#N/A</v>
      </c>
      <c r="I446" t="str">
        <f>VLOOKUP(A446,'Tableau single and bulk'!A:B,2,FALSE)</f>
        <v>NESAUTO</v>
      </c>
      <c r="K446" s="9">
        <f>VLOOKUP(A446,'Tableau single and bulk'!A:I,9,FALSE)</f>
        <v>45939.514097222222</v>
      </c>
      <c r="L446">
        <f>VLOOKUP(A446,'Tableau single and bulk'!A:L,12,FALSE)</f>
        <v>609841</v>
      </c>
      <c r="M446" t="str">
        <f>VLOOKUP(A446,'Tableau single and bulk'!A:AA,27,FALSE)</f>
        <v>Galway Clinic Doughiska Unltd Co</v>
      </c>
    </row>
    <row r="447" spans="1:13" hidden="1">
      <c r="A447" s="7" t="s">
        <v>1894</v>
      </c>
      <c r="B447" s="2" t="s">
        <v>1470</v>
      </c>
      <c r="C447" s="2" t="s">
        <v>1309</v>
      </c>
      <c r="D447" s="2" t="s">
        <v>1893</v>
      </c>
      <c r="E447" s="2" t="s">
        <v>1894</v>
      </c>
      <c r="F447" s="2" t="s">
        <v>1278</v>
      </c>
      <c r="G447" s="2" t="s">
        <v>1279</v>
      </c>
      <c r="H447" t="e">
        <f>VLOOKUP(A447,'Export Worksheet'!A:L,6,FALSE)</f>
        <v>#N/A</v>
      </c>
      <c r="I447" t="str">
        <f>VLOOKUP(A447,'Tableau single and bulk'!A:B,2,FALSE)</f>
        <v>NESAUTO</v>
      </c>
      <c r="K447" s="9">
        <f>VLOOKUP(A447,'Tableau single and bulk'!A:I,9,FALSE)</f>
        <v>45939.514884259261</v>
      </c>
      <c r="L447">
        <f>VLOOKUP(A447,'Tableau single and bulk'!A:L,12,FALSE)</f>
        <v>609841</v>
      </c>
      <c r="M447" t="str">
        <f>VLOOKUP(A447,'Tableau single and bulk'!A:AA,27,FALSE)</f>
        <v>Galway Clinic Doughiska Unltd Co</v>
      </c>
    </row>
    <row r="448" spans="1:13">
      <c r="A448" s="7" t="s">
        <v>575</v>
      </c>
      <c r="B448" s="2" t="s">
        <v>1277</v>
      </c>
      <c r="C448" s="2" t="s">
        <v>1309</v>
      </c>
      <c r="D448" s="2" t="s">
        <v>1996</v>
      </c>
      <c r="E448" s="2" t="s">
        <v>575</v>
      </c>
      <c r="F448" s="2" t="s">
        <v>1278</v>
      </c>
      <c r="G448" s="2" t="s">
        <v>1279</v>
      </c>
      <c r="H448">
        <f>VLOOKUP(A448,'Export Worksheet'!A:L,6,FALSE)</f>
        <v>2</v>
      </c>
      <c r="I448" t="str">
        <f>VLOOKUP(A448,'Tableau single and bulk'!A:B,2,FALSE)</f>
        <v>NEBAUTO</v>
      </c>
      <c r="K448" s="9">
        <f>VLOOKUP(A448,'Tableau single and bulk'!A:I,9,FALSE)</f>
        <v>45938.58184027778</v>
      </c>
      <c r="L448">
        <f>VLOOKUP(A448,'Tableau single and bulk'!A:L,12,FALSE)</f>
        <v>602049</v>
      </c>
      <c r="M448" t="str">
        <f>VLOOKUP(A448,'Tableau single and bulk'!A:AA,27,FALSE)</f>
        <v>TK Maxx Ireland</v>
      </c>
    </row>
    <row r="449" spans="1:13" hidden="1">
      <c r="A449" s="7" t="s">
        <v>1920</v>
      </c>
      <c r="B449" s="2" t="s">
        <v>1470</v>
      </c>
      <c r="C449" s="2" t="s">
        <v>1309</v>
      </c>
      <c r="D449" s="2" t="s">
        <v>1919</v>
      </c>
      <c r="E449" s="2" t="s">
        <v>1920</v>
      </c>
      <c r="F449" s="2" t="s">
        <v>1278</v>
      </c>
      <c r="G449" s="2" t="s">
        <v>1279</v>
      </c>
      <c r="H449" t="e">
        <f>VLOOKUP(A449,'Export Worksheet'!A:L,6,FALSE)</f>
        <v>#N/A</v>
      </c>
      <c r="I449" t="str">
        <f>VLOOKUP(A449,'Tableau single and bulk'!A:B,2,FALSE)</f>
        <v>NESAUTO</v>
      </c>
      <c r="K449" s="9">
        <f>VLOOKUP(A449,'Tableau single and bulk'!A:I,9,FALSE)</f>
        <v>45939.514108796298</v>
      </c>
      <c r="L449">
        <f>VLOOKUP(A449,'Tableau single and bulk'!A:L,12,FALSE)</f>
        <v>609841</v>
      </c>
      <c r="M449" t="str">
        <f>VLOOKUP(A449,'Tableau single and bulk'!A:AA,27,FALSE)</f>
        <v>Galway Clinic Doughiska Unltd Co</v>
      </c>
    </row>
    <row r="450" spans="1:13" hidden="1">
      <c r="A450" s="7" t="s">
        <v>1898</v>
      </c>
      <c r="B450" s="2" t="s">
        <v>1470</v>
      </c>
      <c r="C450" s="2" t="s">
        <v>1309</v>
      </c>
      <c r="D450" s="2" t="s">
        <v>1897</v>
      </c>
      <c r="E450" s="2" t="s">
        <v>1898</v>
      </c>
      <c r="F450" s="2" t="s">
        <v>1278</v>
      </c>
      <c r="G450" s="2" t="s">
        <v>1279</v>
      </c>
      <c r="H450" t="e">
        <f>VLOOKUP(A450,'Export Worksheet'!A:L,6,FALSE)</f>
        <v>#N/A</v>
      </c>
      <c r="I450" t="str">
        <f>VLOOKUP(A450,'Tableau single and bulk'!A:B,2,FALSE)</f>
        <v>NESAUTO</v>
      </c>
      <c r="K450" s="9">
        <f>VLOOKUP(A450,'Tableau single and bulk'!A:I,9,FALSE)</f>
        <v>45939.514791666668</v>
      </c>
      <c r="L450">
        <f>VLOOKUP(A450,'Tableau single and bulk'!A:L,12,FALSE)</f>
        <v>609841</v>
      </c>
      <c r="M450" t="str">
        <f>VLOOKUP(A450,'Tableau single and bulk'!A:AA,27,FALSE)</f>
        <v>Galway Clinic Doughiska Unltd Co</v>
      </c>
    </row>
    <row r="451" spans="1:13" hidden="1">
      <c r="A451" s="7" t="s">
        <v>1908</v>
      </c>
      <c r="B451" s="2" t="s">
        <v>1470</v>
      </c>
      <c r="C451" s="2" t="s">
        <v>1309</v>
      </c>
      <c r="D451" s="2" t="s">
        <v>1907</v>
      </c>
      <c r="E451" s="2" t="s">
        <v>1908</v>
      </c>
      <c r="F451" s="2" t="s">
        <v>1278</v>
      </c>
      <c r="G451" s="2" t="s">
        <v>1279</v>
      </c>
      <c r="H451" t="e">
        <f>VLOOKUP(A451,'Export Worksheet'!A:L,6,FALSE)</f>
        <v>#N/A</v>
      </c>
      <c r="I451" t="str">
        <f>VLOOKUP(A451,'Tableau single and bulk'!A:B,2,FALSE)</f>
        <v>NESAUTO</v>
      </c>
      <c r="K451" s="9">
        <f>VLOOKUP(A451,'Tableau single and bulk'!A:I,9,FALSE)</f>
        <v>45939.51457175926</v>
      </c>
      <c r="L451">
        <f>VLOOKUP(A451,'Tableau single and bulk'!A:L,12,FALSE)</f>
        <v>609841</v>
      </c>
      <c r="M451" t="str">
        <f>VLOOKUP(A451,'Tableau single and bulk'!A:AA,27,FALSE)</f>
        <v>Galway Clinic Doughiska Unltd Co</v>
      </c>
    </row>
    <row r="452" spans="1:13" hidden="1">
      <c r="A452" s="7" t="s">
        <v>1884</v>
      </c>
      <c r="B452" s="2" t="s">
        <v>1470</v>
      </c>
      <c r="C452" s="2" t="s">
        <v>1309</v>
      </c>
      <c r="D452" s="2" t="s">
        <v>1883</v>
      </c>
      <c r="E452" s="2" t="s">
        <v>1884</v>
      </c>
      <c r="F452" s="2" t="s">
        <v>1278</v>
      </c>
      <c r="G452" s="2" t="s">
        <v>1279</v>
      </c>
      <c r="H452" t="e">
        <f>VLOOKUP(A452,'Export Worksheet'!A:L,6,FALSE)</f>
        <v>#N/A</v>
      </c>
      <c r="I452" t="str">
        <f>VLOOKUP(A452,'Tableau single and bulk'!A:B,2,FALSE)</f>
        <v>NESAUTO</v>
      </c>
      <c r="K452" s="9">
        <f>VLOOKUP(A452,'Tableau single and bulk'!A:I,9,FALSE)</f>
        <v>45939.515127314815</v>
      </c>
      <c r="L452">
        <f>VLOOKUP(A452,'Tableau single and bulk'!A:L,12,FALSE)</f>
        <v>609841</v>
      </c>
      <c r="M452" t="str">
        <f>VLOOKUP(A452,'Tableau single and bulk'!A:AA,27,FALSE)</f>
        <v>Galway Clinic Doughiska Unltd Co</v>
      </c>
    </row>
    <row r="453" spans="1:13" hidden="1">
      <c r="A453" s="7" t="s">
        <v>1904</v>
      </c>
      <c r="B453" s="2" t="s">
        <v>1470</v>
      </c>
      <c r="C453" s="2" t="s">
        <v>1309</v>
      </c>
      <c r="D453" s="2" t="s">
        <v>1903</v>
      </c>
      <c r="E453" s="2" t="s">
        <v>1904</v>
      </c>
      <c r="F453" s="2" t="s">
        <v>1278</v>
      </c>
      <c r="G453" s="2" t="s">
        <v>1279</v>
      </c>
      <c r="H453" t="e">
        <f>VLOOKUP(A453,'Export Worksheet'!A:L,6,FALSE)</f>
        <v>#N/A</v>
      </c>
      <c r="I453" t="str">
        <f>VLOOKUP(A453,'Tableau single and bulk'!A:B,2,FALSE)</f>
        <v>NESAUTO</v>
      </c>
      <c r="K453" s="9">
        <f>VLOOKUP(A453,'Tableau single and bulk'!A:I,9,FALSE)</f>
        <v>45939.514652777776</v>
      </c>
      <c r="L453">
        <f>VLOOKUP(A453,'Tableau single and bulk'!A:L,12,FALSE)</f>
        <v>609841</v>
      </c>
      <c r="M453" t="str">
        <f>VLOOKUP(A453,'Tableau single and bulk'!A:AA,27,FALSE)</f>
        <v>Galway Clinic Doughiska Unltd Co</v>
      </c>
    </row>
    <row r="454" spans="1:13" hidden="1">
      <c r="A454" s="7" t="s">
        <v>1852</v>
      </c>
      <c r="B454" s="2" t="s">
        <v>1470</v>
      </c>
      <c r="C454" s="2" t="s">
        <v>1309</v>
      </c>
      <c r="D454" s="2" t="s">
        <v>1851</v>
      </c>
      <c r="E454" s="2" t="s">
        <v>1852</v>
      </c>
      <c r="F454" s="2" t="s">
        <v>1278</v>
      </c>
      <c r="G454" s="2" t="s">
        <v>1279</v>
      </c>
      <c r="H454" t="e">
        <f>VLOOKUP(A454,'Export Worksheet'!A:L,6,FALSE)</f>
        <v>#N/A</v>
      </c>
      <c r="I454" t="str">
        <f>VLOOKUP(A454,'Tableau single and bulk'!A:B,2,FALSE)</f>
        <v>NESAUTO</v>
      </c>
      <c r="K454" s="9">
        <f>VLOOKUP(A454,'Tableau single and bulk'!A:I,9,FALSE)</f>
        <v>45939.515925925924</v>
      </c>
      <c r="L454">
        <f>VLOOKUP(A454,'Tableau single and bulk'!A:L,12,FALSE)</f>
        <v>609841</v>
      </c>
      <c r="M454" t="str">
        <f>VLOOKUP(A454,'Tableau single and bulk'!A:AA,27,FALSE)</f>
        <v>Galway Clinic Doughiska Unltd Co</v>
      </c>
    </row>
    <row r="455" spans="1:13" hidden="1">
      <c r="A455" s="7" t="s">
        <v>1918</v>
      </c>
      <c r="B455" s="2" t="s">
        <v>1470</v>
      </c>
      <c r="C455" s="2" t="s">
        <v>1309</v>
      </c>
      <c r="D455" s="2" t="s">
        <v>1917</v>
      </c>
      <c r="E455" s="2" t="s">
        <v>1918</v>
      </c>
      <c r="F455" s="2" t="s">
        <v>1278</v>
      </c>
      <c r="G455" s="2" t="s">
        <v>1279</v>
      </c>
      <c r="H455" t="e">
        <f>VLOOKUP(A455,'Export Worksheet'!A:L,6,FALSE)</f>
        <v>#N/A</v>
      </c>
      <c r="I455" t="str">
        <f>VLOOKUP(A455,'Tableau single and bulk'!A:B,2,FALSE)</f>
        <v>NESAUTO</v>
      </c>
      <c r="K455" s="9">
        <f>VLOOKUP(A455,'Tableau single and bulk'!A:I,9,FALSE)</f>
        <v>45939.514166666668</v>
      </c>
      <c r="L455">
        <f>VLOOKUP(A455,'Tableau single and bulk'!A:L,12,FALSE)</f>
        <v>609841</v>
      </c>
      <c r="M455" t="str">
        <f>VLOOKUP(A455,'Tableau single and bulk'!A:AA,27,FALSE)</f>
        <v>Galway Clinic Doughiska Unltd Co</v>
      </c>
    </row>
    <row r="456" spans="1:13" hidden="1">
      <c r="A456" s="7" t="s">
        <v>1906</v>
      </c>
      <c r="B456" s="2" t="s">
        <v>1470</v>
      </c>
      <c r="C456" s="2" t="s">
        <v>1309</v>
      </c>
      <c r="D456" s="2" t="s">
        <v>1905</v>
      </c>
      <c r="E456" s="2" t="s">
        <v>1906</v>
      </c>
      <c r="F456" s="2" t="s">
        <v>1278</v>
      </c>
      <c r="G456" s="2" t="s">
        <v>1279</v>
      </c>
      <c r="H456" t="e">
        <f>VLOOKUP(A456,'Export Worksheet'!A:L,6,FALSE)</f>
        <v>#N/A</v>
      </c>
      <c r="I456" t="str">
        <f>VLOOKUP(A456,'Tableau single and bulk'!A:B,2,FALSE)</f>
        <v>NESAUTO</v>
      </c>
      <c r="K456" s="9">
        <f>VLOOKUP(A456,'Tableau single and bulk'!A:I,9,FALSE)</f>
        <v>45939.514641203707</v>
      </c>
      <c r="L456">
        <f>VLOOKUP(A456,'Tableau single and bulk'!A:L,12,FALSE)</f>
        <v>609841</v>
      </c>
      <c r="M456" t="str">
        <f>VLOOKUP(A456,'Tableau single and bulk'!A:AA,27,FALSE)</f>
        <v>Galway Clinic Doughiska Unltd Co</v>
      </c>
    </row>
    <row r="457" spans="1:13" hidden="1">
      <c r="A457" s="7" t="s">
        <v>1912</v>
      </c>
      <c r="B457" s="2" t="s">
        <v>1470</v>
      </c>
      <c r="C457" s="2" t="s">
        <v>1309</v>
      </c>
      <c r="D457" s="2" t="s">
        <v>1911</v>
      </c>
      <c r="E457" s="2" t="s">
        <v>1912</v>
      </c>
      <c r="F457" s="2" t="s">
        <v>1278</v>
      </c>
      <c r="G457" s="2" t="s">
        <v>1279</v>
      </c>
      <c r="H457" t="e">
        <f>VLOOKUP(A457,'Export Worksheet'!A:L,6,FALSE)</f>
        <v>#N/A</v>
      </c>
      <c r="I457" t="str">
        <f>VLOOKUP(A457,'Tableau single and bulk'!A:B,2,FALSE)</f>
        <v>NESAUTO</v>
      </c>
      <c r="K457" s="9">
        <f>VLOOKUP(A457,'Tableau single and bulk'!A:I,9,FALSE)</f>
        <v>45939.514421296299</v>
      </c>
      <c r="L457">
        <f>VLOOKUP(A457,'Tableau single and bulk'!A:L,12,FALSE)</f>
        <v>609841</v>
      </c>
      <c r="M457" t="str">
        <f>VLOOKUP(A457,'Tableau single and bulk'!A:AA,27,FALSE)</f>
        <v>Galway Clinic Doughiska Unltd Co</v>
      </c>
    </row>
    <row r="458" spans="1:13" hidden="1">
      <c r="A458" s="7" t="s">
        <v>1733</v>
      </c>
      <c r="B458" s="2" t="s">
        <v>1381</v>
      </c>
      <c r="C458" s="2" t="s">
        <v>1309</v>
      </c>
      <c r="D458" s="2" t="s">
        <v>1732</v>
      </c>
      <c r="E458" s="2" t="s">
        <v>1733</v>
      </c>
      <c r="F458" s="2" t="s">
        <v>1278</v>
      </c>
      <c r="G458" s="2" t="s">
        <v>1279</v>
      </c>
      <c r="H458" t="e">
        <f>VLOOKUP(A458,'Export Worksheet'!A:L,6,FALSE)</f>
        <v>#N/A</v>
      </c>
      <c r="I458" t="str">
        <f>VLOOKUP(A458,'Tableau single and bulk'!A:B,2,FALSE)</f>
        <v>NESAUTO</v>
      </c>
      <c r="K458" s="9">
        <f>VLOOKUP(A458,'Tableau single and bulk'!A:I,9,FALSE)</f>
        <v>45940.675543981481</v>
      </c>
      <c r="L458">
        <f>VLOOKUP(A458,'Tableau single and bulk'!A:L,12,FALSE)</f>
        <v>601991</v>
      </c>
      <c r="M458" t="str">
        <f>VLOOKUP(A458,'Tableau single and bulk'!A:AA,27,FALSE)</f>
        <v>Securitas Security Services (Ireland)Ltd</v>
      </c>
    </row>
    <row r="459" spans="1:13" hidden="1">
      <c r="A459" s="7" t="s">
        <v>1854</v>
      </c>
      <c r="B459" s="2" t="s">
        <v>1470</v>
      </c>
      <c r="C459" s="2" t="s">
        <v>1309</v>
      </c>
      <c r="D459" s="2" t="s">
        <v>1853</v>
      </c>
      <c r="E459" s="2" t="s">
        <v>1854</v>
      </c>
      <c r="F459" s="2" t="s">
        <v>1278</v>
      </c>
      <c r="G459" s="2" t="s">
        <v>1279</v>
      </c>
      <c r="H459" t="e">
        <f>VLOOKUP(A459,'Export Worksheet'!A:L,6,FALSE)</f>
        <v>#N/A</v>
      </c>
      <c r="I459" t="str">
        <f>VLOOKUP(A459,'Tableau single and bulk'!A:B,2,FALSE)</f>
        <v>NESAUTO</v>
      </c>
      <c r="K459" s="9">
        <f>VLOOKUP(A459,'Tableau single and bulk'!A:I,9,FALSE)</f>
        <v>45939.515925925924</v>
      </c>
      <c r="L459">
        <f>VLOOKUP(A459,'Tableau single and bulk'!A:L,12,FALSE)</f>
        <v>609841</v>
      </c>
      <c r="M459" t="str">
        <f>VLOOKUP(A459,'Tableau single and bulk'!A:AA,27,FALSE)</f>
        <v>Galway Clinic Doughiska Unltd Co</v>
      </c>
    </row>
    <row r="460" spans="1:13" hidden="1">
      <c r="A460" s="7" t="s">
        <v>1902</v>
      </c>
      <c r="B460" s="2" t="s">
        <v>1470</v>
      </c>
      <c r="C460" s="2" t="s">
        <v>1309</v>
      </c>
      <c r="D460" s="2" t="s">
        <v>1901</v>
      </c>
      <c r="E460" s="2" t="s">
        <v>1902</v>
      </c>
      <c r="F460" s="2" t="s">
        <v>1278</v>
      </c>
      <c r="G460" s="2" t="s">
        <v>1279</v>
      </c>
      <c r="H460" t="e">
        <f>VLOOKUP(A460,'Export Worksheet'!A:L,6,FALSE)</f>
        <v>#N/A</v>
      </c>
      <c r="I460" t="str">
        <f>VLOOKUP(A460,'Tableau single and bulk'!A:B,2,FALSE)</f>
        <v>NESAUTO</v>
      </c>
      <c r="K460" s="9">
        <f>VLOOKUP(A460,'Tableau single and bulk'!A:I,9,FALSE)</f>
        <v>45939.514675925922</v>
      </c>
      <c r="L460">
        <f>VLOOKUP(A460,'Tableau single and bulk'!A:L,12,FALSE)</f>
        <v>609841</v>
      </c>
      <c r="M460" t="str">
        <f>VLOOKUP(A460,'Tableau single and bulk'!A:AA,27,FALSE)</f>
        <v>Galway Clinic Doughiska Unltd Co</v>
      </c>
    </row>
    <row r="461" spans="1:13" hidden="1">
      <c r="A461" s="7" t="s">
        <v>1932</v>
      </c>
      <c r="B461" s="2" t="s">
        <v>1470</v>
      </c>
      <c r="C461" s="2" t="s">
        <v>1309</v>
      </c>
      <c r="D461" s="2" t="s">
        <v>1931</v>
      </c>
      <c r="E461" s="2" t="s">
        <v>1932</v>
      </c>
      <c r="F461" s="2" t="s">
        <v>1278</v>
      </c>
      <c r="G461" s="2" t="s">
        <v>1279</v>
      </c>
      <c r="H461" t="e">
        <f>VLOOKUP(A461,'Export Worksheet'!A:L,6,FALSE)</f>
        <v>#N/A</v>
      </c>
      <c r="I461" t="str">
        <f>VLOOKUP(A461,'Tableau single and bulk'!A:B,2,FALSE)</f>
        <v>NESAUTO</v>
      </c>
      <c r="K461" s="9">
        <f>VLOOKUP(A461,'Tableau single and bulk'!A:I,9,FALSE)</f>
        <v>45939.513784722221</v>
      </c>
      <c r="L461">
        <f>VLOOKUP(A461,'Tableau single and bulk'!A:L,12,FALSE)</f>
        <v>609841</v>
      </c>
      <c r="M461" t="str">
        <f>VLOOKUP(A461,'Tableau single and bulk'!A:AA,27,FALSE)</f>
        <v>Galway Clinic Doughiska Unltd Co</v>
      </c>
    </row>
    <row r="462" spans="1:13" hidden="1">
      <c r="A462" s="7" t="s">
        <v>1930</v>
      </c>
      <c r="B462" s="2" t="s">
        <v>1470</v>
      </c>
      <c r="C462" s="2" t="s">
        <v>1309</v>
      </c>
      <c r="D462" s="2" t="s">
        <v>1929</v>
      </c>
      <c r="E462" s="2" t="s">
        <v>1930</v>
      </c>
      <c r="F462" s="2" t="s">
        <v>1278</v>
      </c>
      <c r="G462" s="2" t="s">
        <v>1279</v>
      </c>
      <c r="H462" t="e">
        <f>VLOOKUP(A462,'Export Worksheet'!A:L,6,FALSE)</f>
        <v>#N/A</v>
      </c>
      <c r="I462" t="str">
        <f>VLOOKUP(A462,'Tableau single and bulk'!A:B,2,FALSE)</f>
        <v>NESAUTO</v>
      </c>
      <c r="K462" s="9">
        <f>VLOOKUP(A462,'Tableau single and bulk'!A:I,9,FALSE)</f>
        <v>45939.513854166667</v>
      </c>
      <c r="L462">
        <f>VLOOKUP(A462,'Tableau single and bulk'!A:L,12,FALSE)</f>
        <v>609841</v>
      </c>
      <c r="M462" t="str">
        <f>VLOOKUP(A462,'Tableau single and bulk'!A:AA,27,FALSE)</f>
        <v>Galway Clinic Doughiska Unltd Co</v>
      </c>
    </row>
    <row r="463" spans="1:13" hidden="1">
      <c r="A463" s="7" t="s">
        <v>1900</v>
      </c>
      <c r="B463" s="2" t="s">
        <v>1470</v>
      </c>
      <c r="C463" s="2" t="s">
        <v>1309</v>
      </c>
      <c r="D463" s="2" t="s">
        <v>1899</v>
      </c>
      <c r="E463" s="2" t="s">
        <v>1900</v>
      </c>
      <c r="F463" s="2" t="s">
        <v>1278</v>
      </c>
      <c r="G463" s="2" t="s">
        <v>1279</v>
      </c>
      <c r="H463" t="e">
        <f>VLOOKUP(A463,'Export Worksheet'!A:L,6,FALSE)</f>
        <v>#N/A</v>
      </c>
      <c r="I463" t="str">
        <f>VLOOKUP(A463,'Tableau single and bulk'!A:B,2,FALSE)</f>
        <v>NESAUTO</v>
      </c>
      <c r="K463" s="9">
        <f>VLOOKUP(A463,'Tableau single and bulk'!A:I,9,FALSE)</f>
        <v>45939.514733796299</v>
      </c>
      <c r="L463">
        <f>VLOOKUP(A463,'Tableau single and bulk'!A:L,12,FALSE)</f>
        <v>609841</v>
      </c>
      <c r="M463" t="str">
        <f>VLOOKUP(A463,'Tableau single and bulk'!A:AA,27,FALSE)</f>
        <v>Galway Clinic Doughiska Unltd Co</v>
      </c>
    </row>
    <row r="464" spans="1:13" hidden="1">
      <c r="A464" s="7" t="s">
        <v>1892</v>
      </c>
      <c r="B464" s="2" t="s">
        <v>1470</v>
      </c>
      <c r="C464" s="2" t="s">
        <v>1309</v>
      </c>
      <c r="D464" s="2" t="s">
        <v>1891</v>
      </c>
      <c r="E464" s="2" t="s">
        <v>1892</v>
      </c>
      <c r="F464" s="2" t="s">
        <v>1278</v>
      </c>
      <c r="G464" s="2" t="s">
        <v>1279</v>
      </c>
      <c r="H464" t="e">
        <f>VLOOKUP(A464,'Export Worksheet'!A:L,6,FALSE)</f>
        <v>#N/A</v>
      </c>
      <c r="I464" t="str">
        <f>VLOOKUP(A464,'Tableau single and bulk'!A:B,2,FALSE)</f>
        <v>NESAUTO</v>
      </c>
      <c r="K464" s="9">
        <f>VLOOKUP(A464,'Tableau single and bulk'!A:I,9,FALSE)</f>
        <v>45939.514953703707</v>
      </c>
      <c r="L464">
        <f>VLOOKUP(A464,'Tableau single and bulk'!A:L,12,FALSE)</f>
        <v>609841</v>
      </c>
      <c r="M464" t="str">
        <f>VLOOKUP(A464,'Tableau single and bulk'!A:AA,27,FALSE)</f>
        <v>Galway Clinic Doughiska Unltd Co</v>
      </c>
    </row>
    <row r="465" spans="1:13" hidden="1">
      <c r="A465" s="7" t="s">
        <v>1858</v>
      </c>
      <c r="B465" s="2" t="s">
        <v>1470</v>
      </c>
      <c r="C465" s="2" t="s">
        <v>1309</v>
      </c>
      <c r="D465" s="2" t="s">
        <v>1857</v>
      </c>
      <c r="E465" s="2" t="s">
        <v>1858</v>
      </c>
      <c r="F465" s="2" t="s">
        <v>1278</v>
      </c>
      <c r="G465" s="2" t="s">
        <v>1279</v>
      </c>
      <c r="H465" t="e">
        <f>VLOOKUP(A465,'Export Worksheet'!A:L,6,FALSE)</f>
        <v>#N/A</v>
      </c>
      <c r="I465" t="str">
        <f>VLOOKUP(A465,'Tableau single and bulk'!A:B,2,FALSE)</f>
        <v>NESAUTO</v>
      </c>
      <c r="K465" s="9">
        <f>VLOOKUP(A465,'Tableau single and bulk'!A:I,9,FALSE)</f>
        <v>45939.515729166669</v>
      </c>
      <c r="L465">
        <f>VLOOKUP(A465,'Tableau single and bulk'!A:L,12,FALSE)</f>
        <v>609841</v>
      </c>
      <c r="M465" t="str">
        <f>VLOOKUP(A465,'Tableau single and bulk'!A:AA,27,FALSE)</f>
        <v>Galway Clinic Doughiska Unltd Co</v>
      </c>
    </row>
    <row r="466" spans="1:13" hidden="1">
      <c r="A466" s="7" t="s">
        <v>1916</v>
      </c>
      <c r="B466" s="2" t="s">
        <v>1470</v>
      </c>
      <c r="C466" s="2" t="s">
        <v>1309</v>
      </c>
      <c r="D466" s="2" t="s">
        <v>1915</v>
      </c>
      <c r="E466" s="2" t="s">
        <v>1916</v>
      </c>
      <c r="F466" s="2" t="s">
        <v>1278</v>
      </c>
      <c r="G466" s="2" t="s">
        <v>1279</v>
      </c>
      <c r="H466" t="e">
        <f>VLOOKUP(A466,'Export Worksheet'!A:L,6,FALSE)</f>
        <v>#N/A</v>
      </c>
      <c r="I466" t="str">
        <f>VLOOKUP(A466,'Tableau single and bulk'!A:B,2,FALSE)</f>
        <v>NESAUTO</v>
      </c>
      <c r="K466" s="9">
        <f>VLOOKUP(A466,'Tableau single and bulk'!A:I,9,FALSE)</f>
        <v>45939.514236111114</v>
      </c>
      <c r="L466">
        <f>VLOOKUP(A466,'Tableau single and bulk'!A:L,12,FALSE)</f>
        <v>609841</v>
      </c>
      <c r="M466" t="str">
        <f>VLOOKUP(A466,'Tableau single and bulk'!A:AA,27,FALSE)</f>
        <v>Galway Clinic Doughiska Unltd Co</v>
      </c>
    </row>
    <row r="467" spans="1:13" hidden="1">
      <c r="A467" s="7" t="s">
        <v>1928</v>
      </c>
      <c r="B467" s="2" t="s">
        <v>1470</v>
      </c>
      <c r="C467" s="2" t="s">
        <v>1309</v>
      </c>
      <c r="D467" s="2" t="s">
        <v>1927</v>
      </c>
      <c r="E467" s="2" t="s">
        <v>1928</v>
      </c>
      <c r="F467" s="2" t="s">
        <v>1278</v>
      </c>
      <c r="G467" s="2" t="s">
        <v>1279</v>
      </c>
      <c r="H467" t="e">
        <f>VLOOKUP(A467,'Export Worksheet'!A:L,6,FALSE)</f>
        <v>#N/A</v>
      </c>
      <c r="I467" t="str">
        <f>VLOOKUP(A467,'Tableau single and bulk'!A:B,2,FALSE)</f>
        <v>NESAUTO</v>
      </c>
      <c r="K467" s="9">
        <f>VLOOKUP(A467,'Tableau single and bulk'!A:I,9,FALSE)</f>
        <v>45939.513888888891</v>
      </c>
      <c r="L467">
        <f>VLOOKUP(A467,'Tableau single and bulk'!A:L,12,FALSE)</f>
        <v>609841</v>
      </c>
      <c r="M467" t="str">
        <f>VLOOKUP(A467,'Tableau single and bulk'!A:AA,27,FALSE)</f>
        <v>Galway Clinic Doughiska Unltd Co</v>
      </c>
    </row>
    <row r="468" spans="1:13" hidden="1">
      <c r="A468" s="7" t="s">
        <v>1924</v>
      </c>
      <c r="B468" s="2" t="s">
        <v>1470</v>
      </c>
      <c r="C468" s="2" t="s">
        <v>1309</v>
      </c>
      <c r="D468" s="2" t="s">
        <v>1923</v>
      </c>
      <c r="E468" s="2" t="s">
        <v>1924</v>
      </c>
      <c r="F468" s="2" t="s">
        <v>1278</v>
      </c>
      <c r="G468" s="2" t="s">
        <v>1279</v>
      </c>
      <c r="H468" t="e">
        <f>VLOOKUP(A468,'Export Worksheet'!A:L,6,FALSE)</f>
        <v>#N/A</v>
      </c>
      <c r="I468" t="str">
        <f>VLOOKUP(A468,'Tableau single and bulk'!A:B,2,FALSE)</f>
        <v>NESAUTO</v>
      </c>
      <c r="K468" s="9">
        <f>VLOOKUP(A468,'Tableau single and bulk'!A:I,9,FALSE)</f>
        <v>45939.514039351852</v>
      </c>
      <c r="L468">
        <f>VLOOKUP(A468,'Tableau single and bulk'!A:L,12,FALSE)</f>
        <v>609841</v>
      </c>
      <c r="M468" t="str">
        <f>VLOOKUP(A468,'Tableau single and bulk'!A:AA,27,FALSE)</f>
        <v>Galway Clinic Doughiska Unltd Co</v>
      </c>
    </row>
    <row r="469" spans="1:13" hidden="1">
      <c r="A469" s="7" t="s">
        <v>1856</v>
      </c>
      <c r="B469" s="2" t="s">
        <v>1470</v>
      </c>
      <c r="C469" s="2" t="s">
        <v>1309</v>
      </c>
      <c r="D469" s="2" t="s">
        <v>1855</v>
      </c>
      <c r="E469" s="2" t="s">
        <v>1856</v>
      </c>
      <c r="F469" s="2" t="s">
        <v>1278</v>
      </c>
      <c r="G469" s="2" t="s">
        <v>1279</v>
      </c>
      <c r="H469" t="e">
        <f>VLOOKUP(A469,'Export Worksheet'!A:L,6,FALSE)</f>
        <v>#N/A</v>
      </c>
      <c r="I469" t="str">
        <f>VLOOKUP(A469,'Tableau single and bulk'!A:B,2,FALSE)</f>
        <v>NESAUTO</v>
      </c>
      <c r="K469" s="9">
        <f>VLOOKUP(A469,'Tableau single and bulk'!A:I,9,FALSE)</f>
        <v>45939.515810185185</v>
      </c>
      <c r="L469">
        <f>VLOOKUP(A469,'Tableau single and bulk'!A:L,12,FALSE)</f>
        <v>609841</v>
      </c>
      <c r="M469" t="str">
        <f>VLOOKUP(A469,'Tableau single and bulk'!A:AA,27,FALSE)</f>
        <v>Galway Clinic Doughiska Unltd Co</v>
      </c>
    </row>
    <row r="470" spans="1:13" hidden="1">
      <c r="A470" s="7" t="s">
        <v>1926</v>
      </c>
      <c r="B470" s="2" t="s">
        <v>1470</v>
      </c>
      <c r="C470" s="2" t="s">
        <v>1309</v>
      </c>
      <c r="D470" s="2" t="s">
        <v>1925</v>
      </c>
      <c r="E470" s="2" t="s">
        <v>1926</v>
      </c>
      <c r="F470" s="2" t="s">
        <v>1278</v>
      </c>
      <c r="G470" s="2" t="s">
        <v>1279</v>
      </c>
      <c r="H470" t="e">
        <f>VLOOKUP(A470,'Export Worksheet'!A:L,6,FALSE)</f>
        <v>#N/A</v>
      </c>
      <c r="I470" t="str">
        <f>VLOOKUP(A470,'Tableau single and bulk'!A:B,2,FALSE)</f>
        <v>NESAUTO</v>
      </c>
      <c r="K470" s="9">
        <f>VLOOKUP(A470,'Tableau single and bulk'!A:I,9,FALSE)</f>
        <v>45939.513969907406</v>
      </c>
      <c r="L470">
        <f>VLOOKUP(A470,'Tableau single and bulk'!A:L,12,FALSE)</f>
        <v>609841</v>
      </c>
      <c r="M470" t="str">
        <f>VLOOKUP(A470,'Tableau single and bulk'!A:AA,27,FALSE)</f>
        <v>Galway Clinic Doughiska Unltd Co</v>
      </c>
    </row>
    <row r="471" spans="1:13" hidden="1">
      <c r="A471" s="7" t="s">
        <v>1910</v>
      </c>
      <c r="B471" s="2" t="s">
        <v>1470</v>
      </c>
      <c r="C471" s="2" t="s">
        <v>1309</v>
      </c>
      <c r="D471" s="2" t="s">
        <v>1909</v>
      </c>
      <c r="E471" s="2" t="s">
        <v>1910</v>
      </c>
      <c r="F471" s="2" t="s">
        <v>1278</v>
      </c>
      <c r="G471" s="2" t="s">
        <v>1279</v>
      </c>
      <c r="H471" t="e">
        <f>VLOOKUP(A471,'Export Worksheet'!A:L,6,FALSE)</f>
        <v>#N/A</v>
      </c>
      <c r="I471" t="str">
        <f>VLOOKUP(A471,'Tableau single and bulk'!A:B,2,FALSE)</f>
        <v>NESAUTO</v>
      </c>
      <c r="K471" s="9">
        <f>VLOOKUP(A471,'Tableau single and bulk'!A:I,9,FALSE)</f>
        <v>45939.514502314814</v>
      </c>
      <c r="L471">
        <f>VLOOKUP(A471,'Tableau single and bulk'!A:L,12,FALSE)</f>
        <v>609841</v>
      </c>
      <c r="M471" t="str">
        <f>VLOOKUP(A471,'Tableau single and bulk'!A:AA,27,FALSE)</f>
        <v>Galway Clinic Doughiska Unltd Co</v>
      </c>
    </row>
    <row r="472" spans="1:13" hidden="1">
      <c r="A472" s="7" t="s">
        <v>1914</v>
      </c>
      <c r="B472" s="2" t="s">
        <v>1470</v>
      </c>
      <c r="C472" s="2" t="s">
        <v>1309</v>
      </c>
      <c r="D472" s="2" t="s">
        <v>1913</v>
      </c>
      <c r="E472" s="2" t="s">
        <v>1914</v>
      </c>
      <c r="F472" s="2" t="s">
        <v>1278</v>
      </c>
      <c r="G472" s="2" t="s">
        <v>1279</v>
      </c>
      <c r="H472" t="e">
        <f>VLOOKUP(A472,'Export Worksheet'!A:L,6,FALSE)</f>
        <v>#N/A</v>
      </c>
      <c r="I472" t="str">
        <f>VLOOKUP(A472,'Tableau single and bulk'!A:B,2,FALSE)</f>
        <v>NESAUTO</v>
      </c>
      <c r="K472" s="9">
        <f>VLOOKUP(A472,'Tableau single and bulk'!A:I,9,FALSE)</f>
        <v>45939.514363425929</v>
      </c>
      <c r="L472">
        <f>VLOOKUP(A472,'Tableau single and bulk'!A:L,12,FALSE)</f>
        <v>609841</v>
      </c>
      <c r="M472" t="str">
        <f>VLOOKUP(A472,'Tableau single and bulk'!A:AA,27,FALSE)</f>
        <v>Galway Clinic Doughiska Unltd Co</v>
      </c>
    </row>
    <row r="473" spans="1:13" hidden="1">
      <c r="A473" s="7" t="s">
        <v>1886</v>
      </c>
      <c r="B473" s="2" t="s">
        <v>1470</v>
      </c>
      <c r="C473" s="2" t="s">
        <v>1309</v>
      </c>
      <c r="D473" s="2" t="s">
        <v>1885</v>
      </c>
      <c r="E473" s="2" t="s">
        <v>1886</v>
      </c>
      <c r="F473" s="2" t="s">
        <v>1278</v>
      </c>
      <c r="G473" s="2" t="s">
        <v>1279</v>
      </c>
      <c r="H473" t="e">
        <f>VLOOKUP(A473,'Export Worksheet'!A:L,6,FALSE)</f>
        <v>#N/A</v>
      </c>
      <c r="I473" t="str">
        <f>VLOOKUP(A473,'Tableau single and bulk'!A:B,2,FALSE)</f>
        <v>NESAUTO</v>
      </c>
      <c r="K473" s="9">
        <f>VLOOKUP(A473,'Tableau single and bulk'!A:I,9,FALSE)</f>
        <v>45939.515127314815</v>
      </c>
      <c r="L473">
        <f>VLOOKUP(A473,'Tableau single and bulk'!A:L,12,FALSE)</f>
        <v>609841</v>
      </c>
      <c r="M473" t="str">
        <f>VLOOKUP(A473,'Tableau single and bulk'!A:AA,27,FALSE)</f>
        <v>Galway Clinic Doughiska Unltd Co</v>
      </c>
    </row>
    <row r="474" spans="1:13" hidden="1">
      <c r="A474" s="7" t="s">
        <v>1862</v>
      </c>
      <c r="B474" s="2" t="s">
        <v>1470</v>
      </c>
      <c r="C474" s="2" t="s">
        <v>1309</v>
      </c>
      <c r="D474" s="2" t="s">
        <v>1861</v>
      </c>
      <c r="E474" s="2" t="s">
        <v>1862</v>
      </c>
      <c r="F474" s="2" t="s">
        <v>1278</v>
      </c>
      <c r="G474" s="2" t="s">
        <v>1279</v>
      </c>
      <c r="H474" t="e">
        <f>VLOOKUP(A474,'Export Worksheet'!A:L,6,FALSE)</f>
        <v>#N/A</v>
      </c>
      <c r="I474" t="str">
        <f>VLOOKUP(A474,'Tableau single and bulk'!A:B,2,FALSE)</f>
        <v>NESAUTO</v>
      </c>
      <c r="K474" s="9">
        <f>VLOOKUP(A474,'Tableau single and bulk'!A:I,9,FALSE)</f>
        <v>45939.515659722223</v>
      </c>
      <c r="L474">
        <f>VLOOKUP(A474,'Tableau single and bulk'!A:L,12,FALSE)</f>
        <v>609841</v>
      </c>
      <c r="M474" t="str">
        <f>VLOOKUP(A474,'Tableau single and bulk'!A:AA,27,FALSE)</f>
        <v>Galway Clinic Doughiska Unltd Co</v>
      </c>
    </row>
    <row r="475" spans="1:13" hidden="1">
      <c r="A475" s="7" t="s">
        <v>1876</v>
      </c>
      <c r="B475" s="2" t="s">
        <v>1470</v>
      </c>
      <c r="C475" s="2" t="s">
        <v>1309</v>
      </c>
      <c r="D475" s="2" t="s">
        <v>1875</v>
      </c>
      <c r="E475" s="2" t="s">
        <v>1876</v>
      </c>
      <c r="F475" s="2" t="s">
        <v>1278</v>
      </c>
      <c r="G475" s="2" t="s">
        <v>1279</v>
      </c>
      <c r="H475" t="e">
        <f>VLOOKUP(A475,'Export Worksheet'!A:L,6,FALSE)</f>
        <v>#N/A</v>
      </c>
      <c r="I475" t="str">
        <f>VLOOKUP(A475,'Tableau single and bulk'!A:B,2,FALSE)</f>
        <v>NESAUTO</v>
      </c>
      <c r="K475" s="9">
        <f>VLOOKUP(A475,'Tableau single and bulk'!A:I,9,FALSE)</f>
        <v>45939.515405092592</v>
      </c>
      <c r="L475">
        <f>VLOOKUP(A475,'Tableau single and bulk'!A:L,12,FALSE)</f>
        <v>609841</v>
      </c>
      <c r="M475" t="str">
        <f>VLOOKUP(A475,'Tableau single and bulk'!A:AA,27,FALSE)</f>
        <v>Galway Clinic Doughiska Unltd Co</v>
      </c>
    </row>
    <row r="476" spans="1:13" hidden="1">
      <c r="A476" s="7" t="s">
        <v>1890</v>
      </c>
      <c r="B476" s="2" t="s">
        <v>1470</v>
      </c>
      <c r="C476" s="2" t="s">
        <v>1309</v>
      </c>
      <c r="D476" s="2" t="s">
        <v>1889</v>
      </c>
      <c r="E476" s="2" t="s">
        <v>1890</v>
      </c>
      <c r="F476" s="2" t="s">
        <v>1278</v>
      </c>
      <c r="G476" s="2" t="s">
        <v>1279</v>
      </c>
      <c r="H476" t="e">
        <f>VLOOKUP(A476,'Export Worksheet'!A:L,6,FALSE)</f>
        <v>#N/A</v>
      </c>
      <c r="I476" t="str">
        <f>VLOOKUP(A476,'Tableau single and bulk'!A:B,2,FALSE)</f>
        <v>NESAUTO</v>
      </c>
      <c r="K476" s="9">
        <f>VLOOKUP(A476,'Tableau single and bulk'!A:I,9,FALSE)</f>
        <v>45939.514965277776</v>
      </c>
      <c r="L476">
        <f>VLOOKUP(A476,'Tableau single and bulk'!A:L,12,FALSE)</f>
        <v>609841</v>
      </c>
      <c r="M476" t="str">
        <f>VLOOKUP(A476,'Tableau single and bulk'!A:AA,27,FALSE)</f>
        <v>Galway Clinic Doughiska Unltd Co</v>
      </c>
    </row>
    <row r="477" spans="1:13" hidden="1">
      <c r="A477" s="7" t="s">
        <v>1864</v>
      </c>
      <c r="B477" s="2" t="s">
        <v>1470</v>
      </c>
      <c r="C477" s="2" t="s">
        <v>1309</v>
      </c>
      <c r="D477" s="2" t="s">
        <v>1863</v>
      </c>
      <c r="E477" s="2" t="s">
        <v>1864</v>
      </c>
      <c r="F477" s="2" t="s">
        <v>1278</v>
      </c>
      <c r="G477" s="2" t="s">
        <v>1279</v>
      </c>
      <c r="H477" t="e">
        <f>VLOOKUP(A477,'Export Worksheet'!A:L,6,FALSE)</f>
        <v>#N/A</v>
      </c>
      <c r="I477" t="str">
        <f>VLOOKUP(A477,'Tableau single and bulk'!A:B,2,FALSE)</f>
        <v>NESAUTO</v>
      </c>
      <c r="K477" s="9">
        <f>VLOOKUP(A477,'Tableau single and bulk'!A:I,9,FALSE)</f>
        <v>45939.515659722223</v>
      </c>
      <c r="L477">
        <f>VLOOKUP(A477,'Tableau single and bulk'!A:L,12,FALSE)</f>
        <v>609841</v>
      </c>
      <c r="M477" t="str">
        <f>VLOOKUP(A477,'Tableau single and bulk'!A:AA,27,FALSE)</f>
        <v>Galway Clinic Doughiska Unltd Co</v>
      </c>
    </row>
    <row r="478" spans="1:13" hidden="1">
      <c r="A478" s="7" t="s">
        <v>1860</v>
      </c>
      <c r="B478" s="2" t="s">
        <v>1470</v>
      </c>
      <c r="C478" s="2" t="s">
        <v>1309</v>
      </c>
      <c r="D478" s="2" t="s">
        <v>1859</v>
      </c>
      <c r="E478" s="2" t="s">
        <v>1860</v>
      </c>
      <c r="F478" s="2" t="s">
        <v>1278</v>
      </c>
      <c r="G478" s="2" t="s">
        <v>1279</v>
      </c>
      <c r="H478" t="e">
        <f>VLOOKUP(A478,'Export Worksheet'!A:L,6,FALSE)</f>
        <v>#N/A</v>
      </c>
      <c r="I478" t="str">
        <f>VLOOKUP(A478,'Tableau single and bulk'!A:B,2,FALSE)</f>
        <v>NESAUTO</v>
      </c>
      <c r="K478" s="9">
        <f>VLOOKUP(A478,'Tableau single and bulk'!A:I,9,FALSE)</f>
        <v>45939.515729166669</v>
      </c>
      <c r="L478">
        <f>VLOOKUP(A478,'Tableau single and bulk'!A:L,12,FALSE)</f>
        <v>609841</v>
      </c>
      <c r="M478" t="str">
        <f>VLOOKUP(A478,'Tableau single and bulk'!A:AA,27,FALSE)</f>
        <v>Galway Clinic Doughiska Unltd Co</v>
      </c>
    </row>
    <row r="479" spans="1:13" hidden="1">
      <c r="A479" s="7" t="s">
        <v>1880</v>
      </c>
      <c r="B479" s="2" t="s">
        <v>1470</v>
      </c>
      <c r="C479" s="2" t="s">
        <v>1309</v>
      </c>
      <c r="D479" s="2" t="s">
        <v>1879</v>
      </c>
      <c r="E479" s="2" t="s">
        <v>1880</v>
      </c>
      <c r="F479" s="2" t="s">
        <v>1278</v>
      </c>
      <c r="G479" s="2" t="s">
        <v>1279</v>
      </c>
      <c r="H479" t="e">
        <f>VLOOKUP(A479,'Export Worksheet'!A:L,6,FALSE)</f>
        <v>#N/A</v>
      </c>
      <c r="I479" t="str">
        <f>VLOOKUP(A479,'Tableau single and bulk'!A:B,2,FALSE)</f>
        <v>NESAUTO</v>
      </c>
      <c r="K479" s="9">
        <f>VLOOKUP(A479,'Tableau single and bulk'!A:I,9,FALSE)</f>
        <v>45939.515266203707</v>
      </c>
      <c r="L479">
        <f>VLOOKUP(A479,'Tableau single and bulk'!A:L,12,FALSE)</f>
        <v>609841</v>
      </c>
      <c r="M479" t="str">
        <f>VLOOKUP(A479,'Tableau single and bulk'!A:AA,27,FALSE)</f>
        <v>Galway Clinic Doughiska Unltd Co</v>
      </c>
    </row>
    <row r="480" spans="1:13">
      <c r="A480" s="7" t="s">
        <v>770</v>
      </c>
      <c r="B480" s="2" t="s">
        <v>1368</v>
      </c>
      <c r="C480" s="2" t="s">
        <v>1309</v>
      </c>
      <c r="D480" s="2" t="s">
        <v>1825</v>
      </c>
      <c r="E480" s="2" t="s">
        <v>770</v>
      </c>
      <c r="F480" s="2" t="s">
        <v>1278</v>
      </c>
      <c r="G480" s="2" t="s">
        <v>1279</v>
      </c>
      <c r="H480">
        <f>VLOOKUP(A480,'Export Worksheet'!A:L,6,FALSE)</f>
        <v>1</v>
      </c>
      <c r="I480" t="str">
        <f>VLOOKUP(A480,'Tableau single and bulk'!A:B,2,FALSE)</f>
        <v>NEBAUTO</v>
      </c>
      <c r="K480" s="9">
        <f>VLOOKUP(A480,'Tableau single and bulk'!A:I,9,FALSE)</f>
        <v>45939.628819444442</v>
      </c>
      <c r="L480">
        <f>VLOOKUP(A480,'Tableau single and bulk'!A:L,12,FALSE)</f>
        <v>603961</v>
      </c>
      <c r="M480" t="str">
        <f>VLOOKUP(A480,'Tableau single and bulk'!A:AA,27,FALSE)</f>
        <v>Broderick Bros Limited</v>
      </c>
    </row>
    <row r="481" spans="1:13" hidden="1">
      <c r="A481" s="7" t="s">
        <v>1874</v>
      </c>
      <c r="B481" s="2" t="s">
        <v>1470</v>
      </c>
      <c r="C481" s="2" t="s">
        <v>1309</v>
      </c>
      <c r="D481" s="2" t="s">
        <v>1873</v>
      </c>
      <c r="E481" s="2" t="s">
        <v>1874</v>
      </c>
      <c r="F481" s="2" t="s">
        <v>1278</v>
      </c>
      <c r="G481" s="2" t="s">
        <v>1279</v>
      </c>
      <c r="H481" t="e">
        <f>VLOOKUP(A481,'Export Worksheet'!A:L,6,FALSE)</f>
        <v>#N/A</v>
      </c>
      <c r="I481" t="str">
        <f>VLOOKUP(A481,'Tableau single and bulk'!A:B,2,FALSE)</f>
        <v>NESAUTO</v>
      </c>
      <c r="K481" s="9">
        <f>VLOOKUP(A481,'Tableau single and bulk'!A:I,9,FALSE)</f>
        <v>45939.515462962961</v>
      </c>
      <c r="L481">
        <f>VLOOKUP(A481,'Tableau single and bulk'!A:L,12,FALSE)</f>
        <v>609841</v>
      </c>
      <c r="M481" t="str">
        <f>VLOOKUP(A481,'Tableau single and bulk'!A:AA,27,FALSE)</f>
        <v>Galway Clinic Doughiska Unltd Co</v>
      </c>
    </row>
    <row r="482" spans="1:13" hidden="1">
      <c r="A482" s="7" t="s">
        <v>1870</v>
      </c>
      <c r="B482" s="2" t="s">
        <v>1470</v>
      </c>
      <c r="C482" s="2" t="s">
        <v>1309</v>
      </c>
      <c r="D482" s="2" t="s">
        <v>1869</v>
      </c>
      <c r="E482" s="2" t="s">
        <v>1870</v>
      </c>
      <c r="F482" s="2" t="s">
        <v>1278</v>
      </c>
      <c r="G482" s="2" t="s">
        <v>1279</v>
      </c>
      <c r="H482" t="e">
        <f>VLOOKUP(A482,'Export Worksheet'!A:L,6,FALSE)</f>
        <v>#N/A</v>
      </c>
      <c r="I482" t="str">
        <f>VLOOKUP(A482,'Tableau single and bulk'!A:B,2,FALSE)</f>
        <v>NESAUTO</v>
      </c>
      <c r="K482" s="9">
        <f>VLOOKUP(A482,'Tableau single and bulk'!A:I,9,FALSE)</f>
        <v>45939.5155787037</v>
      </c>
      <c r="L482">
        <f>VLOOKUP(A482,'Tableau single and bulk'!A:L,12,FALSE)</f>
        <v>609841</v>
      </c>
      <c r="M482" t="str">
        <f>VLOOKUP(A482,'Tableau single and bulk'!A:AA,27,FALSE)</f>
        <v>Galway Clinic Doughiska Unltd Co</v>
      </c>
    </row>
    <row r="483" spans="1:13" hidden="1">
      <c r="A483" s="7" t="s">
        <v>1882</v>
      </c>
      <c r="B483" s="2" t="s">
        <v>1470</v>
      </c>
      <c r="C483" s="2" t="s">
        <v>1309</v>
      </c>
      <c r="D483" s="2" t="s">
        <v>1881</v>
      </c>
      <c r="E483" s="2" t="s">
        <v>1882</v>
      </c>
      <c r="F483" s="2" t="s">
        <v>1278</v>
      </c>
      <c r="G483" s="2" t="s">
        <v>1279</v>
      </c>
      <c r="H483" t="e">
        <f>VLOOKUP(A483,'Export Worksheet'!A:L,6,FALSE)</f>
        <v>#N/A</v>
      </c>
      <c r="I483" t="str">
        <f>VLOOKUP(A483,'Tableau single and bulk'!A:B,2,FALSE)</f>
        <v>NESAUTO</v>
      </c>
      <c r="K483" s="9">
        <f>VLOOKUP(A483,'Tableau single and bulk'!A:I,9,FALSE)</f>
        <v>45939.515208333331</v>
      </c>
      <c r="L483">
        <f>VLOOKUP(A483,'Tableau single and bulk'!A:L,12,FALSE)</f>
        <v>609841</v>
      </c>
      <c r="M483" t="str">
        <f>VLOOKUP(A483,'Tableau single and bulk'!A:AA,27,FALSE)</f>
        <v>Galway Clinic Doughiska Unltd Co</v>
      </c>
    </row>
    <row r="484" spans="1:13" hidden="1">
      <c r="A484" s="7" t="s">
        <v>1868</v>
      </c>
      <c r="B484" s="2" t="s">
        <v>1470</v>
      </c>
      <c r="C484" s="2" t="s">
        <v>1309</v>
      </c>
      <c r="D484" s="2" t="s">
        <v>1867</v>
      </c>
      <c r="E484" s="2" t="s">
        <v>1868</v>
      </c>
      <c r="F484" s="2" t="s">
        <v>1278</v>
      </c>
      <c r="G484" s="2" t="s">
        <v>1279</v>
      </c>
      <c r="H484" t="e">
        <f>VLOOKUP(A484,'Export Worksheet'!A:L,6,FALSE)</f>
        <v>#N/A</v>
      </c>
      <c r="I484" t="str">
        <f>VLOOKUP(A484,'Tableau single and bulk'!A:B,2,FALSE)</f>
        <v>NESAUTO</v>
      </c>
      <c r="K484" s="9">
        <f>VLOOKUP(A484,'Tableau single and bulk'!A:I,9,FALSE)</f>
        <v>45939.5155787037</v>
      </c>
      <c r="L484">
        <f>VLOOKUP(A484,'Tableau single and bulk'!A:L,12,FALSE)</f>
        <v>609841</v>
      </c>
      <c r="M484" t="str">
        <f>VLOOKUP(A484,'Tableau single and bulk'!A:AA,27,FALSE)</f>
        <v>Galway Clinic Doughiska Unltd Co</v>
      </c>
    </row>
    <row r="485" spans="1:13" hidden="1">
      <c r="A485" s="7" t="s">
        <v>1878</v>
      </c>
      <c r="B485" s="2" t="s">
        <v>1470</v>
      </c>
      <c r="C485" s="2" t="s">
        <v>1309</v>
      </c>
      <c r="D485" s="2" t="s">
        <v>1877</v>
      </c>
      <c r="E485" s="2" t="s">
        <v>1878</v>
      </c>
      <c r="F485" s="2" t="s">
        <v>1278</v>
      </c>
      <c r="G485" s="2" t="s">
        <v>1279</v>
      </c>
      <c r="H485" t="e">
        <f>VLOOKUP(A485,'Export Worksheet'!A:L,6,FALSE)</f>
        <v>#N/A</v>
      </c>
      <c r="I485" t="str">
        <f>VLOOKUP(A485,'Tableau single and bulk'!A:B,2,FALSE)</f>
        <v>NESAUTO</v>
      </c>
      <c r="K485" s="9">
        <f>VLOOKUP(A485,'Tableau single and bulk'!A:I,9,FALSE)</f>
        <v>45939.515405092592</v>
      </c>
      <c r="L485">
        <f>VLOOKUP(A485,'Tableau single and bulk'!A:L,12,FALSE)</f>
        <v>609841</v>
      </c>
      <c r="M485" t="str">
        <f>VLOOKUP(A485,'Tableau single and bulk'!A:AA,27,FALSE)</f>
        <v>Galway Clinic Doughiska Unltd Co</v>
      </c>
    </row>
    <row r="486" spans="1:13" hidden="1">
      <c r="A486" s="7" t="s">
        <v>1888</v>
      </c>
      <c r="B486" s="2" t="s">
        <v>1470</v>
      </c>
      <c r="C486" s="2" t="s">
        <v>1309</v>
      </c>
      <c r="D486" s="2" t="s">
        <v>1887</v>
      </c>
      <c r="E486" s="2" t="s">
        <v>1888</v>
      </c>
      <c r="F486" s="2" t="s">
        <v>1278</v>
      </c>
      <c r="G486" s="2" t="s">
        <v>1279</v>
      </c>
      <c r="H486" t="e">
        <f>VLOOKUP(A486,'Export Worksheet'!A:L,6,FALSE)</f>
        <v>#N/A</v>
      </c>
      <c r="I486" t="str">
        <f>VLOOKUP(A486,'Tableau single and bulk'!A:B,2,FALSE)</f>
        <v>NESAUTO</v>
      </c>
      <c r="K486" s="9">
        <f>VLOOKUP(A486,'Tableau single and bulk'!A:I,9,FALSE)</f>
        <v>45939.515034722222</v>
      </c>
      <c r="L486">
        <f>VLOOKUP(A486,'Tableau single and bulk'!A:L,12,FALSE)</f>
        <v>609841</v>
      </c>
      <c r="M486" t="str">
        <f>VLOOKUP(A486,'Tableau single and bulk'!A:AA,27,FALSE)</f>
        <v>Galway Clinic Doughiska Unltd Co</v>
      </c>
    </row>
    <row r="487" spans="1:13">
      <c r="A487" s="7" t="s">
        <v>771</v>
      </c>
      <c r="B487" s="2" t="s">
        <v>1368</v>
      </c>
      <c r="C487" s="2" t="s">
        <v>1309</v>
      </c>
      <c r="D487" s="2" t="s">
        <v>1811</v>
      </c>
      <c r="E487" s="2" t="s">
        <v>771</v>
      </c>
      <c r="F487" s="2" t="s">
        <v>1278</v>
      </c>
      <c r="G487" s="2" t="s">
        <v>1279</v>
      </c>
      <c r="H487">
        <f>VLOOKUP(A487,'Export Worksheet'!A:L,6,FALSE)</f>
        <v>1</v>
      </c>
      <c r="I487" t="str">
        <f>VLOOKUP(A487,'Tableau single and bulk'!A:B,2,FALSE)</f>
        <v>NEBAUTO</v>
      </c>
      <c r="K487" s="9">
        <f>VLOOKUP(A487,'Tableau single and bulk'!A:I,9,FALSE)</f>
        <v>45939.650625000002</v>
      </c>
      <c r="L487">
        <f>VLOOKUP(A487,'Tableau single and bulk'!A:L,12,FALSE)</f>
        <v>606882</v>
      </c>
      <c r="M487" t="str">
        <f>VLOOKUP(A487,'Tableau single and bulk'!A:AA,27,FALSE)</f>
        <v>Acia Aero Leasing (Ireland) Limited</v>
      </c>
    </row>
    <row r="488" spans="1:13" hidden="1">
      <c r="A488" s="7" t="s">
        <v>1866</v>
      </c>
      <c r="B488" s="2" t="s">
        <v>1470</v>
      </c>
      <c r="C488" s="2" t="s">
        <v>1309</v>
      </c>
      <c r="D488" s="2" t="s">
        <v>1865</v>
      </c>
      <c r="E488" s="2" t="s">
        <v>1866</v>
      </c>
      <c r="F488" s="2" t="s">
        <v>1278</v>
      </c>
      <c r="G488" s="2" t="s">
        <v>1279</v>
      </c>
      <c r="H488" t="e">
        <f>VLOOKUP(A488,'Export Worksheet'!A:L,6,FALSE)</f>
        <v>#N/A</v>
      </c>
      <c r="I488" t="str">
        <f>VLOOKUP(A488,'Tableau single and bulk'!A:B,2,FALSE)</f>
        <v>NESAUTO</v>
      </c>
      <c r="K488" s="9">
        <f>VLOOKUP(A488,'Tableau single and bulk'!A:I,9,FALSE)</f>
        <v>45939.515590277777</v>
      </c>
      <c r="L488">
        <f>VLOOKUP(A488,'Tableau single and bulk'!A:L,12,FALSE)</f>
        <v>609841</v>
      </c>
      <c r="M488" t="str">
        <f>VLOOKUP(A488,'Tableau single and bulk'!A:AA,27,FALSE)</f>
        <v>Galway Clinic Doughiska Unltd Co</v>
      </c>
    </row>
    <row r="489" spans="1:13">
      <c r="A489" s="7" t="s">
        <v>1008</v>
      </c>
      <c r="B489" s="2" t="s">
        <v>1533</v>
      </c>
      <c r="C489" s="2" t="s">
        <v>1309</v>
      </c>
      <c r="D489" s="2" t="s">
        <v>1792</v>
      </c>
      <c r="E489" s="2" t="s">
        <v>1008</v>
      </c>
      <c r="F489" s="2" t="s">
        <v>1278</v>
      </c>
      <c r="G489" s="2" t="s">
        <v>1279</v>
      </c>
      <c r="H489">
        <f>VLOOKUP(A489,'Export Worksheet'!A:L,6,FALSE)</f>
        <v>1</v>
      </c>
      <c r="I489" t="str">
        <f>VLOOKUP(A489,'Tableau single and bulk'!A:B,2,FALSE)</f>
        <v>NEBAUTO</v>
      </c>
      <c r="K489" s="9">
        <f>VLOOKUP(A489,'Tableau single and bulk'!A:I,9,FALSE)</f>
        <v>45940.359467592592</v>
      </c>
      <c r="L489">
        <f>VLOOKUP(A489,'Tableau single and bulk'!A:L,12,FALSE)</f>
        <v>603026</v>
      </c>
      <c r="M489" t="str">
        <f>VLOOKUP(A489,'Tableau single and bulk'!A:AA,27,FALSE)</f>
        <v>Vestas Ireland Limited</v>
      </c>
    </row>
    <row r="490" spans="1:13" hidden="1">
      <c r="A490" s="7" t="s">
        <v>1872</v>
      </c>
      <c r="B490" s="2" t="s">
        <v>1470</v>
      </c>
      <c r="C490" s="2" t="s">
        <v>1309</v>
      </c>
      <c r="D490" s="2" t="s">
        <v>1871</v>
      </c>
      <c r="E490" s="2" t="s">
        <v>1872</v>
      </c>
      <c r="F490" s="2" t="s">
        <v>1278</v>
      </c>
      <c r="G490" s="2" t="s">
        <v>1279</v>
      </c>
      <c r="H490" t="e">
        <f>VLOOKUP(A490,'Export Worksheet'!A:L,6,FALSE)</f>
        <v>#N/A</v>
      </c>
      <c r="I490" t="str">
        <f>VLOOKUP(A490,'Tableau single and bulk'!A:B,2,FALSE)</f>
        <v>NESAUTO</v>
      </c>
      <c r="K490" s="9">
        <f>VLOOKUP(A490,'Tableau single and bulk'!A:I,9,FALSE)</f>
        <v>45939.515497685185</v>
      </c>
      <c r="L490">
        <f>VLOOKUP(A490,'Tableau single and bulk'!A:L,12,FALSE)</f>
        <v>609841</v>
      </c>
      <c r="M490" t="str">
        <f>VLOOKUP(A490,'Tableau single and bulk'!A:AA,27,FALSE)</f>
        <v>Galway Clinic Doughiska Unltd Co</v>
      </c>
    </row>
    <row r="491" spans="1:13">
      <c r="A491" s="7" t="s">
        <v>1010</v>
      </c>
      <c r="B491" s="2" t="s">
        <v>1368</v>
      </c>
      <c r="C491" s="2" t="s">
        <v>1309</v>
      </c>
      <c r="D491" s="2" t="s">
        <v>1744</v>
      </c>
      <c r="E491" s="2" t="s">
        <v>1010</v>
      </c>
      <c r="F491" s="2" t="s">
        <v>1278</v>
      </c>
      <c r="G491" s="2" t="s">
        <v>1279</v>
      </c>
      <c r="H491">
        <f>VLOOKUP(A491,'Export Worksheet'!A:L,6,FALSE)</f>
        <v>1</v>
      </c>
      <c r="I491" t="str">
        <f>VLOOKUP(A491,'Tableau single and bulk'!A:B,2,FALSE)</f>
        <v>NEBAUTO</v>
      </c>
      <c r="K491" s="9">
        <f>VLOOKUP(A491,'Tableau single and bulk'!A:I,9,FALSE)</f>
        <v>45940.636435185188</v>
      </c>
      <c r="L491">
        <f>VLOOKUP(A491,'Tableau single and bulk'!A:L,12,FALSE)</f>
        <v>602481</v>
      </c>
      <c r="M491" t="str">
        <f>VLOOKUP(A491,'Tableau single and bulk'!A:AA,27,FALSE)</f>
        <v>Jennings O'Donovan &amp; Partners</v>
      </c>
    </row>
    <row r="492" spans="1:13">
      <c r="A492" s="7" t="s">
        <v>577</v>
      </c>
      <c r="B492" s="2" t="s">
        <v>1277</v>
      </c>
      <c r="C492" s="2" t="s">
        <v>1309</v>
      </c>
      <c r="D492" s="2" t="s">
        <v>2053</v>
      </c>
      <c r="E492" s="2" t="s">
        <v>577</v>
      </c>
      <c r="F492" s="2" t="s">
        <v>1278</v>
      </c>
      <c r="G492" s="2" t="s">
        <v>1279</v>
      </c>
      <c r="H492">
        <f>VLOOKUP(A492,'Export Worksheet'!A:L,6,FALSE)</f>
        <v>25</v>
      </c>
      <c r="I492" t="str">
        <f>VLOOKUP(A492,'Tableau single and bulk'!A:B,2,FALSE)</f>
        <v>NEBAUTO</v>
      </c>
      <c r="K492" s="9">
        <f>VLOOKUP(A492,'Tableau single and bulk'!A:I,9,FALSE)</f>
        <v>45937.538321759261</v>
      </c>
      <c r="L492">
        <f>VLOOKUP(A492,'Tableau single and bulk'!A:L,12,FALSE)</f>
        <v>609347</v>
      </c>
      <c r="M492" t="str">
        <f>VLOOKUP(A492,'Tableau single and bulk'!A:AA,27,FALSE)</f>
        <v>Intercom R&amp;D Unlimited Company</v>
      </c>
    </row>
    <row r="493" spans="1:13" hidden="1">
      <c r="A493" s="7" t="s">
        <v>1778</v>
      </c>
      <c r="B493" s="2" t="s">
        <v>1776</v>
      </c>
      <c r="C493" s="2" t="s">
        <v>1309</v>
      </c>
      <c r="D493" s="2" t="s">
        <v>1777</v>
      </c>
      <c r="E493" s="2" t="s">
        <v>1778</v>
      </c>
      <c r="F493" s="2" t="s">
        <v>1278</v>
      </c>
      <c r="G493" s="2" t="s">
        <v>1279</v>
      </c>
      <c r="H493" t="e">
        <f>VLOOKUP(A493,'Export Worksheet'!A:L,6,FALSE)</f>
        <v>#N/A</v>
      </c>
      <c r="I493" t="str">
        <f>VLOOKUP(A493,'Tableau single and bulk'!A:B,2,FALSE)</f>
        <v>NESAUTO</v>
      </c>
      <c r="K493" s="9">
        <f>VLOOKUP(A493,'Tableau single and bulk'!A:I,9,FALSE)</f>
        <v>45940.473391203705</v>
      </c>
      <c r="L493">
        <f>VLOOKUP(A493,'Tableau single and bulk'!A:L,12,FALSE)</f>
        <v>602880</v>
      </c>
      <c r="M493" t="str">
        <f>VLOOKUP(A493,'Tableau single and bulk'!A:AA,27,FALSE)</f>
        <v>Chemifloc Limited</v>
      </c>
    </row>
    <row r="494" spans="1:13" hidden="1">
      <c r="A494" s="7" t="s">
        <v>1782</v>
      </c>
      <c r="B494" s="2" t="s">
        <v>1776</v>
      </c>
      <c r="C494" s="2" t="s">
        <v>1309</v>
      </c>
      <c r="D494" s="2" t="s">
        <v>1781</v>
      </c>
      <c r="E494" s="2" t="s">
        <v>1782</v>
      </c>
      <c r="F494" s="2" t="s">
        <v>1278</v>
      </c>
      <c r="G494" s="2" t="s">
        <v>1279</v>
      </c>
      <c r="H494" t="e">
        <f>VLOOKUP(A494,'Export Worksheet'!A:L,6,FALSE)</f>
        <v>#N/A</v>
      </c>
      <c r="I494" t="str">
        <f>VLOOKUP(A494,'Tableau single and bulk'!A:B,2,FALSE)</f>
        <v>NESAUTO</v>
      </c>
      <c r="K494" s="9">
        <f>VLOOKUP(A494,'Tableau single and bulk'!A:I,9,FALSE)</f>
        <v>45940.466736111113</v>
      </c>
      <c r="L494">
        <f>VLOOKUP(A494,'Tableau single and bulk'!A:L,12,FALSE)</f>
        <v>602880</v>
      </c>
      <c r="M494" t="str">
        <f>VLOOKUP(A494,'Tableau single and bulk'!A:AA,27,FALSE)</f>
        <v>Chemifloc Limited</v>
      </c>
    </row>
    <row r="495" spans="1:13" hidden="1">
      <c r="A495" s="7" t="s">
        <v>1766</v>
      </c>
      <c r="B495" s="2" t="s">
        <v>1764</v>
      </c>
      <c r="C495" s="2" t="s">
        <v>1309</v>
      </c>
      <c r="D495" s="2" t="s">
        <v>1765</v>
      </c>
      <c r="E495" s="2" t="s">
        <v>1766</v>
      </c>
      <c r="F495" s="2" t="s">
        <v>1278</v>
      </c>
      <c r="G495" s="2" t="s">
        <v>1279</v>
      </c>
      <c r="H495" t="e">
        <f>VLOOKUP(A495,'Export Worksheet'!A:L,6,FALSE)</f>
        <v>#N/A</v>
      </c>
      <c r="I495" t="str">
        <f>VLOOKUP(A495,'Tableau single and bulk'!A:B,2,FALSE)</f>
        <v>NESAUTO</v>
      </c>
      <c r="K495" s="9">
        <f>VLOOKUP(A495,'Tableau single and bulk'!A:I,9,FALSE)</f>
        <v>45940.498993055553</v>
      </c>
      <c r="L495">
        <f>VLOOKUP(A495,'Tableau single and bulk'!A:L,12,FALSE)</f>
        <v>605011</v>
      </c>
      <c r="M495" t="str">
        <f>VLOOKUP(A495,'Tableau single and bulk'!A:AA,27,FALSE)</f>
        <v>Liberty Information Technology Ltd</v>
      </c>
    </row>
    <row r="496" spans="1:13" hidden="1">
      <c r="A496" s="7" t="s">
        <v>1780</v>
      </c>
      <c r="B496" s="2" t="s">
        <v>1776</v>
      </c>
      <c r="C496" s="2" t="s">
        <v>1309</v>
      </c>
      <c r="D496" s="2" t="s">
        <v>1779</v>
      </c>
      <c r="E496" s="2" t="s">
        <v>1780</v>
      </c>
      <c r="F496" s="2" t="s">
        <v>1278</v>
      </c>
      <c r="G496" s="2" t="s">
        <v>1279</v>
      </c>
      <c r="H496" t="e">
        <f>VLOOKUP(A496,'Export Worksheet'!A:L,6,FALSE)</f>
        <v>#N/A</v>
      </c>
      <c r="I496" t="str">
        <f>VLOOKUP(A496,'Tableau single and bulk'!A:B,2,FALSE)</f>
        <v>NESAUTO</v>
      </c>
      <c r="K496" s="9">
        <f>VLOOKUP(A496,'Tableau single and bulk'!A:I,9,FALSE)</f>
        <v>45940.468657407408</v>
      </c>
      <c r="L496">
        <f>VLOOKUP(A496,'Tableau single and bulk'!A:L,12,FALSE)</f>
        <v>602880</v>
      </c>
      <c r="M496" t="str">
        <f>VLOOKUP(A496,'Tableau single and bulk'!A:AA,27,FALSE)</f>
        <v>Chemifloc Limited</v>
      </c>
    </row>
    <row r="497" spans="1:13">
      <c r="A497" s="7" t="s">
        <v>172</v>
      </c>
      <c r="B497" s="2" t="s">
        <v>1836</v>
      </c>
      <c r="C497" s="2" t="s">
        <v>1309</v>
      </c>
      <c r="D497" s="2" t="s">
        <v>1837</v>
      </c>
      <c r="E497" s="2" t="s">
        <v>172</v>
      </c>
      <c r="F497" s="2" t="s">
        <v>1278</v>
      </c>
      <c r="G497" s="2" t="s">
        <v>1279</v>
      </c>
      <c r="H497">
        <f>VLOOKUP(A497,'Export Worksheet'!A:L,6,FALSE)</f>
        <v>3</v>
      </c>
      <c r="I497" t="str">
        <f>VLOOKUP(A497,'Tableau single and bulk'!A:B,2,FALSE)</f>
        <v>NEBAUTO</v>
      </c>
      <c r="K497" s="9">
        <f>VLOOKUP(A497,'Tableau single and bulk'!A:I,9,FALSE)</f>
        <v>45939.607847222222</v>
      </c>
      <c r="L497">
        <f>VLOOKUP(A497,'Tableau single and bulk'!A:L,12,FALSE)</f>
        <v>609688</v>
      </c>
      <c r="M497" t="str">
        <f>VLOOKUP(A497,'Tableau single and bulk'!A:AA,27,FALSE)</f>
        <v>NFVSP An Breacadh Nua</v>
      </c>
    </row>
    <row r="498" spans="1:13">
      <c r="A498" s="7" t="s">
        <v>179</v>
      </c>
      <c r="B498" s="2" t="s">
        <v>1055</v>
      </c>
      <c r="C498" s="2" t="s">
        <v>1309</v>
      </c>
      <c r="D498" s="2" t="s">
        <v>1650</v>
      </c>
      <c r="E498" s="2" t="s">
        <v>179</v>
      </c>
      <c r="F498" s="2" t="s">
        <v>1278</v>
      </c>
      <c r="G498" s="2" t="s">
        <v>1279</v>
      </c>
      <c r="H498">
        <f>VLOOKUP(A498,'Export Worksheet'!A:L,6,FALSE)</f>
        <v>3</v>
      </c>
      <c r="I498" t="str">
        <f>VLOOKUP(A498,'Tableau single and bulk'!A:B,2,FALSE)</f>
        <v>NEBAUTO</v>
      </c>
      <c r="K498" s="9">
        <f>VLOOKUP(A498,'Tableau single and bulk'!A:I,9,FALSE)</f>
        <v>45943.678576388891</v>
      </c>
      <c r="L498">
        <f>VLOOKUP(A498,'Tableau single and bulk'!A:L,12,FALSE)</f>
        <v>606966</v>
      </c>
      <c r="M498" t="str">
        <f>VLOOKUP(A498,'Tableau single and bulk'!A:AA,27,FALSE)</f>
        <v>Bord na Mona PLC</v>
      </c>
    </row>
    <row r="499" spans="1:13">
      <c r="A499" s="7" t="s">
        <v>603</v>
      </c>
      <c r="B499" s="2" t="s">
        <v>1277</v>
      </c>
      <c r="C499" s="2" t="s">
        <v>1309</v>
      </c>
      <c r="D499" s="2" t="s">
        <v>1810</v>
      </c>
      <c r="E499" s="2" t="s">
        <v>603</v>
      </c>
      <c r="F499" s="2" t="s">
        <v>1278</v>
      </c>
      <c r="G499" s="2" t="s">
        <v>1279</v>
      </c>
      <c r="H499">
        <f>VLOOKUP(A499,'Export Worksheet'!A:L,6,FALSE)</f>
        <v>1</v>
      </c>
      <c r="I499" t="str">
        <f>VLOOKUP(A499,'Tableau single and bulk'!A:B,2,FALSE)</f>
        <v>NEBAUTO</v>
      </c>
      <c r="K499" s="9">
        <f>VLOOKUP(A499,'Tableau single and bulk'!A:I,9,FALSE)</f>
        <v>45939.658599537041</v>
      </c>
      <c r="L499">
        <f>VLOOKUP(A499,'Tableau single and bulk'!A:L,12,FALSE)</f>
        <v>603885</v>
      </c>
      <c r="M499" t="str">
        <f>VLOOKUP(A499,'Tableau single and bulk'!A:AA,27,FALSE)</f>
        <v>Castlelake Aviation Holdings (Ire Ltd)</v>
      </c>
    </row>
    <row r="500" spans="1:13" hidden="1">
      <c r="A500" s="7" t="s">
        <v>1693</v>
      </c>
      <c r="B500" s="2" t="s">
        <v>1333</v>
      </c>
      <c r="C500" s="2" t="s">
        <v>1309</v>
      </c>
      <c r="D500" s="2" t="s">
        <v>1692</v>
      </c>
      <c r="E500" s="2" t="s">
        <v>1693</v>
      </c>
      <c r="F500" s="2" t="s">
        <v>1278</v>
      </c>
      <c r="G500" s="2" t="s">
        <v>1279</v>
      </c>
      <c r="H500" t="e">
        <f>VLOOKUP(A500,'Export Worksheet'!A:L,6,FALSE)</f>
        <v>#N/A</v>
      </c>
      <c r="I500" t="str">
        <f>VLOOKUP(A500,'Tableau single and bulk'!A:B,2,FALSE)</f>
        <v>NESAUTO</v>
      </c>
      <c r="K500" s="9">
        <f>VLOOKUP(A500,'Tableau single and bulk'!A:I,9,FALSE)</f>
        <v>45943.482395833336</v>
      </c>
      <c r="L500">
        <f>VLOOKUP(A500,'Tableau single and bulk'!A:L,12,FALSE)</f>
        <v>609781</v>
      </c>
      <c r="M500" t="str">
        <f>VLOOKUP(A500,'Tableau single and bulk'!A:AA,27,FALSE)</f>
        <v>Anart Restaurants Limited</v>
      </c>
    </row>
    <row r="501" spans="1:13">
      <c r="A501" s="7" t="s">
        <v>194</v>
      </c>
      <c r="B501" s="2" t="s">
        <v>1277</v>
      </c>
      <c r="C501" s="2" t="s">
        <v>1309</v>
      </c>
      <c r="D501" s="2" t="s">
        <v>1662</v>
      </c>
      <c r="E501" s="2" t="s">
        <v>194</v>
      </c>
      <c r="F501" s="2" t="s">
        <v>1278</v>
      </c>
      <c r="G501" s="2" t="s">
        <v>1279</v>
      </c>
      <c r="H501">
        <f>VLOOKUP(A501,'Export Worksheet'!A:L,6,FALSE)</f>
        <v>4</v>
      </c>
      <c r="I501" t="str">
        <f>VLOOKUP(A501,'Tableau single and bulk'!A:B,2,FALSE)</f>
        <v>NEBAUTO</v>
      </c>
      <c r="K501" s="9">
        <f>VLOOKUP(A501,'Tableau single and bulk'!A:I,9,FALSE)</f>
        <v>45943.649444444447</v>
      </c>
      <c r="L501">
        <f>VLOOKUP(A501,'Tableau single and bulk'!A:L,12,FALSE)</f>
        <v>603922</v>
      </c>
      <c r="M501" t="str">
        <f>VLOOKUP(A501,'Tableau single and bulk'!A:AA,27,FALSE)</f>
        <v>Towercom Limited</v>
      </c>
    </row>
    <row r="502" spans="1:13" hidden="1">
      <c r="A502" s="7" t="s">
        <v>1756</v>
      </c>
      <c r="B502" s="2" t="s">
        <v>1748</v>
      </c>
      <c r="C502" s="2" t="s">
        <v>1309</v>
      </c>
      <c r="D502" s="2" t="s">
        <v>1755</v>
      </c>
      <c r="E502" s="2" t="s">
        <v>1756</v>
      </c>
      <c r="F502" s="2" t="s">
        <v>1278</v>
      </c>
      <c r="G502" s="2" t="s">
        <v>1279</v>
      </c>
      <c r="H502" t="e">
        <f>VLOOKUP(A502,'Export Worksheet'!A:L,6,FALSE)</f>
        <v>#N/A</v>
      </c>
      <c r="I502" t="str">
        <f>VLOOKUP(A502,'Tableau single and bulk'!A:B,2,FALSE)</f>
        <v>NESAUTO</v>
      </c>
      <c r="K502" s="9">
        <f>VLOOKUP(A502,'Tableau single and bulk'!A:I,9,FALSE)</f>
        <v>45940.545081018521</v>
      </c>
      <c r="L502">
        <f>VLOOKUP(A502,'Tableau single and bulk'!A:L,12,FALSE)</f>
        <v>601523</v>
      </c>
      <c r="M502" t="str">
        <f>VLOOKUP(A502,'Tableau single and bulk'!A:AA,27,FALSE)</f>
        <v>ISS Ireland Limited</v>
      </c>
    </row>
    <row r="503" spans="1:13" hidden="1">
      <c r="A503" s="7" t="s">
        <v>1772</v>
      </c>
      <c r="B503" s="2" t="s">
        <v>1588</v>
      </c>
      <c r="C503" s="2" t="s">
        <v>1309</v>
      </c>
      <c r="D503" s="2" t="s">
        <v>1771</v>
      </c>
      <c r="E503" s="2" t="s">
        <v>1772</v>
      </c>
      <c r="F503" s="2" t="s">
        <v>1278</v>
      </c>
      <c r="G503" s="2" t="s">
        <v>1279</v>
      </c>
      <c r="H503" t="e">
        <f>VLOOKUP(A503,'Export Worksheet'!A:L,6,FALSE)</f>
        <v>#N/A</v>
      </c>
      <c r="I503" t="str">
        <f>VLOOKUP(A503,'Tableau single and bulk'!A:B,2,FALSE)</f>
        <v>NESAUTO</v>
      </c>
      <c r="K503" s="9">
        <f>VLOOKUP(A503,'Tableau single and bulk'!A:I,9,FALSE)</f>
        <v>45940.479756944442</v>
      </c>
      <c r="L503">
        <f>VLOOKUP(A503,'Tableau single and bulk'!A:L,12,FALSE)</f>
        <v>602225</v>
      </c>
      <c r="M503" t="str">
        <f>VLOOKUP(A503,'Tableau single and bulk'!A:AA,27,FALSE)</f>
        <v>Harcourt Street Office Services</v>
      </c>
    </row>
    <row r="504" spans="1:13">
      <c r="A504" s="7" t="s">
        <v>375</v>
      </c>
      <c r="B504" s="2" t="s">
        <v>1994</v>
      </c>
      <c r="C504" s="2" t="s">
        <v>1309</v>
      </c>
      <c r="D504" s="2" t="s">
        <v>1995</v>
      </c>
      <c r="E504" s="2" t="s">
        <v>375</v>
      </c>
      <c r="F504" s="2" t="s">
        <v>1278</v>
      </c>
      <c r="G504" s="2" t="s">
        <v>1279</v>
      </c>
      <c r="H504">
        <f>VLOOKUP(A504,'Export Worksheet'!A:L,6,FALSE)</f>
        <v>2</v>
      </c>
      <c r="I504" t="str">
        <f>VLOOKUP(A504,'Tableau single and bulk'!A:B,2,FALSE)</f>
        <v>NEBAUTO</v>
      </c>
      <c r="K504" s="9">
        <f>VLOOKUP(A504,'Tableau single and bulk'!A:I,9,FALSE)</f>
        <v>45938.585729166669</v>
      </c>
      <c r="L504">
        <f>VLOOKUP(A504,'Tableau single and bulk'!A:L,12,FALSE)</f>
        <v>603100</v>
      </c>
      <c r="M504" t="str">
        <f>VLOOKUP(A504,'Tableau single and bulk'!A:AA,27,FALSE)</f>
        <v>Sappho Group Employee Benefits Plan</v>
      </c>
    </row>
    <row r="505" spans="1:13" hidden="1">
      <c r="A505" s="7" t="s">
        <v>1787</v>
      </c>
      <c r="B505" s="2" t="s">
        <v>1368</v>
      </c>
      <c r="C505" s="2" t="s">
        <v>1309</v>
      </c>
      <c r="D505" s="2" t="s">
        <v>1786</v>
      </c>
      <c r="E505" s="2" t="s">
        <v>1787</v>
      </c>
      <c r="F505" s="2" t="s">
        <v>1278</v>
      </c>
      <c r="G505" s="2" t="s">
        <v>1279</v>
      </c>
      <c r="H505" t="e">
        <f>VLOOKUP(A505,'Export Worksheet'!A:L,6,FALSE)</f>
        <v>#N/A</v>
      </c>
      <c r="I505" t="str">
        <f>VLOOKUP(A505,'Tableau single and bulk'!A:B,2,FALSE)</f>
        <v>NESAUTO</v>
      </c>
      <c r="K505" s="9">
        <f>VLOOKUP(A505,'Tableau single and bulk'!A:I,9,FALSE)</f>
        <v>45940.406365740739</v>
      </c>
      <c r="L505">
        <f>VLOOKUP(A505,'Tableau single and bulk'!A:L,12,FALSE)</f>
        <v>606982</v>
      </c>
      <c r="M505" t="str">
        <f>VLOOKUP(A505,'Tableau single and bulk'!A:AA,27,FALSE)</f>
        <v>Hellios Technology Solutions Limited</v>
      </c>
    </row>
    <row r="506" spans="1:13">
      <c r="A506" s="7" t="s">
        <v>880</v>
      </c>
      <c r="B506" s="2" t="s">
        <v>1277</v>
      </c>
      <c r="C506" s="2" t="s">
        <v>1309</v>
      </c>
      <c r="D506" s="2" t="s">
        <v>1835</v>
      </c>
      <c r="E506" s="2" t="s">
        <v>880</v>
      </c>
      <c r="F506" s="2" t="s">
        <v>1278</v>
      </c>
      <c r="G506" s="2" t="s">
        <v>1279</v>
      </c>
      <c r="H506">
        <f>VLOOKUP(A506,'Export Worksheet'!A:L,6,FALSE)</f>
        <v>4</v>
      </c>
      <c r="I506" t="str">
        <f>VLOOKUP(A506,'Tableau single and bulk'!A:B,2,FALSE)</f>
        <v>NEBAUTO</v>
      </c>
      <c r="K506" s="9">
        <f>VLOOKUP(A506,'Tableau single and bulk'!A:I,9,FALSE)</f>
        <v>45939.607858796298</v>
      </c>
      <c r="L506">
        <f>VLOOKUP(A506,'Tableau single and bulk'!A:L,12,FALSE)</f>
        <v>602686</v>
      </c>
      <c r="M506" t="str">
        <f>VLOOKUP(A506,'Tableau single and bulk'!A:AA,27,FALSE)</f>
        <v>Autodesk Ireland</v>
      </c>
    </row>
    <row r="507" spans="1:13">
      <c r="A507" s="7" t="s">
        <v>1834</v>
      </c>
      <c r="B507" s="2" t="s">
        <v>1286</v>
      </c>
      <c r="C507" s="2" t="s">
        <v>1309</v>
      </c>
      <c r="D507" s="2" t="s">
        <v>1833</v>
      </c>
      <c r="E507" s="2" t="s">
        <v>1834</v>
      </c>
      <c r="F507" s="2" t="s">
        <v>1278</v>
      </c>
      <c r="G507" s="2" t="s">
        <v>1279</v>
      </c>
      <c r="H507" t="e">
        <f>VLOOKUP(A507,'Export Worksheet'!A:L,6,FALSE)</f>
        <v>#N/A</v>
      </c>
      <c r="I507" t="str">
        <f>VLOOKUP(A507,'Tableau single and bulk'!A:B,2,FALSE)</f>
        <v>NEBAUTO</v>
      </c>
      <c r="K507" s="9">
        <f>VLOOKUP(A507,'Tableau single and bulk'!A:I,9,FALSE)</f>
        <v>45939.607916666668</v>
      </c>
      <c r="L507">
        <f>VLOOKUP(A507,'Tableau single and bulk'!A:L,12,FALSE)</f>
        <v>609701</v>
      </c>
      <c r="M507" t="str">
        <f>VLOOKUP(A507,'Tableau single and bulk'!A:AA,27,FALSE)</f>
        <v>NFVSP Kerry Parents &amp; Friends Assoc</v>
      </c>
    </row>
    <row r="508" spans="1:13" hidden="1">
      <c r="A508" s="7" t="s">
        <v>1978</v>
      </c>
      <c r="B508" s="2" t="s">
        <v>1286</v>
      </c>
      <c r="C508" s="2" t="s">
        <v>1309</v>
      </c>
      <c r="D508" s="2" t="s">
        <v>1977</v>
      </c>
      <c r="E508" s="2" t="s">
        <v>1978</v>
      </c>
      <c r="F508" s="2" t="s">
        <v>1278</v>
      </c>
      <c r="G508" s="2" t="s">
        <v>1279</v>
      </c>
      <c r="H508" t="e">
        <f>VLOOKUP(A508,'Export Worksheet'!A:L,6,FALSE)</f>
        <v>#N/A</v>
      </c>
      <c r="I508" t="str">
        <f>VLOOKUP(A508,'Tableau single and bulk'!A:B,2,FALSE)</f>
        <v>NESAUTO</v>
      </c>
      <c r="K508" s="9">
        <f>VLOOKUP(A508,'Tableau single and bulk'!A:I,9,FALSE)</f>
        <v>45938.633159722223</v>
      </c>
      <c r="L508">
        <f>VLOOKUP(A508,'Tableau single and bulk'!A:L,12,FALSE)</f>
        <v>609701</v>
      </c>
      <c r="M508" t="str">
        <f>VLOOKUP(A508,'Tableau single and bulk'!A:AA,27,FALSE)</f>
        <v>NFVSP Kerry Parents &amp; Friends Assoc</v>
      </c>
    </row>
    <row r="509" spans="1:13" hidden="1">
      <c r="A509" s="7" t="s">
        <v>1980</v>
      </c>
      <c r="B509" s="2" t="s">
        <v>1286</v>
      </c>
      <c r="C509" s="2" t="s">
        <v>1309</v>
      </c>
      <c r="D509" s="2" t="s">
        <v>1979</v>
      </c>
      <c r="E509" s="2" t="s">
        <v>1980</v>
      </c>
      <c r="F509" s="2" t="s">
        <v>1278</v>
      </c>
      <c r="G509" s="2" t="s">
        <v>1279</v>
      </c>
      <c r="H509" t="e">
        <f>VLOOKUP(A509,'Export Worksheet'!A:L,6,FALSE)</f>
        <v>#N/A</v>
      </c>
      <c r="I509" t="str">
        <f>VLOOKUP(A509,'Tableau single and bulk'!A:B,2,FALSE)</f>
        <v>NESAUTO</v>
      </c>
      <c r="K509" s="9">
        <f>VLOOKUP(A509,'Tableau single and bulk'!A:I,9,FALSE)</f>
        <v>45938.629305555558</v>
      </c>
      <c r="L509">
        <f>VLOOKUP(A509,'Tableau single and bulk'!A:L,12,FALSE)</f>
        <v>609701</v>
      </c>
      <c r="M509" t="str">
        <f>VLOOKUP(A509,'Tableau single and bulk'!A:AA,27,FALSE)</f>
        <v>NFVSP Kerry Parents &amp; Friends Assoc</v>
      </c>
    </row>
    <row r="510" spans="1:13" hidden="1">
      <c r="A510" s="7" t="s">
        <v>1985</v>
      </c>
      <c r="B510" s="2" t="s">
        <v>1286</v>
      </c>
      <c r="C510" s="2" t="s">
        <v>1309</v>
      </c>
      <c r="D510" s="2" t="s">
        <v>1984</v>
      </c>
      <c r="E510" s="2" t="s">
        <v>1985</v>
      </c>
      <c r="F510" s="2" t="s">
        <v>1278</v>
      </c>
      <c r="G510" s="2" t="s">
        <v>1279</v>
      </c>
      <c r="H510" t="e">
        <f>VLOOKUP(A510,'Export Worksheet'!A:L,6,FALSE)</f>
        <v>#N/A</v>
      </c>
      <c r="I510" t="str">
        <f>VLOOKUP(A510,'Tableau single and bulk'!A:B,2,FALSE)</f>
        <v>NESAUTO</v>
      </c>
      <c r="K510" s="9">
        <f>VLOOKUP(A510,'Tableau single and bulk'!A:I,9,FALSE)</f>
        <v>45938.614328703705</v>
      </c>
      <c r="L510">
        <f>VLOOKUP(A510,'Tableau single and bulk'!A:L,12,FALSE)</f>
        <v>609701</v>
      </c>
      <c r="M510" t="str">
        <f>VLOOKUP(A510,'Tableau single and bulk'!A:AA,27,FALSE)</f>
        <v>NFVSP Kerry Parents &amp; Friends Assoc</v>
      </c>
    </row>
    <row r="511" spans="1:13" hidden="1">
      <c r="A511" s="7" t="s">
        <v>1750</v>
      </c>
      <c r="B511" s="2" t="s">
        <v>1748</v>
      </c>
      <c r="C511" s="2" t="s">
        <v>1309</v>
      </c>
      <c r="D511" s="2" t="s">
        <v>1749</v>
      </c>
      <c r="E511" s="2" t="s">
        <v>1750</v>
      </c>
      <c r="F511" s="2" t="s">
        <v>1278</v>
      </c>
      <c r="G511" s="2" t="s">
        <v>1279</v>
      </c>
      <c r="H511" t="e">
        <f>VLOOKUP(A511,'Export Worksheet'!A:L,6,FALSE)</f>
        <v>#N/A</v>
      </c>
      <c r="I511" t="str">
        <f>VLOOKUP(A511,'Tableau single and bulk'!A:B,2,FALSE)</f>
        <v>NESAUTO</v>
      </c>
      <c r="K511" s="9">
        <f>VLOOKUP(A511,'Tableau single and bulk'!A:I,9,FALSE)</f>
        <v>45940.611956018518</v>
      </c>
      <c r="L511">
        <f>VLOOKUP(A511,'Tableau single and bulk'!A:L,12,FALSE)</f>
        <v>601523</v>
      </c>
      <c r="M511" t="str">
        <f>VLOOKUP(A511,'Tableau single and bulk'!A:AA,27,FALSE)</f>
        <v>ISS Ireland Limited</v>
      </c>
    </row>
    <row r="512" spans="1:13">
      <c r="A512" s="7" t="s">
        <v>188</v>
      </c>
      <c r="B512" s="2" t="s">
        <v>1751</v>
      </c>
      <c r="C512" s="2" t="s">
        <v>1309</v>
      </c>
      <c r="D512" s="2" t="s">
        <v>1752</v>
      </c>
      <c r="E512" s="2" t="s">
        <v>188</v>
      </c>
      <c r="F512" s="2" t="s">
        <v>1278</v>
      </c>
      <c r="G512" s="2" t="s">
        <v>1279</v>
      </c>
      <c r="H512">
        <f>VLOOKUP(A512,'Export Worksheet'!A:L,6,FALSE)</f>
        <v>8</v>
      </c>
      <c r="I512" t="str">
        <f>VLOOKUP(A512,'Tableau single and bulk'!A:B,2,FALSE)</f>
        <v>NEBAUTO</v>
      </c>
      <c r="K512" s="9">
        <f>VLOOKUP(A512,'Tableau single and bulk'!A:I,9,FALSE)</f>
        <v>45940.599652777775</v>
      </c>
      <c r="L512">
        <f>VLOOKUP(A512,'Tableau single and bulk'!A:L,12,FALSE)</f>
        <v>605249</v>
      </c>
      <c r="M512" t="str">
        <f>VLOOKUP(A512,'Tableau single and bulk'!A:AA,27,FALSE)</f>
        <v>Krispy Kreme Ireland Ltd</v>
      </c>
    </row>
    <row r="513" spans="1:14" hidden="1">
      <c r="A513" s="7" t="s">
        <v>1953</v>
      </c>
      <c r="B513" s="2" t="s">
        <v>1414</v>
      </c>
      <c r="C513" s="2" t="s">
        <v>1309</v>
      </c>
      <c r="D513" s="2" t="s">
        <v>1952</v>
      </c>
      <c r="E513" s="2" t="s">
        <v>1953</v>
      </c>
      <c r="F513" s="2" t="s">
        <v>1278</v>
      </c>
      <c r="G513" s="2" t="s">
        <v>1279</v>
      </c>
      <c r="H513" t="e">
        <f>VLOOKUP(A513,'Export Worksheet'!A:L,6,FALSE)</f>
        <v>#N/A</v>
      </c>
      <c r="I513" t="str">
        <f>VLOOKUP(A513,'Tableau single and bulk'!A:B,2,FALSE)</f>
        <v>NESAUTO</v>
      </c>
      <c r="K513" s="9">
        <f>VLOOKUP(A513,'Tableau single and bulk'!A:I,9,FALSE)</f>
        <v>45939.439571759256</v>
      </c>
      <c r="L513">
        <f>VLOOKUP(A513,'Tableau single and bulk'!A:L,12,FALSE)</f>
        <v>601152</v>
      </c>
      <c r="M513" t="str">
        <f>VLOOKUP(A513,'Tableau single and bulk'!A:AA,27,FALSE)</f>
        <v>The Open University</v>
      </c>
    </row>
    <row r="514" spans="1:14" hidden="1">
      <c r="A514" s="7" t="s">
        <v>1945</v>
      </c>
      <c r="B514" s="2" t="s">
        <v>1414</v>
      </c>
      <c r="C514" s="2" t="s">
        <v>1309</v>
      </c>
      <c r="D514" s="2" t="s">
        <v>1944</v>
      </c>
      <c r="E514" s="2" t="s">
        <v>1945</v>
      </c>
      <c r="F514" s="2" t="s">
        <v>1278</v>
      </c>
      <c r="G514" s="2" t="s">
        <v>1279</v>
      </c>
      <c r="H514" t="e">
        <f>VLOOKUP(A514,'Export Worksheet'!A:L,6,FALSE)</f>
        <v>#N/A</v>
      </c>
      <c r="I514" t="str">
        <f>VLOOKUP(A514,'Tableau single and bulk'!A:B,2,FALSE)</f>
        <v>NESAUTO</v>
      </c>
      <c r="K514" s="9">
        <f>VLOOKUP(A514,'Tableau single and bulk'!A:I,9,FALSE)</f>
        <v>45939.494039351855</v>
      </c>
      <c r="L514">
        <f>VLOOKUP(A514,'Tableau single and bulk'!A:L,12,FALSE)</f>
        <v>601152</v>
      </c>
      <c r="M514" t="str">
        <f>VLOOKUP(A514,'Tableau single and bulk'!A:AA,27,FALSE)</f>
        <v>The Open University</v>
      </c>
    </row>
    <row r="515" spans="1:14">
      <c r="A515" s="7" t="s">
        <v>1268</v>
      </c>
      <c r="B515" s="2" t="s">
        <v>1804</v>
      </c>
      <c r="C515" s="2" t="s">
        <v>1309</v>
      </c>
      <c r="D515" s="2" t="s">
        <v>1805</v>
      </c>
      <c r="E515" s="2" t="s">
        <v>1268</v>
      </c>
      <c r="F515" s="2" t="s">
        <v>1278</v>
      </c>
      <c r="G515" s="2" t="s">
        <v>1279</v>
      </c>
      <c r="H515">
        <f>VLOOKUP(A515,'Export Worksheet'!A:L,6,FALSE)</f>
        <v>8</v>
      </c>
      <c r="I515" t="str">
        <f>VLOOKUP(A515,'Tableau single and bulk'!A:B,2,FALSE)</f>
        <v>NEBAUTO</v>
      </c>
      <c r="K515" s="9">
        <f>VLOOKUP(A515,'Tableau single and bulk'!A:I,9,FALSE)</f>
        <v>45939.764189814814</v>
      </c>
      <c r="L515">
        <f>VLOOKUP(A515,'Tableau single and bulk'!A:L,12,FALSE)</f>
        <v>601657</v>
      </c>
      <c r="M515" t="str">
        <f>VLOOKUP(A515,'Tableau single and bulk'!A:AA,27,FALSE)</f>
        <v>Turner &amp; Townsend Limited</v>
      </c>
    </row>
    <row r="516" spans="1:14" hidden="1">
      <c r="A516" s="7" t="s">
        <v>1938</v>
      </c>
      <c r="B516" s="2" t="s">
        <v>1414</v>
      </c>
      <c r="C516" s="2" t="s">
        <v>1309</v>
      </c>
      <c r="D516" s="2" t="s">
        <v>1937</v>
      </c>
      <c r="E516" s="2" t="s">
        <v>1938</v>
      </c>
      <c r="F516" s="2" t="s">
        <v>1278</v>
      </c>
      <c r="G516" s="2" t="s">
        <v>1279</v>
      </c>
      <c r="H516" t="e">
        <f>VLOOKUP(A516,'Export Worksheet'!A:L,6,FALSE)</f>
        <v>#N/A</v>
      </c>
      <c r="I516" t="str">
        <f>VLOOKUP(A516,'Tableau single and bulk'!A:B,2,FALSE)</f>
        <v>NESAUTO</v>
      </c>
      <c r="K516" s="9">
        <f>VLOOKUP(A516,'Tableau single and bulk'!A:I,9,FALSE)</f>
        <v>45939.506018518521</v>
      </c>
      <c r="L516">
        <f>VLOOKUP(A516,'Tableau single and bulk'!A:L,12,FALSE)</f>
        <v>601152</v>
      </c>
      <c r="M516" t="str">
        <f>VLOOKUP(A516,'Tableau single and bulk'!A:AA,27,FALSE)</f>
        <v>The Open University</v>
      </c>
    </row>
    <row r="517" spans="1:14" hidden="1">
      <c r="A517" s="7" t="s">
        <v>1846</v>
      </c>
      <c r="B517" s="2" t="s">
        <v>1844</v>
      </c>
      <c r="C517" s="2" t="s">
        <v>1309</v>
      </c>
      <c r="D517" s="2" t="s">
        <v>1845</v>
      </c>
      <c r="E517" s="2" t="s">
        <v>1846</v>
      </c>
      <c r="F517" s="2" t="s">
        <v>1278</v>
      </c>
      <c r="G517" s="2" t="s">
        <v>1279</v>
      </c>
      <c r="H517" t="e">
        <f>VLOOKUP(A517,'Export Worksheet'!A:L,6,FALSE)</f>
        <v>#N/A</v>
      </c>
      <c r="I517" t="str">
        <f>VLOOKUP(A517,'Tableau single and bulk'!A:B,2,FALSE)</f>
        <v>NESAUTO</v>
      </c>
      <c r="K517" s="9">
        <f>VLOOKUP(A517,'Tableau single and bulk'!A:I,9,FALSE)</f>
        <v>45939.544340277775</v>
      </c>
      <c r="L517">
        <f>VLOOKUP(A517,'Tableau single and bulk'!A:L,12,FALSE)</f>
        <v>606871</v>
      </c>
      <c r="M517" t="str">
        <f>VLOOKUP(A517,'Tableau single and bulk'!A:AA,27,FALSE)</f>
        <v>Capita PLC</v>
      </c>
    </row>
    <row r="518" spans="1:14">
      <c r="A518" s="7" t="s">
        <v>1261</v>
      </c>
      <c r="B518" s="2" t="s">
        <v>1277</v>
      </c>
      <c r="C518" s="2" t="s">
        <v>1309</v>
      </c>
      <c r="D518" s="2" t="s">
        <v>2035</v>
      </c>
      <c r="E518" s="2" t="s">
        <v>1261</v>
      </c>
      <c r="F518" s="2" t="s">
        <v>1278</v>
      </c>
      <c r="G518" s="2" t="s">
        <v>1279</v>
      </c>
      <c r="H518">
        <f>VLOOKUP(A518,'Export Worksheet'!A:L,6,FALSE)</f>
        <v>2</v>
      </c>
      <c r="I518" t="str">
        <f>VLOOKUP(A518,'Tableau single and bulk'!A:B,2,FALSE)</f>
        <v>NEBAUTO</v>
      </c>
      <c r="K518" s="9">
        <f>VLOOKUP(A518,'Tableau single and bulk'!A:I,9,FALSE)</f>
        <v>45937.722719907404</v>
      </c>
      <c r="L518">
        <f>VLOOKUP(A518,'Tableau single and bulk'!A:L,12,FALSE)</f>
        <v>602645</v>
      </c>
      <c r="M518" t="str">
        <f>VLOOKUP(A518,'Tableau single and bulk'!A:AA,27,FALSE)</f>
        <v>Charles River Laboratories Ireland Ltd</v>
      </c>
    </row>
    <row r="519" spans="1:14">
      <c r="A519" s="7" t="s">
        <v>402</v>
      </c>
      <c r="B519" s="2" t="s">
        <v>1289</v>
      </c>
      <c r="C519" s="2" t="s">
        <v>1309</v>
      </c>
      <c r="D519" s="2" t="s">
        <v>1759</v>
      </c>
      <c r="E519" s="2" t="s">
        <v>402</v>
      </c>
      <c r="F519" s="2" t="s">
        <v>1278</v>
      </c>
      <c r="G519" s="2" t="s">
        <v>1279</v>
      </c>
      <c r="H519">
        <f>VLOOKUP(A519,'Export Worksheet'!A:L,6,FALSE)</f>
        <v>14</v>
      </c>
      <c r="I519" t="str">
        <f>VLOOKUP(A519,'Tableau single and bulk'!A:B,2,FALSE)</f>
        <v>NEBAUTO</v>
      </c>
      <c r="K519" s="9">
        <f>VLOOKUP(A519,'Tableau single and bulk'!A:I,9,FALSE)</f>
        <v>45940.512812499997</v>
      </c>
      <c r="L519">
        <f>VLOOKUP(A519,'Tableau single and bulk'!A:L,12,FALSE)</f>
        <v>603744</v>
      </c>
      <c r="M519" t="str">
        <f>VLOOKUP(A519,'Tableau single and bulk'!A:AA,27,FALSE)</f>
        <v>Etrawler Unlimited Company</v>
      </c>
    </row>
    <row r="520" spans="1:14">
      <c r="A520" s="7" t="s">
        <v>873</v>
      </c>
      <c r="B520" s="2" t="s">
        <v>1959</v>
      </c>
      <c r="C520" s="2" t="s">
        <v>1309</v>
      </c>
      <c r="D520" s="2" t="s">
        <v>1960</v>
      </c>
      <c r="E520" s="2" t="s">
        <v>873</v>
      </c>
      <c r="F520" s="2" t="s">
        <v>1278</v>
      </c>
      <c r="G520" s="2" t="s">
        <v>1279</v>
      </c>
      <c r="H520">
        <f>VLOOKUP(A520,'Export Worksheet'!A:L,6,FALSE)</f>
        <v>2</v>
      </c>
      <c r="I520" t="str">
        <f>VLOOKUP(A520,'Tableau single and bulk'!A:B,2,FALSE)</f>
        <v>NEBAUTO</v>
      </c>
      <c r="K520" s="9">
        <f>VLOOKUP(A520,'Tableau single and bulk'!A:I,9,FALSE)</f>
        <v>45939.403425925928</v>
      </c>
      <c r="L520">
        <f>VLOOKUP(A520,'Tableau single and bulk'!A:L,12,FALSE)</f>
        <v>602067</v>
      </c>
      <c r="M520" t="str">
        <f>VLOOKUP(A520,'Tableau single and bulk'!A:AA,27,FALSE)</f>
        <v>BMW Automotive (Ireland) Limited</v>
      </c>
    </row>
    <row r="521" spans="1:14" hidden="1">
      <c r="A521" s="7" t="s">
        <v>1800</v>
      </c>
      <c r="B521" s="2" t="s">
        <v>1333</v>
      </c>
      <c r="C521" s="2" t="s">
        <v>1309</v>
      </c>
      <c r="D521" s="2" t="s">
        <v>1799</v>
      </c>
      <c r="E521" s="2" t="s">
        <v>1800</v>
      </c>
      <c r="F521" s="2" t="s">
        <v>1278</v>
      </c>
      <c r="G521" s="2" t="s">
        <v>1279</v>
      </c>
      <c r="H521" t="e">
        <f>VLOOKUP(A521,'Export Worksheet'!A:L,6,FALSE)</f>
        <v>#N/A</v>
      </c>
      <c r="I521" t="str">
        <f>VLOOKUP(A521,'Tableau single and bulk'!A:B,2,FALSE)</f>
        <v>NESAUTO</v>
      </c>
      <c r="K521" s="9">
        <f>VLOOKUP(A521,'Tableau single and bulk'!A:I,9,FALSE)</f>
        <v>45939.882581018515</v>
      </c>
      <c r="L521">
        <f>VLOOKUP(A521,'Tableau single and bulk'!A:L,12,FALSE)</f>
        <v>609781</v>
      </c>
      <c r="M521" t="str">
        <f>VLOOKUP(A521,'Tableau single and bulk'!A:AA,27,FALSE)</f>
        <v>Anart Restaurants Limited</v>
      </c>
    </row>
    <row r="522" spans="1:14" hidden="1">
      <c r="A522" s="7" t="s">
        <v>1747</v>
      </c>
      <c r="B522" s="2" t="s">
        <v>1745</v>
      </c>
      <c r="C522" s="2" t="s">
        <v>1309</v>
      </c>
      <c r="D522" s="2" t="s">
        <v>1746</v>
      </c>
      <c r="E522" s="2" t="s">
        <v>1747</v>
      </c>
      <c r="F522" s="2" t="s">
        <v>1278</v>
      </c>
      <c r="G522" s="2" t="s">
        <v>1279</v>
      </c>
      <c r="H522" t="e">
        <f>VLOOKUP(A522,'Export Worksheet'!A:L,6,FALSE)</f>
        <v>#N/A</v>
      </c>
      <c r="I522" t="str">
        <f>VLOOKUP(A522,'Tableau single and bulk'!A:B,2,FALSE)</f>
        <v>NESAUTO</v>
      </c>
      <c r="K522" s="9">
        <f>VLOOKUP(A522,'Tableau single and bulk'!A:I,9,FALSE)</f>
        <v>45940.616585648146</v>
      </c>
      <c r="L522">
        <f>VLOOKUP(A522,'Tableau single and bulk'!A:L,12,FALSE)</f>
        <v>603944</v>
      </c>
      <c r="M522" t="str">
        <f>VLOOKUP(A522,'Tableau single and bulk'!A:AA,27,FALSE)</f>
        <v>McKesson Cork Business Solutions UC</v>
      </c>
    </row>
    <row r="523" spans="1:14" hidden="1">
      <c r="A523" s="7" t="s">
        <v>1789</v>
      </c>
      <c r="B523" s="2" t="s">
        <v>1776</v>
      </c>
      <c r="C523" s="2" t="s">
        <v>1309</v>
      </c>
      <c r="D523" s="2" t="s">
        <v>1788</v>
      </c>
      <c r="E523" s="2" t="s">
        <v>1789</v>
      </c>
      <c r="F523" s="2" t="s">
        <v>1278</v>
      </c>
      <c r="G523" s="2" t="s">
        <v>1279</v>
      </c>
      <c r="H523" t="e">
        <f>VLOOKUP(A523,'Export Worksheet'!A:L,6,FALSE)</f>
        <v>#N/A</v>
      </c>
      <c r="I523" t="str">
        <f>VLOOKUP(A523,'Tableau single and bulk'!A:B,2,FALSE)</f>
        <v>NESAUTO</v>
      </c>
      <c r="K523" s="9">
        <f>VLOOKUP(A523,'Tableau single and bulk'!A:I,9,FALSE)</f>
        <v>45940.390694444446</v>
      </c>
      <c r="L523">
        <f>VLOOKUP(A523,'Tableau single and bulk'!A:L,12,FALSE)</f>
        <v>602880</v>
      </c>
      <c r="M523" t="str">
        <f>VLOOKUP(A523,'Tableau single and bulk'!A:AA,27,FALSE)</f>
        <v>Chemifloc Limited</v>
      </c>
    </row>
    <row r="524" spans="1:14" hidden="1">
      <c r="A524" s="7" t="s">
        <v>1798</v>
      </c>
      <c r="B524" s="2" t="s">
        <v>1796</v>
      </c>
      <c r="C524" s="2" t="s">
        <v>1309</v>
      </c>
      <c r="D524" s="2" t="s">
        <v>1797</v>
      </c>
      <c r="E524" s="2" t="s">
        <v>1798</v>
      </c>
      <c r="F524" s="2" t="s">
        <v>1278</v>
      </c>
      <c r="G524" s="2" t="s">
        <v>1279</v>
      </c>
      <c r="H524" t="e">
        <f>VLOOKUP(A524,'Export Worksheet'!A:L,6,FALSE)</f>
        <v>#N/A</v>
      </c>
      <c r="I524" t="str">
        <f>VLOOKUP(A524,'Tableau single and bulk'!A:B,2,FALSE)</f>
        <v>NESAUTO</v>
      </c>
      <c r="K524" s="9">
        <f>VLOOKUP(A524,'Tableau single and bulk'!A:I,9,FALSE)</f>
        <v>45939.899895833332</v>
      </c>
      <c r="L524">
        <f>VLOOKUP(A524,'Tableau single and bulk'!A:L,12,FALSE)</f>
        <v>609773</v>
      </c>
      <c r="M524" t="str">
        <f>VLOOKUP(A524,'Tableau single and bulk'!A:AA,27,FALSE)</f>
        <v>A.C. Nielsen of Ireland Limited</v>
      </c>
    </row>
    <row r="525" spans="1:14" hidden="1">
      <c r="A525" s="7" t="s">
        <v>1791</v>
      </c>
      <c r="B525" s="2" t="s">
        <v>1776</v>
      </c>
      <c r="C525" s="2" t="s">
        <v>1309</v>
      </c>
      <c r="D525" s="2" t="s">
        <v>1790</v>
      </c>
      <c r="E525" s="2" t="s">
        <v>1791</v>
      </c>
      <c r="F525" s="2" t="s">
        <v>1278</v>
      </c>
      <c r="G525" s="2" t="s">
        <v>1279</v>
      </c>
      <c r="H525" t="e">
        <f>VLOOKUP(A525,'Export Worksheet'!A:L,6,FALSE)</f>
        <v>#N/A</v>
      </c>
      <c r="I525" t="str">
        <f>VLOOKUP(A525,'Tableau single and bulk'!A:B,2,FALSE)</f>
        <v>NESAUTO</v>
      </c>
      <c r="K525" s="9">
        <f>VLOOKUP(A525,'Tableau single and bulk'!A:I,9,FALSE)</f>
        <v>45940.388842592591</v>
      </c>
      <c r="L525">
        <f>VLOOKUP(A525,'Tableau single and bulk'!A:L,12,FALSE)</f>
        <v>602880</v>
      </c>
      <c r="M525" t="str">
        <f>VLOOKUP(A525,'Tableau single and bulk'!A:AA,27,FALSE)</f>
        <v>Chemifloc Limited</v>
      </c>
    </row>
    <row r="526" spans="1:14">
      <c r="A526" s="7" t="s">
        <v>581</v>
      </c>
      <c r="B526" s="2" t="s">
        <v>1277</v>
      </c>
      <c r="C526" s="2" t="s">
        <v>1309</v>
      </c>
      <c r="D526" s="2" t="s">
        <v>2014</v>
      </c>
      <c r="E526" s="2" t="s">
        <v>581</v>
      </c>
      <c r="F526" s="2" t="s">
        <v>1278</v>
      </c>
      <c r="G526" s="2" t="s">
        <v>1279</v>
      </c>
      <c r="H526">
        <f>VLOOKUP(A526,'Export Worksheet'!A:L,6,FALSE)</f>
        <v>1</v>
      </c>
      <c r="I526" t="str">
        <f>VLOOKUP(A526,'Tableau single and bulk'!A:B,2,FALSE)</f>
        <v>NEBAUTO</v>
      </c>
      <c r="K526" s="9">
        <f>VLOOKUP(A526,'Tableau single and bulk'!A:I,9,FALSE)</f>
        <v>45938.455925925926</v>
      </c>
      <c r="L526">
        <f>VLOOKUP(A526,'Tableau single and bulk'!A:L,12,FALSE)</f>
        <v>603551</v>
      </c>
      <c r="M526" t="str">
        <f>VLOOKUP(A526,'Tableau single and bulk'!A:AA,27,FALSE)</f>
        <v>Jacobs Douwe Egberts IE Limited</v>
      </c>
    </row>
    <row r="527" spans="1:14" hidden="1">
      <c r="A527" s="7" t="s">
        <v>1795</v>
      </c>
      <c r="B527" s="2" t="s">
        <v>1760</v>
      </c>
      <c r="C527" s="2" t="s">
        <v>1309</v>
      </c>
      <c r="D527" s="2" t="s">
        <v>1794</v>
      </c>
      <c r="E527" s="2" t="s">
        <v>1795</v>
      </c>
      <c r="F527" s="2" t="s">
        <v>1278</v>
      </c>
      <c r="G527" s="2" t="s">
        <v>1279</v>
      </c>
      <c r="H527" t="e">
        <f>VLOOKUP(A527,'Export Worksheet'!A:L,6,FALSE)</f>
        <v>#N/A</v>
      </c>
      <c r="I527" t="str">
        <f>VLOOKUP(A527,'Tableau single and bulk'!A:B,2,FALSE)</f>
        <v>NESAUTO</v>
      </c>
      <c r="K527" s="9">
        <f>VLOOKUP(A527,'Tableau single and bulk'!A:I,9,FALSE)</f>
        <v>45939.91238425926</v>
      </c>
      <c r="L527">
        <f>VLOOKUP(A527,'Tableau single and bulk'!A:L,12,FALSE)</f>
        <v>601385</v>
      </c>
      <c r="M527" t="str">
        <f>VLOOKUP(A527,'Tableau single and bulk'!A:AA,27,FALSE)</f>
        <v>Mincon International Limited</v>
      </c>
    </row>
    <row r="528" spans="1:14" hidden="1">
      <c r="K528" s="9" t="s">
        <v>10469</v>
      </c>
      <c r="L528" t="s">
        <v>10469</v>
      </c>
      <c r="M528" t="s">
        <v>10469</v>
      </c>
      <c r="N528" t="s">
        <v>10469</v>
      </c>
    </row>
    <row r="529" spans="8:14" hidden="1">
      <c r="K529" s="9" t="s">
        <v>10469</v>
      </c>
      <c r="L529" t="s">
        <v>10479</v>
      </c>
      <c r="M529" t="s">
        <v>10469</v>
      </c>
      <c r="N529" t="s">
        <v>10469</v>
      </c>
    </row>
    <row r="530" spans="8:14" hidden="1">
      <c r="H530" t="s">
        <v>10469</v>
      </c>
      <c r="I530" t="s">
        <v>10469</v>
      </c>
    </row>
    <row r="531" spans="8:14" hidden="1"/>
    <row r="532" spans="8:14" hidden="1"/>
    <row r="533" spans="8:14" hidden="1"/>
    <row r="534" spans="8:14" hidden="1"/>
    <row r="535" spans="8:14" hidden="1"/>
    <row r="536" spans="8:14" hidden="1"/>
    <row r="537" spans="8:14" hidden="1"/>
    <row r="538" spans="8:14" hidden="1"/>
    <row r="539" spans="8:14" hidden="1"/>
    <row r="540" spans="8:14" hidden="1"/>
    <row r="541" spans="8:14" hidden="1"/>
    <row r="542" spans="8:14" hidden="1"/>
    <row r="543" spans="8:14" hidden="1"/>
    <row r="544" spans="8:1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</sheetData>
  <autoFilter ref="A1:J1762" xr:uid="{4A790E61-EDD2-40D6-B344-72054C69068A}">
    <filterColumn colId="8">
      <filters>
        <filter val="NEBAUTO"/>
      </filters>
    </filterColumn>
  </autoFilter>
  <sortState xmlns:xlrd2="http://schemas.microsoft.com/office/spreadsheetml/2017/richdata2" ref="A2:H1547">
    <sortCondition ref="A2:A1547"/>
  </sortState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F0F4-0575-43E6-ADD4-F2AA101E4FCB}">
  <dimension ref="A1:AP2756"/>
  <sheetViews>
    <sheetView workbookViewId="0">
      <selection activeCell="A4" sqref="A4:XFD4"/>
    </sheetView>
  </sheetViews>
  <sheetFormatPr defaultRowHeight="14.5"/>
  <cols>
    <col min="9" max="9" width="16.54296875" customWidth="1"/>
    <col min="21" max="21" width="17.54296875" customWidth="1"/>
    <col min="22" max="22" width="19.7265625" customWidth="1"/>
    <col min="29" max="29" width="84" bestFit="1" customWidth="1"/>
  </cols>
  <sheetData>
    <row r="1" spans="1:42">
      <c r="A1" t="s">
        <v>2359</v>
      </c>
      <c r="B1" t="s">
        <v>2335</v>
      </c>
      <c r="C1" t="s">
        <v>2336</v>
      </c>
      <c r="D1" t="s">
        <v>2337</v>
      </c>
      <c r="E1" t="s">
        <v>2338</v>
      </c>
      <c r="F1" t="s">
        <v>2339</v>
      </c>
      <c r="G1" t="s">
        <v>2340</v>
      </c>
      <c r="H1" t="s">
        <v>2341</v>
      </c>
      <c r="I1" t="s">
        <v>2342</v>
      </c>
      <c r="J1" t="s">
        <v>2343</v>
      </c>
      <c r="K1" t="s">
        <v>2344</v>
      </c>
      <c r="L1" t="s">
        <v>2345</v>
      </c>
      <c r="M1" t="s">
        <v>2346</v>
      </c>
      <c r="N1" t="s">
        <v>2347</v>
      </c>
      <c r="O1" t="s">
        <v>2348</v>
      </c>
      <c r="P1" t="s">
        <v>2349</v>
      </c>
      <c r="Q1" t="s">
        <v>2350</v>
      </c>
      <c r="R1" t="s">
        <v>2351</v>
      </c>
      <c r="S1" t="s">
        <v>2352</v>
      </c>
      <c r="T1" t="s">
        <v>2353</v>
      </c>
      <c r="U1" t="s">
        <v>2354</v>
      </c>
      <c r="V1" t="s">
        <v>2355</v>
      </c>
      <c r="W1" t="s">
        <v>2356</v>
      </c>
      <c r="X1" t="s">
        <v>2357</v>
      </c>
      <c r="Y1" t="s">
        <v>2358</v>
      </c>
      <c r="Z1" t="s">
        <v>2360</v>
      </c>
      <c r="AA1" t="s">
        <v>2361</v>
      </c>
      <c r="AB1" t="s">
        <v>2362</v>
      </c>
      <c r="AC1" t="s">
        <v>2363</v>
      </c>
      <c r="AD1" t="s">
        <v>2364</v>
      </c>
      <c r="AE1" t="s">
        <v>2365</v>
      </c>
      <c r="AF1" t="s">
        <v>2366</v>
      </c>
      <c r="AG1" t="s">
        <v>2367</v>
      </c>
      <c r="AH1" t="s">
        <v>2368</v>
      </c>
      <c r="AI1" t="s">
        <v>2369</v>
      </c>
      <c r="AJ1" t="s">
        <v>2370</v>
      </c>
      <c r="AK1" t="s">
        <v>2371</v>
      </c>
      <c r="AL1" t="s">
        <v>2372</v>
      </c>
      <c r="AM1" t="s">
        <v>2373</v>
      </c>
      <c r="AN1" t="s">
        <v>2374</v>
      </c>
      <c r="AO1" t="s">
        <v>2375</v>
      </c>
      <c r="AP1" t="s">
        <v>2376</v>
      </c>
    </row>
    <row r="2" spans="1:42">
      <c r="A2" t="s">
        <v>1674</v>
      </c>
      <c r="B2" t="s">
        <v>2389</v>
      </c>
      <c r="C2" t="s">
        <v>2378</v>
      </c>
      <c r="D2" t="s">
        <v>2379</v>
      </c>
      <c r="E2" t="s">
        <v>12</v>
      </c>
      <c r="F2" t="s">
        <v>2588</v>
      </c>
      <c r="G2" t="s">
        <v>12</v>
      </c>
      <c r="H2" t="b">
        <v>1</v>
      </c>
      <c r="I2" s="8">
        <v>45943.593101851853</v>
      </c>
      <c r="J2" t="s">
        <v>2380</v>
      </c>
      <c r="K2">
        <v>1201945</v>
      </c>
      <c r="L2">
        <v>603757</v>
      </c>
      <c r="M2" t="s">
        <v>2381</v>
      </c>
      <c r="P2" t="s">
        <v>8955</v>
      </c>
      <c r="Q2" t="s">
        <v>2383</v>
      </c>
      <c r="R2">
        <v>1</v>
      </c>
      <c r="S2" t="s">
        <v>2380</v>
      </c>
      <c r="T2" t="s">
        <v>2383</v>
      </c>
      <c r="U2" s="8">
        <v>45938.468182870369</v>
      </c>
      <c r="V2" s="8">
        <v>45943.958333333336</v>
      </c>
      <c r="W2">
        <v>1</v>
      </c>
      <c r="X2">
        <v>3.124918981</v>
      </c>
      <c r="Y2" t="s">
        <v>2579</v>
      </c>
      <c r="Z2" t="s">
        <v>9874</v>
      </c>
      <c r="AA2" t="s">
        <v>9752</v>
      </c>
      <c r="AB2" t="s">
        <v>1278</v>
      </c>
      <c r="AC2" t="s">
        <v>9875</v>
      </c>
      <c r="AD2" t="s">
        <v>2708</v>
      </c>
      <c r="AE2">
        <v>1</v>
      </c>
      <c r="AO2" t="s">
        <v>3644</v>
      </c>
      <c r="AP2" t="s">
        <v>2401</v>
      </c>
    </row>
    <row r="3" spans="1:42">
      <c r="A3" t="s">
        <v>898</v>
      </c>
      <c r="B3" t="s">
        <v>2377</v>
      </c>
      <c r="C3" t="s">
        <v>2378</v>
      </c>
      <c r="D3" t="s">
        <v>2379</v>
      </c>
      <c r="E3" t="s">
        <v>24</v>
      </c>
      <c r="F3" t="s">
        <v>2417</v>
      </c>
      <c r="G3" t="s">
        <v>24</v>
      </c>
      <c r="H3" t="b">
        <v>1</v>
      </c>
      <c r="I3" s="8">
        <v>45943.643379629626</v>
      </c>
      <c r="J3" t="s">
        <v>2380</v>
      </c>
      <c r="L3">
        <v>603026</v>
      </c>
      <c r="M3" t="s">
        <v>2381</v>
      </c>
      <c r="P3" t="s">
        <v>3597</v>
      </c>
      <c r="Q3" t="s">
        <v>2383</v>
      </c>
      <c r="R3">
        <v>1</v>
      </c>
      <c r="S3" t="s">
        <v>2380</v>
      </c>
      <c r="T3" t="s">
        <v>2383</v>
      </c>
      <c r="U3" s="8">
        <v>45938.474062499998</v>
      </c>
      <c r="V3" s="8">
        <v>45943.958333333336</v>
      </c>
      <c r="W3">
        <v>1</v>
      </c>
      <c r="X3">
        <v>3.16931713</v>
      </c>
      <c r="Y3" t="s">
        <v>2418</v>
      </c>
      <c r="Z3" t="s">
        <v>9596</v>
      </c>
      <c r="AA3" t="s">
        <v>1533</v>
      </c>
      <c r="AB3" t="s">
        <v>1278</v>
      </c>
      <c r="AC3" t="s">
        <v>9597</v>
      </c>
      <c r="AD3" t="s">
        <v>2708</v>
      </c>
      <c r="AE3">
        <v>1</v>
      </c>
      <c r="AO3" t="s">
        <v>3586</v>
      </c>
      <c r="AP3" t="s">
        <v>2401</v>
      </c>
    </row>
    <row r="4" spans="1:42">
      <c r="A4" t="s">
        <v>623</v>
      </c>
      <c r="B4" t="s">
        <v>2377</v>
      </c>
      <c r="C4" t="s">
        <v>2378</v>
      </c>
      <c r="D4" t="s">
        <v>2379</v>
      </c>
      <c r="E4" t="s">
        <v>12</v>
      </c>
      <c r="F4" t="s">
        <v>2588</v>
      </c>
      <c r="G4" t="s">
        <v>12</v>
      </c>
      <c r="H4" t="b">
        <v>1</v>
      </c>
      <c r="I4" s="8">
        <v>45943.513773148145</v>
      </c>
      <c r="J4" t="s">
        <v>2380</v>
      </c>
      <c r="L4">
        <v>605376</v>
      </c>
      <c r="M4" t="s">
        <v>2381</v>
      </c>
      <c r="P4" t="s">
        <v>4128</v>
      </c>
      <c r="Q4" t="s">
        <v>2383</v>
      </c>
      <c r="R4">
        <v>1</v>
      </c>
      <c r="S4" t="s">
        <v>2380</v>
      </c>
      <c r="T4" t="s">
        <v>2383</v>
      </c>
      <c r="U4" s="8">
        <v>45938.477025462962</v>
      </c>
      <c r="V4" s="8">
        <v>45943.958333333336</v>
      </c>
      <c r="W4">
        <v>1</v>
      </c>
      <c r="X4">
        <v>3.0367476849999999</v>
      </c>
      <c r="Y4" t="s">
        <v>2579</v>
      </c>
      <c r="Z4" t="s">
        <v>9787</v>
      </c>
      <c r="AA4" t="s">
        <v>4130</v>
      </c>
      <c r="AB4" t="s">
        <v>1278</v>
      </c>
      <c r="AC4" t="s">
        <v>9788</v>
      </c>
      <c r="AD4" t="s">
        <v>2708</v>
      </c>
      <c r="AE4">
        <v>1</v>
      </c>
      <c r="AO4" t="s">
        <v>3644</v>
      </c>
      <c r="AP4" t="s">
        <v>2401</v>
      </c>
    </row>
    <row r="5" spans="1:42">
      <c r="A5" t="s">
        <v>2010</v>
      </c>
      <c r="B5" t="s">
        <v>2389</v>
      </c>
      <c r="C5" t="s">
        <v>2691</v>
      </c>
      <c r="D5" t="s">
        <v>2379</v>
      </c>
      <c r="E5" t="s">
        <v>33</v>
      </c>
      <c r="F5" t="s">
        <v>2431</v>
      </c>
      <c r="G5" t="s">
        <v>33</v>
      </c>
      <c r="H5" t="b">
        <v>1</v>
      </c>
      <c r="I5" s="8">
        <v>45949.586469907408</v>
      </c>
      <c r="J5" t="s">
        <v>2380</v>
      </c>
      <c r="K5">
        <v>4005562</v>
      </c>
      <c r="L5">
        <v>602631</v>
      </c>
      <c r="M5" t="s">
        <v>2381</v>
      </c>
      <c r="P5" t="s">
        <v>3740</v>
      </c>
      <c r="Q5" t="s">
        <v>2383</v>
      </c>
      <c r="R5">
        <v>1</v>
      </c>
      <c r="S5" t="s">
        <v>2380</v>
      </c>
      <c r="T5" t="s">
        <v>2383</v>
      </c>
      <c r="U5" s="8">
        <v>45938.478854166664</v>
      </c>
      <c r="V5" s="8">
        <v>45950.958333333336</v>
      </c>
      <c r="W5">
        <v>1</v>
      </c>
      <c r="X5">
        <v>7.107615741</v>
      </c>
      <c r="Y5" t="s">
        <v>2433</v>
      </c>
      <c r="Z5" t="s">
        <v>3964</v>
      </c>
      <c r="AA5" t="s">
        <v>1300</v>
      </c>
      <c r="AB5" t="s">
        <v>1278</v>
      </c>
      <c r="AC5" t="s">
        <v>3965</v>
      </c>
      <c r="AD5" t="s">
        <v>2708</v>
      </c>
      <c r="AE5">
        <v>1</v>
      </c>
      <c r="AO5" t="s">
        <v>2720</v>
      </c>
      <c r="AP5" t="s">
        <v>2401</v>
      </c>
    </row>
    <row r="6" spans="1:42">
      <c r="A6" t="s">
        <v>190</v>
      </c>
      <c r="B6" t="s">
        <v>2377</v>
      </c>
      <c r="C6" t="s">
        <v>2390</v>
      </c>
      <c r="D6" t="s">
        <v>2379</v>
      </c>
      <c r="E6" t="s">
        <v>18</v>
      </c>
      <c r="F6" t="s">
        <v>3193</v>
      </c>
      <c r="G6" t="s">
        <v>2416</v>
      </c>
      <c r="H6" t="b">
        <v>1</v>
      </c>
      <c r="I6" s="8">
        <v>45940.65587962963</v>
      </c>
      <c r="J6" t="s">
        <v>2380</v>
      </c>
      <c r="L6">
        <v>609763</v>
      </c>
      <c r="M6" t="s">
        <v>2381</v>
      </c>
      <c r="P6" t="s">
        <v>7417</v>
      </c>
      <c r="Q6" t="s">
        <v>2383</v>
      </c>
      <c r="R6">
        <v>1</v>
      </c>
      <c r="S6" t="s">
        <v>2380</v>
      </c>
      <c r="T6" t="s">
        <v>2383</v>
      </c>
      <c r="U6" s="8">
        <v>45938.531099537038</v>
      </c>
      <c r="V6" s="8">
        <v>45943.958333333336</v>
      </c>
      <c r="W6">
        <v>1</v>
      </c>
      <c r="X6">
        <v>2.124780093</v>
      </c>
      <c r="Y6" t="s">
        <v>3194</v>
      </c>
      <c r="Z6" t="s">
        <v>7480</v>
      </c>
      <c r="AA6" t="s">
        <v>7481</v>
      </c>
      <c r="AB6" t="s">
        <v>1278</v>
      </c>
      <c r="AC6" t="s">
        <v>7482</v>
      </c>
      <c r="AD6" t="s">
        <v>2708</v>
      </c>
      <c r="AE6">
        <v>1</v>
      </c>
      <c r="AO6" t="s">
        <v>2957</v>
      </c>
      <c r="AP6" t="s">
        <v>2401</v>
      </c>
    </row>
    <row r="7" spans="1:42">
      <c r="A7" t="s">
        <v>896</v>
      </c>
      <c r="B7" t="s">
        <v>2377</v>
      </c>
      <c r="C7" t="s">
        <v>2378</v>
      </c>
      <c r="D7" t="s">
        <v>2379</v>
      </c>
      <c r="E7" t="s">
        <v>12</v>
      </c>
      <c r="F7" t="s">
        <v>2588</v>
      </c>
      <c r="G7" t="s">
        <v>12</v>
      </c>
      <c r="H7" t="b">
        <v>1</v>
      </c>
      <c r="I7" s="8">
        <v>45943.630752314813</v>
      </c>
      <c r="J7" t="s">
        <v>2380</v>
      </c>
      <c r="L7">
        <v>603990</v>
      </c>
      <c r="M7" t="s">
        <v>2381</v>
      </c>
      <c r="P7" t="s">
        <v>8802</v>
      </c>
      <c r="Q7" t="s">
        <v>2383</v>
      </c>
      <c r="R7">
        <v>1</v>
      </c>
      <c r="S7" t="s">
        <v>2380</v>
      </c>
      <c r="T7" t="s">
        <v>2383</v>
      </c>
      <c r="U7" s="8">
        <v>45938.532199074078</v>
      </c>
      <c r="V7" s="8">
        <v>45943.958333333336</v>
      </c>
      <c r="W7">
        <v>1</v>
      </c>
      <c r="X7">
        <v>3.0985532409999998</v>
      </c>
      <c r="Y7" t="s">
        <v>2579</v>
      </c>
      <c r="Z7" t="s">
        <v>9814</v>
      </c>
      <c r="AA7" t="s">
        <v>8908</v>
      </c>
      <c r="AB7" t="s">
        <v>1278</v>
      </c>
      <c r="AC7" t="s">
        <v>9815</v>
      </c>
      <c r="AD7" t="s">
        <v>2708</v>
      </c>
      <c r="AE7">
        <v>1</v>
      </c>
      <c r="AO7" t="s">
        <v>3644</v>
      </c>
      <c r="AP7" t="s">
        <v>2401</v>
      </c>
    </row>
    <row r="8" spans="1:42">
      <c r="A8" t="s">
        <v>778</v>
      </c>
      <c r="B8" t="s">
        <v>2377</v>
      </c>
      <c r="C8" t="s">
        <v>2390</v>
      </c>
      <c r="D8" t="s">
        <v>2379</v>
      </c>
      <c r="E8" t="s">
        <v>12</v>
      </c>
      <c r="F8" t="s">
        <v>2588</v>
      </c>
      <c r="G8" t="s">
        <v>12</v>
      </c>
      <c r="H8" t="b">
        <v>1</v>
      </c>
      <c r="I8" s="8">
        <v>45943.49559027778</v>
      </c>
      <c r="J8" t="s">
        <v>2380</v>
      </c>
      <c r="L8">
        <v>602167</v>
      </c>
      <c r="M8" t="s">
        <v>2381</v>
      </c>
      <c r="P8" t="s">
        <v>8802</v>
      </c>
      <c r="Q8" t="s">
        <v>2383</v>
      </c>
      <c r="R8">
        <v>1</v>
      </c>
      <c r="S8" t="s">
        <v>2380</v>
      </c>
      <c r="T8" t="s">
        <v>2383</v>
      </c>
      <c r="U8" s="8">
        <v>45938.533229166664</v>
      </c>
      <c r="V8" s="8">
        <v>45943.958333333336</v>
      </c>
      <c r="W8">
        <v>1</v>
      </c>
      <c r="X8">
        <v>2.9623611109999999</v>
      </c>
      <c r="Y8" t="s">
        <v>2579</v>
      </c>
      <c r="Z8" t="s">
        <v>9816</v>
      </c>
      <c r="AA8" t="s">
        <v>9817</v>
      </c>
      <c r="AB8" t="s">
        <v>1278</v>
      </c>
      <c r="AC8" t="s">
        <v>9794</v>
      </c>
      <c r="AD8" t="s">
        <v>2708</v>
      </c>
      <c r="AE8">
        <v>1</v>
      </c>
      <c r="AO8" t="s">
        <v>3644</v>
      </c>
      <c r="AP8" t="s">
        <v>2401</v>
      </c>
    </row>
    <row r="9" spans="1:42">
      <c r="A9" t="s">
        <v>1803</v>
      </c>
      <c r="B9" t="s">
        <v>2389</v>
      </c>
      <c r="C9" t="s">
        <v>2415</v>
      </c>
      <c r="D9" t="s">
        <v>2379</v>
      </c>
      <c r="E9" t="s">
        <v>307</v>
      </c>
      <c r="F9" t="s">
        <v>2477</v>
      </c>
      <c r="G9" t="s">
        <v>307</v>
      </c>
      <c r="H9" t="b">
        <v>1</v>
      </c>
      <c r="I9" s="8">
        <v>45939.869629629633</v>
      </c>
      <c r="J9" t="s">
        <v>2380</v>
      </c>
      <c r="K9">
        <v>1201450</v>
      </c>
      <c r="L9">
        <v>609838</v>
      </c>
      <c r="M9" t="s">
        <v>2381</v>
      </c>
      <c r="P9" t="s">
        <v>5598</v>
      </c>
      <c r="Q9" t="s">
        <v>2383</v>
      </c>
      <c r="R9">
        <v>1</v>
      </c>
      <c r="S9" t="s">
        <v>2380</v>
      </c>
      <c r="T9" t="s">
        <v>2383</v>
      </c>
      <c r="U9" s="8">
        <v>45938.53564814815</v>
      </c>
      <c r="V9" s="8">
        <v>45943.958333333336</v>
      </c>
      <c r="W9">
        <v>1</v>
      </c>
      <c r="X9">
        <v>1.3339814809999999</v>
      </c>
      <c r="Y9" t="s">
        <v>2403</v>
      </c>
      <c r="Z9" t="s">
        <v>5599</v>
      </c>
      <c r="AA9" t="s">
        <v>1801</v>
      </c>
      <c r="AB9" t="s">
        <v>1278</v>
      </c>
      <c r="AC9" t="s">
        <v>5600</v>
      </c>
      <c r="AD9" t="s">
        <v>2708</v>
      </c>
      <c r="AE9">
        <v>1</v>
      </c>
      <c r="AO9" t="s">
        <v>2540</v>
      </c>
      <c r="AP9" t="s">
        <v>2401</v>
      </c>
    </row>
    <row r="10" spans="1:42">
      <c r="A10" t="s">
        <v>192</v>
      </c>
      <c r="B10" t="s">
        <v>2377</v>
      </c>
      <c r="C10" t="s">
        <v>2390</v>
      </c>
      <c r="D10" t="s">
        <v>2379</v>
      </c>
      <c r="E10" t="s">
        <v>12</v>
      </c>
      <c r="F10" t="s">
        <v>2588</v>
      </c>
      <c r="G10" t="s">
        <v>12</v>
      </c>
      <c r="H10" t="b">
        <v>1</v>
      </c>
      <c r="I10" s="8">
        <v>45943.537303240744</v>
      </c>
      <c r="J10" t="s">
        <v>2380</v>
      </c>
      <c r="L10">
        <v>603888</v>
      </c>
      <c r="M10" t="s">
        <v>2381</v>
      </c>
      <c r="P10" t="s">
        <v>4128</v>
      </c>
      <c r="Q10" t="s">
        <v>2383</v>
      </c>
      <c r="R10">
        <v>1</v>
      </c>
      <c r="S10" t="s">
        <v>2380</v>
      </c>
      <c r="T10" t="s">
        <v>2383</v>
      </c>
      <c r="U10" s="8">
        <v>45938.542071759257</v>
      </c>
      <c r="V10" s="8">
        <v>45943.958333333336</v>
      </c>
      <c r="W10">
        <v>1</v>
      </c>
      <c r="X10">
        <v>2.9952314809999998</v>
      </c>
      <c r="Y10" t="s">
        <v>2579</v>
      </c>
      <c r="Z10" t="s">
        <v>9789</v>
      </c>
      <c r="AA10" t="s">
        <v>1573</v>
      </c>
      <c r="AB10" t="s">
        <v>1278</v>
      </c>
      <c r="AC10" t="s">
        <v>9790</v>
      </c>
      <c r="AD10" t="s">
        <v>2708</v>
      </c>
      <c r="AE10">
        <v>1</v>
      </c>
      <c r="AO10" t="s">
        <v>3644</v>
      </c>
      <c r="AP10" t="s">
        <v>2401</v>
      </c>
    </row>
    <row r="11" spans="1:42">
      <c r="A11" t="s">
        <v>1723</v>
      </c>
      <c r="B11" t="s">
        <v>2389</v>
      </c>
      <c r="C11" t="s">
        <v>2390</v>
      </c>
      <c r="D11" t="s">
        <v>2379</v>
      </c>
      <c r="E11" t="s">
        <v>2416</v>
      </c>
      <c r="F11" t="s">
        <v>2402</v>
      </c>
      <c r="G11" t="s">
        <v>2416</v>
      </c>
      <c r="H11" t="b">
        <v>1</v>
      </c>
      <c r="I11" s="8">
        <v>45940.727743055555</v>
      </c>
      <c r="J11" t="s">
        <v>2380</v>
      </c>
      <c r="K11">
        <v>1201694</v>
      </c>
      <c r="L11">
        <v>609805</v>
      </c>
      <c r="M11" t="s">
        <v>2381</v>
      </c>
      <c r="P11" t="s">
        <v>2486</v>
      </c>
      <c r="Q11" t="s">
        <v>2383</v>
      </c>
      <c r="R11">
        <v>1</v>
      </c>
      <c r="S11" t="s">
        <v>2380</v>
      </c>
      <c r="T11" t="s">
        <v>2383</v>
      </c>
      <c r="U11" s="8">
        <v>45938.562569444446</v>
      </c>
      <c r="V11" s="8">
        <v>45943.958333333336</v>
      </c>
      <c r="W11">
        <v>1</v>
      </c>
      <c r="X11">
        <v>2.1651736110000002</v>
      </c>
      <c r="Y11" t="s">
        <v>2403</v>
      </c>
      <c r="Z11" t="s">
        <v>5433</v>
      </c>
      <c r="AA11" t="s">
        <v>5434</v>
      </c>
      <c r="AB11" t="s">
        <v>1278</v>
      </c>
      <c r="AC11" t="s">
        <v>5435</v>
      </c>
      <c r="AD11" t="s">
        <v>2708</v>
      </c>
      <c r="AE11">
        <v>1</v>
      </c>
      <c r="AO11" t="s">
        <v>2408</v>
      </c>
      <c r="AP11" t="s">
        <v>2401</v>
      </c>
    </row>
    <row r="12" spans="1:42">
      <c r="A12" t="s">
        <v>1704</v>
      </c>
      <c r="B12" t="s">
        <v>2389</v>
      </c>
      <c r="C12" t="s">
        <v>2390</v>
      </c>
      <c r="D12" t="s">
        <v>2379</v>
      </c>
      <c r="E12" t="s">
        <v>2416</v>
      </c>
      <c r="F12" t="s">
        <v>2402</v>
      </c>
      <c r="G12" t="s">
        <v>2416</v>
      </c>
      <c r="H12" t="b">
        <v>1</v>
      </c>
      <c r="I12" s="8">
        <v>45943.412939814814</v>
      </c>
      <c r="J12" t="s">
        <v>2380</v>
      </c>
      <c r="K12">
        <v>1201746</v>
      </c>
      <c r="L12">
        <v>609805</v>
      </c>
      <c r="M12" t="s">
        <v>2381</v>
      </c>
      <c r="P12" t="s">
        <v>2486</v>
      </c>
      <c r="Q12" t="s">
        <v>2383</v>
      </c>
      <c r="R12">
        <v>1</v>
      </c>
      <c r="S12" t="s">
        <v>2380</v>
      </c>
      <c r="T12" t="s">
        <v>2383</v>
      </c>
      <c r="U12" s="8">
        <v>45938.563217592593</v>
      </c>
      <c r="V12" s="8">
        <v>45943.958333333336</v>
      </c>
      <c r="W12">
        <v>1</v>
      </c>
      <c r="X12">
        <v>2.849722222</v>
      </c>
      <c r="Y12" t="s">
        <v>2403</v>
      </c>
      <c r="Z12" t="s">
        <v>5436</v>
      </c>
      <c r="AA12" t="s">
        <v>5434</v>
      </c>
      <c r="AB12" t="s">
        <v>1278</v>
      </c>
      <c r="AC12" t="s">
        <v>5437</v>
      </c>
      <c r="AD12" t="s">
        <v>2708</v>
      </c>
      <c r="AE12">
        <v>1</v>
      </c>
      <c r="AO12" t="s">
        <v>2408</v>
      </c>
      <c r="AP12" t="s">
        <v>2401</v>
      </c>
    </row>
    <row r="13" spans="1:42">
      <c r="A13" t="s">
        <v>1684</v>
      </c>
      <c r="B13" t="s">
        <v>2389</v>
      </c>
      <c r="C13" t="s">
        <v>2390</v>
      </c>
      <c r="D13" t="s">
        <v>2379</v>
      </c>
      <c r="E13" t="s">
        <v>2452</v>
      </c>
      <c r="F13" t="s">
        <v>3891</v>
      </c>
      <c r="G13" t="s">
        <v>2452</v>
      </c>
      <c r="H13" t="b">
        <v>1</v>
      </c>
      <c r="I13" s="8">
        <v>45943.500925925924</v>
      </c>
      <c r="J13" t="s">
        <v>2380</v>
      </c>
      <c r="K13">
        <v>1201851</v>
      </c>
      <c r="L13">
        <v>603261</v>
      </c>
      <c r="M13" t="s">
        <v>2381</v>
      </c>
      <c r="P13" t="s">
        <v>3896</v>
      </c>
      <c r="Q13" t="s">
        <v>2383</v>
      </c>
      <c r="R13">
        <v>1</v>
      </c>
      <c r="S13" t="s">
        <v>2380</v>
      </c>
      <c r="T13" t="s">
        <v>2383</v>
      </c>
      <c r="U13" s="8">
        <v>45938.566990740743</v>
      </c>
      <c r="V13" s="8">
        <v>45943.958333333336</v>
      </c>
      <c r="W13">
        <v>1</v>
      </c>
      <c r="X13">
        <v>2.9339351850000002</v>
      </c>
      <c r="Y13" t="s">
        <v>3892</v>
      </c>
      <c r="Z13" t="s">
        <v>5012</v>
      </c>
      <c r="AA13" t="s">
        <v>5013</v>
      </c>
      <c r="AB13" t="s">
        <v>1278</v>
      </c>
      <c r="AC13" t="s">
        <v>5014</v>
      </c>
      <c r="AD13" t="s">
        <v>2708</v>
      </c>
      <c r="AE13">
        <v>1</v>
      </c>
      <c r="AO13" t="s">
        <v>2715</v>
      </c>
      <c r="AP13" t="s">
        <v>2401</v>
      </c>
    </row>
    <row r="14" spans="1:42">
      <c r="A14" t="s">
        <v>895</v>
      </c>
      <c r="B14" t="s">
        <v>2377</v>
      </c>
      <c r="C14" t="s">
        <v>2378</v>
      </c>
      <c r="D14" t="s">
        <v>2379</v>
      </c>
      <c r="E14" t="s">
        <v>33</v>
      </c>
      <c r="F14" t="s">
        <v>2588</v>
      </c>
      <c r="G14" t="s">
        <v>33</v>
      </c>
      <c r="H14" t="b">
        <v>1</v>
      </c>
      <c r="I14" s="8">
        <v>45943.664120370369</v>
      </c>
      <c r="J14" t="s">
        <v>2380</v>
      </c>
      <c r="L14">
        <v>603616</v>
      </c>
      <c r="M14" t="s">
        <v>2381</v>
      </c>
      <c r="P14" t="s">
        <v>2704</v>
      </c>
      <c r="Q14" t="s">
        <v>2383</v>
      </c>
      <c r="R14">
        <v>1</v>
      </c>
      <c r="S14" t="s">
        <v>2380</v>
      </c>
      <c r="T14" t="s">
        <v>2383</v>
      </c>
      <c r="U14" s="8">
        <v>45938.5940625</v>
      </c>
      <c r="V14" s="8">
        <v>45943.958333333336</v>
      </c>
      <c r="W14">
        <v>1</v>
      </c>
      <c r="X14">
        <v>3.0700578699999999</v>
      </c>
      <c r="Y14" t="s">
        <v>2579</v>
      </c>
      <c r="Z14" t="s">
        <v>9219</v>
      </c>
      <c r="AA14" t="s">
        <v>3643</v>
      </c>
      <c r="AB14" t="s">
        <v>1278</v>
      </c>
      <c r="AC14" t="s">
        <v>9220</v>
      </c>
      <c r="AD14" t="s">
        <v>2708</v>
      </c>
      <c r="AE14">
        <v>1</v>
      </c>
      <c r="AH14" t="s">
        <v>12</v>
      </c>
      <c r="AI14" s="8">
        <v>45943.650138888886</v>
      </c>
      <c r="AK14" t="s">
        <v>2719</v>
      </c>
      <c r="AL14" t="s">
        <v>2719</v>
      </c>
      <c r="AO14" t="s">
        <v>3644</v>
      </c>
      <c r="AP14" t="s">
        <v>2401</v>
      </c>
    </row>
    <row r="15" spans="1:42">
      <c r="A15" t="s">
        <v>589</v>
      </c>
      <c r="B15" t="s">
        <v>2377</v>
      </c>
      <c r="C15" t="s">
        <v>2438</v>
      </c>
      <c r="D15" t="s">
        <v>2379</v>
      </c>
      <c r="E15" t="s">
        <v>18</v>
      </c>
      <c r="F15" t="s">
        <v>3891</v>
      </c>
      <c r="G15" t="s">
        <v>2416</v>
      </c>
      <c r="H15" t="b">
        <v>1</v>
      </c>
      <c r="I15" s="8">
        <v>45938.624131944445</v>
      </c>
      <c r="J15" t="s">
        <v>2380</v>
      </c>
      <c r="L15">
        <v>603640</v>
      </c>
      <c r="M15" t="s">
        <v>2381</v>
      </c>
      <c r="P15" t="s">
        <v>2704</v>
      </c>
      <c r="Q15" t="s">
        <v>2383</v>
      </c>
      <c r="R15">
        <v>1</v>
      </c>
      <c r="S15" t="s">
        <v>2380</v>
      </c>
      <c r="T15" t="s">
        <v>2383</v>
      </c>
      <c r="U15" s="8">
        <v>45938.598865740743</v>
      </c>
      <c r="V15" s="8">
        <v>45943.958333333336</v>
      </c>
      <c r="W15">
        <v>1</v>
      </c>
      <c r="X15">
        <v>2.5266204E-2</v>
      </c>
      <c r="Y15" t="s">
        <v>3892</v>
      </c>
      <c r="Z15" t="s">
        <v>4925</v>
      </c>
      <c r="AA15" t="s">
        <v>4926</v>
      </c>
      <c r="AB15" t="s">
        <v>1278</v>
      </c>
      <c r="AC15" t="s">
        <v>4927</v>
      </c>
      <c r="AD15" t="s">
        <v>2708</v>
      </c>
      <c r="AE15">
        <v>1</v>
      </c>
      <c r="AO15" t="s">
        <v>2715</v>
      </c>
      <c r="AP15" t="s">
        <v>2401</v>
      </c>
    </row>
    <row r="16" spans="1:42">
      <c r="A16" t="s">
        <v>1785</v>
      </c>
      <c r="B16" t="s">
        <v>2377</v>
      </c>
      <c r="C16" t="s">
        <v>2415</v>
      </c>
      <c r="D16" t="s">
        <v>2379</v>
      </c>
      <c r="E16" t="s">
        <v>25</v>
      </c>
      <c r="F16" t="s">
        <v>2578</v>
      </c>
      <c r="G16" t="s">
        <v>2723</v>
      </c>
      <c r="H16" t="b">
        <v>1</v>
      </c>
      <c r="I16" s="8">
        <v>45940.440428240741</v>
      </c>
      <c r="J16" t="s">
        <v>2380</v>
      </c>
      <c r="L16">
        <v>608020</v>
      </c>
      <c r="M16" t="s">
        <v>2381</v>
      </c>
      <c r="P16" t="s">
        <v>2704</v>
      </c>
      <c r="Q16" t="s">
        <v>2383</v>
      </c>
      <c r="R16">
        <v>1</v>
      </c>
      <c r="S16" t="s">
        <v>2380</v>
      </c>
      <c r="T16" t="s">
        <v>2383</v>
      </c>
      <c r="U16" s="8">
        <v>45938.601145833331</v>
      </c>
      <c r="V16" s="8">
        <v>45943.958333333336</v>
      </c>
      <c r="W16">
        <v>1</v>
      </c>
      <c r="X16">
        <v>1.839282407</v>
      </c>
      <c r="Y16" t="s">
        <v>2579</v>
      </c>
      <c r="Z16" t="s">
        <v>3237</v>
      </c>
      <c r="AA16" t="s">
        <v>1293</v>
      </c>
      <c r="AB16" t="s">
        <v>1278</v>
      </c>
      <c r="AC16" t="s">
        <v>2387</v>
      </c>
      <c r="AE16">
        <v>1</v>
      </c>
      <c r="AO16" t="s">
        <v>2388</v>
      </c>
      <c r="AP16" t="s">
        <v>2401</v>
      </c>
    </row>
    <row r="17" spans="1:42">
      <c r="A17" t="s">
        <v>835</v>
      </c>
      <c r="B17" t="s">
        <v>2377</v>
      </c>
      <c r="C17" t="s">
        <v>2438</v>
      </c>
      <c r="D17" t="s">
        <v>2379</v>
      </c>
      <c r="E17" t="s">
        <v>18</v>
      </c>
      <c r="F17" t="s">
        <v>3891</v>
      </c>
      <c r="G17" t="s">
        <v>2416</v>
      </c>
      <c r="H17" t="b">
        <v>1</v>
      </c>
      <c r="I17" s="8">
        <v>45938.626782407409</v>
      </c>
      <c r="J17" t="s">
        <v>2380</v>
      </c>
      <c r="L17">
        <v>603640</v>
      </c>
      <c r="M17" t="s">
        <v>2381</v>
      </c>
      <c r="P17" t="s">
        <v>2704</v>
      </c>
      <c r="Q17" t="s">
        <v>2383</v>
      </c>
      <c r="R17">
        <v>1</v>
      </c>
      <c r="S17" t="s">
        <v>2380</v>
      </c>
      <c r="T17" t="s">
        <v>2383</v>
      </c>
      <c r="U17" s="8">
        <v>45938.60392361111</v>
      </c>
      <c r="V17" s="8">
        <v>45943.958333333336</v>
      </c>
      <c r="W17">
        <v>1</v>
      </c>
      <c r="X17">
        <v>2.2858796000000001E-2</v>
      </c>
      <c r="Y17" t="s">
        <v>3892</v>
      </c>
      <c r="Z17" t="s">
        <v>4928</v>
      </c>
      <c r="AA17" t="s">
        <v>4926</v>
      </c>
      <c r="AB17" t="s">
        <v>1278</v>
      </c>
      <c r="AC17" t="s">
        <v>4929</v>
      </c>
      <c r="AD17" t="s">
        <v>2708</v>
      </c>
      <c r="AE17">
        <v>1</v>
      </c>
      <c r="AO17" t="s">
        <v>2715</v>
      </c>
      <c r="AP17" t="s">
        <v>2401</v>
      </c>
    </row>
    <row r="18" spans="1:42">
      <c r="A18" t="s">
        <v>404</v>
      </c>
      <c r="B18" t="s">
        <v>2377</v>
      </c>
      <c r="C18" t="s">
        <v>2415</v>
      </c>
      <c r="D18" t="s">
        <v>2379</v>
      </c>
      <c r="E18" t="s">
        <v>307</v>
      </c>
      <c r="F18" t="s">
        <v>2578</v>
      </c>
      <c r="G18" t="s">
        <v>307</v>
      </c>
      <c r="H18" t="b">
        <v>1</v>
      </c>
      <c r="I18" s="8">
        <v>45940.502581018518</v>
      </c>
      <c r="J18" t="s">
        <v>2380</v>
      </c>
      <c r="L18">
        <v>609862</v>
      </c>
      <c r="M18" t="s">
        <v>2381</v>
      </c>
      <c r="P18" t="s">
        <v>2704</v>
      </c>
      <c r="Q18" t="s">
        <v>2383</v>
      </c>
      <c r="R18">
        <v>1</v>
      </c>
      <c r="S18" t="s">
        <v>2380</v>
      </c>
      <c r="T18" t="s">
        <v>2383</v>
      </c>
      <c r="U18" s="8">
        <v>45938.60597222222</v>
      </c>
      <c r="V18" s="8">
        <v>45943.958333333336</v>
      </c>
      <c r="W18">
        <v>1</v>
      </c>
      <c r="X18">
        <v>1.896608796</v>
      </c>
      <c r="Y18" t="s">
        <v>2579</v>
      </c>
      <c r="Z18" t="s">
        <v>3919</v>
      </c>
      <c r="AA18" t="s">
        <v>3733</v>
      </c>
      <c r="AB18" t="s">
        <v>1278</v>
      </c>
      <c r="AC18" t="s">
        <v>3920</v>
      </c>
      <c r="AD18" t="s">
        <v>2708</v>
      </c>
      <c r="AE18">
        <v>1</v>
      </c>
      <c r="AO18" t="s">
        <v>2720</v>
      </c>
      <c r="AP18" t="s">
        <v>2401</v>
      </c>
    </row>
    <row r="19" spans="1:42">
      <c r="A19" t="s">
        <v>1688</v>
      </c>
      <c r="B19" t="s">
        <v>2389</v>
      </c>
      <c r="C19" t="s">
        <v>2390</v>
      </c>
      <c r="D19" t="s">
        <v>2379</v>
      </c>
      <c r="E19" t="s">
        <v>2452</v>
      </c>
      <c r="F19" t="s">
        <v>2402</v>
      </c>
      <c r="G19" t="s">
        <v>2452</v>
      </c>
      <c r="H19" t="b">
        <v>1</v>
      </c>
      <c r="I19" s="8">
        <v>45943.492199074077</v>
      </c>
      <c r="J19" t="s">
        <v>2380</v>
      </c>
      <c r="K19">
        <v>1201798</v>
      </c>
      <c r="L19">
        <v>609844</v>
      </c>
      <c r="M19" t="s">
        <v>2381</v>
      </c>
      <c r="P19" t="s">
        <v>2486</v>
      </c>
      <c r="Q19" t="s">
        <v>2383</v>
      </c>
      <c r="R19">
        <v>1</v>
      </c>
      <c r="S19" t="s">
        <v>2380</v>
      </c>
      <c r="T19" t="s">
        <v>2383</v>
      </c>
      <c r="U19" s="8">
        <v>45938.626203703701</v>
      </c>
      <c r="V19" s="8">
        <v>45943.958333333336</v>
      </c>
      <c r="W19">
        <v>1</v>
      </c>
      <c r="X19">
        <v>2.8659953699999998</v>
      </c>
      <c r="Y19" t="s">
        <v>2403</v>
      </c>
      <c r="Z19" t="s">
        <v>5378</v>
      </c>
      <c r="AA19" t="s">
        <v>5260</v>
      </c>
      <c r="AB19" t="s">
        <v>1278</v>
      </c>
      <c r="AC19" t="s">
        <v>5379</v>
      </c>
      <c r="AD19" t="s">
        <v>2708</v>
      </c>
      <c r="AE19">
        <v>1</v>
      </c>
      <c r="AO19" t="s">
        <v>2408</v>
      </c>
      <c r="AP19" t="s">
        <v>2401</v>
      </c>
    </row>
    <row r="20" spans="1:42">
      <c r="A20" t="s">
        <v>605</v>
      </c>
      <c r="B20" t="s">
        <v>2377</v>
      </c>
      <c r="C20" t="s">
        <v>2390</v>
      </c>
      <c r="D20" t="s">
        <v>2379</v>
      </c>
      <c r="E20" t="s">
        <v>18</v>
      </c>
      <c r="F20" t="s">
        <v>2402</v>
      </c>
      <c r="G20" t="s">
        <v>2416</v>
      </c>
      <c r="H20" t="b">
        <v>1</v>
      </c>
      <c r="I20" s="8">
        <v>45940.720891203702</v>
      </c>
      <c r="J20" t="s">
        <v>2380</v>
      </c>
      <c r="L20">
        <v>603485</v>
      </c>
      <c r="M20" t="s">
        <v>2381</v>
      </c>
      <c r="P20" t="s">
        <v>2861</v>
      </c>
      <c r="Q20" t="s">
        <v>2383</v>
      </c>
      <c r="R20">
        <v>1</v>
      </c>
      <c r="S20" t="s">
        <v>2380</v>
      </c>
      <c r="T20" t="s">
        <v>2383</v>
      </c>
      <c r="U20" s="8">
        <v>45938.626458333332</v>
      </c>
      <c r="V20" s="8">
        <v>45943.958333333336</v>
      </c>
      <c r="W20">
        <v>1</v>
      </c>
      <c r="X20">
        <v>2.0944328699999999</v>
      </c>
      <c r="Y20" t="s">
        <v>2403</v>
      </c>
      <c r="Z20" t="s">
        <v>4183</v>
      </c>
      <c r="AA20" t="s">
        <v>2863</v>
      </c>
      <c r="AB20" t="s">
        <v>1278</v>
      </c>
      <c r="AC20" t="s">
        <v>4184</v>
      </c>
      <c r="AD20" t="s">
        <v>2708</v>
      </c>
      <c r="AE20">
        <v>1</v>
      </c>
      <c r="AO20" t="s">
        <v>2408</v>
      </c>
      <c r="AP20" t="s">
        <v>2401</v>
      </c>
    </row>
    <row r="21" spans="1:42">
      <c r="A21" t="s">
        <v>1690</v>
      </c>
      <c r="B21" t="s">
        <v>2389</v>
      </c>
      <c r="C21" t="s">
        <v>2390</v>
      </c>
      <c r="D21" t="s">
        <v>2379</v>
      </c>
      <c r="E21" t="s">
        <v>2452</v>
      </c>
      <c r="F21" t="s">
        <v>2417</v>
      </c>
      <c r="G21" t="s">
        <v>2452</v>
      </c>
      <c r="H21" t="b">
        <v>1</v>
      </c>
      <c r="I21" s="8">
        <v>45943.486331018517</v>
      </c>
      <c r="J21" t="s">
        <v>2380</v>
      </c>
      <c r="K21">
        <v>1201797</v>
      </c>
      <c r="L21">
        <v>602712</v>
      </c>
      <c r="M21" t="s">
        <v>2381</v>
      </c>
      <c r="P21" t="s">
        <v>3096</v>
      </c>
      <c r="Q21" t="s">
        <v>2383</v>
      </c>
      <c r="R21">
        <v>1</v>
      </c>
      <c r="S21" t="s">
        <v>2380</v>
      </c>
      <c r="T21" t="s">
        <v>2383</v>
      </c>
      <c r="U21" s="8">
        <v>45938.638761574075</v>
      </c>
      <c r="V21" s="8">
        <v>45943.958333333336</v>
      </c>
      <c r="W21">
        <v>1</v>
      </c>
      <c r="X21">
        <v>2.8475694439999999</v>
      </c>
      <c r="Y21" t="s">
        <v>2418</v>
      </c>
      <c r="Z21" t="s">
        <v>5607</v>
      </c>
      <c r="AA21" t="s">
        <v>3099</v>
      </c>
      <c r="AB21" t="s">
        <v>1278</v>
      </c>
      <c r="AC21" t="s">
        <v>5608</v>
      </c>
      <c r="AD21" t="s">
        <v>2708</v>
      </c>
      <c r="AE21">
        <v>1</v>
      </c>
      <c r="AO21" t="s">
        <v>2540</v>
      </c>
      <c r="AP21" t="s">
        <v>2401</v>
      </c>
    </row>
    <row r="22" spans="1:42">
      <c r="A22" t="s">
        <v>837</v>
      </c>
      <c r="B22" t="s">
        <v>2377</v>
      </c>
      <c r="C22" t="s">
        <v>2438</v>
      </c>
      <c r="D22" t="s">
        <v>2379</v>
      </c>
      <c r="E22" t="s">
        <v>18</v>
      </c>
      <c r="F22" t="s">
        <v>3891</v>
      </c>
      <c r="G22" t="s">
        <v>2416</v>
      </c>
      <c r="H22" t="b">
        <v>1</v>
      </c>
      <c r="I22" s="8">
        <v>45938.654270833336</v>
      </c>
      <c r="J22" t="s">
        <v>2380</v>
      </c>
      <c r="L22">
        <v>603914</v>
      </c>
      <c r="M22" t="s">
        <v>2381</v>
      </c>
      <c r="P22" t="s">
        <v>2704</v>
      </c>
      <c r="Q22" t="s">
        <v>2383</v>
      </c>
      <c r="R22">
        <v>1</v>
      </c>
      <c r="S22" t="s">
        <v>2380</v>
      </c>
      <c r="T22" t="s">
        <v>2383</v>
      </c>
      <c r="U22" s="8">
        <v>45938.641724537039</v>
      </c>
      <c r="V22" s="8">
        <v>45943.958333333336</v>
      </c>
      <c r="W22">
        <v>1</v>
      </c>
      <c r="X22">
        <v>1.2546296E-2</v>
      </c>
      <c r="Y22" t="s">
        <v>3892</v>
      </c>
      <c r="Z22" t="s">
        <v>4930</v>
      </c>
      <c r="AA22" t="s">
        <v>4931</v>
      </c>
      <c r="AB22" t="s">
        <v>1278</v>
      </c>
      <c r="AC22" t="s">
        <v>4932</v>
      </c>
      <c r="AD22" t="s">
        <v>2708</v>
      </c>
      <c r="AE22">
        <v>1</v>
      </c>
      <c r="AO22" t="s">
        <v>2715</v>
      </c>
      <c r="AP22" t="s">
        <v>2401</v>
      </c>
    </row>
    <row r="23" spans="1:42">
      <c r="A23" t="s">
        <v>6771</v>
      </c>
      <c r="B23" t="s">
        <v>2389</v>
      </c>
      <c r="C23" t="s">
        <v>2378</v>
      </c>
      <c r="D23" t="s">
        <v>2379</v>
      </c>
      <c r="E23" t="s">
        <v>307</v>
      </c>
      <c r="F23" t="s">
        <v>3308</v>
      </c>
      <c r="G23" t="s">
        <v>307</v>
      </c>
      <c r="H23" t="b">
        <v>1</v>
      </c>
      <c r="I23" s="8">
        <v>45941.673657407409</v>
      </c>
      <c r="J23" t="s">
        <v>2380</v>
      </c>
      <c r="K23">
        <v>1201726</v>
      </c>
      <c r="L23">
        <v>603633</v>
      </c>
      <c r="M23" t="s">
        <v>2381</v>
      </c>
      <c r="P23" t="s">
        <v>2670</v>
      </c>
      <c r="Q23" t="s">
        <v>2383</v>
      </c>
      <c r="R23">
        <v>1</v>
      </c>
      <c r="S23" t="s">
        <v>2380</v>
      </c>
      <c r="T23" t="s">
        <v>2383</v>
      </c>
      <c r="U23" s="8">
        <v>45938.649675925924</v>
      </c>
      <c r="V23" s="8">
        <v>45943.958333333336</v>
      </c>
      <c r="W23">
        <v>1</v>
      </c>
      <c r="X23">
        <v>3.0239814809999999</v>
      </c>
      <c r="Y23" t="s">
        <v>3309</v>
      </c>
      <c r="Z23" t="s">
        <v>6772</v>
      </c>
      <c r="AA23" t="s">
        <v>3312</v>
      </c>
      <c r="AB23" t="s">
        <v>1278</v>
      </c>
      <c r="AC23" t="s">
        <v>6773</v>
      </c>
      <c r="AD23" t="s">
        <v>2708</v>
      </c>
      <c r="AE23">
        <v>1</v>
      </c>
      <c r="AO23" t="s">
        <v>2388</v>
      </c>
      <c r="AP23" t="s">
        <v>2401</v>
      </c>
    </row>
    <row r="24" spans="1:42">
      <c r="A24" t="s">
        <v>61</v>
      </c>
      <c r="B24" t="s">
        <v>2377</v>
      </c>
      <c r="C24" t="s">
        <v>2691</v>
      </c>
      <c r="D24" t="s">
        <v>2379</v>
      </c>
      <c r="E24" t="s">
        <v>25</v>
      </c>
      <c r="F24" t="s">
        <v>3261</v>
      </c>
      <c r="G24" t="s">
        <v>25</v>
      </c>
      <c r="H24" t="b">
        <v>1</v>
      </c>
      <c r="I24" s="8">
        <v>45946.605138888888</v>
      </c>
      <c r="J24" t="s">
        <v>2380</v>
      </c>
      <c r="L24">
        <v>601157</v>
      </c>
      <c r="M24" t="s">
        <v>2381</v>
      </c>
      <c r="N24">
        <v>15</v>
      </c>
      <c r="P24" t="s">
        <v>7917</v>
      </c>
      <c r="Q24" t="s">
        <v>2383</v>
      </c>
      <c r="R24">
        <v>1</v>
      </c>
      <c r="S24" t="s">
        <v>2380</v>
      </c>
      <c r="T24" t="s">
        <v>2383</v>
      </c>
      <c r="U24" s="8">
        <v>45938.651087962964</v>
      </c>
      <c r="V24" s="8">
        <v>45951.958333333336</v>
      </c>
      <c r="W24">
        <v>1</v>
      </c>
      <c r="X24">
        <v>5.9540509259999999</v>
      </c>
      <c r="Y24" t="s">
        <v>3262</v>
      </c>
      <c r="Z24" t="s">
        <v>7918</v>
      </c>
      <c r="AA24" t="s">
        <v>1358</v>
      </c>
      <c r="AB24" t="s">
        <v>1278</v>
      </c>
      <c r="AC24" t="s">
        <v>7919</v>
      </c>
      <c r="AD24" t="s">
        <v>2708</v>
      </c>
      <c r="AE24">
        <v>1</v>
      </c>
      <c r="AO24" t="s">
        <v>2957</v>
      </c>
      <c r="AP24" t="s">
        <v>2401</v>
      </c>
    </row>
    <row r="25" spans="1:42">
      <c r="A25" t="s">
        <v>9061</v>
      </c>
      <c r="B25" t="s">
        <v>2389</v>
      </c>
      <c r="C25" t="s">
        <v>2378</v>
      </c>
      <c r="D25" t="s">
        <v>2379</v>
      </c>
      <c r="E25" t="s">
        <v>25</v>
      </c>
      <c r="F25" t="s">
        <v>3308</v>
      </c>
      <c r="G25" t="s">
        <v>25</v>
      </c>
      <c r="H25" t="b">
        <v>1</v>
      </c>
      <c r="I25" s="8">
        <v>45943.654780092591</v>
      </c>
      <c r="J25" t="s">
        <v>2380</v>
      </c>
      <c r="K25">
        <v>1201490</v>
      </c>
      <c r="L25">
        <v>603633</v>
      </c>
      <c r="M25" t="s">
        <v>2381</v>
      </c>
      <c r="N25">
        <v>5</v>
      </c>
      <c r="P25" t="s">
        <v>2670</v>
      </c>
      <c r="Q25" t="s">
        <v>2383</v>
      </c>
      <c r="R25">
        <v>1</v>
      </c>
      <c r="S25" t="s">
        <v>2380</v>
      </c>
      <c r="T25" t="s">
        <v>2383</v>
      </c>
      <c r="U25" s="8">
        <v>45938.651770833334</v>
      </c>
      <c r="V25" s="8">
        <v>45943.958333333336</v>
      </c>
      <c r="W25">
        <v>1</v>
      </c>
      <c r="X25">
        <v>3.0030092590000002</v>
      </c>
      <c r="Y25" t="s">
        <v>3309</v>
      </c>
      <c r="Z25" t="s">
        <v>9062</v>
      </c>
      <c r="AA25" t="s">
        <v>3312</v>
      </c>
      <c r="AB25" t="s">
        <v>1278</v>
      </c>
      <c r="AC25" t="s">
        <v>9063</v>
      </c>
      <c r="AD25" t="s">
        <v>2708</v>
      </c>
      <c r="AE25">
        <v>1</v>
      </c>
      <c r="AH25" t="s">
        <v>33</v>
      </c>
      <c r="AI25" s="8">
        <v>45943.637708333335</v>
      </c>
      <c r="AK25" t="s">
        <v>2719</v>
      </c>
      <c r="AL25" t="s">
        <v>2719</v>
      </c>
      <c r="AO25" t="s">
        <v>2388</v>
      </c>
      <c r="AP25" t="s">
        <v>2401</v>
      </c>
    </row>
    <row r="26" spans="1:42">
      <c r="A26" t="s">
        <v>773</v>
      </c>
      <c r="B26" t="s">
        <v>2377</v>
      </c>
      <c r="C26" t="s">
        <v>2415</v>
      </c>
      <c r="D26" t="s">
        <v>2379</v>
      </c>
      <c r="E26" t="s">
        <v>25</v>
      </c>
      <c r="F26" t="s">
        <v>3261</v>
      </c>
      <c r="G26" t="s">
        <v>2723</v>
      </c>
      <c r="H26" t="b">
        <v>1</v>
      </c>
      <c r="I26" s="8">
        <v>45940.455092592594</v>
      </c>
      <c r="J26" t="s">
        <v>2380</v>
      </c>
      <c r="L26">
        <v>602420</v>
      </c>
      <c r="M26" t="s">
        <v>2381</v>
      </c>
      <c r="P26" t="s">
        <v>7503</v>
      </c>
      <c r="Q26" t="s">
        <v>2383</v>
      </c>
      <c r="R26">
        <v>1</v>
      </c>
      <c r="S26" t="s">
        <v>2380</v>
      </c>
      <c r="T26" t="s">
        <v>2383</v>
      </c>
      <c r="U26" s="8">
        <v>45938.653113425928</v>
      </c>
      <c r="V26" s="8">
        <v>45943.958333333336</v>
      </c>
      <c r="W26">
        <v>1</v>
      </c>
      <c r="X26">
        <v>1.801979167</v>
      </c>
      <c r="Y26" t="s">
        <v>3262</v>
      </c>
      <c r="Z26" t="s">
        <v>7504</v>
      </c>
      <c r="AA26" t="s">
        <v>7505</v>
      </c>
      <c r="AB26" t="s">
        <v>1278</v>
      </c>
      <c r="AC26" t="s">
        <v>7506</v>
      </c>
      <c r="AD26" t="s">
        <v>2708</v>
      </c>
      <c r="AE26">
        <v>1</v>
      </c>
      <c r="AO26" t="s">
        <v>2957</v>
      </c>
      <c r="AP26" t="s">
        <v>2401</v>
      </c>
    </row>
    <row r="27" spans="1:42">
      <c r="A27" t="s">
        <v>7365</v>
      </c>
      <c r="B27" t="s">
        <v>2389</v>
      </c>
      <c r="C27" t="s">
        <v>2415</v>
      </c>
      <c r="D27" t="s">
        <v>2379</v>
      </c>
      <c r="E27" t="s">
        <v>25</v>
      </c>
      <c r="F27" t="s">
        <v>3308</v>
      </c>
      <c r="G27" t="s">
        <v>25</v>
      </c>
      <c r="H27" t="b">
        <v>1</v>
      </c>
      <c r="I27" s="8">
        <v>45940.425821759258</v>
      </c>
      <c r="J27" t="s">
        <v>2380</v>
      </c>
      <c r="K27">
        <v>1201476</v>
      </c>
      <c r="L27">
        <v>603633</v>
      </c>
      <c r="M27" t="s">
        <v>2381</v>
      </c>
      <c r="N27">
        <v>5</v>
      </c>
      <c r="P27" t="s">
        <v>2670</v>
      </c>
      <c r="Q27" t="s">
        <v>2383</v>
      </c>
      <c r="R27">
        <v>1</v>
      </c>
      <c r="S27" t="s">
        <v>2380</v>
      </c>
      <c r="T27" t="s">
        <v>2383</v>
      </c>
      <c r="U27" s="8">
        <v>45938.654560185183</v>
      </c>
      <c r="V27" s="8">
        <v>45943.958333333336</v>
      </c>
      <c r="W27">
        <v>1</v>
      </c>
      <c r="X27">
        <v>1.7712615739999999</v>
      </c>
      <c r="Y27" t="s">
        <v>3309</v>
      </c>
      <c r="Z27" t="s">
        <v>7366</v>
      </c>
      <c r="AA27" t="s">
        <v>3312</v>
      </c>
      <c r="AB27" t="s">
        <v>1278</v>
      </c>
      <c r="AC27" t="s">
        <v>7367</v>
      </c>
      <c r="AD27" t="s">
        <v>2708</v>
      </c>
      <c r="AE27">
        <v>1</v>
      </c>
      <c r="AO27" t="s">
        <v>2388</v>
      </c>
      <c r="AP27" t="s">
        <v>2401</v>
      </c>
    </row>
    <row r="28" spans="1:42">
      <c r="A28" t="s">
        <v>6774</v>
      </c>
      <c r="B28" t="s">
        <v>2389</v>
      </c>
      <c r="C28" t="s">
        <v>2378</v>
      </c>
      <c r="D28" t="s">
        <v>2379</v>
      </c>
      <c r="E28" t="s">
        <v>307</v>
      </c>
      <c r="F28" t="s">
        <v>3308</v>
      </c>
      <c r="G28" t="s">
        <v>307</v>
      </c>
      <c r="H28" t="b">
        <v>1</v>
      </c>
      <c r="I28" s="8">
        <v>45941.666458333333</v>
      </c>
      <c r="J28" t="s">
        <v>2380</v>
      </c>
      <c r="K28">
        <v>1201725</v>
      </c>
      <c r="L28">
        <v>603633</v>
      </c>
      <c r="M28" t="s">
        <v>2381</v>
      </c>
      <c r="P28" t="s">
        <v>2670</v>
      </c>
      <c r="Q28" t="s">
        <v>2383</v>
      </c>
      <c r="R28">
        <v>1</v>
      </c>
      <c r="S28" t="s">
        <v>2380</v>
      </c>
      <c r="T28" t="s">
        <v>2383</v>
      </c>
      <c r="U28" s="8">
        <v>45938.655960648146</v>
      </c>
      <c r="V28" s="8">
        <v>45943.958333333336</v>
      </c>
      <c r="W28">
        <v>1</v>
      </c>
      <c r="X28">
        <v>3.0104976849999998</v>
      </c>
      <c r="Y28" t="s">
        <v>3309</v>
      </c>
      <c r="Z28" t="s">
        <v>6775</v>
      </c>
      <c r="AA28" t="s">
        <v>3312</v>
      </c>
      <c r="AB28" t="s">
        <v>1278</v>
      </c>
      <c r="AC28" t="s">
        <v>6776</v>
      </c>
      <c r="AD28" t="s">
        <v>2708</v>
      </c>
      <c r="AE28">
        <v>1</v>
      </c>
      <c r="AO28" t="s">
        <v>2388</v>
      </c>
      <c r="AP28" t="s">
        <v>2401</v>
      </c>
    </row>
    <row r="29" spans="1:42">
      <c r="A29" t="s">
        <v>6777</v>
      </c>
      <c r="B29" t="s">
        <v>2389</v>
      </c>
      <c r="C29" t="s">
        <v>2378</v>
      </c>
      <c r="D29" t="s">
        <v>2379</v>
      </c>
      <c r="E29" t="s">
        <v>307</v>
      </c>
      <c r="F29" t="s">
        <v>3308</v>
      </c>
      <c r="G29" t="s">
        <v>307</v>
      </c>
      <c r="H29" t="b">
        <v>1</v>
      </c>
      <c r="I29" s="8">
        <v>45941.68377314815</v>
      </c>
      <c r="J29" t="s">
        <v>2380</v>
      </c>
      <c r="K29">
        <v>1201727</v>
      </c>
      <c r="L29">
        <v>603633</v>
      </c>
      <c r="M29" t="s">
        <v>2381</v>
      </c>
      <c r="P29" t="s">
        <v>2670</v>
      </c>
      <c r="Q29" t="s">
        <v>2383</v>
      </c>
      <c r="R29">
        <v>1</v>
      </c>
      <c r="S29" t="s">
        <v>2380</v>
      </c>
      <c r="T29" t="s">
        <v>2383</v>
      </c>
      <c r="U29" s="8">
        <v>45938.660775462966</v>
      </c>
      <c r="V29" s="8">
        <v>45943.958333333336</v>
      </c>
      <c r="W29">
        <v>1</v>
      </c>
      <c r="X29">
        <v>3.022997685</v>
      </c>
      <c r="Y29" t="s">
        <v>3309</v>
      </c>
      <c r="Z29" t="s">
        <v>6778</v>
      </c>
      <c r="AA29" t="s">
        <v>3312</v>
      </c>
      <c r="AB29" t="s">
        <v>1278</v>
      </c>
      <c r="AD29" t="s">
        <v>2708</v>
      </c>
      <c r="AE29">
        <v>1</v>
      </c>
      <c r="AO29" t="s">
        <v>2388</v>
      </c>
      <c r="AP29" t="s">
        <v>2401</v>
      </c>
    </row>
    <row r="30" spans="1:42">
      <c r="A30" t="s">
        <v>3310</v>
      </c>
      <c r="B30" t="s">
        <v>2389</v>
      </c>
      <c r="C30" t="s">
        <v>2378</v>
      </c>
      <c r="D30" t="s">
        <v>2379</v>
      </c>
      <c r="E30" t="s">
        <v>307</v>
      </c>
      <c r="F30" t="s">
        <v>3308</v>
      </c>
      <c r="G30" t="s">
        <v>307</v>
      </c>
      <c r="H30" t="b">
        <v>1</v>
      </c>
      <c r="I30" s="8">
        <v>45941.695972222224</v>
      </c>
      <c r="J30" t="s">
        <v>2380</v>
      </c>
      <c r="L30">
        <v>603633</v>
      </c>
      <c r="M30" t="s">
        <v>2381</v>
      </c>
      <c r="P30" t="s">
        <v>2670</v>
      </c>
      <c r="Q30" t="s">
        <v>2383</v>
      </c>
      <c r="R30">
        <v>1</v>
      </c>
      <c r="S30" t="s">
        <v>2380</v>
      </c>
      <c r="T30" t="s">
        <v>2383</v>
      </c>
      <c r="U30" s="8">
        <v>45938.664305555554</v>
      </c>
      <c r="V30" s="8">
        <v>45943.958333333336</v>
      </c>
      <c r="W30">
        <v>1</v>
      </c>
      <c r="X30">
        <v>3.0316666670000001</v>
      </c>
      <c r="Y30" t="s">
        <v>3309</v>
      </c>
      <c r="Z30" t="s">
        <v>3311</v>
      </c>
      <c r="AA30" t="s">
        <v>3312</v>
      </c>
      <c r="AB30" t="s">
        <v>1278</v>
      </c>
      <c r="AC30" t="s">
        <v>3313</v>
      </c>
      <c r="AE30">
        <v>1</v>
      </c>
      <c r="AO30" t="s">
        <v>2388</v>
      </c>
      <c r="AP30" t="s">
        <v>2401</v>
      </c>
    </row>
    <row r="31" spans="1:42">
      <c r="A31" t="s">
        <v>1671</v>
      </c>
      <c r="B31" t="s">
        <v>2377</v>
      </c>
      <c r="C31" t="s">
        <v>2390</v>
      </c>
      <c r="D31" t="s">
        <v>2379</v>
      </c>
      <c r="E31" t="s">
        <v>24</v>
      </c>
      <c r="F31" t="s">
        <v>2402</v>
      </c>
      <c r="G31" t="s">
        <v>24</v>
      </c>
      <c r="H31" t="b">
        <v>1</v>
      </c>
      <c r="I31" s="8">
        <v>45943.625023148146</v>
      </c>
      <c r="J31" t="s">
        <v>2380</v>
      </c>
      <c r="L31">
        <v>603524</v>
      </c>
      <c r="M31" t="s">
        <v>2381</v>
      </c>
      <c r="P31" t="s">
        <v>2704</v>
      </c>
      <c r="Q31" t="s">
        <v>2383</v>
      </c>
      <c r="R31">
        <v>1</v>
      </c>
      <c r="S31" t="s">
        <v>2380</v>
      </c>
      <c r="T31" t="s">
        <v>2383</v>
      </c>
      <c r="U31" s="8">
        <v>45938.67728009259</v>
      </c>
      <c r="V31" s="8">
        <v>45943.958333333336</v>
      </c>
      <c r="W31">
        <v>1</v>
      </c>
      <c r="X31">
        <v>2.9477430560000002</v>
      </c>
      <c r="Y31" t="s">
        <v>2403</v>
      </c>
      <c r="Z31" t="s">
        <v>9537</v>
      </c>
      <c r="AA31" t="s">
        <v>8032</v>
      </c>
      <c r="AB31" t="s">
        <v>1278</v>
      </c>
      <c r="AC31" t="s">
        <v>2387</v>
      </c>
      <c r="AE31">
        <v>1</v>
      </c>
      <c r="AH31" t="s">
        <v>2416</v>
      </c>
      <c r="AI31" s="8">
        <v>45943.536678240744</v>
      </c>
      <c r="AK31" t="s">
        <v>2719</v>
      </c>
      <c r="AL31" t="s">
        <v>5161</v>
      </c>
      <c r="AM31" t="s">
        <v>5174</v>
      </c>
      <c r="AO31" t="s">
        <v>4121</v>
      </c>
      <c r="AP31" t="s">
        <v>2401</v>
      </c>
    </row>
    <row r="32" spans="1:42">
      <c r="A32" t="s">
        <v>184</v>
      </c>
      <c r="B32" t="s">
        <v>2377</v>
      </c>
      <c r="C32" t="s">
        <v>2415</v>
      </c>
      <c r="D32" t="s">
        <v>2379</v>
      </c>
      <c r="E32" t="s">
        <v>25</v>
      </c>
      <c r="F32" t="s">
        <v>2588</v>
      </c>
      <c r="G32" t="s">
        <v>25</v>
      </c>
      <c r="H32" t="b">
        <v>1</v>
      </c>
      <c r="I32" s="8">
        <v>45940.492974537039</v>
      </c>
      <c r="J32" t="s">
        <v>2380</v>
      </c>
      <c r="L32">
        <v>602377</v>
      </c>
      <c r="M32" t="s">
        <v>2381</v>
      </c>
      <c r="N32">
        <v>20</v>
      </c>
      <c r="P32" t="s">
        <v>7268</v>
      </c>
      <c r="Q32" t="s">
        <v>2383</v>
      </c>
      <c r="R32">
        <v>1</v>
      </c>
      <c r="S32" t="s">
        <v>2380</v>
      </c>
      <c r="T32" t="s">
        <v>2383</v>
      </c>
      <c r="U32" s="8">
        <v>45938.692384259259</v>
      </c>
      <c r="V32" s="8">
        <v>45943.958333333336</v>
      </c>
      <c r="W32">
        <v>1</v>
      </c>
      <c r="X32">
        <v>1.800590278</v>
      </c>
      <c r="Y32" t="s">
        <v>2579</v>
      </c>
      <c r="Z32" t="s">
        <v>7269</v>
      </c>
      <c r="AA32" t="s">
        <v>7270</v>
      </c>
      <c r="AB32" t="s">
        <v>1278</v>
      </c>
      <c r="AC32" t="s">
        <v>7271</v>
      </c>
      <c r="AD32" t="s">
        <v>2708</v>
      </c>
      <c r="AE32">
        <v>1</v>
      </c>
      <c r="AO32" t="s">
        <v>2388</v>
      </c>
      <c r="AP32" t="s">
        <v>2401</v>
      </c>
    </row>
    <row r="33" spans="1:42">
      <c r="A33" t="s">
        <v>1695</v>
      </c>
      <c r="B33" t="s">
        <v>2389</v>
      </c>
      <c r="C33" t="s">
        <v>2390</v>
      </c>
      <c r="D33" t="s">
        <v>2379</v>
      </c>
      <c r="E33" t="s">
        <v>2452</v>
      </c>
      <c r="F33" t="s">
        <v>3636</v>
      </c>
      <c r="G33" t="s">
        <v>2452</v>
      </c>
      <c r="H33" t="b">
        <v>1</v>
      </c>
      <c r="I33" s="8">
        <v>45943.475173611114</v>
      </c>
      <c r="J33" t="s">
        <v>2380</v>
      </c>
      <c r="K33">
        <v>1201791</v>
      </c>
      <c r="L33">
        <v>603651</v>
      </c>
      <c r="M33" t="s">
        <v>2381</v>
      </c>
      <c r="P33" t="s">
        <v>3637</v>
      </c>
      <c r="Q33" t="s">
        <v>2383</v>
      </c>
      <c r="R33">
        <v>1</v>
      </c>
      <c r="S33" t="s">
        <v>2380</v>
      </c>
      <c r="T33" t="s">
        <v>2383</v>
      </c>
      <c r="U33" s="8">
        <v>45938.692962962959</v>
      </c>
      <c r="V33" s="8">
        <v>45943.958333333336</v>
      </c>
      <c r="W33">
        <v>1</v>
      </c>
      <c r="X33">
        <v>2.782210648</v>
      </c>
      <c r="Y33" t="s">
        <v>2628</v>
      </c>
      <c r="Z33" t="s">
        <v>9696</v>
      </c>
      <c r="AA33" t="s">
        <v>9662</v>
      </c>
      <c r="AB33" t="s">
        <v>1278</v>
      </c>
      <c r="AC33" t="s">
        <v>9697</v>
      </c>
      <c r="AD33" t="s">
        <v>2708</v>
      </c>
      <c r="AE33">
        <v>1</v>
      </c>
      <c r="AO33" t="s">
        <v>3608</v>
      </c>
      <c r="AP33" t="s">
        <v>2401</v>
      </c>
    </row>
    <row r="34" spans="1:42">
      <c r="A34" t="s">
        <v>390</v>
      </c>
      <c r="B34" t="s">
        <v>2377</v>
      </c>
      <c r="C34" t="s">
        <v>2438</v>
      </c>
      <c r="D34" t="s">
        <v>2379</v>
      </c>
      <c r="E34" t="s">
        <v>18</v>
      </c>
      <c r="F34" t="s">
        <v>3213</v>
      </c>
      <c r="G34" t="s">
        <v>2416</v>
      </c>
      <c r="H34" t="b">
        <v>1</v>
      </c>
      <c r="I34" s="8">
        <v>45938.765451388892</v>
      </c>
      <c r="J34" t="s">
        <v>2380</v>
      </c>
      <c r="L34">
        <v>603358</v>
      </c>
      <c r="M34" t="s">
        <v>2381</v>
      </c>
      <c r="P34" t="s">
        <v>2704</v>
      </c>
      <c r="Q34" t="s">
        <v>2383</v>
      </c>
      <c r="R34">
        <v>1</v>
      </c>
      <c r="S34" t="s">
        <v>2380</v>
      </c>
      <c r="T34" t="s">
        <v>2383</v>
      </c>
      <c r="U34" s="8">
        <v>45938.699814814812</v>
      </c>
      <c r="V34" s="8">
        <v>45943.958333333336</v>
      </c>
      <c r="W34">
        <v>1</v>
      </c>
      <c r="X34">
        <v>6.5636574000000003E-2</v>
      </c>
      <c r="Y34" t="s">
        <v>3214</v>
      </c>
      <c r="Z34" t="s">
        <v>6585</v>
      </c>
      <c r="AA34" t="s">
        <v>2302</v>
      </c>
      <c r="AB34" t="s">
        <v>1278</v>
      </c>
      <c r="AC34" t="s">
        <v>6586</v>
      </c>
      <c r="AD34" t="s">
        <v>2708</v>
      </c>
      <c r="AE34">
        <v>1</v>
      </c>
      <c r="AO34" t="s">
        <v>2388</v>
      </c>
      <c r="AP34" t="s">
        <v>2401</v>
      </c>
    </row>
    <row r="35" spans="1:42">
      <c r="A35" t="s">
        <v>406</v>
      </c>
      <c r="B35" t="s">
        <v>2377</v>
      </c>
      <c r="C35" t="s">
        <v>2390</v>
      </c>
      <c r="D35" t="s">
        <v>2379</v>
      </c>
      <c r="E35" t="s">
        <v>2416</v>
      </c>
      <c r="F35" t="s">
        <v>9079</v>
      </c>
      <c r="G35" t="s">
        <v>24</v>
      </c>
      <c r="H35" t="b">
        <v>1</v>
      </c>
      <c r="I35" s="8">
        <v>45943.674074074072</v>
      </c>
      <c r="J35" t="s">
        <v>2380</v>
      </c>
      <c r="L35">
        <v>603578</v>
      </c>
      <c r="M35" t="s">
        <v>2381</v>
      </c>
      <c r="P35" t="s">
        <v>9080</v>
      </c>
      <c r="Q35" t="s">
        <v>2383</v>
      </c>
      <c r="R35">
        <v>1</v>
      </c>
      <c r="S35" t="s">
        <v>2380</v>
      </c>
      <c r="T35" t="s">
        <v>2383</v>
      </c>
      <c r="U35" s="8">
        <v>45938.726631944446</v>
      </c>
      <c r="V35" s="8">
        <v>45943.958333333336</v>
      </c>
      <c r="W35">
        <v>1</v>
      </c>
      <c r="X35">
        <v>2.9474421300000002</v>
      </c>
      <c r="Y35" t="s">
        <v>9081</v>
      </c>
      <c r="Z35" t="s">
        <v>9082</v>
      </c>
      <c r="AA35" t="s">
        <v>405</v>
      </c>
      <c r="AB35" t="s">
        <v>1278</v>
      </c>
      <c r="AC35" t="s">
        <v>9083</v>
      </c>
      <c r="AD35" t="s">
        <v>2708</v>
      </c>
      <c r="AE35">
        <v>1</v>
      </c>
      <c r="AH35" t="s">
        <v>33</v>
      </c>
      <c r="AI35" s="8">
        <v>45943.637407407405</v>
      </c>
      <c r="AK35" t="s">
        <v>2719</v>
      </c>
      <c r="AL35" t="s">
        <v>2719</v>
      </c>
      <c r="AO35" t="s">
        <v>2957</v>
      </c>
      <c r="AP35" t="s">
        <v>2401</v>
      </c>
    </row>
    <row r="36" spans="1:42">
      <c r="A36" t="s">
        <v>1968</v>
      </c>
      <c r="B36" t="s">
        <v>2389</v>
      </c>
      <c r="C36" t="s">
        <v>2691</v>
      </c>
      <c r="D36" t="s">
        <v>2379</v>
      </c>
      <c r="E36" t="s">
        <v>2452</v>
      </c>
      <c r="F36" t="s">
        <v>3261</v>
      </c>
      <c r="G36" t="s">
        <v>2452</v>
      </c>
      <c r="H36" t="b">
        <v>1</v>
      </c>
      <c r="I36" s="8">
        <v>45953.519907407404</v>
      </c>
      <c r="J36" t="s">
        <v>2380</v>
      </c>
      <c r="K36">
        <v>1204206</v>
      </c>
      <c r="L36">
        <v>605271</v>
      </c>
      <c r="M36" t="s">
        <v>2381</v>
      </c>
      <c r="P36" t="s">
        <v>7835</v>
      </c>
      <c r="Q36" t="s">
        <v>2383</v>
      </c>
      <c r="R36">
        <v>1</v>
      </c>
      <c r="S36" t="s">
        <v>2380</v>
      </c>
      <c r="T36" t="s">
        <v>2383</v>
      </c>
      <c r="U36" s="8">
        <v>45938.729895833334</v>
      </c>
      <c r="V36" s="8">
        <v>45959.958333333336</v>
      </c>
      <c r="W36">
        <v>1</v>
      </c>
      <c r="X36">
        <v>10.790011573999999</v>
      </c>
      <c r="Y36" t="s">
        <v>3262</v>
      </c>
      <c r="Z36" t="s">
        <v>7836</v>
      </c>
      <c r="AA36" t="s">
        <v>1967</v>
      </c>
      <c r="AB36" t="s">
        <v>1278</v>
      </c>
      <c r="AC36" t="s">
        <v>7837</v>
      </c>
      <c r="AD36" t="s">
        <v>2708</v>
      </c>
      <c r="AE36">
        <v>1</v>
      </c>
      <c r="AO36" t="s">
        <v>2957</v>
      </c>
      <c r="AP36" t="s">
        <v>2401</v>
      </c>
    </row>
    <row r="37" spans="1:42">
      <c r="A37" t="s">
        <v>1666</v>
      </c>
      <c r="B37" t="s">
        <v>2389</v>
      </c>
      <c r="C37" t="s">
        <v>2390</v>
      </c>
      <c r="D37" t="s">
        <v>2379</v>
      </c>
      <c r="E37" t="s">
        <v>33</v>
      </c>
      <c r="F37" t="s">
        <v>2431</v>
      </c>
      <c r="G37" t="s">
        <v>33</v>
      </c>
      <c r="H37" t="b">
        <v>1</v>
      </c>
      <c r="I37" s="8">
        <v>45943.638460648152</v>
      </c>
      <c r="J37" t="s">
        <v>2380</v>
      </c>
      <c r="K37">
        <v>1202034</v>
      </c>
      <c r="L37">
        <v>605381</v>
      </c>
      <c r="M37" t="s">
        <v>2381</v>
      </c>
      <c r="P37" t="s">
        <v>2858</v>
      </c>
      <c r="Q37" t="s">
        <v>2383</v>
      </c>
      <c r="R37">
        <v>1</v>
      </c>
      <c r="S37" t="s">
        <v>2380</v>
      </c>
      <c r="T37" t="s">
        <v>2383</v>
      </c>
      <c r="U37" s="8">
        <v>45939.342627314814</v>
      </c>
      <c r="V37" s="8">
        <v>45946.958333333336</v>
      </c>
      <c r="W37">
        <v>1</v>
      </c>
      <c r="X37">
        <v>2.295833333</v>
      </c>
      <c r="Y37" t="s">
        <v>2433</v>
      </c>
      <c r="Z37" t="s">
        <v>4298</v>
      </c>
      <c r="AA37" t="s">
        <v>1664</v>
      </c>
      <c r="AB37" t="s">
        <v>1278</v>
      </c>
      <c r="AC37" t="s">
        <v>4299</v>
      </c>
      <c r="AD37" t="s">
        <v>2708</v>
      </c>
      <c r="AE37">
        <v>1</v>
      </c>
      <c r="AO37" t="s">
        <v>2408</v>
      </c>
      <c r="AP37" t="s">
        <v>2401</v>
      </c>
    </row>
    <row r="38" spans="1:42">
      <c r="A38" t="s">
        <v>658</v>
      </c>
      <c r="B38" t="s">
        <v>2377</v>
      </c>
      <c r="C38" t="s">
        <v>2378</v>
      </c>
      <c r="D38" t="s">
        <v>2379</v>
      </c>
      <c r="E38" t="s">
        <v>25</v>
      </c>
      <c r="F38" t="s">
        <v>4122</v>
      </c>
      <c r="G38" t="s">
        <v>25</v>
      </c>
      <c r="H38" t="b">
        <v>1</v>
      </c>
      <c r="I38" s="8">
        <v>45944.516296296293</v>
      </c>
      <c r="J38" t="s">
        <v>2380</v>
      </c>
      <c r="L38">
        <v>602375</v>
      </c>
      <c r="M38" t="s">
        <v>2381</v>
      </c>
      <c r="N38">
        <v>15</v>
      </c>
      <c r="P38" t="s">
        <v>8085</v>
      </c>
      <c r="Q38" t="s">
        <v>2383</v>
      </c>
      <c r="R38">
        <v>1</v>
      </c>
      <c r="S38" t="s">
        <v>2380</v>
      </c>
      <c r="T38" t="s">
        <v>2383</v>
      </c>
      <c r="U38" s="8">
        <v>45939.358252314814</v>
      </c>
      <c r="V38" s="8">
        <v>45944.958333333336</v>
      </c>
      <c r="W38">
        <v>1</v>
      </c>
      <c r="X38">
        <v>3.1580439810000001</v>
      </c>
      <c r="Y38" t="s">
        <v>1352</v>
      </c>
      <c r="Z38" t="s">
        <v>8086</v>
      </c>
      <c r="AA38" t="s">
        <v>8087</v>
      </c>
      <c r="AB38" t="s">
        <v>1278</v>
      </c>
      <c r="AC38" t="s">
        <v>2387</v>
      </c>
      <c r="AD38" t="s">
        <v>2708</v>
      </c>
      <c r="AE38">
        <v>1</v>
      </c>
      <c r="AO38" t="s">
        <v>4121</v>
      </c>
      <c r="AP38" t="s">
        <v>2401</v>
      </c>
    </row>
    <row r="39" spans="1:42">
      <c r="A39" t="s">
        <v>662</v>
      </c>
      <c r="B39" t="s">
        <v>2377</v>
      </c>
      <c r="C39" t="s">
        <v>2378</v>
      </c>
      <c r="D39" t="s">
        <v>2379</v>
      </c>
      <c r="E39" t="s">
        <v>24</v>
      </c>
      <c r="F39" t="s">
        <v>2588</v>
      </c>
      <c r="G39" t="s">
        <v>24</v>
      </c>
      <c r="H39" t="b">
        <v>1</v>
      </c>
      <c r="I39" s="8">
        <v>45944.654988425929</v>
      </c>
      <c r="J39" t="s">
        <v>2380</v>
      </c>
      <c r="L39">
        <v>602903</v>
      </c>
      <c r="M39" t="s">
        <v>2381</v>
      </c>
      <c r="P39" t="s">
        <v>6548</v>
      </c>
      <c r="Q39" t="s">
        <v>2383</v>
      </c>
      <c r="R39">
        <v>1</v>
      </c>
      <c r="S39" t="s">
        <v>2380</v>
      </c>
      <c r="T39" t="s">
        <v>2383</v>
      </c>
      <c r="U39" s="8">
        <v>45939.378206018519</v>
      </c>
      <c r="V39" s="8">
        <v>45944.958333333336</v>
      </c>
      <c r="W39">
        <v>1</v>
      </c>
      <c r="X39">
        <v>3.2767824069999998</v>
      </c>
      <c r="Y39" t="s">
        <v>2579</v>
      </c>
      <c r="Z39" t="s">
        <v>6549</v>
      </c>
      <c r="AA39" t="s">
        <v>6543</v>
      </c>
      <c r="AB39" t="s">
        <v>1278</v>
      </c>
      <c r="AC39" t="s">
        <v>6550</v>
      </c>
      <c r="AD39" t="s">
        <v>2708</v>
      </c>
      <c r="AE39">
        <v>1</v>
      </c>
      <c r="AO39" t="s">
        <v>2388</v>
      </c>
      <c r="AP39" t="s">
        <v>2401</v>
      </c>
    </row>
    <row r="40" spans="1:42">
      <c r="A40" t="s">
        <v>1711</v>
      </c>
      <c r="B40" t="s">
        <v>2389</v>
      </c>
      <c r="C40" t="s">
        <v>2390</v>
      </c>
      <c r="D40" t="s">
        <v>2379</v>
      </c>
      <c r="E40" t="s">
        <v>33</v>
      </c>
      <c r="F40" t="s">
        <v>2417</v>
      </c>
      <c r="G40" t="s">
        <v>33</v>
      </c>
      <c r="H40" t="b">
        <v>1</v>
      </c>
      <c r="I40" s="8">
        <v>45941.473310185182</v>
      </c>
      <c r="J40" t="s">
        <v>2380</v>
      </c>
      <c r="K40">
        <v>1201699</v>
      </c>
      <c r="L40">
        <v>602944</v>
      </c>
      <c r="M40" t="s">
        <v>2381</v>
      </c>
      <c r="P40" t="s">
        <v>2743</v>
      </c>
      <c r="Q40" t="s">
        <v>2383</v>
      </c>
      <c r="R40">
        <v>1</v>
      </c>
      <c r="S40" t="s">
        <v>2380</v>
      </c>
      <c r="T40" t="s">
        <v>2383</v>
      </c>
      <c r="U40" s="8">
        <v>45939.38653935185</v>
      </c>
      <c r="V40" s="8">
        <v>45944.958333333336</v>
      </c>
      <c r="W40">
        <v>1</v>
      </c>
      <c r="X40">
        <v>2.0867708330000001</v>
      </c>
      <c r="Y40" t="s">
        <v>2418</v>
      </c>
      <c r="Z40" t="s">
        <v>4314</v>
      </c>
      <c r="AA40" t="s">
        <v>2745</v>
      </c>
      <c r="AB40" t="s">
        <v>1278</v>
      </c>
      <c r="AC40" t="s">
        <v>4315</v>
      </c>
      <c r="AD40" t="s">
        <v>2708</v>
      </c>
      <c r="AE40">
        <v>1</v>
      </c>
      <c r="AO40" t="s">
        <v>2408</v>
      </c>
      <c r="AP40" t="s">
        <v>2401</v>
      </c>
    </row>
    <row r="41" spans="1:42">
      <c r="A41" t="s">
        <v>1715</v>
      </c>
      <c r="B41" t="s">
        <v>2389</v>
      </c>
      <c r="C41" t="s">
        <v>2390</v>
      </c>
      <c r="D41" t="s">
        <v>2379</v>
      </c>
      <c r="E41" t="s">
        <v>33</v>
      </c>
      <c r="F41" t="s">
        <v>2417</v>
      </c>
      <c r="G41" t="s">
        <v>33</v>
      </c>
      <c r="H41" t="b">
        <v>1</v>
      </c>
      <c r="I41" s="8">
        <v>45941.470543981479</v>
      </c>
      <c r="J41" t="s">
        <v>2380</v>
      </c>
      <c r="K41">
        <v>1201700</v>
      </c>
      <c r="L41">
        <v>602944</v>
      </c>
      <c r="M41" t="s">
        <v>2381</v>
      </c>
      <c r="P41" t="s">
        <v>2743</v>
      </c>
      <c r="Q41" t="s">
        <v>2383</v>
      </c>
      <c r="R41">
        <v>1</v>
      </c>
      <c r="S41" t="s">
        <v>2380</v>
      </c>
      <c r="T41" t="s">
        <v>2383</v>
      </c>
      <c r="U41" s="8">
        <v>45939.386967592596</v>
      </c>
      <c r="V41" s="8">
        <v>45944.958333333336</v>
      </c>
      <c r="W41">
        <v>1</v>
      </c>
      <c r="X41">
        <v>2.0835763890000001</v>
      </c>
      <c r="Y41" t="s">
        <v>2418</v>
      </c>
      <c r="Z41" t="s">
        <v>4316</v>
      </c>
      <c r="AA41" t="s">
        <v>2745</v>
      </c>
      <c r="AB41" t="s">
        <v>1278</v>
      </c>
      <c r="AC41" t="s">
        <v>4317</v>
      </c>
      <c r="AD41" t="s">
        <v>2708</v>
      </c>
      <c r="AE41">
        <v>1</v>
      </c>
      <c r="AO41" t="s">
        <v>2408</v>
      </c>
      <c r="AP41" t="s">
        <v>2401</v>
      </c>
    </row>
    <row r="42" spans="1:42">
      <c r="A42" t="s">
        <v>1713</v>
      </c>
      <c r="B42" t="s">
        <v>2389</v>
      </c>
      <c r="C42" t="s">
        <v>2390</v>
      </c>
      <c r="D42" t="s">
        <v>2379</v>
      </c>
      <c r="E42" t="s">
        <v>33</v>
      </c>
      <c r="F42" t="s">
        <v>2417</v>
      </c>
      <c r="G42" t="s">
        <v>33</v>
      </c>
      <c r="H42" t="b">
        <v>1</v>
      </c>
      <c r="I42" s="8">
        <v>45941.472719907404</v>
      </c>
      <c r="J42" t="s">
        <v>2380</v>
      </c>
      <c r="K42">
        <v>1201701</v>
      </c>
      <c r="L42">
        <v>602944</v>
      </c>
      <c r="M42" t="s">
        <v>2381</v>
      </c>
      <c r="P42" t="s">
        <v>2743</v>
      </c>
      <c r="Q42" t="s">
        <v>2383</v>
      </c>
      <c r="R42">
        <v>1</v>
      </c>
      <c r="S42" t="s">
        <v>2380</v>
      </c>
      <c r="T42" t="s">
        <v>2383</v>
      </c>
      <c r="U42" s="8">
        <v>45939.387430555558</v>
      </c>
      <c r="V42" s="8">
        <v>45944.958333333336</v>
      </c>
      <c r="W42">
        <v>1</v>
      </c>
      <c r="X42">
        <v>2.0852893520000002</v>
      </c>
      <c r="Y42" t="s">
        <v>2418</v>
      </c>
      <c r="Z42" t="s">
        <v>4312</v>
      </c>
      <c r="AA42" t="s">
        <v>2745</v>
      </c>
      <c r="AB42" t="s">
        <v>1278</v>
      </c>
      <c r="AC42" t="s">
        <v>4313</v>
      </c>
      <c r="AD42" t="s">
        <v>2708</v>
      </c>
      <c r="AE42">
        <v>1</v>
      </c>
      <c r="AO42" t="s">
        <v>2408</v>
      </c>
      <c r="AP42" t="s">
        <v>2401</v>
      </c>
    </row>
    <row r="43" spans="1:42">
      <c r="A43" t="s">
        <v>1717</v>
      </c>
      <c r="B43" t="s">
        <v>2389</v>
      </c>
      <c r="C43" t="s">
        <v>2390</v>
      </c>
      <c r="D43" t="s">
        <v>2379</v>
      </c>
      <c r="E43" t="s">
        <v>33</v>
      </c>
      <c r="F43" t="s">
        <v>2417</v>
      </c>
      <c r="G43" t="s">
        <v>33</v>
      </c>
      <c r="H43" t="b">
        <v>1</v>
      </c>
      <c r="I43" s="8">
        <v>45941.446435185186</v>
      </c>
      <c r="J43" t="s">
        <v>2380</v>
      </c>
      <c r="K43">
        <v>1201698</v>
      </c>
      <c r="L43">
        <v>602944</v>
      </c>
      <c r="M43" t="s">
        <v>2381</v>
      </c>
      <c r="P43" t="s">
        <v>2743</v>
      </c>
      <c r="Q43" t="s">
        <v>2383</v>
      </c>
      <c r="R43">
        <v>1</v>
      </c>
      <c r="S43" t="s">
        <v>2380</v>
      </c>
      <c r="T43" t="s">
        <v>2383</v>
      </c>
      <c r="U43" s="8">
        <v>45939.387754629628</v>
      </c>
      <c r="V43" s="8">
        <v>45944.958333333336</v>
      </c>
      <c r="W43">
        <v>1</v>
      </c>
      <c r="X43">
        <v>2.0586805560000001</v>
      </c>
      <c r="Y43" t="s">
        <v>2418</v>
      </c>
      <c r="Z43" t="s">
        <v>4318</v>
      </c>
      <c r="AA43" t="s">
        <v>2745</v>
      </c>
      <c r="AB43" t="s">
        <v>1278</v>
      </c>
      <c r="AC43" t="s">
        <v>4319</v>
      </c>
      <c r="AD43" t="s">
        <v>2708</v>
      </c>
      <c r="AE43">
        <v>1</v>
      </c>
      <c r="AO43" t="s">
        <v>2408</v>
      </c>
      <c r="AP43" t="s">
        <v>2401</v>
      </c>
    </row>
    <row r="44" spans="1:42">
      <c r="A44" t="s">
        <v>779</v>
      </c>
      <c r="B44" t="s">
        <v>2377</v>
      </c>
      <c r="C44" t="s">
        <v>2390</v>
      </c>
      <c r="D44" t="s">
        <v>2379</v>
      </c>
      <c r="E44" t="s">
        <v>18</v>
      </c>
      <c r="F44" t="s">
        <v>2402</v>
      </c>
      <c r="G44" t="s">
        <v>2416</v>
      </c>
      <c r="H44" t="b">
        <v>1</v>
      </c>
      <c r="I44" s="8">
        <v>45943.494895833333</v>
      </c>
      <c r="J44" t="s">
        <v>2380</v>
      </c>
      <c r="L44">
        <v>606934</v>
      </c>
      <c r="M44" t="s">
        <v>2381</v>
      </c>
      <c r="P44" t="s">
        <v>2966</v>
      </c>
      <c r="Q44" t="s">
        <v>2383</v>
      </c>
      <c r="R44">
        <v>1</v>
      </c>
      <c r="S44" t="s">
        <v>2380</v>
      </c>
      <c r="T44" t="s">
        <v>2383</v>
      </c>
      <c r="U44" s="8">
        <v>45939.390300925923</v>
      </c>
      <c r="V44" s="8">
        <v>45944.958333333336</v>
      </c>
      <c r="W44">
        <v>1</v>
      </c>
      <c r="X44">
        <v>2.1045949070000001</v>
      </c>
      <c r="Y44" t="s">
        <v>2403</v>
      </c>
      <c r="Z44" t="s">
        <v>4173</v>
      </c>
      <c r="AA44" t="s">
        <v>1312</v>
      </c>
      <c r="AB44" t="s">
        <v>1278</v>
      </c>
      <c r="AC44" t="s">
        <v>4174</v>
      </c>
      <c r="AD44" t="s">
        <v>2708</v>
      </c>
      <c r="AE44">
        <v>1</v>
      </c>
      <c r="AO44" t="s">
        <v>2408</v>
      </c>
      <c r="AP44" t="s">
        <v>2401</v>
      </c>
    </row>
    <row r="45" spans="1:42">
      <c r="A45" t="s">
        <v>1615</v>
      </c>
      <c r="B45" t="s">
        <v>2389</v>
      </c>
      <c r="C45" t="s">
        <v>2378</v>
      </c>
      <c r="D45" t="s">
        <v>2379</v>
      </c>
      <c r="E45" t="s">
        <v>12</v>
      </c>
      <c r="F45" t="s">
        <v>3193</v>
      </c>
      <c r="G45" t="s">
        <v>12</v>
      </c>
      <c r="H45" t="b">
        <v>1</v>
      </c>
      <c r="I45" s="8">
        <v>45944.429872685185</v>
      </c>
      <c r="J45" t="s">
        <v>2380</v>
      </c>
      <c r="K45">
        <v>1202252</v>
      </c>
      <c r="L45">
        <v>609841</v>
      </c>
      <c r="M45" t="s">
        <v>2381</v>
      </c>
      <c r="P45" t="s">
        <v>3681</v>
      </c>
      <c r="Q45" t="s">
        <v>2383</v>
      </c>
      <c r="R45">
        <v>1</v>
      </c>
      <c r="S45" t="s">
        <v>2380</v>
      </c>
      <c r="T45" t="s">
        <v>2383</v>
      </c>
      <c r="U45" s="8">
        <v>45939.39266203704</v>
      </c>
      <c r="V45" s="8">
        <v>45944.958333333336</v>
      </c>
      <c r="W45">
        <v>1</v>
      </c>
      <c r="X45">
        <v>3.0372106479999998</v>
      </c>
      <c r="Y45" t="s">
        <v>3194</v>
      </c>
      <c r="Z45" t="s">
        <v>9858</v>
      </c>
      <c r="AA45" t="s">
        <v>3683</v>
      </c>
      <c r="AB45" t="s">
        <v>1278</v>
      </c>
      <c r="AC45" t="s">
        <v>9859</v>
      </c>
      <c r="AD45" t="s">
        <v>2708</v>
      </c>
      <c r="AE45">
        <v>1</v>
      </c>
      <c r="AO45" t="s">
        <v>3644</v>
      </c>
      <c r="AP45" t="s">
        <v>2401</v>
      </c>
    </row>
    <row r="46" spans="1:42">
      <c r="A46" t="s">
        <v>395</v>
      </c>
      <c r="B46" t="s">
        <v>2377</v>
      </c>
      <c r="C46" t="s">
        <v>2438</v>
      </c>
      <c r="D46" t="s">
        <v>2379</v>
      </c>
      <c r="E46" t="s">
        <v>25</v>
      </c>
      <c r="F46" t="s">
        <v>5055</v>
      </c>
      <c r="G46" t="s">
        <v>25</v>
      </c>
      <c r="H46" t="b">
        <v>1</v>
      </c>
      <c r="I46" s="8">
        <v>45939.494363425925</v>
      </c>
      <c r="J46" t="s">
        <v>2380</v>
      </c>
      <c r="L46">
        <v>602032</v>
      </c>
      <c r="M46" t="s">
        <v>2381</v>
      </c>
      <c r="N46">
        <v>15</v>
      </c>
      <c r="P46" t="s">
        <v>2704</v>
      </c>
      <c r="Q46" t="s">
        <v>2383</v>
      </c>
      <c r="R46">
        <v>1</v>
      </c>
      <c r="S46" t="s">
        <v>2380</v>
      </c>
      <c r="T46" t="s">
        <v>2383</v>
      </c>
      <c r="U46" s="8">
        <v>45939.403287037036</v>
      </c>
      <c r="V46" s="8">
        <v>45944.958333333336</v>
      </c>
      <c r="W46">
        <v>1</v>
      </c>
      <c r="X46">
        <v>9.1076388999999994E-2</v>
      </c>
      <c r="Y46" t="s">
        <v>5056</v>
      </c>
      <c r="Z46" t="s">
        <v>5057</v>
      </c>
      <c r="AA46" t="s">
        <v>5058</v>
      </c>
      <c r="AB46" t="s">
        <v>1278</v>
      </c>
      <c r="AC46" t="s">
        <v>2387</v>
      </c>
      <c r="AD46" t="s">
        <v>2708</v>
      </c>
      <c r="AE46">
        <v>1</v>
      </c>
      <c r="AO46" t="s">
        <v>2715</v>
      </c>
      <c r="AP46" t="s">
        <v>2401</v>
      </c>
    </row>
    <row r="47" spans="1:42">
      <c r="A47" t="s">
        <v>596</v>
      </c>
      <c r="B47" t="s">
        <v>2377</v>
      </c>
      <c r="C47" t="s">
        <v>2438</v>
      </c>
      <c r="D47" t="s">
        <v>2379</v>
      </c>
      <c r="E47" t="s">
        <v>18</v>
      </c>
      <c r="F47" t="s">
        <v>4897</v>
      </c>
      <c r="G47" t="s">
        <v>2416</v>
      </c>
      <c r="H47" t="b">
        <v>1</v>
      </c>
      <c r="I47" s="8">
        <v>45939.480393518519</v>
      </c>
      <c r="J47" t="s">
        <v>2380</v>
      </c>
      <c r="L47">
        <v>602408</v>
      </c>
      <c r="M47" t="s">
        <v>2381</v>
      </c>
      <c r="P47" t="s">
        <v>2704</v>
      </c>
      <c r="Q47" t="s">
        <v>2383</v>
      </c>
      <c r="R47">
        <v>1</v>
      </c>
      <c r="S47" t="s">
        <v>2380</v>
      </c>
      <c r="T47" t="s">
        <v>2383</v>
      </c>
      <c r="U47" s="8">
        <v>45939.411273148151</v>
      </c>
      <c r="V47" s="8">
        <v>45944.958333333336</v>
      </c>
      <c r="W47">
        <v>1</v>
      </c>
      <c r="X47">
        <v>6.912037E-2</v>
      </c>
      <c r="Y47" t="s">
        <v>4898</v>
      </c>
      <c r="Z47" t="s">
        <v>4939</v>
      </c>
      <c r="AA47" t="s">
        <v>1233</v>
      </c>
      <c r="AB47" t="s">
        <v>1278</v>
      </c>
      <c r="AC47" t="s">
        <v>4940</v>
      </c>
      <c r="AD47" t="s">
        <v>2708</v>
      </c>
      <c r="AE47">
        <v>1</v>
      </c>
      <c r="AO47" t="s">
        <v>2715</v>
      </c>
      <c r="AP47" t="s">
        <v>2401</v>
      </c>
    </row>
    <row r="48" spans="1:42">
      <c r="A48" t="s">
        <v>642</v>
      </c>
      <c r="B48" t="s">
        <v>2377</v>
      </c>
      <c r="C48" t="s">
        <v>2378</v>
      </c>
      <c r="D48" t="s">
        <v>2379</v>
      </c>
      <c r="E48" t="s">
        <v>25</v>
      </c>
      <c r="F48" t="s">
        <v>2578</v>
      </c>
      <c r="G48" t="s">
        <v>25</v>
      </c>
      <c r="H48" t="b">
        <v>1</v>
      </c>
      <c r="I48" s="8">
        <v>45944.421377314815</v>
      </c>
      <c r="J48" t="s">
        <v>2380</v>
      </c>
      <c r="L48">
        <v>605268</v>
      </c>
      <c r="M48" t="s">
        <v>2381</v>
      </c>
      <c r="N48">
        <v>15</v>
      </c>
      <c r="P48" t="s">
        <v>2716</v>
      </c>
      <c r="Q48" t="s">
        <v>2383</v>
      </c>
      <c r="R48">
        <v>1</v>
      </c>
      <c r="S48" t="s">
        <v>2380</v>
      </c>
      <c r="T48" t="s">
        <v>2383</v>
      </c>
      <c r="U48" s="8">
        <v>45939.415300925924</v>
      </c>
      <c r="V48" s="8">
        <v>45944.958333333336</v>
      </c>
      <c r="W48">
        <v>1</v>
      </c>
      <c r="X48">
        <v>3.006076389</v>
      </c>
      <c r="Y48" t="s">
        <v>2579</v>
      </c>
      <c r="Z48" t="s">
        <v>3980</v>
      </c>
      <c r="AA48" t="s">
        <v>1301</v>
      </c>
      <c r="AB48" t="s">
        <v>1278</v>
      </c>
      <c r="AC48" t="s">
        <v>2387</v>
      </c>
      <c r="AD48" t="s">
        <v>2708</v>
      </c>
      <c r="AE48">
        <v>1</v>
      </c>
      <c r="AO48" t="s">
        <v>2720</v>
      </c>
      <c r="AP48" t="s">
        <v>2401</v>
      </c>
    </row>
    <row r="49" spans="1:42">
      <c r="A49" t="s">
        <v>1701</v>
      </c>
      <c r="B49" t="s">
        <v>2389</v>
      </c>
      <c r="C49" t="s">
        <v>2390</v>
      </c>
      <c r="D49" t="s">
        <v>2379</v>
      </c>
      <c r="E49" t="s">
        <v>25</v>
      </c>
      <c r="F49" t="s">
        <v>4122</v>
      </c>
      <c r="G49" t="s">
        <v>25</v>
      </c>
      <c r="H49" t="b">
        <v>1</v>
      </c>
      <c r="I49" s="8">
        <v>45943.445972222224</v>
      </c>
      <c r="J49" t="s">
        <v>2380</v>
      </c>
      <c r="K49">
        <v>1201774</v>
      </c>
      <c r="L49">
        <v>602719</v>
      </c>
      <c r="M49" t="s">
        <v>2381</v>
      </c>
      <c r="N49">
        <v>5</v>
      </c>
      <c r="P49" t="s">
        <v>8099</v>
      </c>
      <c r="Q49" t="s">
        <v>2383</v>
      </c>
      <c r="R49">
        <v>1</v>
      </c>
      <c r="S49" t="s">
        <v>2380</v>
      </c>
      <c r="T49" t="s">
        <v>2383</v>
      </c>
      <c r="U49" s="8">
        <v>45939.418645833335</v>
      </c>
      <c r="V49" s="8">
        <v>45944.958333333336</v>
      </c>
      <c r="W49">
        <v>1</v>
      </c>
      <c r="X49">
        <v>2.0273263890000002</v>
      </c>
      <c r="Y49" t="s">
        <v>1352</v>
      </c>
      <c r="Z49" t="s">
        <v>8107</v>
      </c>
      <c r="AA49" t="s">
        <v>1699</v>
      </c>
      <c r="AB49" t="s">
        <v>1278</v>
      </c>
      <c r="AC49" t="s">
        <v>8108</v>
      </c>
      <c r="AD49" t="s">
        <v>2708</v>
      </c>
      <c r="AE49">
        <v>1</v>
      </c>
      <c r="AO49" t="s">
        <v>4121</v>
      </c>
      <c r="AP49" t="s">
        <v>2401</v>
      </c>
    </row>
    <row r="50" spans="1:42">
      <c r="A50" t="s">
        <v>1611</v>
      </c>
      <c r="B50" t="s">
        <v>2377</v>
      </c>
      <c r="C50" t="s">
        <v>2378</v>
      </c>
      <c r="D50" t="s">
        <v>2379</v>
      </c>
      <c r="E50" t="s">
        <v>25</v>
      </c>
      <c r="F50" t="s">
        <v>7432</v>
      </c>
      <c r="G50" t="s">
        <v>25</v>
      </c>
      <c r="H50" t="b">
        <v>1</v>
      </c>
      <c r="I50" s="8">
        <v>45944.440960648149</v>
      </c>
      <c r="J50" t="s">
        <v>2380</v>
      </c>
      <c r="L50">
        <v>603783</v>
      </c>
      <c r="M50" t="s">
        <v>2381</v>
      </c>
      <c r="P50" t="s">
        <v>2704</v>
      </c>
      <c r="Q50" t="s">
        <v>2383</v>
      </c>
      <c r="R50">
        <v>1</v>
      </c>
      <c r="S50" t="s">
        <v>2380</v>
      </c>
      <c r="T50" t="s">
        <v>2383</v>
      </c>
      <c r="U50" s="8">
        <v>45939.418657407405</v>
      </c>
      <c r="V50" s="8">
        <v>45944.958333333336</v>
      </c>
      <c r="W50">
        <v>1</v>
      </c>
      <c r="X50">
        <v>3.0223032409999999</v>
      </c>
      <c r="Y50" t="s">
        <v>7433</v>
      </c>
      <c r="Z50" t="s">
        <v>7434</v>
      </c>
      <c r="AA50" t="s">
        <v>7435</v>
      </c>
      <c r="AB50" t="s">
        <v>1278</v>
      </c>
      <c r="AC50" t="s">
        <v>7436</v>
      </c>
      <c r="AD50" t="s">
        <v>2708</v>
      </c>
      <c r="AE50">
        <v>1</v>
      </c>
      <c r="AO50" t="s">
        <v>2957</v>
      </c>
      <c r="AP50" t="s">
        <v>2401</v>
      </c>
    </row>
    <row r="51" spans="1:42">
      <c r="A51" t="s">
        <v>620</v>
      </c>
      <c r="B51" t="s">
        <v>2377</v>
      </c>
      <c r="C51" t="s">
        <v>2443</v>
      </c>
      <c r="D51" t="s">
        <v>2443</v>
      </c>
      <c r="E51" t="s">
        <v>33</v>
      </c>
      <c r="F51">
        <v>4390</v>
      </c>
      <c r="G51" t="s">
        <v>33</v>
      </c>
      <c r="H51" t="b">
        <v>1</v>
      </c>
      <c r="I51" s="8">
        <v>45945.387430555558</v>
      </c>
      <c r="J51" t="s">
        <v>2380</v>
      </c>
      <c r="L51">
        <v>609743</v>
      </c>
      <c r="M51" t="s">
        <v>2381</v>
      </c>
      <c r="P51" t="s">
        <v>2704</v>
      </c>
      <c r="Q51" t="s">
        <v>2383</v>
      </c>
      <c r="R51">
        <v>1</v>
      </c>
      <c r="S51" t="s">
        <v>2380</v>
      </c>
      <c r="T51" t="s">
        <v>2383</v>
      </c>
      <c r="U51" s="8">
        <v>45939.425520833334</v>
      </c>
      <c r="V51" s="8">
        <v>45944.958333333336</v>
      </c>
      <c r="W51">
        <v>1</v>
      </c>
      <c r="X51">
        <v>3.9619097220000001</v>
      </c>
      <c r="Y51" t="s">
        <v>3428</v>
      </c>
      <c r="Z51" t="s">
        <v>9050</v>
      </c>
      <c r="AA51" t="s">
        <v>3431</v>
      </c>
      <c r="AB51" t="s">
        <v>1278</v>
      </c>
      <c r="AC51" t="s">
        <v>9051</v>
      </c>
      <c r="AD51" t="s">
        <v>2708</v>
      </c>
      <c r="AE51">
        <v>1</v>
      </c>
      <c r="AH51" t="s">
        <v>33</v>
      </c>
      <c r="AI51" s="8">
        <v>45945.382002314815</v>
      </c>
      <c r="AK51" t="s">
        <v>2719</v>
      </c>
      <c r="AL51" t="s">
        <v>2719</v>
      </c>
      <c r="AO51" t="s">
        <v>2388</v>
      </c>
      <c r="AP51" t="s">
        <v>2401</v>
      </c>
    </row>
    <row r="52" spans="1:42">
      <c r="A52" t="s">
        <v>393</v>
      </c>
      <c r="B52" t="s">
        <v>2377</v>
      </c>
      <c r="C52" t="s">
        <v>2438</v>
      </c>
      <c r="D52" t="s">
        <v>2379</v>
      </c>
      <c r="E52" t="s">
        <v>28</v>
      </c>
      <c r="F52" t="s">
        <v>4812</v>
      </c>
      <c r="G52" t="s">
        <v>28</v>
      </c>
      <c r="H52" t="b">
        <v>1</v>
      </c>
      <c r="I52" s="8">
        <v>45939.465439814812</v>
      </c>
      <c r="J52" t="s">
        <v>2380</v>
      </c>
      <c r="L52">
        <v>603612</v>
      </c>
      <c r="M52" t="s">
        <v>2381</v>
      </c>
      <c r="N52">
        <v>20</v>
      </c>
      <c r="P52" t="s">
        <v>2704</v>
      </c>
      <c r="Q52" t="s">
        <v>2383</v>
      </c>
      <c r="R52">
        <v>1</v>
      </c>
      <c r="S52" t="s">
        <v>2380</v>
      </c>
      <c r="T52" t="s">
        <v>2383</v>
      </c>
      <c r="U52" s="8">
        <v>45939.430428240739</v>
      </c>
      <c r="V52" s="8">
        <v>45944.958333333336</v>
      </c>
      <c r="W52">
        <v>1</v>
      </c>
      <c r="X52">
        <v>3.5011573999999997E-2</v>
      </c>
      <c r="Y52" t="s">
        <v>4813</v>
      </c>
      <c r="Z52" t="s">
        <v>7952</v>
      </c>
      <c r="AA52" t="s">
        <v>7953</v>
      </c>
      <c r="AB52" t="s">
        <v>1278</v>
      </c>
      <c r="AC52" t="s">
        <v>4825</v>
      </c>
      <c r="AD52" t="s">
        <v>2708</v>
      </c>
      <c r="AE52">
        <v>1</v>
      </c>
      <c r="AO52" t="s">
        <v>2957</v>
      </c>
      <c r="AP52" t="s">
        <v>2401</v>
      </c>
    </row>
    <row r="53" spans="1:42">
      <c r="A53" t="s">
        <v>883</v>
      </c>
      <c r="B53" t="s">
        <v>2377</v>
      </c>
      <c r="C53" t="s">
        <v>2443</v>
      </c>
      <c r="D53" t="s">
        <v>2443</v>
      </c>
      <c r="E53" t="s">
        <v>33</v>
      </c>
      <c r="F53" t="s">
        <v>4604</v>
      </c>
      <c r="G53" t="s">
        <v>33</v>
      </c>
      <c r="H53" t="b">
        <v>1</v>
      </c>
      <c r="I53" s="8">
        <v>45945.387916666667</v>
      </c>
      <c r="J53" t="s">
        <v>2380</v>
      </c>
      <c r="L53">
        <v>609755</v>
      </c>
      <c r="M53" t="s">
        <v>2381</v>
      </c>
      <c r="P53" t="s">
        <v>2704</v>
      </c>
      <c r="Q53" t="s">
        <v>2383</v>
      </c>
      <c r="R53">
        <v>1</v>
      </c>
      <c r="S53" t="s">
        <v>2380</v>
      </c>
      <c r="T53" t="s">
        <v>2383</v>
      </c>
      <c r="U53" s="8">
        <v>45939.432766203703</v>
      </c>
      <c r="V53" s="8">
        <v>45944.958333333336</v>
      </c>
      <c r="W53">
        <v>1</v>
      </c>
      <c r="X53">
        <v>3.9551504629999998</v>
      </c>
      <c r="Y53" t="s">
        <v>4605</v>
      </c>
      <c r="Z53" t="s">
        <v>9084</v>
      </c>
      <c r="AA53" t="s">
        <v>7478</v>
      </c>
      <c r="AB53" t="s">
        <v>1278</v>
      </c>
      <c r="AC53" t="s">
        <v>9085</v>
      </c>
      <c r="AD53" t="s">
        <v>2708</v>
      </c>
      <c r="AE53">
        <v>1</v>
      </c>
      <c r="AH53" t="s">
        <v>33</v>
      </c>
      <c r="AI53" s="8">
        <v>45945.38212962963</v>
      </c>
      <c r="AK53" t="s">
        <v>2719</v>
      </c>
      <c r="AL53" t="s">
        <v>2719</v>
      </c>
      <c r="AO53" t="s">
        <v>2957</v>
      </c>
      <c r="AP53" t="s">
        <v>2401</v>
      </c>
    </row>
    <row r="54" spans="1:42">
      <c r="A54" t="s">
        <v>1768</v>
      </c>
      <c r="B54" t="s">
        <v>2377</v>
      </c>
      <c r="C54" t="s">
        <v>2415</v>
      </c>
      <c r="D54" t="s">
        <v>2379</v>
      </c>
      <c r="E54" t="s">
        <v>11</v>
      </c>
      <c r="F54" t="s">
        <v>2409</v>
      </c>
      <c r="G54" t="s">
        <v>11</v>
      </c>
      <c r="H54" t="b">
        <v>1</v>
      </c>
      <c r="I54" s="8">
        <v>45940.495613425926</v>
      </c>
      <c r="J54" t="s">
        <v>2380</v>
      </c>
      <c r="L54">
        <v>608028</v>
      </c>
      <c r="M54" t="s">
        <v>2381</v>
      </c>
      <c r="P54" t="s">
        <v>2704</v>
      </c>
      <c r="Q54" t="s">
        <v>2383</v>
      </c>
      <c r="R54">
        <v>1</v>
      </c>
      <c r="S54" t="s">
        <v>2380</v>
      </c>
      <c r="T54" t="s">
        <v>2383</v>
      </c>
      <c r="U54" s="8">
        <v>45939.434236111112</v>
      </c>
      <c r="V54" s="8">
        <v>45944.958333333336</v>
      </c>
      <c r="W54">
        <v>1</v>
      </c>
      <c r="X54">
        <v>1.0613773150000001</v>
      </c>
      <c r="Y54" t="s">
        <v>2410</v>
      </c>
      <c r="Z54" t="s">
        <v>9581</v>
      </c>
      <c r="AA54" t="s">
        <v>8806</v>
      </c>
      <c r="AB54" t="s">
        <v>1278</v>
      </c>
      <c r="AC54" t="s">
        <v>9582</v>
      </c>
      <c r="AE54">
        <v>1</v>
      </c>
      <c r="AH54" t="s">
        <v>11</v>
      </c>
      <c r="AI54" s="8">
        <v>45940.492962962962</v>
      </c>
      <c r="AK54" t="s">
        <v>2719</v>
      </c>
      <c r="AL54" t="s">
        <v>2719</v>
      </c>
      <c r="AO54" t="s">
        <v>3644</v>
      </c>
      <c r="AP54" t="s">
        <v>2401</v>
      </c>
    </row>
    <row r="55" spans="1:42">
      <c r="A55" t="s">
        <v>647</v>
      </c>
      <c r="B55" t="s">
        <v>2377</v>
      </c>
      <c r="C55" t="s">
        <v>2390</v>
      </c>
      <c r="D55" t="s">
        <v>2379</v>
      </c>
      <c r="E55" t="s">
        <v>25</v>
      </c>
      <c r="F55" t="s">
        <v>2402</v>
      </c>
      <c r="G55" t="s">
        <v>25</v>
      </c>
      <c r="H55" t="b">
        <v>1</v>
      </c>
      <c r="I55" s="8">
        <v>45944.42863425926</v>
      </c>
      <c r="J55" t="s">
        <v>2380</v>
      </c>
      <c r="L55">
        <v>605239</v>
      </c>
      <c r="M55" t="s">
        <v>2381</v>
      </c>
      <c r="N55">
        <v>10</v>
      </c>
      <c r="P55" t="s">
        <v>4177</v>
      </c>
      <c r="Q55" t="s">
        <v>2383</v>
      </c>
      <c r="R55">
        <v>1</v>
      </c>
      <c r="S55" t="s">
        <v>2380</v>
      </c>
      <c r="T55" t="s">
        <v>2383</v>
      </c>
      <c r="U55" s="8">
        <v>45939.479259259257</v>
      </c>
      <c r="V55" s="8">
        <v>45944.958333333336</v>
      </c>
      <c r="W55">
        <v>1</v>
      </c>
      <c r="X55">
        <v>2.9493749999999999</v>
      </c>
      <c r="Y55" t="s">
        <v>2403</v>
      </c>
      <c r="Z55" t="s">
        <v>5448</v>
      </c>
      <c r="AA55" t="s">
        <v>1616</v>
      </c>
      <c r="AB55" t="s">
        <v>1278</v>
      </c>
      <c r="AC55" t="s">
        <v>2978</v>
      </c>
      <c r="AD55" t="s">
        <v>2708</v>
      </c>
      <c r="AE55">
        <v>1</v>
      </c>
      <c r="AO55" t="s">
        <v>2408</v>
      </c>
      <c r="AP55" t="s">
        <v>2401</v>
      </c>
    </row>
    <row r="56" spans="1:42">
      <c r="A56" t="s">
        <v>1936</v>
      </c>
      <c r="B56" t="s">
        <v>2377</v>
      </c>
      <c r="C56" t="s">
        <v>2438</v>
      </c>
      <c r="D56" t="s">
        <v>2379</v>
      </c>
      <c r="E56" t="s">
        <v>28</v>
      </c>
      <c r="F56" t="s">
        <v>3544</v>
      </c>
      <c r="G56" t="s">
        <v>28</v>
      </c>
      <c r="H56" t="b">
        <v>1</v>
      </c>
      <c r="I56" s="8">
        <v>45939.506469907406</v>
      </c>
      <c r="J56" t="s">
        <v>2380</v>
      </c>
      <c r="L56">
        <v>605064</v>
      </c>
      <c r="M56" t="s">
        <v>2381</v>
      </c>
      <c r="N56">
        <v>20</v>
      </c>
      <c r="P56" t="s">
        <v>2704</v>
      </c>
      <c r="Q56" t="s">
        <v>2383</v>
      </c>
      <c r="R56">
        <v>1</v>
      </c>
      <c r="S56" t="s">
        <v>2380</v>
      </c>
      <c r="T56" t="s">
        <v>2383</v>
      </c>
      <c r="U56" s="8">
        <v>45939.483680555553</v>
      </c>
      <c r="V56" s="8">
        <v>45944.958333333336</v>
      </c>
      <c r="W56">
        <v>1</v>
      </c>
      <c r="X56">
        <v>2.2789351999999999E-2</v>
      </c>
      <c r="Y56" t="s">
        <v>3521</v>
      </c>
      <c r="Z56" t="s">
        <v>7954</v>
      </c>
      <c r="AA56" t="s">
        <v>3548</v>
      </c>
      <c r="AB56" t="s">
        <v>1278</v>
      </c>
      <c r="AC56" t="s">
        <v>3066</v>
      </c>
      <c r="AD56" t="s">
        <v>2708</v>
      </c>
      <c r="AE56">
        <v>1</v>
      </c>
      <c r="AO56" t="s">
        <v>2957</v>
      </c>
      <c r="AP56" t="s">
        <v>2401</v>
      </c>
    </row>
    <row r="57" spans="1:42">
      <c r="A57" t="s">
        <v>1629</v>
      </c>
      <c r="B57" t="s">
        <v>2389</v>
      </c>
      <c r="C57" t="s">
        <v>2390</v>
      </c>
      <c r="D57" t="s">
        <v>2379</v>
      </c>
      <c r="E57" t="s">
        <v>2452</v>
      </c>
      <c r="F57" t="s">
        <v>2402</v>
      </c>
      <c r="G57" t="s">
        <v>2452</v>
      </c>
      <c r="H57" t="b">
        <v>1</v>
      </c>
      <c r="I57" s="8">
        <v>45944.411898148152</v>
      </c>
      <c r="J57" t="s">
        <v>2380</v>
      </c>
      <c r="K57">
        <v>1202232</v>
      </c>
      <c r="L57">
        <v>606951</v>
      </c>
      <c r="M57" t="s">
        <v>2381</v>
      </c>
      <c r="P57" t="s">
        <v>2486</v>
      </c>
      <c r="Q57" t="s">
        <v>2383</v>
      </c>
      <c r="R57">
        <v>1</v>
      </c>
      <c r="S57" t="s">
        <v>2380</v>
      </c>
      <c r="T57" t="s">
        <v>2383</v>
      </c>
      <c r="U57" s="8">
        <v>45939.502268518518</v>
      </c>
      <c r="V57" s="8">
        <v>45944.958333333336</v>
      </c>
      <c r="W57">
        <v>1</v>
      </c>
      <c r="X57">
        <v>2.90962963</v>
      </c>
      <c r="Y57" t="s">
        <v>2403</v>
      </c>
      <c r="Z57" t="s">
        <v>5380</v>
      </c>
      <c r="AA57" t="s">
        <v>2039</v>
      </c>
      <c r="AB57" t="s">
        <v>1278</v>
      </c>
      <c r="AC57" t="s">
        <v>5381</v>
      </c>
      <c r="AD57" t="s">
        <v>2708</v>
      </c>
      <c r="AE57">
        <v>1</v>
      </c>
      <c r="AO57" t="s">
        <v>2408</v>
      </c>
      <c r="AP57" t="s">
        <v>2401</v>
      </c>
    </row>
    <row r="58" spans="1:42">
      <c r="A58" t="s">
        <v>1607</v>
      </c>
      <c r="B58" t="s">
        <v>2377</v>
      </c>
      <c r="C58" t="s">
        <v>2390</v>
      </c>
      <c r="D58" t="s">
        <v>2379</v>
      </c>
      <c r="E58" t="s">
        <v>18</v>
      </c>
      <c r="F58" t="s">
        <v>2402</v>
      </c>
      <c r="G58" t="s">
        <v>2416</v>
      </c>
      <c r="H58" t="b">
        <v>1</v>
      </c>
      <c r="I58" s="8">
        <v>45944.455370370371</v>
      </c>
      <c r="J58" t="s">
        <v>2380</v>
      </c>
      <c r="L58">
        <v>609839</v>
      </c>
      <c r="M58" t="s">
        <v>2381</v>
      </c>
      <c r="P58" t="s">
        <v>2486</v>
      </c>
      <c r="Q58" t="s">
        <v>2383</v>
      </c>
      <c r="R58">
        <v>1</v>
      </c>
      <c r="S58" t="s">
        <v>2380</v>
      </c>
      <c r="T58" t="s">
        <v>2383</v>
      </c>
      <c r="U58" s="8">
        <v>45939.518969907411</v>
      </c>
      <c r="V58" s="8">
        <v>45944.958333333336</v>
      </c>
      <c r="W58">
        <v>1</v>
      </c>
      <c r="X58">
        <v>2.936400463</v>
      </c>
      <c r="Y58" t="s">
        <v>2403</v>
      </c>
      <c r="Z58" t="s">
        <v>2759</v>
      </c>
      <c r="AA58" t="s">
        <v>2760</v>
      </c>
      <c r="AB58" t="s">
        <v>1278</v>
      </c>
      <c r="AC58" t="s">
        <v>2761</v>
      </c>
      <c r="AE58">
        <v>1</v>
      </c>
      <c r="AO58" t="s">
        <v>2408</v>
      </c>
      <c r="AP58" t="s">
        <v>2401</v>
      </c>
    </row>
    <row r="59" spans="1:42">
      <c r="A59" t="s">
        <v>769</v>
      </c>
      <c r="B59" t="s">
        <v>2377</v>
      </c>
      <c r="C59" t="s">
        <v>2438</v>
      </c>
      <c r="D59" t="s">
        <v>2379</v>
      </c>
      <c r="E59" t="s">
        <v>18</v>
      </c>
      <c r="F59" t="s">
        <v>3747</v>
      </c>
      <c r="G59" t="s">
        <v>2416</v>
      </c>
      <c r="H59" t="b">
        <v>1</v>
      </c>
      <c r="I59" s="8">
        <v>45939.531631944446</v>
      </c>
      <c r="J59" t="s">
        <v>2380</v>
      </c>
      <c r="L59">
        <v>606850</v>
      </c>
      <c r="M59" t="s">
        <v>2381</v>
      </c>
      <c r="P59" t="s">
        <v>2704</v>
      </c>
      <c r="Q59" t="s">
        <v>2383</v>
      </c>
      <c r="R59">
        <v>1</v>
      </c>
      <c r="S59" t="s">
        <v>2380</v>
      </c>
      <c r="T59" t="s">
        <v>2383</v>
      </c>
      <c r="U59" s="8">
        <v>45939.519004629627</v>
      </c>
      <c r="V59" s="8">
        <v>45944.958333333336</v>
      </c>
      <c r="W59">
        <v>1</v>
      </c>
      <c r="X59">
        <v>1.2627315E-2</v>
      </c>
      <c r="Y59" t="s">
        <v>3748</v>
      </c>
      <c r="Z59" t="s">
        <v>3996</v>
      </c>
      <c r="AA59" t="s">
        <v>3997</v>
      </c>
      <c r="AB59" t="s">
        <v>1278</v>
      </c>
      <c r="AC59" t="s">
        <v>3998</v>
      </c>
      <c r="AD59" t="s">
        <v>2708</v>
      </c>
      <c r="AE59">
        <v>1</v>
      </c>
      <c r="AO59" t="s">
        <v>2712</v>
      </c>
      <c r="AP59" t="s">
        <v>2401</v>
      </c>
    </row>
    <row r="60" spans="1:42">
      <c r="A60" t="s">
        <v>1623</v>
      </c>
      <c r="B60" t="s">
        <v>2389</v>
      </c>
      <c r="C60" t="s">
        <v>2390</v>
      </c>
      <c r="D60" t="s">
        <v>2379</v>
      </c>
      <c r="E60" t="s">
        <v>2452</v>
      </c>
      <c r="F60" t="s">
        <v>3891</v>
      </c>
      <c r="G60" t="s">
        <v>2452</v>
      </c>
      <c r="H60" t="b">
        <v>1</v>
      </c>
      <c r="I60" s="8">
        <v>45944.417210648149</v>
      </c>
      <c r="J60" t="s">
        <v>2380</v>
      </c>
      <c r="K60">
        <v>1202235</v>
      </c>
      <c r="L60">
        <v>602656</v>
      </c>
      <c r="M60" t="s">
        <v>2381</v>
      </c>
      <c r="P60" t="s">
        <v>3896</v>
      </c>
      <c r="Q60" t="s">
        <v>2383</v>
      </c>
      <c r="R60">
        <v>1</v>
      </c>
      <c r="S60" t="s">
        <v>2380</v>
      </c>
      <c r="T60" t="s">
        <v>2383</v>
      </c>
      <c r="U60" s="8">
        <v>45939.520011574074</v>
      </c>
      <c r="V60" s="8">
        <v>45944.958333333336</v>
      </c>
      <c r="W60">
        <v>1</v>
      </c>
      <c r="X60">
        <v>2.897199074</v>
      </c>
      <c r="Y60" t="s">
        <v>3892</v>
      </c>
      <c r="Z60" t="s">
        <v>5015</v>
      </c>
      <c r="AA60" t="s">
        <v>5016</v>
      </c>
      <c r="AB60" t="s">
        <v>1278</v>
      </c>
      <c r="AC60" t="s">
        <v>5017</v>
      </c>
      <c r="AD60" t="s">
        <v>2708</v>
      </c>
      <c r="AE60">
        <v>1</v>
      </c>
      <c r="AO60" t="s">
        <v>2715</v>
      </c>
      <c r="AP60" t="s">
        <v>2401</v>
      </c>
    </row>
    <row r="61" spans="1:42">
      <c r="A61" t="s">
        <v>651</v>
      </c>
      <c r="B61" t="s">
        <v>2377</v>
      </c>
      <c r="C61" t="s">
        <v>2390</v>
      </c>
      <c r="D61" t="s">
        <v>2379</v>
      </c>
      <c r="E61" t="s">
        <v>25</v>
      </c>
      <c r="F61" t="s">
        <v>2417</v>
      </c>
      <c r="G61" t="s">
        <v>25</v>
      </c>
      <c r="H61" t="b">
        <v>1</v>
      </c>
      <c r="I61" s="8">
        <v>45944.435752314814</v>
      </c>
      <c r="J61" t="s">
        <v>2380</v>
      </c>
      <c r="L61">
        <v>603754</v>
      </c>
      <c r="M61" t="s">
        <v>2381</v>
      </c>
      <c r="N61">
        <v>10</v>
      </c>
      <c r="P61" t="s">
        <v>5452</v>
      </c>
      <c r="Q61" t="s">
        <v>2383</v>
      </c>
      <c r="R61">
        <v>1</v>
      </c>
      <c r="S61" t="s">
        <v>2380</v>
      </c>
      <c r="T61" t="s">
        <v>2383</v>
      </c>
      <c r="U61" s="8">
        <v>45939.533842592595</v>
      </c>
      <c r="V61" s="8">
        <v>45944.958333333336</v>
      </c>
      <c r="W61">
        <v>1</v>
      </c>
      <c r="X61">
        <v>2.9019097220000001</v>
      </c>
      <c r="Y61" t="s">
        <v>2418</v>
      </c>
      <c r="Z61" t="s">
        <v>5453</v>
      </c>
      <c r="AA61" t="s">
        <v>2825</v>
      </c>
      <c r="AB61" t="s">
        <v>1278</v>
      </c>
      <c r="AC61" t="s">
        <v>5454</v>
      </c>
      <c r="AD61" t="s">
        <v>2708</v>
      </c>
      <c r="AE61">
        <v>1</v>
      </c>
      <c r="AO61" t="s">
        <v>2408</v>
      </c>
      <c r="AP61" t="s">
        <v>2401</v>
      </c>
    </row>
    <row r="62" spans="1:42">
      <c r="A62" t="s">
        <v>1843</v>
      </c>
      <c r="B62" t="s">
        <v>2389</v>
      </c>
      <c r="C62" t="s">
        <v>2691</v>
      </c>
      <c r="D62" t="s">
        <v>2379</v>
      </c>
      <c r="E62" t="s">
        <v>33</v>
      </c>
      <c r="F62" t="s">
        <v>2417</v>
      </c>
      <c r="G62" t="s">
        <v>33</v>
      </c>
      <c r="H62" t="b">
        <v>1</v>
      </c>
      <c r="I62" s="8">
        <v>45951.494166666664</v>
      </c>
      <c r="J62" t="s">
        <v>2380</v>
      </c>
      <c r="K62">
        <v>1203769</v>
      </c>
      <c r="L62">
        <v>601397</v>
      </c>
      <c r="M62" t="s">
        <v>2381</v>
      </c>
      <c r="P62" t="s">
        <v>3101</v>
      </c>
      <c r="Q62" t="s">
        <v>2383</v>
      </c>
      <c r="R62">
        <v>1</v>
      </c>
      <c r="S62" t="s">
        <v>2380</v>
      </c>
      <c r="T62" t="s">
        <v>2383</v>
      </c>
      <c r="U62" s="8">
        <v>45939.545891203707</v>
      </c>
      <c r="V62" s="8">
        <v>45954.958333333336</v>
      </c>
      <c r="W62">
        <v>1</v>
      </c>
      <c r="X62">
        <v>7.9482754629999999</v>
      </c>
      <c r="Y62" t="s">
        <v>2418</v>
      </c>
      <c r="Z62" t="s">
        <v>5586</v>
      </c>
      <c r="AA62" t="s">
        <v>1418</v>
      </c>
      <c r="AB62" t="s">
        <v>1278</v>
      </c>
      <c r="AC62" t="s">
        <v>5587</v>
      </c>
      <c r="AD62" t="s">
        <v>2708</v>
      </c>
      <c r="AE62">
        <v>1</v>
      </c>
      <c r="AO62" t="s">
        <v>2540</v>
      </c>
      <c r="AP62" t="s">
        <v>2401</v>
      </c>
    </row>
    <row r="63" spans="1:42">
      <c r="A63" t="s">
        <v>1719</v>
      </c>
      <c r="B63" t="s">
        <v>2389</v>
      </c>
      <c r="C63" t="s">
        <v>2415</v>
      </c>
      <c r="D63" t="s">
        <v>2379</v>
      </c>
      <c r="E63" t="s">
        <v>33</v>
      </c>
      <c r="F63" t="s">
        <v>2417</v>
      </c>
      <c r="G63" t="s">
        <v>33</v>
      </c>
      <c r="H63" t="b">
        <v>1</v>
      </c>
      <c r="I63" s="8">
        <v>45941.441770833335</v>
      </c>
      <c r="J63" t="s">
        <v>2380</v>
      </c>
      <c r="K63">
        <v>1201697</v>
      </c>
      <c r="L63">
        <v>601397</v>
      </c>
      <c r="M63" t="s">
        <v>2381</v>
      </c>
      <c r="P63" t="s">
        <v>3101</v>
      </c>
      <c r="Q63" t="s">
        <v>2383</v>
      </c>
      <c r="R63">
        <v>1</v>
      </c>
      <c r="S63" t="s">
        <v>2380</v>
      </c>
      <c r="T63" t="s">
        <v>2383</v>
      </c>
      <c r="U63" s="8">
        <v>45939.551863425928</v>
      </c>
      <c r="V63" s="8">
        <v>45944.958333333336</v>
      </c>
      <c r="W63">
        <v>1</v>
      </c>
      <c r="X63">
        <v>1.8899074069999999</v>
      </c>
      <c r="Y63" t="s">
        <v>2418</v>
      </c>
      <c r="Z63" t="s">
        <v>5588</v>
      </c>
      <c r="AA63" t="s">
        <v>1418</v>
      </c>
      <c r="AB63" t="s">
        <v>1278</v>
      </c>
      <c r="AC63" t="s">
        <v>5589</v>
      </c>
      <c r="AD63" t="s">
        <v>2708</v>
      </c>
      <c r="AE63">
        <v>1</v>
      </c>
      <c r="AO63" t="s">
        <v>2540</v>
      </c>
      <c r="AP63" t="s">
        <v>2401</v>
      </c>
    </row>
    <row r="64" spans="1:42">
      <c r="A64" t="s">
        <v>622</v>
      </c>
      <c r="B64" t="s">
        <v>2377</v>
      </c>
      <c r="C64" t="s">
        <v>2390</v>
      </c>
      <c r="D64" t="s">
        <v>2379</v>
      </c>
      <c r="E64" t="s">
        <v>25</v>
      </c>
      <c r="F64" t="s">
        <v>7432</v>
      </c>
      <c r="G64" t="s">
        <v>25</v>
      </c>
      <c r="H64" t="b">
        <v>1</v>
      </c>
      <c r="I64" s="8">
        <v>45943.654664351852</v>
      </c>
      <c r="J64" t="s">
        <v>2380</v>
      </c>
      <c r="L64">
        <v>603768</v>
      </c>
      <c r="M64" t="s">
        <v>2381</v>
      </c>
      <c r="N64">
        <v>10</v>
      </c>
      <c r="P64" t="s">
        <v>2704</v>
      </c>
      <c r="Q64" t="s">
        <v>2383</v>
      </c>
      <c r="R64">
        <v>1</v>
      </c>
      <c r="S64" t="s">
        <v>2380</v>
      </c>
      <c r="T64" t="s">
        <v>2383</v>
      </c>
      <c r="U64" s="8">
        <v>45939.554097222222</v>
      </c>
      <c r="V64" s="8">
        <v>45944.958333333336</v>
      </c>
      <c r="W64">
        <v>1</v>
      </c>
      <c r="X64">
        <v>2.1005671299999999</v>
      </c>
      <c r="Y64" t="s">
        <v>7433</v>
      </c>
      <c r="Z64" t="s">
        <v>9099</v>
      </c>
      <c r="AA64" t="s">
        <v>9087</v>
      </c>
      <c r="AB64" t="s">
        <v>1278</v>
      </c>
      <c r="AC64" t="s">
        <v>9100</v>
      </c>
      <c r="AD64" t="s">
        <v>2708</v>
      </c>
      <c r="AE64">
        <v>1</v>
      </c>
      <c r="AH64" t="s">
        <v>33</v>
      </c>
      <c r="AI64" s="8">
        <v>45943.638101851851</v>
      </c>
      <c r="AK64" t="s">
        <v>2719</v>
      </c>
      <c r="AL64" t="s">
        <v>2719</v>
      </c>
      <c r="AO64" t="s">
        <v>2957</v>
      </c>
      <c r="AP64" t="s">
        <v>2401</v>
      </c>
    </row>
    <row r="65" spans="1:42">
      <c r="A65" t="s">
        <v>1721</v>
      </c>
      <c r="B65" t="s">
        <v>2389</v>
      </c>
      <c r="C65" t="s">
        <v>2415</v>
      </c>
      <c r="D65" t="s">
        <v>2379</v>
      </c>
      <c r="E65" t="s">
        <v>33</v>
      </c>
      <c r="F65" t="s">
        <v>2417</v>
      </c>
      <c r="G65" t="s">
        <v>33</v>
      </c>
      <c r="H65" t="b">
        <v>1</v>
      </c>
      <c r="I65" s="8">
        <v>45941.439722222225</v>
      </c>
      <c r="J65" t="s">
        <v>2380</v>
      </c>
      <c r="K65">
        <v>1201696</v>
      </c>
      <c r="L65">
        <v>601397</v>
      </c>
      <c r="M65" t="s">
        <v>2381</v>
      </c>
      <c r="P65" t="s">
        <v>3101</v>
      </c>
      <c r="Q65" t="s">
        <v>2383</v>
      </c>
      <c r="R65">
        <v>1</v>
      </c>
      <c r="S65" t="s">
        <v>2380</v>
      </c>
      <c r="T65" t="s">
        <v>2383</v>
      </c>
      <c r="U65" s="8">
        <v>45939.555046296293</v>
      </c>
      <c r="V65" s="8">
        <v>45944.958333333336</v>
      </c>
      <c r="W65">
        <v>1</v>
      </c>
      <c r="X65">
        <v>1.8846759259999999</v>
      </c>
      <c r="Y65" t="s">
        <v>2418</v>
      </c>
      <c r="Z65" t="s">
        <v>5590</v>
      </c>
      <c r="AA65" t="s">
        <v>1418</v>
      </c>
      <c r="AB65" t="s">
        <v>1278</v>
      </c>
      <c r="AC65" t="s">
        <v>5591</v>
      </c>
      <c r="AD65" t="s">
        <v>2708</v>
      </c>
      <c r="AE65">
        <v>1</v>
      </c>
      <c r="AO65" t="s">
        <v>2540</v>
      </c>
      <c r="AP65" t="s">
        <v>2401</v>
      </c>
    </row>
    <row r="66" spans="1:42">
      <c r="A66" t="s">
        <v>181</v>
      </c>
      <c r="B66" t="s">
        <v>2377</v>
      </c>
      <c r="C66" t="s">
        <v>2438</v>
      </c>
      <c r="D66" t="s">
        <v>2379</v>
      </c>
      <c r="E66" t="s">
        <v>25</v>
      </c>
      <c r="F66" t="s">
        <v>2417</v>
      </c>
      <c r="G66" t="s">
        <v>25</v>
      </c>
      <c r="H66" t="b">
        <v>1</v>
      </c>
      <c r="I66" s="8">
        <v>45939.669525462959</v>
      </c>
      <c r="J66" t="s">
        <v>2380</v>
      </c>
      <c r="L66">
        <v>606821</v>
      </c>
      <c r="M66" t="s">
        <v>2381</v>
      </c>
      <c r="N66">
        <v>45</v>
      </c>
      <c r="P66" t="s">
        <v>2704</v>
      </c>
      <c r="Q66" t="s">
        <v>2383</v>
      </c>
      <c r="R66">
        <v>1</v>
      </c>
      <c r="S66" t="s">
        <v>2380</v>
      </c>
      <c r="T66" t="s">
        <v>2383</v>
      </c>
      <c r="U66" s="8">
        <v>45939.579560185186</v>
      </c>
      <c r="V66" s="8">
        <v>45944.958333333336</v>
      </c>
      <c r="W66">
        <v>1</v>
      </c>
      <c r="X66">
        <v>8.9965277999999996E-2</v>
      </c>
      <c r="Y66" t="s">
        <v>2418</v>
      </c>
      <c r="Z66" t="s">
        <v>5513</v>
      </c>
      <c r="AA66" t="s">
        <v>2880</v>
      </c>
      <c r="AB66" t="s">
        <v>1278</v>
      </c>
      <c r="AC66" t="s">
        <v>2387</v>
      </c>
      <c r="AD66" t="s">
        <v>2708</v>
      </c>
      <c r="AE66">
        <v>1</v>
      </c>
      <c r="AO66" t="s">
        <v>2408</v>
      </c>
      <c r="AP66" t="s">
        <v>2401</v>
      </c>
    </row>
    <row r="67" spans="1:42">
      <c r="A67" t="s">
        <v>1161</v>
      </c>
      <c r="B67" t="s">
        <v>2377</v>
      </c>
      <c r="C67" t="s">
        <v>2390</v>
      </c>
      <c r="D67" t="s">
        <v>2379</v>
      </c>
      <c r="E67" t="s">
        <v>11</v>
      </c>
      <c r="F67" t="s">
        <v>2409</v>
      </c>
      <c r="G67" t="s">
        <v>11</v>
      </c>
      <c r="H67" t="b">
        <v>1</v>
      </c>
      <c r="I67" s="8">
        <v>45944.590810185182</v>
      </c>
      <c r="J67" t="s">
        <v>2380</v>
      </c>
      <c r="L67">
        <v>608028</v>
      </c>
      <c r="M67" t="s">
        <v>2381</v>
      </c>
      <c r="P67" t="s">
        <v>2704</v>
      </c>
      <c r="Q67" t="s">
        <v>2383</v>
      </c>
      <c r="R67">
        <v>1</v>
      </c>
      <c r="S67" t="s">
        <v>2380</v>
      </c>
      <c r="T67" t="s">
        <v>2383</v>
      </c>
      <c r="U67" s="8">
        <v>45939.593055555553</v>
      </c>
      <c r="V67" s="8">
        <v>45944.958333333336</v>
      </c>
      <c r="W67">
        <v>1</v>
      </c>
      <c r="X67">
        <v>2.9977546300000002</v>
      </c>
      <c r="Y67" t="s">
        <v>2410</v>
      </c>
      <c r="Z67" t="s">
        <v>9223</v>
      </c>
      <c r="AA67" t="s">
        <v>8806</v>
      </c>
      <c r="AB67" t="s">
        <v>1278</v>
      </c>
      <c r="AC67" t="s">
        <v>9224</v>
      </c>
      <c r="AD67" t="s">
        <v>2708</v>
      </c>
      <c r="AE67">
        <v>1</v>
      </c>
      <c r="AH67" t="s">
        <v>12</v>
      </c>
      <c r="AI67" s="8">
        <v>45944.502291666664</v>
      </c>
      <c r="AK67" t="s">
        <v>2719</v>
      </c>
      <c r="AL67" t="s">
        <v>2719</v>
      </c>
      <c r="AO67" t="s">
        <v>3644</v>
      </c>
      <c r="AP67" t="s">
        <v>2401</v>
      </c>
    </row>
    <row r="68" spans="1:42">
      <c r="A68" t="s">
        <v>695</v>
      </c>
      <c r="B68" t="s">
        <v>2377</v>
      </c>
      <c r="C68" t="s">
        <v>2378</v>
      </c>
      <c r="D68" t="s">
        <v>2379</v>
      </c>
      <c r="E68" t="s">
        <v>18</v>
      </c>
      <c r="F68" t="s">
        <v>2588</v>
      </c>
      <c r="G68" t="s">
        <v>2416</v>
      </c>
      <c r="H68" t="b">
        <v>1</v>
      </c>
      <c r="I68" s="8">
        <v>45944.62</v>
      </c>
      <c r="J68" t="s">
        <v>2380</v>
      </c>
      <c r="L68">
        <v>603525</v>
      </c>
      <c r="M68" t="s">
        <v>2381</v>
      </c>
      <c r="P68" t="s">
        <v>2704</v>
      </c>
      <c r="Q68" t="s">
        <v>2383</v>
      </c>
      <c r="R68">
        <v>1</v>
      </c>
      <c r="S68" t="s">
        <v>2380</v>
      </c>
      <c r="T68" t="s">
        <v>2383</v>
      </c>
      <c r="U68" s="8">
        <v>45939.595983796295</v>
      </c>
      <c r="V68" s="8">
        <v>45944.958333333336</v>
      </c>
      <c r="W68">
        <v>1</v>
      </c>
      <c r="X68">
        <v>3.024016204</v>
      </c>
      <c r="Y68" t="s">
        <v>2579</v>
      </c>
      <c r="Z68" t="s">
        <v>6592</v>
      </c>
      <c r="AA68" t="s">
        <v>2699</v>
      </c>
      <c r="AB68" t="s">
        <v>1278</v>
      </c>
      <c r="AC68" t="s">
        <v>4924</v>
      </c>
      <c r="AD68" t="s">
        <v>2708</v>
      </c>
      <c r="AE68">
        <v>1</v>
      </c>
      <c r="AO68" t="s">
        <v>2388</v>
      </c>
      <c r="AP68" t="s">
        <v>2401</v>
      </c>
    </row>
    <row r="69" spans="1:42">
      <c r="A69" t="s">
        <v>1075</v>
      </c>
      <c r="B69" t="s">
        <v>2377</v>
      </c>
      <c r="C69" t="s">
        <v>2390</v>
      </c>
      <c r="D69" t="s">
        <v>2379</v>
      </c>
      <c r="E69" t="s">
        <v>24</v>
      </c>
      <c r="F69" t="s">
        <v>2417</v>
      </c>
      <c r="G69" t="s">
        <v>24</v>
      </c>
      <c r="H69" t="b">
        <v>1</v>
      </c>
      <c r="I69" s="8">
        <v>45944.578842592593</v>
      </c>
      <c r="J69" t="s">
        <v>2380</v>
      </c>
      <c r="L69">
        <v>603965</v>
      </c>
      <c r="M69" t="s">
        <v>2381</v>
      </c>
      <c r="P69" t="s">
        <v>8038</v>
      </c>
      <c r="Q69" t="s">
        <v>2383</v>
      </c>
      <c r="R69">
        <v>1</v>
      </c>
      <c r="S69" t="s">
        <v>2380</v>
      </c>
      <c r="T69" t="s">
        <v>2383</v>
      </c>
      <c r="U69" s="8">
        <v>45939.613032407404</v>
      </c>
      <c r="V69" s="8">
        <v>45944.958333333336</v>
      </c>
      <c r="W69">
        <v>1</v>
      </c>
      <c r="X69">
        <v>2.965810185</v>
      </c>
      <c r="Y69" t="s">
        <v>2418</v>
      </c>
      <c r="Z69" t="s">
        <v>8039</v>
      </c>
      <c r="AA69" t="s">
        <v>1591</v>
      </c>
      <c r="AB69" t="s">
        <v>1278</v>
      </c>
      <c r="AC69" t="s">
        <v>2387</v>
      </c>
      <c r="AD69" t="s">
        <v>2708</v>
      </c>
      <c r="AE69">
        <v>1</v>
      </c>
      <c r="AO69" t="s">
        <v>4121</v>
      </c>
      <c r="AP69" t="s">
        <v>2401</v>
      </c>
    </row>
    <row r="70" spans="1:42">
      <c r="A70" t="s">
        <v>691</v>
      </c>
      <c r="B70" t="s">
        <v>2377</v>
      </c>
      <c r="C70" t="s">
        <v>2390</v>
      </c>
      <c r="D70" t="s">
        <v>2379</v>
      </c>
      <c r="E70" t="s">
        <v>25</v>
      </c>
      <c r="F70" t="s">
        <v>2578</v>
      </c>
      <c r="G70" t="s">
        <v>25</v>
      </c>
      <c r="H70" t="b">
        <v>1</v>
      </c>
      <c r="I70" s="8">
        <v>45944.602777777778</v>
      </c>
      <c r="J70" t="s">
        <v>2380</v>
      </c>
      <c r="L70">
        <v>609970</v>
      </c>
      <c r="M70" t="s">
        <v>2381</v>
      </c>
      <c r="N70">
        <v>45</v>
      </c>
      <c r="P70" t="s">
        <v>7273</v>
      </c>
      <c r="Q70" t="s">
        <v>2383</v>
      </c>
      <c r="R70">
        <v>1</v>
      </c>
      <c r="S70" t="s">
        <v>2380</v>
      </c>
      <c r="T70" t="s">
        <v>2383</v>
      </c>
      <c r="U70" s="8">
        <v>45939.627696759257</v>
      </c>
      <c r="V70" s="8">
        <v>45944.958333333336</v>
      </c>
      <c r="W70">
        <v>1</v>
      </c>
      <c r="X70">
        <v>2.9750810190000001</v>
      </c>
      <c r="Y70" t="s">
        <v>2579</v>
      </c>
      <c r="Z70" t="s">
        <v>7274</v>
      </c>
      <c r="AA70" t="s">
        <v>1281</v>
      </c>
      <c r="AB70" t="s">
        <v>1278</v>
      </c>
      <c r="AC70" t="s">
        <v>7275</v>
      </c>
      <c r="AD70" t="s">
        <v>2708</v>
      </c>
      <c r="AE70">
        <v>1</v>
      </c>
      <c r="AO70" t="s">
        <v>2388</v>
      </c>
      <c r="AP70" t="s">
        <v>2401</v>
      </c>
    </row>
    <row r="71" spans="1:42">
      <c r="A71" t="s">
        <v>1609</v>
      </c>
      <c r="B71" t="s">
        <v>2389</v>
      </c>
      <c r="C71" t="s">
        <v>2390</v>
      </c>
      <c r="D71" t="s">
        <v>2379</v>
      </c>
      <c r="E71" t="s">
        <v>12</v>
      </c>
      <c r="F71" t="s">
        <v>3193</v>
      </c>
      <c r="G71" t="s">
        <v>12</v>
      </c>
      <c r="H71" t="b">
        <v>1</v>
      </c>
      <c r="I71" s="8">
        <v>45944.444907407407</v>
      </c>
      <c r="J71" t="s">
        <v>2380</v>
      </c>
      <c r="K71">
        <v>1202292</v>
      </c>
      <c r="L71">
        <v>609841</v>
      </c>
      <c r="M71" t="s">
        <v>2381</v>
      </c>
      <c r="P71" t="s">
        <v>3681</v>
      </c>
      <c r="Q71" t="s">
        <v>2383</v>
      </c>
      <c r="R71">
        <v>1</v>
      </c>
      <c r="S71" t="s">
        <v>2380</v>
      </c>
      <c r="T71" t="s">
        <v>2383</v>
      </c>
      <c r="U71" s="8">
        <v>45939.628576388888</v>
      </c>
      <c r="V71" s="8">
        <v>45944.958333333336</v>
      </c>
      <c r="W71">
        <v>1</v>
      </c>
      <c r="X71">
        <v>2.8163310190000002</v>
      </c>
      <c r="Y71" t="s">
        <v>3194</v>
      </c>
      <c r="Z71" t="s">
        <v>9860</v>
      </c>
      <c r="AA71" t="s">
        <v>3683</v>
      </c>
      <c r="AB71" t="s">
        <v>1278</v>
      </c>
      <c r="AC71" t="s">
        <v>9861</v>
      </c>
      <c r="AD71" t="s">
        <v>2708</v>
      </c>
      <c r="AE71">
        <v>1</v>
      </c>
      <c r="AO71" t="s">
        <v>3644</v>
      </c>
      <c r="AP71" t="s">
        <v>2401</v>
      </c>
    </row>
    <row r="72" spans="1:42">
      <c r="A72" t="s">
        <v>1731</v>
      </c>
      <c r="B72" t="s">
        <v>2377</v>
      </c>
      <c r="C72" t="s">
        <v>2415</v>
      </c>
      <c r="D72" t="s">
        <v>2379</v>
      </c>
      <c r="E72" t="s">
        <v>2601</v>
      </c>
      <c r="F72" t="s">
        <v>3261</v>
      </c>
      <c r="G72" t="s">
        <v>2723</v>
      </c>
      <c r="H72" t="b">
        <v>1</v>
      </c>
      <c r="I72" s="8">
        <v>45940.680266203701</v>
      </c>
      <c r="J72" t="s">
        <v>2380</v>
      </c>
      <c r="L72">
        <v>603691</v>
      </c>
      <c r="M72" t="s">
        <v>2381</v>
      </c>
      <c r="P72" t="s">
        <v>7503</v>
      </c>
      <c r="Q72" t="s">
        <v>2383</v>
      </c>
      <c r="R72">
        <v>1</v>
      </c>
      <c r="S72" t="s">
        <v>2380</v>
      </c>
      <c r="T72" t="s">
        <v>2383</v>
      </c>
      <c r="U72" s="8">
        <v>45939.629594907405</v>
      </c>
      <c r="V72" s="8">
        <v>45944.958333333336</v>
      </c>
      <c r="W72">
        <v>1</v>
      </c>
      <c r="X72">
        <v>1.050671296</v>
      </c>
      <c r="Y72" t="s">
        <v>3262</v>
      </c>
      <c r="Z72" t="s">
        <v>7507</v>
      </c>
      <c r="AA72" t="s">
        <v>7508</v>
      </c>
      <c r="AB72" t="s">
        <v>1278</v>
      </c>
      <c r="AC72" t="s">
        <v>7509</v>
      </c>
      <c r="AD72" t="s">
        <v>2708</v>
      </c>
      <c r="AE72">
        <v>1</v>
      </c>
      <c r="AO72" t="s">
        <v>2957</v>
      </c>
      <c r="AP72" t="s">
        <v>2401</v>
      </c>
    </row>
    <row r="73" spans="1:42">
      <c r="A73" t="s">
        <v>1073</v>
      </c>
      <c r="B73" t="s">
        <v>2377</v>
      </c>
      <c r="C73" t="s">
        <v>2443</v>
      </c>
      <c r="D73" t="s">
        <v>2443</v>
      </c>
      <c r="E73" t="s">
        <v>24</v>
      </c>
      <c r="F73" t="s">
        <v>2417</v>
      </c>
      <c r="G73" t="s">
        <v>24</v>
      </c>
      <c r="H73" t="b">
        <v>1</v>
      </c>
      <c r="I73" s="8">
        <v>45945.440659722219</v>
      </c>
      <c r="J73" t="s">
        <v>2380</v>
      </c>
      <c r="L73">
        <v>602944</v>
      </c>
      <c r="M73" t="s">
        <v>2381</v>
      </c>
      <c r="P73" t="s">
        <v>2743</v>
      </c>
      <c r="Q73" t="s">
        <v>2383</v>
      </c>
      <c r="R73">
        <v>1</v>
      </c>
      <c r="S73" t="s">
        <v>2380</v>
      </c>
      <c r="T73" t="s">
        <v>2383</v>
      </c>
      <c r="U73" s="8">
        <v>45939.631944444445</v>
      </c>
      <c r="V73" s="8">
        <v>45944.958333333336</v>
      </c>
      <c r="W73">
        <v>1</v>
      </c>
      <c r="X73">
        <v>3.8087152780000002</v>
      </c>
      <c r="Y73" t="s">
        <v>2418</v>
      </c>
      <c r="Z73" t="s">
        <v>9280</v>
      </c>
      <c r="AA73" t="s">
        <v>2745</v>
      </c>
      <c r="AB73" t="s">
        <v>1278</v>
      </c>
      <c r="AC73" t="s">
        <v>9281</v>
      </c>
      <c r="AD73" t="s">
        <v>2708</v>
      </c>
      <c r="AE73">
        <v>1</v>
      </c>
      <c r="AH73" t="s">
        <v>24</v>
      </c>
      <c r="AI73" s="8">
        <v>45944.73814814815</v>
      </c>
      <c r="AK73" t="s">
        <v>2719</v>
      </c>
      <c r="AL73" t="s">
        <v>2719</v>
      </c>
      <c r="AM73" t="s">
        <v>5174</v>
      </c>
      <c r="AO73" t="s">
        <v>2408</v>
      </c>
      <c r="AP73" t="s">
        <v>2401</v>
      </c>
    </row>
    <row r="74" spans="1:42">
      <c r="A74" t="s">
        <v>1590</v>
      </c>
      <c r="B74" t="s">
        <v>2389</v>
      </c>
      <c r="C74" t="s">
        <v>2390</v>
      </c>
      <c r="D74" t="s">
        <v>2379</v>
      </c>
      <c r="E74" t="s">
        <v>24</v>
      </c>
      <c r="F74" t="s">
        <v>8583</v>
      </c>
      <c r="G74" t="s">
        <v>24</v>
      </c>
      <c r="H74" t="b">
        <v>1</v>
      </c>
      <c r="I74" s="8">
        <v>45944.583182870374</v>
      </c>
      <c r="J74" t="s">
        <v>2380</v>
      </c>
      <c r="K74">
        <v>1202350</v>
      </c>
      <c r="L74">
        <v>601479</v>
      </c>
      <c r="M74" t="s">
        <v>2381</v>
      </c>
      <c r="P74" t="s">
        <v>8584</v>
      </c>
      <c r="Q74" t="s">
        <v>2383</v>
      </c>
      <c r="R74">
        <v>1</v>
      </c>
      <c r="S74" t="s">
        <v>2380</v>
      </c>
      <c r="T74" t="s">
        <v>2383</v>
      </c>
      <c r="U74" s="8">
        <v>45939.649502314816</v>
      </c>
      <c r="V74" s="8">
        <v>45944.958333333336</v>
      </c>
      <c r="W74">
        <v>1</v>
      </c>
      <c r="X74">
        <v>2.9336805560000001</v>
      </c>
      <c r="Y74" t="s">
        <v>1588</v>
      </c>
      <c r="Z74" t="s">
        <v>9634</v>
      </c>
      <c r="AA74" t="s">
        <v>9630</v>
      </c>
      <c r="AB74" t="s">
        <v>1278</v>
      </c>
      <c r="AC74" t="s">
        <v>9635</v>
      </c>
      <c r="AD74" t="s">
        <v>2708</v>
      </c>
      <c r="AE74">
        <v>1</v>
      </c>
      <c r="AO74" t="s">
        <v>3608</v>
      </c>
      <c r="AP74" t="s">
        <v>2401</v>
      </c>
    </row>
    <row r="75" spans="1:42">
      <c r="A75" t="s">
        <v>1619</v>
      </c>
      <c r="B75" t="s">
        <v>2389</v>
      </c>
      <c r="C75" t="s">
        <v>2390</v>
      </c>
      <c r="D75" t="s">
        <v>2379</v>
      </c>
      <c r="E75" t="s">
        <v>2452</v>
      </c>
      <c r="F75" t="s">
        <v>3539</v>
      </c>
      <c r="G75" t="s">
        <v>2452</v>
      </c>
      <c r="H75" t="b">
        <v>1</v>
      </c>
      <c r="I75" s="8">
        <v>45944.427083333336</v>
      </c>
      <c r="J75" t="s">
        <v>2380</v>
      </c>
      <c r="K75">
        <v>1202246</v>
      </c>
      <c r="L75">
        <v>603833</v>
      </c>
      <c r="M75" t="s">
        <v>2381</v>
      </c>
      <c r="P75" t="s">
        <v>3540</v>
      </c>
      <c r="Q75" t="s">
        <v>2383</v>
      </c>
      <c r="R75">
        <v>1</v>
      </c>
      <c r="S75" t="s">
        <v>2380</v>
      </c>
      <c r="T75" t="s">
        <v>2383</v>
      </c>
      <c r="U75" s="8">
        <v>45939.698495370372</v>
      </c>
      <c r="V75" s="8">
        <v>45944.958333333336</v>
      </c>
      <c r="W75">
        <v>1</v>
      </c>
      <c r="X75">
        <v>2.7285879629999998</v>
      </c>
      <c r="Y75" t="s">
        <v>3521</v>
      </c>
      <c r="Z75" t="s">
        <v>7838</v>
      </c>
      <c r="AA75" t="s">
        <v>4785</v>
      </c>
      <c r="AB75" t="s">
        <v>1278</v>
      </c>
      <c r="AC75" t="s">
        <v>7839</v>
      </c>
      <c r="AD75" t="s">
        <v>2708</v>
      </c>
      <c r="AE75">
        <v>1</v>
      </c>
      <c r="AO75" t="s">
        <v>2957</v>
      </c>
      <c r="AP75" t="s">
        <v>2401</v>
      </c>
    </row>
    <row r="76" spans="1:42">
      <c r="A76" t="s">
        <v>1016</v>
      </c>
      <c r="B76" t="s">
        <v>2377</v>
      </c>
      <c r="C76" t="s">
        <v>2443</v>
      </c>
      <c r="D76" t="s">
        <v>2443</v>
      </c>
      <c r="E76" t="s">
        <v>33</v>
      </c>
      <c r="F76" t="s">
        <v>3747</v>
      </c>
      <c r="G76" t="s">
        <v>33</v>
      </c>
      <c r="H76" t="b">
        <v>1</v>
      </c>
      <c r="I76" s="8">
        <v>45945.387372685182</v>
      </c>
      <c r="J76" t="s">
        <v>2380</v>
      </c>
      <c r="L76">
        <v>606901</v>
      </c>
      <c r="M76" t="s">
        <v>2381</v>
      </c>
      <c r="P76" t="s">
        <v>9239</v>
      </c>
      <c r="Q76" t="s">
        <v>2383</v>
      </c>
      <c r="R76">
        <v>1</v>
      </c>
      <c r="S76" t="s">
        <v>2380</v>
      </c>
      <c r="T76" t="s">
        <v>2383</v>
      </c>
      <c r="U76" s="8">
        <v>45939.706157407411</v>
      </c>
      <c r="V76" s="8">
        <v>45944.958333333336</v>
      </c>
      <c r="W76">
        <v>1</v>
      </c>
      <c r="X76">
        <v>3.6812152779999998</v>
      </c>
      <c r="Y76" t="s">
        <v>3748</v>
      </c>
      <c r="Z76" t="s">
        <v>9240</v>
      </c>
      <c r="AA76" t="s">
        <v>1542</v>
      </c>
      <c r="AB76" t="s">
        <v>1278</v>
      </c>
      <c r="AC76" t="s">
        <v>9241</v>
      </c>
      <c r="AD76" t="s">
        <v>2708</v>
      </c>
      <c r="AE76">
        <v>1</v>
      </c>
      <c r="AH76" t="s">
        <v>33</v>
      </c>
      <c r="AI76" s="8">
        <v>45945.382187499999</v>
      </c>
      <c r="AK76" t="s">
        <v>2719</v>
      </c>
      <c r="AL76" t="s">
        <v>2719</v>
      </c>
      <c r="AO76" t="s">
        <v>2712</v>
      </c>
      <c r="AP76" t="s">
        <v>2401</v>
      </c>
    </row>
    <row r="77" spans="1:42">
      <c r="A77" t="s">
        <v>1554</v>
      </c>
      <c r="B77" t="s">
        <v>2389</v>
      </c>
      <c r="C77" t="s">
        <v>2390</v>
      </c>
      <c r="D77" t="s">
        <v>2379</v>
      </c>
      <c r="E77" t="s">
        <v>2416</v>
      </c>
      <c r="F77" t="s">
        <v>3891</v>
      </c>
      <c r="G77" t="s">
        <v>2416</v>
      </c>
      <c r="H77" t="b">
        <v>1</v>
      </c>
      <c r="I77" s="8">
        <v>45944.689641203702</v>
      </c>
      <c r="J77" t="s">
        <v>2380</v>
      </c>
      <c r="K77">
        <v>1202405</v>
      </c>
      <c r="L77">
        <v>603165</v>
      </c>
      <c r="M77" t="s">
        <v>2381</v>
      </c>
      <c r="P77" t="s">
        <v>5007</v>
      </c>
      <c r="Q77" t="s">
        <v>2383</v>
      </c>
      <c r="R77">
        <v>1</v>
      </c>
      <c r="S77" t="s">
        <v>2380</v>
      </c>
      <c r="T77" t="s">
        <v>2383</v>
      </c>
      <c r="U77" s="8">
        <v>45939.711493055554</v>
      </c>
      <c r="V77" s="8">
        <v>45944.958333333336</v>
      </c>
      <c r="W77">
        <v>1</v>
      </c>
      <c r="X77">
        <v>2.9781481479999998</v>
      </c>
      <c r="Y77" t="s">
        <v>3892</v>
      </c>
      <c r="Z77" t="s">
        <v>5018</v>
      </c>
      <c r="AA77" t="s">
        <v>1405</v>
      </c>
      <c r="AB77" t="s">
        <v>1278</v>
      </c>
      <c r="AC77" t="s">
        <v>5019</v>
      </c>
      <c r="AD77" t="s">
        <v>2708</v>
      </c>
      <c r="AE77">
        <v>1</v>
      </c>
      <c r="AO77" t="s">
        <v>2715</v>
      </c>
      <c r="AP77" t="s">
        <v>2401</v>
      </c>
    </row>
    <row r="78" spans="1:42">
      <c r="A78" t="s">
        <v>415</v>
      </c>
      <c r="B78" t="s">
        <v>2377</v>
      </c>
      <c r="C78" t="s">
        <v>2390</v>
      </c>
      <c r="D78" t="s">
        <v>2379</v>
      </c>
      <c r="E78" t="s">
        <v>25</v>
      </c>
      <c r="F78" t="s">
        <v>3570</v>
      </c>
      <c r="G78" t="s">
        <v>25</v>
      </c>
      <c r="H78" t="b">
        <v>1</v>
      </c>
      <c r="I78" s="8">
        <v>45944.559629629628</v>
      </c>
      <c r="J78" t="s">
        <v>2380</v>
      </c>
      <c r="L78">
        <v>602254</v>
      </c>
      <c r="M78" t="s">
        <v>2381</v>
      </c>
      <c r="N78">
        <v>20</v>
      </c>
      <c r="P78" t="s">
        <v>7452</v>
      </c>
      <c r="Q78" t="s">
        <v>2383</v>
      </c>
      <c r="R78">
        <v>1</v>
      </c>
      <c r="S78" t="s">
        <v>2380</v>
      </c>
      <c r="T78" t="s">
        <v>2383</v>
      </c>
      <c r="U78" s="8">
        <v>45939.714108796295</v>
      </c>
      <c r="V78" s="8">
        <v>45944.958333333336</v>
      </c>
      <c r="W78">
        <v>1</v>
      </c>
      <c r="X78">
        <v>2.8455208330000001</v>
      </c>
      <c r="Y78" t="s">
        <v>3572</v>
      </c>
      <c r="Z78" t="s">
        <v>7961</v>
      </c>
      <c r="AA78" t="s">
        <v>7454</v>
      </c>
      <c r="AB78" t="s">
        <v>1278</v>
      </c>
      <c r="AC78" t="s">
        <v>7962</v>
      </c>
      <c r="AD78" t="s">
        <v>2708</v>
      </c>
      <c r="AE78">
        <v>1</v>
      </c>
      <c r="AO78" t="s">
        <v>2957</v>
      </c>
      <c r="AP78" t="s">
        <v>2401</v>
      </c>
    </row>
    <row r="79" spans="1:42">
      <c r="A79" t="s">
        <v>693</v>
      </c>
      <c r="B79" t="s">
        <v>2377</v>
      </c>
      <c r="C79" t="s">
        <v>2390</v>
      </c>
      <c r="D79" t="s">
        <v>2379</v>
      </c>
      <c r="E79" t="s">
        <v>18</v>
      </c>
      <c r="F79" t="s">
        <v>2627</v>
      </c>
      <c r="G79" t="s">
        <v>2416</v>
      </c>
      <c r="H79" t="b">
        <v>1</v>
      </c>
      <c r="I79" s="8">
        <v>45944.608888888892</v>
      </c>
      <c r="J79" t="s">
        <v>2380</v>
      </c>
      <c r="L79">
        <v>606859</v>
      </c>
      <c r="M79" t="s">
        <v>2381</v>
      </c>
      <c r="P79" t="s">
        <v>6598</v>
      </c>
      <c r="Q79" t="s">
        <v>2383</v>
      </c>
      <c r="R79">
        <v>1</v>
      </c>
      <c r="S79" t="s">
        <v>2380</v>
      </c>
      <c r="T79" t="s">
        <v>2383</v>
      </c>
      <c r="U79" s="8">
        <v>45939.756041666667</v>
      </c>
      <c r="V79" s="8">
        <v>45944.958333333336</v>
      </c>
      <c r="W79">
        <v>1</v>
      </c>
      <c r="X79">
        <v>2.8528472219999998</v>
      </c>
      <c r="Y79" t="s">
        <v>2628</v>
      </c>
      <c r="Z79" t="s">
        <v>6599</v>
      </c>
      <c r="AA79" t="s">
        <v>692</v>
      </c>
      <c r="AB79" t="s">
        <v>1278</v>
      </c>
      <c r="AC79" t="s">
        <v>6600</v>
      </c>
      <c r="AD79" t="s">
        <v>2708</v>
      </c>
      <c r="AE79">
        <v>1</v>
      </c>
      <c r="AO79" t="s">
        <v>2388</v>
      </c>
      <c r="AP79" t="s">
        <v>2401</v>
      </c>
    </row>
    <row r="80" spans="1:42">
      <c r="A80" t="s">
        <v>1775</v>
      </c>
      <c r="B80" t="s">
        <v>2377</v>
      </c>
      <c r="C80" t="s">
        <v>2438</v>
      </c>
      <c r="D80" t="s">
        <v>2379</v>
      </c>
      <c r="E80" t="s">
        <v>307</v>
      </c>
      <c r="F80" t="s">
        <v>2588</v>
      </c>
      <c r="G80" t="s">
        <v>307</v>
      </c>
      <c r="H80" t="b">
        <v>1</v>
      </c>
      <c r="I80" s="8">
        <v>45940.479513888888</v>
      </c>
      <c r="J80" t="s">
        <v>2380</v>
      </c>
      <c r="L80">
        <v>603658</v>
      </c>
      <c r="M80" t="s">
        <v>2381</v>
      </c>
      <c r="P80" t="s">
        <v>3209</v>
      </c>
      <c r="Q80" t="s">
        <v>2383</v>
      </c>
      <c r="R80">
        <v>1</v>
      </c>
      <c r="S80" t="s">
        <v>2380</v>
      </c>
      <c r="T80" t="s">
        <v>2383</v>
      </c>
      <c r="U80" s="8">
        <v>45940.331608796296</v>
      </c>
      <c r="V80" s="8">
        <v>45944.958333333336</v>
      </c>
      <c r="W80">
        <v>1</v>
      </c>
      <c r="X80">
        <v>0.14790509299999999</v>
      </c>
      <c r="Y80" t="s">
        <v>2579</v>
      </c>
      <c r="Z80" t="s">
        <v>3210</v>
      </c>
      <c r="AA80" t="s">
        <v>3211</v>
      </c>
      <c r="AB80" t="s">
        <v>1278</v>
      </c>
      <c r="AC80" t="s">
        <v>3212</v>
      </c>
      <c r="AE80">
        <v>1</v>
      </c>
      <c r="AO80" t="s">
        <v>2388</v>
      </c>
      <c r="AP80" t="s">
        <v>2401</v>
      </c>
    </row>
    <row r="81" spans="1:42">
      <c r="A81" t="s">
        <v>409</v>
      </c>
      <c r="B81" t="s">
        <v>2377</v>
      </c>
      <c r="C81" t="s">
        <v>2390</v>
      </c>
      <c r="D81" t="s">
        <v>2379</v>
      </c>
      <c r="E81" t="s">
        <v>12</v>
      </c>
      <c r="F81" t="s">
        <v>2588</v>
      </c>
      <c r="G81" t="s">
        <v>12</v>
      </c>
      <c r="H81" t="b">
        <v>1</v>
      </c>
      <c r="I81" s="8">
        <v>45944.38521990741</v>
      </c>
      <c r="J81" t="s">
        <v>2380</v>
      </c>
      <c r="L81">
        <v>609707</v>
      </c>
      <c r="M81" t="s">
        <v>2381</v>
      </c>
      <c r="P81" t="s">
        <v>9834</v>
      </c>
      <c r="Q81" t="s">
        <v>2383</v>
      </c>
      <c r="R81">
        <v>1</v>
      </c>
      <c r="S81" t="s">
        <v>2380</v>
      </c>
      <c r="T81" t="s">
        <v>2383</v>
      </c>
      <c r="U81" s="8">
        <v>45940.381099537037</v>
      </c>
      <c r="V81" s="8">
        <v>45945.958333333336</v>
      </c>
      <c r="W81">
        <v>1</v>
      </c>
      <c r="X81">
        <v>2.0041203699999999</v>
      </c>
      <c r="Y81" t="s">
        <v>2579</v>
      </c>
      <c r="Z81" t="s">
        <v>9835</v>
      </c>
      <c r="AA81" t="s">
        <v>9836</v>
      </c>
      <c r="AB81" t="s">
        <v>1278</v>
      </c>
      <c r="AC81" t="s">
        <v>9833</v>
      </c>
      <c r="AD81" t="s">
        <v>2708</v>
      </c>
      <c r="AE81">
        <v>1</v>
      </c>
      <c r="AO81" t="s">
        <v>3644</v>
      </c>
      <c r="AP81" t="s">
        <v>2401</v>
      </c>
    </row>
    <row r="82" spans="1:42">
      <c r="A82" t="s">
        <v>667</v>
      </c>
      <c r="B82" t="s">
        <v>2377</v>
      </c>
      <c r="C82" t="s">
        <v>2378</v>
      </c>
      <c r="D82" t="s">
        <v>2379</v>
      </c>
      <c r="E82" t="s">
        <v>12</v>
      </c>
      <c r="F82" t="s">
        <v>2578</v>
      </c>
      <c r="G82" t="s">
        <v>12</v>
      </c>
      <c r="H82" t="b">
        <v>1</v>
      </c>
      <c r="I82" s="8">
        <v>45945.490370370368</v>
      </c>
      <c r="J82" t="s">
        <v>2380</v>
      </c>
      <c r="L82">
        <v>602166</v>
      </c>
      <c r="M82" t="s">
        <v>2381</v>
      </c>
      <c r="P82" t="s">
        <v>3954</v>
      </c>
      <c r="Q82" t="s">
        <v>2383</v>
      </c>
      <c r="R82">
        <v>1</v>
      </c>
      <c r="S82" t="s">
        <v>2380</v>
      </c>
      <c r="T82" t="s">
        <v>2383</v>
      </c>
      <c r="U82" s="8">
        <v>45940.389780092592</v>
      </c>
      <c r="V82" s="8">
        <v>45945.958333333336</v>
      </c>
      <c r="W82">
        <v>1</v>
      </c>
      <c r="X82">
        <v>3.1005902779999999</v>
      </c>
      <c r="Y82" t="s">
        <v>2579</v>
      </c>
      <c r="Z82" t="s">
        <v>3955</v>
      </c>
      <c r="AA82" t="s">
        <v>3956</v>
      </c>
      <c r="AB82" t="s">
        <v>1278</v>
      </c>
      <c r="AC82" t="s">
        <v>3957</v>
      </c>
      <c r="AD82" t="s">
        <v>2708</v>
      </c>
      <c r="AE82">
        <v>1</v>
      </c>
      <c r="AO82" t="s">
        <v>2720</v>
      </c>
      <c r="AP82" t="s">
        <v>2401</v>
      </c>
    </row>
    <row r="83" spans="1:42">
      <c r="A83" t="s">
        <v>419</v>
      </c>
      <c r="B83" t="s">
        <v>2377</v>
      </c>
      <c r="C83" t="s">
        <v>2691</v>
      </c>
      <c r="D83" t="s">
        <v>2379</v>
      </c>
      <c r="E83" t="s">
        <v>25</v>
      </c>
      <c r="F83" t="s">
        <v>2417</v>
      </c>
      <c r="G83" t="s">
        <v>25</v>
      </c>
      <c r="H83" t="b">
        <v>1</v>
      </c>
      <c r="I83" s="8">
        <v>45947.662986111114</v>
      </c>
      <c r="J83" t="s">
        <v>2380</v>
      </c>
      <c r="L83">
        <v>602392</v>
      </c>
      <c r="M83" t="s">
        <v>2381</v>
      </c>
      <c r="P83" t="s">
        <v>8040</v>
      </c>
      <c r="Q83" t="s">
        <v>2383</v>
      </c>
      <c r="R83">
        <v>1</v>
      </c>
      <c r="S83" t="s">
        <v>2380</v>
      </c>
      <c r="T83" t="s">
        <v>2383</v>
      </c>
      <c r="U83" s="8">
        <v>45940.406435185185</v>
      </c>
      <c r="V83" s="8">
        <v>45951.958333333336</v>
      </c>
      <c r="W83">
        <v>1</v>
      </c>
      <c r="X83">
        <v>5.2565509260000001</v>
      </c>
      <c r="Y83" t="s">
        <v>2418</v>
      </c>
      <c r="Z83" t="s">
        <v>8041</v>
      </c>
      <c r="AA83" t="s">
        <v>418</v>
      </c>
      <c r="AB83" t="s">
        <v>1278</v>
      </c>
      <c r="AC83" t="s">
        <v>8042</v>
      </c>
      <c r="AD83" t="s">
        <v>2708</v>
      </c>
      <c r="AE83">
        <v>1</v>
      </c>
      <c r="AO83" t="s">
        <v>4121</v>
      </c>
      <c r="AP83" t="s">
        <v>2401</v>
      </c>
    </row>
    <row r="84" spans="1:42">
      <c r="A84" t="s">
        <v>425</v>
      </c>
      <c r="B84" t="s">
        <v>2377</v>
      </c>
      <c r="C84" t="s">
        <v>2378</v>
      </c>
      <c r="D84" t="s">
        <v>2379</v>
      </c>
      <c r="E84" t="s">
        <v>25</v>
      </c>
      <c r="F84" t="s">
        <v>4112</v>
      </c>
      <c r="G84" t="s">
        <v>25</v>
      </c>
      <c r="H84" t="b">
        <v>1</v>
      </c>
      <c r="I84" s="8">
        <v>45945.436296296299</v>
      </c>
      <c r="J84" t="s">
        <v>2380</v>
      </c>
      <c r="L84">
        <v>606866</v>
      </c>
      <c r="M84" t="s">
        <v>2381</v>
      </c>
      <c r="N84">
        <v>10</v>
      </c>
      <c r="P84" t="s">
        <v>5030</v>
      </c>
      <c r="Q84" t="s">
        <v>2383</v>
      </c>
      <c r="R84">
        <v>1</v>
      </c>
      <c r="S84" t="s">
        <v>2380</v>
      </c>
      <c r="T84" t="s">
        <v>2383</v>
      </c>
      <c r="U84" s="8">
        <v>45940.408900462964</v>
      </c>
      <c r="V84" s="8">
        <v>45945.958333333336</v>
      </c>
      <c r="W84">
        <v>1</v>
      </c>
      <c r="X84">
        <v>3.0273958329999999</v>
      </c>
      <c r="Y84" t="s">
        <v>3901</v>
      </c>
      <c r="Z84" t="s">
        <v>5031</v>
      </c>
      <c r="AA84" t="s">
        <v>5032</v>
      </c>
      <c r="AB84" t="s">
        <v>1278</v>
      </c>
      <c r="AC84" t="s">
        <v>5033</v>
      </c>
      <c r="AD84" t="s">
        <v>2708</v>
      </c>
      <c r="AE84">
        <v>1</v>
      </c>
      <c r="AO84" t="s">
        <v>2715</v>
      </c>
      <c r="AP84" t="s">
        <v>2401</v>
      </c>
    </row>
    <row r="85" spans="1:42">
      <c r="A85" t="s">
        <v>775</v>
      </c>
      <c r="B85" t="s">
        <v>2377</v>
      </c>
      <c r="C85" t="s">
        <v>2438</v>
      </c>
      <c r="D85" t="s">
        <v>2379</v>
      </c>
      <c r="E85" t="s">
        <v>18</v>
      </c>
      <c r="F85" t="s">
        <v>3747</v>
      </c>
      <c r="G85" t="s">
        <v>2416</v>
      </c>
      <c r="H85" t="b">
        <v>1</v>
      </c>
      <c r="I85" s="8">
        <v>45940.526469907411</v>
      </c>
      <c r="J85" t="s">
        <v>2380</v>
      </c>
      <c r="L85">
        <v>609914</v>
      </c>
      <c r="M85" t="s">
        <v>2381</v>
      </c>
      <c r="P85" t="s">
        <v>2704</v>
      </c>
      <c r="Q85" t="s">
        <v>2383</v>
      </c>
      <c r="R85">
        <v>1</v>
      </c>
      <c r="S85" t="s">
        <v>2380</v>
      </c>
      <c r="T85" t="s">
        <v>2383</v>
      </c>
      <c r="U85" s="8">
        <v>45940.419131944444</v>
      </c>
      <c r="V85" s="8">
        <v>45945.958333333336</v>
      </c>
      <c r="W85">
        <v>1</v>
      </c>
      <c r="X85">
        <v>0.10733796299999999</v>
      </c>
      <c r="Y85" t="s">
        <v>3748</v>
      </c>
      <c r="Z85" t="s">
        <v>3999</v>
      </c>
      <c r="AA85" t="s">
        <v>3768</v>
      </c>
      <c r="AB85" t="s">
        <v>1278</v>
      </c>
      <c r="AC85" t="s">
        <v>4000</v>
      </c>
      <c r="AD85" t="s">
        <v>2708</v>
      </c>
      <c r="AE85">
        <v>1</v>
      </c>
      <c r="AO85" t="s">
        <v>2712</v>
      </c>
      <c r="AP85" t="s">
        <v>2401</v>
      </c>
    </row>
    <row r="86" spans="1:42">
      <c r="A86" t="s">
        <v>1090</v>
      </c>
      <c r="B86" t="s">
        <v>2377</v>
      </c>
      <c r="C86" t="s">
        <v>2378</v>
      </c>
      <c r="D86" t="s">
        <v>2379</v>
      </c>
      <c r="E86" t="s">
        <v>28</v>
      </c>
      <c r="F86" t="s">
        <v>2578</v>
      </c>
      <c r="G86" t="s">
        <v>28</v>
      </c>
      <c r="H86" t="b">
        <v>1</v>
      </c>
      <c r="I86" s="8">
        <v>45945.554398148146</v>
      </c>
      <c r="J86" t="s">
        <v>2380</v>
      </c>
      <c r="L86">
        <v>602833</v>
      </c>
      <c r="M86" t="s">
        <v>2381</v>
      </c>
      <c r="N86">
        <v>20</v>
      </c>
      <c r="P86" t="s">
        <v>6557</v>
      </c>
      <c r="Q86" t="s">
        <v>2383</v>
      </c>
      <c r="R86">
        <v>1</v>
      </c>
      <c r="S86" t="s">
        <v>2380</v>
      </c>
      <c r="T86" t="s">
        <v>2383</v>
      </c>
      <c r="U86" s="8">
        <v>45940.422592592593</v>
      </c>
      <c r="V86" s="8">
        <v>45945.958333333336</v>
      </c>
      <c r="W86">
        <v>1</v>
      </c>
      <c r="X86">
        <v>3.1318055560000002</v>
      </c>
      <c r="Y86" t="s">
        <v>2579</v>
      </c>
      <c r="Z86" t="s">
        <v>7266</v>
      </c>
      <c r="AA86" t="s">
        <v>6559</v>
      </c>
      <c r="AB86" t="s">
        <v>1278</v>
      </c>
      <c r="AC86" t="s">
        <v>7267</v>
      </c>
      <c r="AD86" t="s">
        <v>2708</v>
      </c>
      <c r="AE86">
        <v>1</v>
      </c>
      <c r="AO86" t="s">
        <v>2388</v>
      </c>
      <c r="AP86" t="s">
        <v>2401</v>
      </c>
    </row>
    <row r="87" spans="1:42">
      <c r="A87" t="s">
        <v>1640</v>
      </c>
      <c r="B87" t="s">
        <v>2377</v>
      </c>
      <c r="C87" t="s">
        <v>2415</v>
      </c>
      <c r="D87" t="s">
        <v>2379</v>
      </c>
      <c r="E87" t="s">
        <v>25</v>
      </c>
      <c r="F87" t="s">
        <v>3747</v>
      </c>
      <c r="G87" t="s">
        <v>25</v>
      </c>
      <c r="H87" t="b">
        <v>1</v>
      </c>
      <c r="I87" s="8">
        <v>45944.352824074071</v>
      </c>
      <c r="J87" t="s">
        <v>2380</v>
      </c>
      <c r="L87">
        <v>601299</v>
      </c>
      <c r="M87" t="s">
        <v>2381</v>
      </c>
      <c r="P87" t="s">
        <v>3773</v>
      </c>
      <c r="Q87" t="s">
        <v>2383</v>
      </c>
      <c r="R87">
        <v>1</v>
      </c>
      <c r="S87" t="s">
        <v>2380</v>
      </c>
      <c r="T87" t="s">
        <v>2383</v>
      </c>
      <c r="U87" s="8">
        <v>45940.425821759258</v>
      </c>
      <c r="V87" s="8">
        <v>45945.958333333336</v>
      </c>
      <c r="W87">
        <v>1</v>
      </c>
      <c r="X87">
        <v>1.927002315</v>
      </c>
      <c r="Y87" t="s">
        <v>3748</v>
      </c>
      <c r="Z87" t="s">
        <v>3774</v>
      </c>
      <c r="AA87" t="s">
        <v>3758</v>
      </c>
      <c r="AB87" t="s">
        <v>1278</v>
      </c>
      <c r="AC87" t="s">
        <v>3775</v>
      </c>
      <c r="AE87">
        <v>1</v>
      </c>
      <c r="AO87" t="s">
        <v>2712</v>
      </c>
      <c r="AP87" t="s">
        <v>2401</v>
      </c>
    </row>
    <row r="88" spans="1:42">
      <c r="A88" t="s">
        <v>666</v>
      </c>
      <c r="B88" t="s">
        <v>2377</v>
      </c>
      <c r="C88" t="s">
        <v>2378</v>
      </c>
      <c r="D88" t="s">
        <v>2379</v>
      </c>
      <c r="E88" t="s">
        <v>18</v>
      </c>
      <c r="F88" t="s">
        <v>2578</v>
      </c>
      <c r="G88" t="s">
        <v>2416</v>
      </c>
      <c r="H88" t="b">
        <v>1</v>
      </c>
      <c r="I88" s="8">
        <v>45945.443622685183</v>
      </c>
      <c r="J88" t="s">
        <v>2380</v>
      </c>
      <c r="L88">
        <v>603409</v>
      </c>
      <c r="M88" t="s">
        <v>2381</v>
      </c>
      <c r="P88" t="s">
        <v>4190</v>
      </c>
      <c r="Q88" t="s">
        <v>2383</v>
      </c>
      <c r="R88">
        <v>1</v>
      </c>
      <c r="S88" t="s">
        <v>2380</v>
      </c>
      <c r="T88" t="s">
        <v>2383</v>
      </c>
      <c r="U88" s="8">
        <v>45940.428333333337</v>
      </c>
      <c r="V88" s="8">
        <v>45945.958333333336</v>
      </c>
      <c r="W88">
        <v>1</v>
      </c>
      <c r="X88">
        <v>3.0152893519999999</v>
      </c>
      <c r="Y88" t="s">
        <v>2579</v>
      </c>
      <c r="Z88" t="s">
        <v>7483</v>
      </c>
      <c r="AA88" t="s">
        <v>7484</v>
      </c>
      <c r="AB88" t="s">
        <v>1278</v>
      </c>
      <c r="AC88" t="s">
        <v>7485</v>
      </c>
      <c r="AD88" t="s">
        <v>2708</v>
      </c>
      <c r="AE88">
        <v>1</v>
      </c>
      <c r="AO88" t="s">
        <v>2957</v>
      </c>
      <c r="AP88" t="s">
        <v>2401</v>
      </c>
    </row>
    <row r="89" spans="1:42">
      <c r="A89" t="s">
        <v>1584</v>
      </c>
      <c r="B89" t="s">
        <v>2389</v>
      </c>
      <c r="C89" t="s">
        <v>2390</v>
      </c>
      <c r="D89" t="s">
        <v>2379</v>
      </c>
      <c r="E89" t="s">
        <v>2452</v>
      </c>
      <c r="F89" t="s">
        <v>2417</v>
      </c>
      <c r="G89" t="s">
        <v>2452</v>
      </c>
      <c r="H89" t="b">
        <v>1</v>
      </c>
      <c r="I89" s="8">
        <v>45944.595567129632</v>
      </c>
      <c r="J89" t="s">
        <v>2380</v>
      </c>
      <c r="K89">
        <v>1202351</v>
      </c>
      <c r="L89">
        <v>606872</v>
      </c>
      <c r="M89" t="s">
        <v>2381</v>
      </c>
      <c r="P89" t="s">
        <v>5399</v>
      </c>
      <c r="Q89" t="s">
        <v>2383</v>
      </c>
      <c r="R89">
        <v>1</v>
      </c>
      <c r="S89" t="s">
        <v>2380</v>
      </c>
      <c r="T89" t="s">
        <v>2383</v>
      </c>
      <c r="U89" s="8">
        <v>45940.434502314813</v>
      </c>
      <c r="V89" s="8">
        <v>45945.958333333336</v>
      </c>
      <c r="W89">
        <v>1</v>
      </c>
      <c r="X89">
        <v>2.161064815</v>
      </c>
      <c r="Y89" t="s">
        <v>2418</v>
      </c>
      <c r="Z89" t="s">
        <v>5400</v>
      </c>
      <c r="AA89" t="s">
        <v>5401</v>
      </c>
      <c r="AB89" t="s">
        <v>1278</v>
      </c>
      <c r="AC89" t="s">
        <v>5402</v>
      </c>
      <c r="AD89" t="s">
        <v>2708</v>
      </c>
      <c r="AE89">
        <v>1</v>
      </c>
      <c r="AO89" t="s">
        <v>2408</v>
      </c>
      <c r="AP89" t="s">
        <v>2401</v>
      </c>
    </row>
    <row r="90" spans="1:42">
      <c r="A90" t="s">
        <v>702</v>
      </c>
      <c r="B90" t="s">
        <v>2377</v>
      </c>
      <c r="C90" t="s">
        <v>2378</v>
      </c>
      <c r="D90" t="s">
        <v>2379</v>
      </c>
      <c r="E90" t="s">
        <v>24</v>
      </c>
      <c r="F90" t="s">
        <v>2578</v>
      </c>
      <c r="G90" t="s">
        <v>24</v>
      </c>
      <c r="H90" t="b">
        <v>1</v>
      </c>
      <c r="I90" s="8">
        <v>45945.650543981479</v>
      </c>
      <c r="J90" t="s">
        <v>2380</v>
      </c>
      <c r="L90">
        <v>606840</v>
      </c>
      <c r="M90" t="s">
        <v>2381</v>
      </c>
      <c r="P90" t="s">
        <v>6545</v>
      </c>
      <c r="Q90" t="s">
        <v>2383</v>
      </c>
      <c r="R90">
        <v>1</v>
      </c>
      <c r="S90" t="s">
        <v>2380</v>
      </c>
      <c r="T90" t="s">
        <v>2383</v>
      </c>
      <c r="U90" s="8">
        <v>45940.43545138889</v>
      </c>
      <c r="V90" s="8">
        <v>45945.958333333336</v>
      </c>
      <c r="W90">
        <v>1</v>
      </c>
      <c r="X90">
        <v>3.2150925930000001</v>
      </c>
      <c r="Y90" t="s">
        <v>2579</v>
      </c>
      <c r="Z90" t="s">
        <v>6546</v>
      </c>
      <c r="AA90" t="s">
        <v>3240</v>
      </c>
      <c r="AB90" t="s">
        <v>1278</v>
      </c>
      <c r="AC90" t="s">
        <v>6547</v>
      </c>
      <c r="AD90" t="s">
        <v>2708</v>
      </c>
      <c r="AE90">
        <v>1</v>
      </c>
      <c r="AO90" t="s">
        <v>2388</v>
      </c>
      <c r="AP90" t="s">
        <v>2401</v>
      </c>
    </row>
    <row r="91" spans="1:42">
      <c r="A91" t="s">
        <v>411</v>
      </c>
      <c r="B91" t="s">
        <v>2377</v>
      </c>
      <c r="C91" t="s">
        <v>2415</v>
      </c>
      <c r="D91" t="s">
        <v>2379</v>
      </c>
      <c r="E91" t="s">
        <v>12</v>
      </c>
      <c r="F91" t="s">
        <v>2588</v>
      </c>
      <c r="G91" t="s">
        <v>12</v>
      </c>
      <c r="H91" t="b">
        <v>1</v>
      </c>
      <c r="I91" s="8">
        <v>45944.392314814817</v>
      </c>
      <c r="J91" t="s">
        <v>2380</v>
      </c>
      <c r="L91">
        <v>609702</v>
      </c>
      <c r="M91" t="s">
        <v>2381</v>
      </c>
      <c r="P91" t="s">
        <v>9802</v>
      </c>
      <c r="Q91" t="s">
        <v>2383</v>
      </c>
      <c r="R91">
        <v>1</v>
      </c>
      <c r="S91" t="s">
        <v>2380</v>
      </c>
      <c r="T91" t="s">
        <v>2383</v>
      </c>
      <c r="U91" s="8">
        <v>45940.43644675926</v>
      </c>
      <c r="V91" s="8">
        <v>45945.958333333336</v>
      </c>
      <c r="W91">
        <v>1</v>
      </c>
      <c r="X91">
        <v>1.9558680559999999</v>
      </c>
      <c r="Y91" t="s">
        <v>2579</v>
      </c>
      <c r="Z91" t="s">
        <v>9803</v>
      </c>
      <c r="AA91" t="s">
        <v>9804</v>
      </c>
      <c r="AB91" t="s">
        <v>1278</v>
      </c>
      <c r="AC91" t="s">
        <v>9797</v>
      </c>
      <c r="AD91" t="s">
        <v>2708</v>
      </c>
      <c r="AE91">
        <v>1</v>
      </c>
      <c r="AO91" t="s">
        <v>3644</v>
      </c>
      <c r="AP91" t="s">
        <v>2401</v>
      </c>
    </row>
    <row r="92" spans="1:42">
      <c r="A92" t="s">
        <v>1522</v>
      </c>
      <c r="B92" t="s">
        <v>2389</v>
      </c>
      <c r="C92" t="s">
        <v>2378</v>
      </c>
      <c r="D92" t="s">
        <v>2379</v>
      </c>
      <c r="E92" t="s">
        <v>12</v>
      </c>
      <c r="F92" t="s">
        <v>3193</v>
      </c>
      <c r="G92" t="s">
        <v>12</v>
      </c>
      <c r="H92" t="b">
        <v>1</v>
      </c>
      <c r="I92" s="8">
        <v>45945.452303240738</v>
      </c>
      <c r="J92" t="s">
        <v>2380</v>
      </c>
      <c r="K92">
        <v>1202446</v>
      </c>
      <c r="L92">
        <v>609841</v>
      </c>
      <c r="M92" t="s">
        <v>2381</v>
      </c>
      <c r="P92" t="s">
        <v>3681</v>
      </c>
      <c r="Q92" t="s">
        <v>2383</v>
      </c>
      <c r="R92">
        <v>1</v>
      </c>
      <c r="S92" t="s">
        <v>2380</v>
      </c>
      <c r="T92" t="s">
        <v>2383</v>
      </c>
      <c r="U92" s="8">
        <v>45940.437881944446</v>
      </c>
      <c r="V92" s="8">
        <v>45945.958333333336</v>
      </c>
      <c r="W92">
        <v>1</v>
      </c>
      <c r="X92">
        <v>3.0144212960000001</v>
      </c>
      <c r="Y92" t="s">
        <v>3194</v>
      </c>
      <c r="Z92" t="s">
        <v>9862</v>
      </c>
      <c r="AA92" t="s">
        <v>3683</v>
      </c>
      <c r="AB92" t="s">
        <v>1278</v>
      </c>
      <c r="AC92" t="s">
        <v>9863</v>
      </c>
      <c r="AD92" t="s">
        <v>2708</v>
      </c>
      <c r="AE92">
        <v>1</v>
      </c>
      <c r="AO92" t="s">
        <v>3644</v>
      </c>
      <c r="AP92" t="s">
        <v>2401</v>
      </c>
    </row>
    <row r="93" spans="1:42">
      <c r="A93" t="s">
        <v>664</v>
      </c>
      <c r="B93" t="s">
        <v>2377</v>
      </c>
      <c r="C93" t="s">
        <v>2390</v>
      </c>
      <c r="D93" t="s">
        <v>2379</v>
      </c>
      <c r="E93" t="s">
        <v>18</v>
      </c>
      <c r="F93" t="s">
        <v>2431</v>
      </c>
      <c r="G93" t="s">
        <v>2416</v>
      </c>
      <c r="H93" t="b">
        <v>1</v>
      </c>
      <c r="I93" s="8">
        <v>45945.432708333334</v>
      </c>
      <c r="J93" t="s">
        <v>2380</v>
      </c>
      <c r="L93">
        <v>609819</v>
      </c>
      <c r="M93" t="s">
        <v>2381</v>
      </c>
      <c r="P93" t="s">
        <v>4190</v>
      </c>
      <c r="Q93" t="s">
        <v>2383</v>
      </c>
      <c r="R93">
        <v>1</v>
      </c>
      <c r="S93" t="s">
        <v>2380</v>
      </c>
      <c r="T93" t="s">
        <v>2383</v>
      </c>
      <c r="U93" s="8">
        <v>45940.440486111111</v>
      </c>
      <c r="V93" s="8">
        <v>45945.958333333336</v>
      </c>
      <c r="W93">
        <v>1</v>
      </c>
      <c r="X93">
        <v>2.9922222220000001</v>
      </c>
      <c r="Y93" t="s">
        <v>2433</v>
      </c>
      <c r="Z93" t="s">
        <v>4191</v>
      </c>
      <c r="AA93" t="s">
        <v>4192</v>
      </c>
      <c r="AB93" t="s">
        <v>1278</v>
      </c>
      <c r="AC93" t="s">
        <v>4193</v>
      </c>
      <c r="AD93" t="s">
        <v>2708</v>
      </c>
      <c r="AE93">
        <v>1</v>
      </c>
      <c r="AO93" t="s">
        <v>2408</v>
      </c>
      <c r="AP93" t="s">
        <v>2401</v>
      </c>
    </row>
    <row r="94" spans="1:42">
      <c r="A94" t="s">
        <v>10118</v>
      </c>
      <c r="B94" t="s">
        <v>2389</v>
      </c>
      <c r="C94" t="s">
        <v>2390</v>
      </c>
      <c r="D94" t="s">
        <v>2379</v>
      </c>
      <c r="E94" t="s">
        <v>2452</v>
      </c>
      <c r="F94" t="s">
        <v>7566</v>
      </c>
      <c r="G94" t="s">
        <v>2452</v>
      </c>
      <c r="H94" t="b">
        <v>1</v>
      </c>
      <c r="I94" s="8">
        <v>45944.601863425924</v>
      </c>
      <c r="J94" t="s">
        <v>2380</v>
      </c>
      <c r="L94">
        <v>606984</v>
      </c>
      <c r="M94" t="s">
        <v>2381</v>
      </c>
      <c r="P94" t="s">
        <v>2670</v>
      </c>
      <c r="Q94" t="s">
        <v>2383</v>
      </c>
      <c r="R94">
        <v>1</v>
      </c>
      <c r="S94" t="s">
        <v>2380</v>
      </c>
      <c r="T94" t="s">
        <v>2383</v>
      </c>
      <c r="U94" s="8">
        <v>45940.455821759257</v>
      </c>
      <c r="V94" s="8">
        <v>45945.958333333336</v>
      </c>
      <c r="W94">
        <v>1</v>
      </c>
      <c r="X94">
        <v>2.146041667</v>
      </c>
      <c r="Y94" t="s">
        <v>7567</v>
      </c>
      <c r="Z94" t="s">
        <v>10119</v>
      </c>
      <c r="AA94" t="s">
        <v>7570</v>
      </c>
      <c r="AB94" t="s">
        <v>1278</v>
      </c>
      <c r="AC94" t="s">
        <v>10120</v>
      </c>
      <c r="AE94">
        <v>1</v>
      </c>
      <c r="AO94" t="s">
        <v>2957</v>
      </c>
      <c r="AP94" t="s">
        <v>2401</v>
      </c>
    </row>
    <row r="95" spans="1:42">
      <c r="A95" t="s">
        <v>421</v>
      </c>
      <c r="B95" t="s">
        <v>2377</v>
      </c>
      <c r="C95" t="s">
        <v>2390</v>
      </c>
      <c r="D95" t="s">
        <v>2379</v>
      </c>
      <c r="E95" t="s">
        <v>18</v>
      </c>
      <c r="F95" t="s">
        <v>2578</v>
      </c>
      <c r="G95" t="s">
        <v>2416</v>
      </c>
      <c r="H95" t="b">
        <v>1</v>
      </c>
      <c r="I95" s="8">
        <v>45945.409155092595</v>
      </c>
      <c r="J95" t="s">
        <v>2380</v>
      </c>
      <c r="L95">
        <v>609621</v>
      </c>
      <c r="M95" t="s">
        <v>2381</v>
      </c>
      <c r="P95" t="s">
        <v>6582</v>
      </c>
      <c r="Q95" t="s">
        <v>2383</v>
      </c>
      <c r="R95">
        <v>1</v>
      </c>
      <c r="S95" t="s">
        <v>2380</v>
      </c>
      <c r="T95" t="s">
        <v>2383</v>
      </c>
      <c r="U95" s="8">
        <v>45940.455358796295</v>
      </c>
      <c r="V95" s="8">
        <v>45945.958333333336</v>
      </c>
      <c r="W95">
        <v>1</v>
      </c>
      <c r="X95">
        <v>2.9537962960000002</v>
      </c>
      <c r="Y95" t="s">
        <v>2579</v>
      </c>
      <c r="Z95" t="s">
        <v>6583</v>
      </c>
      <c r="AA95" t="s">
        <v>1298</v>
      </c>
      <c r="AB95" t="s">
        <v>1278</v>
      </c>
      <c r="AC95" t="s">
        <v>6584</v>
      </c>
      <c r="AD95" t="s">
        <v>2708</v>
      </c>
      <c r="AE95">
        <v>1</v>
      </c>
      <c r="AO95" t="s">
        <v>2388</v>
      </c>
      <c r="AP95" t="s">
        <v>2401</v>
      </c>
    </row>
    <row r="96" spans="1:42">
      <c r="A96" t="s">
        <v>698</v>
      </c>
      <c r="B96" t="s">
        <v>2377</v>
      </c>
      <c r="C96" t="s">
        <v>2378</v>
      </c>
      <c r="D96" t="s">
        <v>2379</v>
      </c>
      <c r="E96" t="s">
        <v>12</v>
      </c>
      <c r="F96" t="s">
        <v>2588</v>
      </c>
      <c r="G96" t="s">
        <v>12</v>
      </c>
      <c r="H96" t="b">
        <v>1</v>
      </c>
      <c r="I96" s="8">
        <v>45945.587291666663</v>
      </c>
      <c r="J96" t="s">
        <v>2380</v>
      </c>
      <c r="L96">
        <v>603990</v>
      </c>
      <c r="M96" t="s">
        <v>2381</v>
      </c>
      <c r="P96" t="s">
        <v>8802</v>
      </c>
      <c r="Q96" t="s">
        <v>2383</v>
      </c>
      <c r="R96">
        <v>1</v>
      </c>
      <c r="S96" t="s">
        <v>2380</v>
      </c>
      <c r="T96" t="s">
        <v>2383</v>
      </c>
      <c r="U96" s="8">
        <v>45940.45648148148</v>
      </c>
      <c r="V96" s="8">
        <v>45945.958333333336</v>
      </c>
      <c r="W96">
        <v>1</v>
      </c>
      <c r="X96">
        <v>3.1308101850000001</v>
      </c>
      <c r="Y96" t="s">
        <v>2579</v>
      </c>
      <c r="Z96" t="s">
        <v>9818</v>
      </c>
      <c r="AA96" t="s">
        <v>8908</v>
      </c>
      <c r="AB96" t="s">
        <v>1278</v>
      </c>
      <c r="AC96" t="s">
        <v>9794</v>
      </c>
      <c r="AD96" t="s">
        <v>2708</v>
      </c>
      <c r="AE96">
        <v>1</v>
      </c>
      <c r="AO96" t="s">
        <v>3644</v>
      </c>
      <c r="AP96" t="s">
        <v>2401</v>
      </c>
    </row>
    <row r="97" spans="1:42">
      <c r="A97" t="s">
        <v>891</v>
      </c>
      <c r="B97" t="s">
        <v>2377</v>
      </c>
      <c r="C97" t="s">
        <v>2415</v>
      </c>
      <c r="D97" t="s">
        <v>2379</v>
      </c>
      <c r="E97" t="s">
        <v>25</v>
      </c>
      <c r="F97" t="s">
        <v>2578</v>
      </c>
      <c r="G97" t="s">
        <v>25</v>
      </c>
      <c r="H97" t="b">
        <v>1</v>
      </c>
      <c r="I97" s="8">
        <v>45943.485509259262</v>
      </c>
      <c r="J97" t="s">
        <v>2380</v>
      </c>
      <c r="L97">
        <v>603549</v>
      </c>
      <c r="M97" t="s">
        <v>2381</v>
      </c>
      <c r="N97">
        <v>10</v>
      </c>
      <c r="P97" t="s">
        <v>7172</v>
      </c>
      <c r="Q97" t="s">
        <v>2383</v>
      </c>
      <c r="R97">
        <v>1</v>
      </c>
      <c r="S97" t="s">
        <v>2380</v>
      </c>
      <c r="T97" t="s">
        <v>2383</v>
      </c>
      <c r="U97" s="8">
        <v>45940.470960648148</v>
      </c>
      <c r="V97" s="8">
        <v>45945.958333333336</v>
      </c>
      <c r="W97">
        <v>1</v>
      </c>
      <c r="X97">
        <v>1.0145486109999999</v>
      </c>
      <c r="Y97" t="s">
        <v>2579</v>
      </c>
      <c r="Z97" t="s">
        <v>7194</v>
      </c>
      <c r="AA97" t="s">
        <v>7174</v>
      </c>
      <c r="AB97" t="s">
        <v>1278</v>
      </c>
      <c r="AC97" t="s">
        <v>7195</v>
      </c>
      <c r="AD97" t="s">
        <v>2708</v>
      </c>
      <c r="AE97">
        <v>1</v>
      </c>
      <c r="AO97" t="s">
        <v>2388</v>
      </c>
      <c r="AP97" t="s">
        <v>2401</v>
      </c>
    </row>
    <row r="98" spans="1:42">
      <c r="A98" t="s">
        <v>783</v>
      </c>
      <c r="B98" t="s">
        <v>2377</v>
      </c>
      <c r="C98" t="s">
        <v>2378</v>
      </c>
      <c r="D98" t="s">
        <v>2379</v>
      </c>
      <c r="E98" t="s">
        <v>24</v>
      </c>
      <c r="F98" t="s">
        <v>3891</v>
      </c>
      <c r="G98" t="s">
        <v>24</v>
      </c>
      <c r="H98" t="b">
        <v>1</v>
      </c>
      <c r="I98" s="8">
        <v>45945.686967592592</v>
      </c>
      <c r="J98" t="s">
        <v>2380</v>
      </c>
      <c r="L98">
        <v>602238</v>
      </c>
      <c r="M98" t="s">
        <v>2381</v>
      </c>
      <c r="P98" t="s">
        <v>3896</v>
      </c>
      <c r="Q98" t="s">
        <v>2383</v>
      </c>
      <c r="R98">
        <v>1</v>
      </c>
      <c r="S98" t="s">
        <v>2380</v>
      </c>
      <c r="T98" t="s">
        <v>2383</v>
      </c>
      <c r="U98" s="8">
        <v>45940.474386574075</v>
      </c>
      <c r="V98" s="8">
        <v>45945.958333333336</v>
      </c>
      <c r="W98">
        <v>1</v>
      </c>
      <c r="X98">
        <v>3.2125810189999999</v>
      </c>
      <c r="Y98" t="s">
        <v>3892</v>
      </c>
      <c r="Z98" t="s">
        <v>4906</v>
      </c>
      <c r="AA98" t="s">
        <v>4907</v>
      </c>
      <c r="AB98" t="s">
        <v>1278</v>
      </c>
      <c r="AC98" t="s">
        <v>4908</v>
      </c>
      <c r="AD98" t="s">
        <v>2708</v>
      </c>
      <c r="AE98">
        <v>1</v>
      </c>
      <c r="AO98" t="s">
        <v>2715</v>
      </c>
      <c r="AP98" t="s">
        <v>2401</v>
      </c>
    </row>
    <row r="99" spans="1:42">
      <c r="A99" t="s">
        <v>1526</v>
      </c>
      <c r="B99" t="s">
        <v>2389</v>
      </c>
      <c r="C99" t="s">
        <v>2390</v>
      </c>
      <c r="D99" t="s">
        <v>2379</v>
      </c>
      <c r="E99" t="s">
        <v>12</v>
      </c>
      <c r="F99" t="s">
        <v>2431</v>
      </c>
      <c r="G99" t="s">
        <v>12</v>
      </c>
      <c r="H99" t="b">
        <v>1</v>
      </c>
      <c r="I99" s="8">
        <v>45945.448831018519</v>
      </c>
      <c r="J99" t="s">
        <v>2380</v>
      </c>
      <c r="K99">
        <v>4005561</v>
      </c>
      <c r="L99">
        <v>602631</v>
      </c>
      <c r="M99" t="s">
        <v>2381</v>
      </c>
      <c r="P99" t="s">
        <v>3740</v>
      </c>
      <c r="Q99" t="s">
        <v>2383</v>
      </c>
      <c r="R99">
        <v>1</v>
      </c>
      <c r="S99" t="s">
        <v>2380</v>
      </c>
      <c r="T99" t="s">
        <v>2383</v>
      </c>
      <c r="U99" s="8">
        <v>45940.487546296295</v>
      </c>
      <c r="V99" s="8">
        <v>45945.958333333336</v>
      </c>
      <c r="W99">
        <v>1</v>
      </c>
      <c r="X99">
        <v>2.9612847219999998</v>
      </c>
      <c r="Y99" t="s">
        <v>2433</v>
      </c>
      <c r="Z99" t="s">
        <v>3978</v>
      </c>
      <c r="AA99" t="s">
        <v>1300</v>
      </c>
      <c r="AB99" t="s">
        <v>1278</v>
      </c>
      <c r="AC99" t="s">
        <v>3979</v>
      </c>
      <c r="AD99" t="s">
        <v>2708</v>
      </c>
      <c r="AE99">
        <v>1</v>
      </c>
      <c r="AO99" t="s">
        <v>2720</v>
      </c>
      <c r="AP99" t="s">
        <v>2401</v>
      </c>
    </row>
    <row r="100" spans="1:42">
      <c r="A100" t="s">
        <v>1669</v>
      </c>
      <c r="B100" t="s">
        <v>2389</v>
      </c>
      <c r="C100" t="s">
        <v>2415</v>
      </c>
      <c r="D100" t="s">
        <v>2379</v>
      </c>
      <c r="E100" t="s">
        <v>307</v>
      </c>
      <c r="F100">
        <v>4056</v>
      </c>
      <c r="G100" t="s">
        <v>307</v>
      </c>
      <c r="H100" t="b">
        <v>1</v>
      </c>
      <c r="I100" s="8">
        <v>45943.62572916667</v>
      </c>
      <c r="J100" t="s">
        <v>2380</v>
      </c>
      <c r="K100">
        <v>1202032</v>
      </c>
      <c r="L100">
        <v>603473</v>
      </c>
      <c r="M100" t="s">
        <v>2381</v>
      </c>
      <c r="P100" t="s">
        <v>6782</v>
      </c>
      <c r="Q100" t="s">
        <v>2383</v>
      </c>
      <c r="R100">
        <v>1</v>
      </c>
      <c r="S100" t="s">
        <v>2380</v>
      </c>
      <c r="T100" t="s">
        <v>2383</v>
      </c>
      <c r="U100" s="8">
        <v>45940.496678240743</v>
      </c>
      <c r="V100" s="8">
        <v>45945.958333333336</v>
      </c>
      <c r="W100">
        <v>1</v>
      </c>
      <c r="X100">
        <v>1.1290509259999999</v>
      </c>
      <c r="Y100" t="s">
        <v>3379</v>
      </c>
      <c r="Z100" t="s">
        <v>6783</v>
      </c>
      <c r="AA100" t="s">
        <v>6784</v>
      </c>
      <c r="AB100" t="s">
        <v>1278</v>
      </c>
      <c r="AC100" t="s">
        <v>6785</v>
      </c>
      <c r="AD100" t="s">
        <v>2708</v>
      </c>
      <c r="AE100">
        <v>1</v>
      </c>
      <c r="AO100" t="s">
        <v>2388</v>
      </c>
      <c r="AP100" t="s">
        <v>2401</v>
      </c>
    </row>
    <row r="101" spans="1:42">
      <c r="A101" t="s">
        <v>660</v>
      </c>
      <c r="B101" t="s">
        <v>2377</v>
      </c>
      <c r="C101" t="s">
        <v>2390</v>
      </c>
      <c r="D101" t="s">
        <v>2379</v>
      </c>
      <c r="E101" t="s">
        <v>25</v>
      </c>
      <c r="F101" t="s">
        <v>3891</v>
      </c>
      <c r="G101" t="s">
        <v>25</v>
      </c>
      <c r="H101" t="b">
        <v>1</v>
      </c>
      <c r="I101" s="8">
        <v>45944.602407407408</v>
      </c>
      <c r="J101" t="s">
        <v>2380</v>
      </c>
      <c r="L101">
        <v>606860</v>
      </c>
      <c r="M101" t="s">
        <v>2381</v>
      </c>
      <c r="N101">
        <v>5</v>
      </c>
      <c r="P101" t="s">
        <v>3896</v>
      </c>
      <c r="Q101" t="s">
        <v>2383</v>
      </c>
      <c r="R101">
        <v>1</v>
      </c>
      <c r="S101" t="s">
        <v>2380</v>
      </c>
      <c r="T101" t="s">
        <v>2383</v>
      </c>
      <c r="U101" s="8">
        <v>45940.497361111113</v>
      </c>
      <c r="V101" s="8">
        <v>45945.958333333336</v>
      </c>
      <c r="W101">
        <v>1</v>
      </c>
      <c r="X101">
        <v>2.1050462959999998</v>
      </c>
      <c r="Y101" t="s">
        <v>3892</v>
      </c>
      <c r="Z101" t="s">
        <v>5070</v>
      </c>
      <c r="AA101" t="s">
        <v>3898</v>
      </c>
      <c r="AB101" t="s">
        <v>1278</v>
      </c>
      <c r="AC101" t="s">
        <v>4945</v>
      </c>
      <c r="AD101" t="s">
        <v>2708</v>
      </c>
      <c r="AE101">
        <v>1</v>
      </c>
      <c r="AO101" t="s">
        <v>2715</v>
      </c>
      <c r="AP101" t="s">
        <v>2401</v>
      </c>
    </row>
    <row r="102" spans="1:42">
      <c r="A102" t="s">
        <v>29</v>
      </c>
      <c r="B102" t="s">
        <v>2377</v>
      </c>
      <c r="C102" t="s">
        <v>2378</v>
      </c>
      <c r="D102" t="s">
        <v>2379</v>
      </c>
      <c r="E102" t="s">
        <v>28</v>
      </c>
      <c r="F102" t="s">
        <v>4946</v>
      </c>
      <c r="G102" t="s">
        <v>28</v>
      </c>
      <c r="H102" t="b">
        <v>1</v>
      </c>
      <c r="I102" s="8">
        <v>45945.644004629627</v>
      </c>
      <c r="J102" t="s">
        <v>2380</v>
      </c>
      <c r="L102">
        <v>605521</v>
      </c>
      <c r="M102" t="s">
        <v>2381</v>
      </c>
      <c r="N102">
        <v>15</v>
      </c>
      <c r="P102" t="s">
        <v>3896</v>
      </c>
      <c r="Q102" t="s">
        <v>2383</v>
      </c>
      <c r="R102">
        <v>1</v>
      </c>
      <c r="S102" t="s">
        <v>2380</v>
      </c>
      <c r="T102" t="s">
        <v>2383</v>
      </c>
      <c r="U102" s="8">
        <v>45940.514675925922</v>
      </c>
      <c r="V102" s="8">
        <v>45945.958333333336</v>
      </c>
      <c r="W102">
        <v>1</v>
      </c>
      <c r="X102">
        <v>3.1293287040000002</v>
      </c>
      <c r="Y102" t="s">
        <v>4947</v>
      </c>
      <c r="Z102" t="s">
        <v>5051</v>
      </c>
      <c r="AA102" t="s">
        <v>4949</v>
      </c>
      <c r="AB102" t="s">
        <v>1278</v>
      </c>
      <c r="AC102" t="s">
        <v>3066</v>
      </c>
      <c r="AD102" t="s">
        <v>2708</v>
      </c>
      <c r="AE102">
        <v>1</v>
      </c>
      <c r="AO102" t="s">
        <v>2715</v>
      </c>
      <c r="AP102" t="s">
        <v>2401</v>
      </c>
    </row>
    <row r="103" spans="1:42">
      <c r="A103" t="s">
        <v>31</v>
      </c>
      <c r="B103" t="s">
        <v>2377</v>
      </c>
      <c r="C103" t="s">
        <v>2378</v>
      </c>
      <c r="D103" t="s">
        <v>2379</v>
      </c>
      <c r="E103" t="s">
        <v>28</v>
      </c>
      <c r="F103" t="s">
        <v>4946</v>
      </c>
      <c r="G103" t="s">
        <v>28</v>
      </c>
      <c r="H103" t="b">
        <v>1</v>
      </c>
      <c r="I103" s="8">
        <v>45945.652118055557</v>
      </c>
      <c r="J103" t="s">
        <v>2380</v>
      </c>
      <c r="L103">
        <v>605521</v>
      </c>
      <c r="M103" t="s">
        <v>2381</v>
      </c>
      <c r="N103">
        <v>15</v>
      </c>
      <c r="P103" t="s">
        <v>3896</v>
      </c>
      <c r="Q103" t="s">
        <v>2383</v>
      </c>
      <c r="R103">
        <v>1</v>
      </c>
      <c r="S103" t="s">
        <v>2380</v>
      </c>
      <c r="T103" t="s">
        <v>2383</v>
      </c>
      <c r="U103" s="8">
        <v>45940.521504629629</v>
      </c>
      <c r="V103" s="8">
        <v>45945.958333333336</v>
      </c>
      <c r="W103">
        <v>1</v>
      </c>
      <c r="X103">
        <v>3.130613426</v>
      </c>
      <c r="Y103" t="s">
        <v>4947</v>
      </c>
      <c r="Z103" t="s">
        <v>5052</v>
      </c>
      <c r="AA103" t="s">
        <v>4949</v>
      </c>
      <c r="AB103" t="s">
        <v>1278</v>
      </c>
      <c r="AC103" t="s">
        <v>3066</v>
      </c>
      <c r="AD103" t="s">
        <v>2708</v>
      </c>
      <c r="AE103">
        <v>1</v>
      </c>
      <c r="AO103" t="s">
        <v>2715</v>
      </c>
      <c r="AP103" t="s">
        <v>2401</v>
      </c>
    </row>
    <row r="104" spans="1:42">
      <c r="A104" t="s">
        <v>417</v>
      </c>
      <c r="B104" t="s">
        <v>2377</v>
      </c>
      <c r="C104" t="s">
        <v>2390</v>
      </c>
      <c r="D104" t="s">
        <v>2379</v>
      </c>
      <c r="E104" t="s">
        <v>25</v>
      </c>
      <c r="F104" t="s">
        <v>2588</v>
      </c>
      <c r="G104" t="s">
        <v>25</v>
      </c>
      <c r="H104" t="b">
        <v>1</v>
      </c>
      <c r="I104" s="8">
        <v>45944.684282407405</v>
      </c>
      <c r="J104" t="s">
        <v>2380</v>
      </c>
      <c r="L104">
        <v>602039</v>
      </c>
      <c r="M104" t="s">
        <v>2381</v>
      </c>
      <c r="N104">
        <v>10</v>
      </c>
      <c r="P104" t="s">
        <v>7183</v>
      </c>
      <c r="Q104" t="s">
        <v>2383</v>
      </c>
      <c r="R104">
        <v>1</v>
      </c>
      <c r="S104" t="s">
        <v>2380</v>
      </c>
      <c r="T104" t="s">
        <v>2383</v>
      </c>
      <c r="U104" s="8">
        <v>45940.531585648147</v>
      </c>
      <c r="V104" s="8">
        <v>45945.958333333336</v>
      </c>
      <c r="W104">
        <v>1</v>
      </c>
      <c r="X104">
        <v>2.1526967589999999</v>
      </c>
      <c r="Y104" t="s">
        <v>2579</v>
      </c>
      <c r="Z104" t="s">
        <v>7184</v>
      </c>
      <c r="AA104" t="s">
        <v>1558</v>
      </c>
      <c r="AB104" t="s">
        <v>1278</v>
      </c>
      <c r="AC104" t="s">
        <v>7185</v>
      </c>
      <c r="AD104" t="s">
        <v>2708</v>
      </c>
      <c r="AE104">
        <v>1</v>
      </c>
      <c r="AO104" t="s">
        <v>2388</v>
      </c>
      <c r="AP104" t="s">
        <v>2401</v>
      </c>
    </row>
    <row r="105" spans="1:42">
      <c r="A105" t="s">
        <v>1576</v>
      </c>
      <c r="B105" t="s">
        <v>2389</v>
      </c>
      <c r="C105" t="s">
        <v>2390</v>
      </c>
      <c r="D105" t="s">
        <v>2379</v>
      </c>
      <c r="E105" t="s">
        <v>2452</v>
      </c>
      <c r="F105" t="s">
        <v>2402</v>
      </c>
      <c r="G105" t="s">
        <v>2452</v>
      </c>
      <c r="H105" t="b">
        <v>1</v>
      </c>
      <c r="I105" s="8">
        <v>45944.609525462962</v>
      </c>
      <c r="J105" t="s">
        <v>2380</v>
      </c>
      <c r="L105">
        <v>603485</v>
      </c>
      <c r="M105" t="s">
        <v>2381</v>
      </c>
      <c r="P105" t="s">
        <v>2861</v>
      </c>
      <c r="Q105" t="s">
        <v>2383</v>
      </c>
      <c r="R105">
        <v>1</v>
      </c>
      <c r="S105" t="s">
        <v>2380</v>
      </c>
      <c r="T105" t="s">
        <v>2383</v>
      </c>
      <c r="U105" s="8">
        <v>45940.533518518518</v>
      </c>
      <c r="V105" s="8">
        <v>45945.958333333336</v>
      </c>
      <c r="W105">
        <v>1</v>
      </c>
      <c r="X105">
        <v>2.076006944</v>
      </c>
      <c r="Y105" t="s">
        <v>2403</v>
      </c>
      <c r="Z105" t="s">
        <v>2862</v>
      </c>
      <c r="AA105" t="s">
        <v>2863</v>
      </c>
      <c r="AB105" t="s">
        <v>1278</v>
      </c>
      <c r="AC105" t="s">
        <v>2864</v>
      </c>
      <c r="AE105">
        <v>1</v>
      </c>
      <c r="AO105" t="s">
        <v>2408</v>
      </c>
      <c r="AP105" t="s">
        <v>2401</v>
      </c>
    </row>
    <row r="106" spans="1:42">
      <c r="A106" t="s">
        <v>636</v>
      </c>
      <c r="B106" t="s">
        <v>2377</v>
      </c>
      <c r="C106" t="s">
        <v>2415</v>
      </c>
      <c r="D106" t="s">
        <v>2379</v>
      </c>
      <c r="E106" t="s">
        <v>12</v>
      </c>
      <c r="F106" t="s">
        <v>2588</v>
      </c>
      <c r="G106" t="s">
        <v>12</v>
      </c>
      <c r="H106" t="b">
        <v>1</v>
      </c>
      <c r="I106" s="8">
        <v>45944.400138888886</v>
      </c>
      <c r="J106" t="s">
        <v>2380</v>
      </c>
      <c r="L106">
        <v>609700</v>
      </c>
      <c r="M106" t="s">
        <v>2381</v>
      </c>
      <c r="P106" t="s">
        <v>9819</v>
      </c>
      <c r="Q106" t="s">
        <v>2383</v>
      </c>
      <c r="R106">
        <v>1</v>
      </c>
      <c r="S106" t="s">
        <v>2380</v>
      </c>
      <c r="T106" t="s">
        <v>2383</v>
      </c>
      <c r="U106" s="8">
        <v>45940.53633101852</v>
      </c>
      <c r="V106" s="8">
        <v>45945.958333333336</v>
      </c>
      <c r="W106">
        <v>1</v>
      </c>
      <c r="X106">
        <v>1.86380787</v>
      </c>
      <c r="Y106" t="s">
        <v>2579</v>
      </c>
      <c r="Z106" t="s">
        <v>9820</v>
      </c>
      <c r="AA106" t="s">
        <v>9821</v>
      </c>
      <c r="AB106" t="s">
        <v>1278</v>
      </c>
      <c r="AC106" t="s">
        <v>9822</v>
      </c>
      <c r="AD106" t="s">
        <v>2708</v>
      </c>
      <c r="AE106">
        <v>1</v>
      </c>
      <c r="AO106" t="s">
        <v>3644</v>
      </c>
      <c r="AP106" t="s">
        <v>2401</v>
      </c>
    </row>
    <row r="107" spans="1:42">
      <c r="A107" t="s">
        <v>1572</v>
      </c>
      <c r="B107" t="s">
        <v>2389</v>
      </c>
      <c r="C107" t="s">
        <v>2390</v>
      </c>
      <c r="D107" t="s">
        <v>2379</v>
      </c>
      <c r="E107" t="s">
        <v>2452</v>
      </c>
      <c r="F107" t="s">
        <v>2402</v>
      </c>
      <c r="G107" t="s">
        <v>2452</v>
      </c>
      <c r="H107" t="b">
        <v>1</v>
      </c>
      <c r="I107" s="8">
        <v>45944.619247685187</v>
      </c>
      <c r="J107" t="s">
        <v>2380</v>
      </c>
      <c r="L107">
        <v>603485</v>
      </c>
      <c r="M107" t="s">
        <v>2381</v>
      </c>
      <c r="P107" t="s">
        <v>2861</v>
      </c>
      <c r="Q107" t="s">
        <v>2383</v>
      </c>
      <c r="R107">
        <v>1</v>
      </c>
      <c r="S107" t="s">
        <v>2380</v>
      </c>
      <c r="T107" t="s">
        <v>2383</v>
      </c>
      <c r="U107" s="8">
        <v>45940.542314814818</v>
      </c>
      <c r="V107" s="8">
        <v>45945.958333333336</v>
      </c>
      <c r="W107">
        <v>1</v>
      </c>
      <c r="X107">
        <v>2.0769328699999998</v>
      </c>
      <c r="Y107" t="s">
        <v>2403</v>
      </c>
      <c r="Z107" t="s">
        <v>2865</v>
      </c>
      <c r="AA107" t="s">
        <v>2863</v>
      </c>
      <c r="AB107" t="s">
        <v>1278</v>
      </c>
      <c r="AC107" t="s">
        <v>2866</v>
      </c>
      <c r="AE107">
        <v>1</v>
      </c>
      <c r="AO107" t="s">
        <v>2408</v>
      </c>
      <c r="AP107" t="s">
        <v>2401</v>
      </c>
    </row>
    <row r="108" spans="1:42">
      <c r="A108" t="s">
        <v>1463</v>
      </c>
      <c r="B108" t="s">
        <v>2377</v>
      </c>
      <c r="C108" t="s">
        <v>2378</v>
      </c>
      <c r="D108" t="s">
        <v>2379</v>
      </c>
      <c r="E108" t="s">
        <v>33</v>
      </c>
      <c r="F108" t="s">
        <v>3900</v>
      </c>
      <c r="G108" t="s">
        <v>33</v>
      </c>
      <c r="H108" t="b">
        <v>1</v>
      </c>
      <c r="I108" s="8">
        <v>45945.652372685188</v>
      </c>
      <c r="J108" t="s">
        <v>2380</v>
      </c>
      <c r="L108">
        <v>609069</v>
      </c>
      <c r="M108" t="s">
        <v>2381</v>
      </c>
      <c r="P108" t="s">
        <v>2704</v>
      </c>
      <c r="Q108" t="s">
        <v>2383</v>
      </c>
      <c r="R108">
        <v>1</v>
      </c>
      <c r="S108" t="s">
        <v>2380</v>
      </c>
      <c r="T108" t="s">
        <v>2383</v>
      </c>
      <c r="U108" s="8">
        <v>45940.564629629633</v>
      </c>
      <c r="V108" s="8">
        <v>45945.958333333336</v>
      </c>
      <c r="W108">
        <v>1</v>
      </c>
      <c r="X108">
        <v>3.0877430559999999</v>
      </c>
      <c r="Y108" t="s">
        <v>3901</v>
      </c>
      <c r="Z108" t="s">
        <v>9538</v>
      </c>
      <c r="AA108" t="s">
        <v>3904</v>
      </c>
      <c r="AB108" t="s">
        <v>1278</v>
      </c>
      <c r="AC108" t="s">
        <v>9539</v>
      </c>
      <c r="AE108">
        <v>1</v>
      </c>
      <c r="AH108" t="s">
        <v>12</v>
      </c>
      <c r="AI108" s="8">
        <v>45945.433368055557</v>
      </c>
      <c r="AK108" t="s">
        <v>2719</v>
      </c>
      <c r="AL108" t="s">
        <v>5161</v>
      </c>
      <c r="AM108" t="s">
        <v>5174</v>
      </c>
      <c r="AO108" t="s">
        <v>2715</v>
      </c>
      <c r="AP108" t="s">
        <v>2401</v>
      </c>
    </row>
    <row r="109" spans="1:42">
      <c r="A109" t="s">
        <v>1707</v>
      </c>
      <c r="B109" t="s">
        <v>2389</v>
      </c>
      <c r="C109" t="s">
        <v>2438</v>
      </c>
      <c r="D109" t="s">
        <v>2379</v>
      </c>
      <c r="E109" t="s">
        <v>307</v>
      </c>
      <c r="F109" t="s">
        <v>2578</v>
      </c>
      <c r="G109" t="s">
        <v>307</v>
      </c>
      <c r="H109" t="b">
        <v>1</v>
      </c>
      <c r="I109" s="8">
        <v>45942.551493055558</v>
      </c>
      <c r="J109" t="s">
        <v>2380</v>
      </c>
      <c r="K109">
        <v>1201736</v>
      </c>
      <c r="L109">
        <v>603409</v>
      </c>
      <c r="M109" t="s">
        <v>2381</v>
      </c>
      <c r="P109" t="s">
        <v>4190</v>
      </c>
      <c r="Q109" t="s">
        <v>2383</v>
      </c>
      <c r="R109">
        <v>1</v>
      </c>
      <c r="S109" t="s">
        <v>2380</v>
      </c>
      <c r="T109" t="s">
        <v>2383</v>
      </c>
      <c r="U109" s="8">
        <v>45940.587673611109</v>
      </c>
      <c r="V109" s="8">
        <v>45945.958333333336</v>
      </c>
      <c r="W109">
        <v>1</v>
      </c>
      <c r="X109">
        <v>-3.6180556000000003E-2</v>
      </c>
      <c r="Y109" t="s">
        <v>2579</v>
      </c>
      <c r="Z109" t="s">
        <v>7571</v>
      </c>
      <c r="AA109" t="s">
        <v>7484</v>
      </c>
      <c r="AB109" t="s">
        <v>1278</v>
      </c>
      <c r="AC109" t="s">
        <v>7572</v>
      </c>
      <c r="AD109" t="s">
        <v>2708</v>
      </c>
      <c r="AE109">
        <v>1</v>
      </c>
      <c r="AO109" t="s">
        <v>2957</v>
      </c>
      <c r="AP109" t="s">
        <v>2401</v>
      </c>
    </row>
    <row r="110" spans="1:42">
      <c r="A110" t="s">
        <v>656</v>
      </c>
      <c r="B110" t="s">
        <v>2377</v>
      </c>
      <c r="C110" t="s">
        <v>2415</v>
      </c>
      <c r="D110" t="s">
        <v>2379</v>
      </c>
      <c r="E110" t="s">
        <v>25</v>
      </c>
      <c r="F110" t="s">
        <v>2417</v>
      </c>
      <c r="G110" t="s">
        <v>25</v>
      </c>
      <c r="H110" t="b">
        <v>1</v>
      </c>
      <c r="I110" s="8">
        <v>45944.498148148145</v>
      </c>
      <c r="J110" t="s">
        <v>2380</v>
      </c>
      <c r="L110">
        <v>602944</v>
      </c>
      <c r="M110" t="s">
        <v>2381</v>
      </c>
      <c r="N110">
        <v>15</v>
      </c>
      <c r="P110" t="s">
        <v>2743</v>
      </c>
      <c r="Q110" t="s">
        <v>2383</v>
      </c>
      <c r="R110">
        <v>1</v>
      </c>
      <c r="S110" t="s">
        <v>2380</v>
      </c>
      <c r="T110" t="s">
        <v>2383</v>
      </c>
      <c r="U110" s="8">
        <v>45940.592037037037</v>
      </c>
      <c r="V110" s="8">
        <v>45945.958333333336</v>
      </c>
      <c r="W110">
        <v>1</v>
      </c>
      <c r="X110">
        <v>1.906111111</v>
      </c>
      <c r="Y110" t="s">
        <v>2418</v>
      </c>
      <c r="Z110" t="s">
        <v>5471</v>
      </c>
      <c r="AA110" t="s">
        <v>2745</v>
      </c>
      <c r="AB110" t="s">
        <v>1278</v>
      </c>
      <c r="AC110" t="s">
        <v>3064</v>
      </c>
      <c r="AD110" t="s">
        <v>2708</v>
      </c>
      <c r="AE110">
        <v>1</v>
      </c>
      <c r="AO110" t="s">
        <v>2408</v>
      </c>
      <c r="AP110" t="s">
        <v>2401</v>
      </c>
    </row>
    <row r="111" spans="1:42">
      <c r="A111" t="s">
        <v>128</v>
      </c>
      <c r="B111" t="s">
        <v>2377</v>
      </c>
      <c r="C111" t="s">
        <v>2443</v>
      </c>
      <c r="D111" t="s">
        <v>2443</v>
      </c>
      <c r="E111" t="s">
        <v>33</v>
      </c>
      <c r="F111" t="s">
        <v>2431</v>
      </c>
      <c r="G111" t="s">
        <v>33</v>
      </c>
      <c r="H111" t="b">
        <v>1</v>
      </c>
      <c r="I111" s="8">
        <v>45952.412986111114</v>
      </c>
      <c r="J111" t="s">
        <v>2380</v>
      </c>
      <c r="L111">
        <v>609819</v>
      </c>
      <c r="M111" t="s">
        <v>2381</v>
      </c>
      <c r="P111" t="s">
        <v>4190</v>
      </c>
      <c r="Q111" t="s">
        <v>2383</v>
      </c>
      <c r="R111">
        <v>1</v>
      </c>
      <c r="S111" t="s">
        <v>2380</v>
      </c>
      <c r="T111" t="s">
        <v>2383</v>
      </c>
      <c r="U111" s="8">
        <v>45940.60056712963</v>
      </c>
      <c r="V111" s="8">
        <v>45950.958333333336</v>
      </c>
      <c r="W111">
        <v>1</v>
      </c>
      <c r="X111">
        <v>7.8124189810000004</v>
      </c>
      <c r="Y111" t="s">
        <v>2433</v>
      </c>
      <c r="Z111" t="s">
        <v>9310</v>
      </c>
      <c r="AA111" t="s">
        <v>4192</v>
      </c>
      <c r="AB111" t="s">
        <v>1278</v>
      </c>
      <c r="AC111" t="s">
        <v>9311</v>
      </c>
      <c r="AD111" t="s">
        <v>2708</v>
      </c>
      <c r="AE111">
        <v>1</v>
      </c>
      <c r="AF111">
        <v>2</v>
      </c>
      <c r="AH111" t="s">
        <v>2723</v>
      </c>
      <c r="AI111" s="8">
        <v>45952.401469907411</v>
      </c>
      <c r="AK111" t="s">
        <v>2719</v>
      </c>
      <c r="AL111" t="s">
        <v>2724</v>
      </c>
      <c r="AO111" t="s">
        <v>2408</v>
      </c>
      <c r="AP111" t="s">
        <v>2401</v>
      </c>
    </row>
    <row r="112" spans="1:42">
      <c r="A112" t="s">
        <v>1021</v>
      </c>
      <c r="B112" t="s">
        <v>2377</v>
      </c>
      <c r="C112" t="s">
        <v>2390</v>
      </c>
      <c r="D112" t="s">
        <v>2379</v>
      </c>
      <c r="E112" t="s">
        <v>12</v>
      </c>
      <c r="F112" t="s">
        <v>2578</v>
      </c>
      <c r="G112" t="s">
        <v>12</v>
      </c>
      <c r="H112" t="b">
        <v>1</v>
      </c>
      <c r="I112" s="8">
        <v>45945.508726851855</v>
      </c>
      <c r="J112" t="s">
        <v>2380</v>
      </c>
      <c r="L112">
        <v>605268</v>
      </c>
      <c r="M112" t="s">
        <v>2381</v>
      </c>
      <c r="P112" t="s">
        <v>2716</v>
      </c>
      <c r="Q112" t="s">
        <v>2383</v>
      </c>
      <c r="R112">
        <v>1</v>
      </c>
      <c r="S112" t="s">
        <v>2380</v>
      </c>
      <c r="T112" t="s">
        <v>2383</v>
      </c>
      <c r="U112" s="8">
        <v>45940.604074074072</v>
      </c>
      <c r="V112" s="8">
        <v>45945.958333333336</v>
      </c>
      <c r="W112">
        <v>1</v>
      </c>
      <c r="X112">
        <v>2.904652778</v>
      </c>
      <c r="Y112" t="s">
        <v>2579</v>
      </c>
      <c r="Z112" t="s">
        <v>3952</v>
      </c>
      <c r="AA112" t="s">
        <v>1301</v>
      </c>
      <c r="AB112" t="s">
        <v>1278</v>
      </c>
      <c r="AC112" t="s">
        <v>3953</v>
      </c>
      <c r="AD112" t="s">
        <v>2708</v>
      </c>
      <c r="AE112">
        <v>1</v>
      </c>
      <c r="AO112" t="s">
        <v>2720</v>
      </c>
      <c r="AP112" t="s">
        <v>2401</v>
      </c>
    </row>
    <row r="113" spans="1:42">
      <c r="A113" t="s">
        <v>1709</v>
      </c>
      <c r="B113" t="s">
        <v>2389</v>
      </c>
      <c r="C113" t="s">
        <v>2438</v>
      </c>
      <c r="D113" t="s">
        <v>2379</v>
      </c>
      <c r="E113" t="s">
        <v>307</v>
      </c>
      <c r="F113" t="s">
        <v>2417</v>
      </c>
      <c r="G113" t="s">
        <v>307</v>
      </c>
      <c r="H113" t="b">
        <v>1</v>
      </c>
      <c r="I113" s="8">
        <v>45942.547418981485</v>
      </c>
      <c r="J113" t="s">
        <v>2380</v>
      </c>
      <c r="K113">
        <v>1201735</v>
      </c>
      <c r="L113">
        <v>602042</v>
      </c>
      <c r="M113" t="s">
        <v>2381</v>
      </c>
      <c r="P113" t="s">
        <v>8066</v>
      </c>
      <c r="Q113" t="s">
        <v>2383</v>
      </c>
      <c r="R113">
        <v>1</v>
      </c>
      <c r="S113" t="s">
        <v>2380</v>
      </c>
      <c r="T113" t="s">
        <v>2383</v>
      </c>
      <c r="U113" s="8">
        <v>45940.605138888888</v>
      </c>
      <c r="V113" s="8">
        <v>45945.958333333336</v>
      </c>
      <c r="W113">
        <v>1</v>
      </c>
      <c r="X113">
        <v>-5.7719907000000001E-2</v>
      </c>
      <c r="Y113" t="s">
        <v>2418</v>
      </c>
      <c r="Z113" t="s">
        <v>8067</v>
      </c>
      <c r="AA113" t="s">
        <v>1656</v>
      </c>
      <c r="AB113" t="s">
        <v>1278</v>
      </c>
      <c r="AC113" t="s">
        <v>2802</v>
      </c>
      <c r="AD113" t="s">
        <v>2708</v>
      </c>
      <c r="AE113">
        <v>1</v>
      </c>
      <c r="AO113" t="s">
        <v>4121</v>
      </c>
      <c r="AP113" t="s">
        <v>2401</v>
      </c>
    </row>
    <row r="114" spans="1:42">
      <c r="A114" t="s">
        <v>703</v>
      </c>
      <c r="B114" t="s">
        <v>2377</v>
      </c>
      <c r="C114" t="s">
        <v>2378</v>
      </c>
      <c r="D114" t="s">
        <v>2379</v>
      </c>
      <c r="E114" t="s">
        <v>28</v>
      </c>
      <c r="F114" t="s">
        <v>3747</v>
      </c>
      <c r="G114" t="s">
        <v>28</v>
      </c>
      <c r="H114" t="b">
        <v>1</v>
      </c>
      <c r="I114" s="8">
        <v>45945.655011574076</v>
      </c>
      <c r="J114" t="s">
        <v>2380</v>
      </c>
      <c r="L114">
        <v>609904</v>
      </c>
      <c r="M114" t="s">
        <v>2381</v>
      </c>
      <c r="N114">
        <v>15</v>
      </c>
      <c r="P114" t="s">
        <v>3989</v>
      </c>
      <c r="Q114" t="s">
        <v>2383</v>
      </c>
      <c r="R114">
        <v>1</v>
      </c>
      <c r="S114" t="s">
        <v>2380</v>
      </c>
      <c r="T114" t="s">
        <v>2383</v>
      </c>
      <c r="U114" s="8">
        <v>45940.611377314817</v>
      </c>
      <c r="V114" s="8">
        <v>45945.958333333336</v>
      </c>
      <c r="W114">
        <v>1</v>
      </c>
      <c r="X114">
        <v>3.0436342590000001</v>
      </c>
      <c r="Y114" t="s">
        <v>3748</v>
      </c>
      <c r="Z114" t="s">
        <v>4108</v>
      </c>
      <c r="AA114" t="s">
        <v>1303</v>
      </c>
      <c r="AB114" t="s">
        <v>1278</v>
      </c>
      <c r="AC114" t="s">
        <v>3066</v>
      </c>
      <c r="AD114" t="s">
        <v>2708</v>
      </c>
      <c r="AE114">
        <v>1</v>
      </c>
      <c r="AO114" t="s">
        <v>2712</v>
      </c>
      <c r="AP114" t="s">
        <v>2401</v>
      </c>
    </row>
    <row r="115" spans="1:42">
      <c r="A115" t="s">
        <v>1642</v>
      </c>
      <c r="B115" t="s">
        <v>2389</v>
      </c>
      <c r="C115" t="s">
        <v>2415</v>
      </c>
      <c r="D115" t="s">
        <v>2379</v>
      </c>
      <c r="E115" t="s">
        <v>2601</v>
      </c>
      <c r="F115" t="s">
        <v>3636</v>
      </c>
      <c r="G115" t="s">
        <v>2601</v>
      </c>
      <c r="H115" t="b">
        <v>1</v>
      </c>
      <c r="I115" s="8">
        <v>45943.760405092595</v>
      </c>
      <c r="J115" t="s">
        <v>2380</v>
      </c>
      <c r="K115">
        <v>1202173</v>
      </c>
      <c r="L115">
        <v>603651</v>
      </c>
      <c r="M115" t="s">
        <v>2381</v>
      </c>
      <c r="P115" t="s">
        <v>3637</v>
      </c>
      <c r="Q115" t="s">
        <v>2383</v>
      </c>
      <c r="R115">
        <v>1</v>
      </c>
      <c r="S115" t="s">
        <v>2380</v>
      </c>
      <c r="T115" t="s">
        <v>2383</v>
      </c>
      <c r="U115" s="8">
        <v>45940.614421296297</v>
      </c>
      <c r="V115" s="8">
        <v>45945.958333333336</v>
      </c>
      <c r="W115">
        <v>1</v>
      </c>
      <c r="X115">
        <v>1.1459837960000001</v>
      </c>
      <c r="Y115" t="s">
        <v>2628</v>
      </c>
      <c r="Z115" t="s">
        <v>9661</v>
      </c>
      <c r="AA115" t="s">
        <v>9662</v>
      </c>
      <c r="AB115" t="s">
        <v>1278</v>
      </c>
      <c r="AC115" t="s">
        <v>9663</v>
      </c>
      <c r="AD115" t="s">
        <v>2708</v>
      </c>
      <c r="AE115">
        <v>1</v>
      </c>
      <c r="AO115" t="s">
        <v>3608</v>
      </c>
      <c r="AP115" t="s">
        <v>2401</v>
      </c>
    </row>
    <row r="116" spans="1:42">
      <c r="A116" t="s">
        <v>9657</v>
      </c>
      <c r="B116" t="s">
        <v>2389</v>
      </c>
      <c r="C116" t="s">
        <v>2415</v>
      </c>
      <c r="D116" t="s">
        <v>2379</v>
      </c>
      <c r="E116" t="s">
        <v>2601</v>
      </c>
      <c r="F116" t="s">
        <v>7611</v>
      </c>
      <c r="G116" t="s">
        <v>2601</v>
      </c>
      <c r="H116" t="b">
        <v>1</v>
      </c>
      <c r="I116" s="8">
        <v>45943.708564814813</v>
      </c>
      <c r="J116" t="s">
        <v>2380</v>
      </c>
      <c r="K116">
        <v>1202166</v>
      </c>
      <c r="L116">
        <v>603607</v>
      </c>
      <c r="M116" t="s">
        <v>2381</v>
      </c>
      <c r="P116" t="s">
        <v>2670</v>
      </c>
      <c r="Q116" t="s">
        <v>2383</v>
      </c>
      <c r="R116">
        <v>1</v>
      </c>
      <c r="S116" t="s">
        <v>2380</v>
      </c>
      <c r="T116" t="s">
        <v>2383</v>
      </c>
      <c r="U116" s="8">
        <v>45940.621192129627</v>
      </c>
      <c r="V116" s="8">
        <v>45945.958333333336</v>
      </c>
      <c r="W116">
        <v>1</v>
      </c>
      <c r="X116">
        <v>1.0873726850000001</v>
      </c>
      <c r="Y116" t="s">
        <v>3521</v>
      </c>
      <c r="Z116" t="s">
        <v>9658</v>
      </c>
      <c r="AA116" t="s">
        <v>9659</v>
      </c>
      <c r="AB116" t="s">
        <v>1278</v>
      </c>
      <c r="AC116" t="s">
        <v>9660</v>
      </c>
      <c r="AD116" t="s">
        <v>2708</v>
      </c>
      <c r="AE116">
        <v>1</v>
      </c>
      <c r="AO116" t="s">
        <v>3608</v>
      </c>
      <c r="AP116" t="s">
        <v>2401</v>
      </c>
    </row>
    <row r="117" spans="1:42">
      <c r="A117" t="s">
        <v>8010</v>
      </c>
      <c r="B117" t="s">
        <v>2389</v>
      </c>
      <c r="C117" t="s">
        <v>2438</v>
      </c>
      <c r="D117" t="s">
        <v>2379</v>
      </c>
      <c r="E117" t="s">
        <v>25</v>
      </c>
      <c r="F117" t="s">
        <v>7611</v>
      </c>
      <c r="G117" t="s">
        <v>25</v>
      </c>
      <c r="H117" t="b">
        <v>1</v>
      </c>
      <c r="I117" s="8">
        <v>45943.457465277781</v>
      </c>
      <c r="J117" t="s">
        <v>2380</v>
      </c>
      <c r="K117">
        <v>1201778</v>
      </c>
      <c r="L117">
        <v>603871</v>
      </c>
      <c r="M117" t="s">
        <v>2381</v>
      </c>
      <c r="N117">
        <v>5</v>
      </c>
      <c r="P117" t="s">
        <v>2670</v>
      </c>
      <c r="Q117" t="s">
        <v>2383</v>
      </c>
      <c r="R117">
        <v>1</v>
      </c>
      <c r="S117" t="s">
        <v>2380</v>
      </c>
      <c r="T117" t="s">
        <v>2383</v>
      </c>
      <c r="U117" s="8">
        <v>45940.626747685186</v>
      </c>
      <c r="V117" s="8">
        <v>45945.958333333336</v>
      </c>
      <c r="W117">
        <v>1</v>
      </c>
      <c r="X117">
        <v>0.83071759300000003</v>
      </c>
      <c r="Y117" t="s">
        <v>3521</v>
      </c>
      <c r="Z117" t="s">
        <v>8011</v>
      </c>
      <c r="AA117" t="s">
        <v>7614</v>
      </c>
      <c r="AB117" t="s">
        <v>1278</v>
      </c>
      <c r="AC117" t="s">
        <v>8012</v>
      </c>
      <c r="AD117" t="s">
        <v>2708</v>
      </c>
      <c r="AE117">
        <v>1</v>
      </c>
      <c r="AO117" t="s">
        <v>2957</v>
      </c>
      <c r="AP117" t="s">
        <v>2401</v>
      </c>
    </row>
    <row r="118" spans="1:42">
      <c r="A118" t="s">
        <v>1552</v>
      </c>
      <c r="B118" t="s">
        <v>2377</v>
      </c>
      <c r="C118" t="s">
        <v>2415</v>
      </c>
      <c r="D118" t="s">
        <v>2379</v>
      </c>
      <c r="E118" t="s">
        <v>25</v>
      </c>
      <c r="F118" t="s">
        <v>3747</v>
      </c>
      <c r="G118" t="s">
        <v>25</v>
      </c>
      <c r="H118" t="b">
        <v>1</v>
      </c>
      <c r="I118" s="8">
        <v>45944.594502314816</v>
      </c>
      <c r="J118" t="s">
        <v>2380</v>
      </c>
      <c r="L118">
        <v>601590</v>
      </c>
      <c r="M118" t="s">
        <v>2381</v>
      </c>
      <c r="P118" t="s">
        <v>2704</v>
      </c>
      <c r="Q118" t="s">
        <v>2383</v>
      </c>
      <c r="R118">
        <v>1</v>
      </c>
      <c r="S118" t="s">
        <v>2380</v>
      </c>
      <c r="T118" t="s">
        <v>2383</v>
      </c>
      <c r="U118" s="8">
        <v>45940.628495370373</v>
      </c>
      <c r="V118" s="8">
        <v>45945.958333333336</v>
      </c>
      <c r="W118">
        <v>1</v>
      </c>
      <c r="X118">
        <v>1.9660069440000001</v>
      </c>
      <c r="Y118" t="s">
        <v>3748</v>
      </c>
      <c r="Z118" t="s">
        <v>3770</v>
      </c>
      <c r="AA118" t="s">
        <v>3771</v>
      </c>
      <c r="AB118" t="s">
        <v>1278</v>
      </c>
      <c r="AC118" t="s">
        <v>3772</v>
      </c>
      <c r="AE118">
        <v>1</v>
      </c>
      <c r="AO118" t="s">
        <v>2712</v>
      </c>
      <c r="AP118" t="s">
        <v>2401</v>
      </c>
    </row>
    <row r="119" spans="1:42">
      <c r="A119" t="s">
        <v>632</v>
      </c>
      <c r="B119" t="s">
        <v>2377</v>
      </c>
      <c r="C119" t="s">
        <v>2415</v>
      </c>
      <c r="D119" t="s">
        <v>2379</v>
      </c>
      <c r="E119" t="s">
        <v>25</v>
      </c>
      <c r="F119" t="s">
        <v>3339</v>
      </c>
      <c r="G119" t="s">
        <v>25</v>
      </c>
      <c r="H119" t="b">
        <v>1</v>
      </c>
      <c r="I119" s="8">
        <v>45944.395243055558</v>
      </c>
      <c r="J119" t="s">
        <v>2380</v>
      </c>
      <c r="L119">
        <v>603714</v>
      </c>
      <c r="M119" t="s">
        <v>2381</v>
      </c>
      <c r="N119">
        <v>25</v>
      </c>
      <c r="P119" t="s">
        <v>3477</v>
      </c>
      <c r="Q119" t="s">
        <v>2383</v>
      </c>
      <c r="R119">
        <v>1</v>
      </c>
      <c r="S119" t="s">
        <v>2380</v>
      </c>
      <c r="T119" t="s">
        <v>2383</v>
      </c>
      <c r="U119" s="8">
        <v>45940.633599537039</v>
      </c>
      <c r="V119" s="8">
        <v>45945.958333333336</v>
      </c>
      <c r="W119">
        <v>1</v>
      </c>
      <c r="X119">
        <v>1.7616435189999999</v>
      </c>
      <c r="Y119" t="s">
        <v>3340</v>
      </c>
      <c r="Z119" t="s">
        <v>7966</v>
      </c>
      <c r="AA119" t="s">
        <v>3480</v>
      </c>
      <c r="AB119" t="s">
        <v>1278</v>
      </c>
      <c r="AC119" t="s">
        <v>2387</v>
      </c>
      <c r="AD119" t="s">
        <v>2708</v>
      </c>
      <c r="AE119">
        <v>1</v>
      </c>
      <c r="AO119" t="s">
        <v>2957</v>
      </c>
      <c r="AP119" t="s">
        <v>2401</v>
      </c>
    </row>
    <row r="120" spans="1:42">
      <c r="A120" t="s">
        <v>429</v>
      </c>
      <c r="B120" t="s">
        <v>2377</v>
      </c>
      <c r="C120" t="s">
        <v>2390</v>
      </c>
      <c r="D120" t="s">
        <v>2379</v>
      </c>
      <c r="E120" t="s">
        <v>18</v>
      </c>
      <c r="F120" t="s">
        <v>3339</v>
      </c>
      <c r="G120" t="s">
        <v>2416</v>
      </c>
      <c r="H120" t="b">
        <v>1</v>
      </c>
      <c r="I120" s="8">
        <v>45945.527442129627</v>
      </c>
      <c r="J120" t="s">
        <v>2380</v>
      </c>
      <c r="L120">
        <v>605117</v>
      </c>
      <c r="M120" t="s">
        <v>2381</v>
      </c>
      <c r="P120" t="s">
        <v>3477</v>
      </c>
      <c r="Q120" t="s">
        <v>2383</v>
      </c>
      <c r="R120">
        <v>1</v>
      </c>
      <c r="S120" t="s">
        <v>2380</v>
      </c>
      <c r="T120" t="s">
        <v>2383</v>
      </c>
      <c r="U120" s="8">
        <v>45940.635289351849</v>
      </c>
      <c r="V120" s="8">
        <v>45945.958333333336</v>
      </c>
      <c r="W120">
        <v>1</v>
      </c>
      <c r="X120">
        <v>2.8921527779999998</v>
      </c>
      <c r="Y120" t="s">
        <v>3340</v>
      </c>
      <c r="Z120" t="s">
        <v>7456</v>
      </c>
      <c r="AA120" t="s">
        <v>3484</v>
      </c>
      <c r="AB120" t="s">
        <v>1278</v>
      </c>
      <c r="AC120" t="s">
        <v>7457</v>
      </c>
      <c r="AD120" t="s">
        <v>2708</v>
      </c>
      <c r="AE120">
        <v>1</v>
      </c>
      <c r="AO120" t="s">
        <v>2957</v>
      </c>
      <c r="AP120" t="s">
        <v>2401</v>
      </c>
    </row>
    <row r="121" spans="1:42">
      <c r="A121" t="s">
        <v>927</v>
      </c>
      <c r="B121" t="s">
        <v>2377</v>
      </c>
      <c r="C121" t="s">
        <v>2443</v>
      </c>
      <c r="D121" t="s">
        <v>2443</v>
      </c>
      <c r="E121" t="s">
        <v>25</v>
      </c>
      <c r="F121" t="s">
        <v>2402</v>
      </c>
      <c r="G121" t="s">
        <v>25</v>
      </c>
      <c r="H121" t="b">
        <v>1</v>
      </c>
      <c r="I121" s="8">
        <v>45946.494826388887</v>
      </c>
      <c r="J121" t="s">
        <v>2380</v>
      </c>
      <c r="L121">
        <v>609347</v>
      </c>
      <c r="M121" t="s">
        <v>2381</v>
      </c>
      <c r="N121">
        <v>10</v>
      </c>
      <c r="P121" t="s">
        <v>2486</v>
      </c>
      <c r="Q121" t="s">
        <v>2383</v>
      </c>
      <c r="R121">
        <v>1</v>
      </c>
      <c r="S121" t="s">
        <v>2380</v>
      </c>
      <c r="T121" t="s">
        <v>2383</v>
      </c>
      <c r="U121" s="8">
        <v>45940.650173611109</v>
      </c>
      <c r="V121" s="8">
        <v>45945.958333333336</v>
      </c>
      <c r="W121">
        <v>1</v>
      </c>
      <c r="X121">
        <v>3.8446527779999999</v>
      </c>
      <c r="Y121" t="s">
        <v>2403</v>
      </c>
      <c r="Z121" t="s">
        <v>8082</v>
      </c>
      <c r="AA121" t="s">
        <v>8083</v>
      </c>
      <c r="AB121" t="s">
        <v>1278</v>
      </c>
      <c r="AD121" t="s">
        <v>2708</v>
      </c>
      <c r="AE121">
        <v>1</v>
      </c>
      <c r="AO121" t="s">
        <v>4121</v>
      </c>
      <c r="AP121" t="s">
        <v>2401</v>
      </c>
    </row>
    <row r="122" spans="1:42">
      <c r="A122" t="s">
        <v>196</v>
      </c>
      <c r="B122" t="s">
        <v>2377</v>
      </c>
      <c r="C122" t="s">
        <v>2390</v>
      </c>
      <c r="D122" t="s">
        <v>2379</v>
      </c>
      <c r="E122" t="s">
        <v>33</v>
      </c>
      <c r="F122" t="s">
        <v>2578</v>
      </c>
      <c r="G122" t="s">
        <v>33</v>
      </c>
      <c r="H122" t="b">
        <v>1</v>
      </c>
      <c r="I122" s="8">
        <v>45945.456250000003</v>
      </c>
      <c r="J122" t="s">
        <v>2380</v>
      </c>
      <c r="L122">
        <v>606911</v>
      </c>
      <c r="M122" t="s">
        <v>2381</v>
      </c>
      <c r="P122" t="s">
        <v>9213</v>
      </c>
      <c r="Q122" t="s">
        <v>2383</v>
      </c>
      <c r="R122">
        <v>1</v>
      </c>
      <c r="S122" t="s">
        <v>2380</v>
      </c>
      <c r="T122" t="s">
        <v>2383</v>
      </c>
      <c r="U122" s="8">
        <v>45940.65353009259</v>
      </c>
      <c r="V122" s="8">
        <v>45945.958333333336</v>
      </c>
      <c r="W122">
        <v>1</v>
      </c>
      <c r="X122">
        <v>2.8027199070000002</v>
      </c>
      <c r="Y122" t="s">
        <v>2579</v>
      </c>
      <c r="Z122" t="s">
        <v>9214</v>
      </c>
      <c r="AA122" t="s">
        <v>9215</v>
      </c>
      <c r="AB122" t="s">
        <v>1278</v>
      </c>
      <c r="AC122" t="s">
        <v>9216</v>
      </c>
      <c r="AD122" t="s">
        <v>2708</v>
      </c>
      <c r="AE122">
        <v>1</v>
      </c>
      <c r="AH122" t="s">
        <v>2416</v>
      </c>
      <c r="AI122" s="8">
        <v>45945.450798611113</v>
      </c>
      <c r="AK122" t="s">
        <v>2719</v>
      </c>
      <c r="AL122" t="s">
        <v>2719</v>
      </c>
      <c r="AO122" t="s">
        <v>3644</v>
      </c>
      <c r="AP122" t="s">
        <v>2401</v>
      </c>
    </row>
    <row r="123" spans="1:42">
      <c r="A123" t="s">
        <v>1649</v>
      </c>
      <c r="B123" t="s">
        <v>2389</v>
      </c>
      <c r="C123" t="s">
        <v>2415</v>
      </c>
      <c r="D123" t="s">
        <v>2379</v>
      </c>
      <c r="E123" t="s">
        <v>2601</v>
      </c>
      <c r="F123" t="s">
        <v>2417</v>
      </c>
      <c r="G123" t="s">
        <v>2601</v>
      </c>
      <c r="H123" t="b">
        <v>1</v>
      </c>
      <c r="I123" s="8">
        <v>45943.692615740743</v>
      </c>
      <c r="J123" t="s">
        <v>2380</v>
      </c>
      <c r="K123">
        <v>1202162</v>
      </c>
      <c r="L123">
        <v>601991</v>
      </c>
      <c r="M123" t="s">
        <v>2381</v>
      </c>
      <c r="P123" t="s">
        <v>5290</v>
      </c>
      <c r="Q123" t="s">
        <v>2383</v>
      </c>
      <c r="R123">
        <v>1</v>
      </c>
      <c r="S123" t="s">
        <v>2380</v>
      </c>
      <c r="T123" t="s">
        <v>2383</v>
      </c>
      <c r="U123" s="8">
        <v>45940.653877314813</v>
      </c>
      <c r="V123" s="8">
        <v>45945.958333333336</v>
      </c>
      <c r="W123">
        <v>1</v>
      </c>
      <c r="X123">
        <v>1.0387384260000001</v>
      </c>
      <c r="Y123" t="s">
        <v>2418</v>
      </c>
      <c r="Z123" t="s">
        <v>5291</v>
      </c>
      <c r="AA123" t="s">
        <v>5292</v>
      </c>
      <c r="AB123" t="s">
        <v>1278</v>
      </c>
      <c r="AC123" t="s">
        <v>5293</v>
      </c>
      <c r="AD123" t="s">
        <v>2708</v>
      </c>
      <c r="AE123">
        <v>1</v>
      </c>
      <c r="AO123" t="s">
        <v>2408</v>
      </c>
      <c r="AP123" t="s">
        <v>2401</v>
      </c>
    </row>
    <row r="124" spans="1:42">
      <c r="A124" t="s">
        <v>902</v>
      </c>
      <c r="B124" t="s">
        <v>2377</v>
      </c>
      <c r="C124" t="s">
        <v>2390</v>
      </c>
      <c r="D124" t="s">
        <v>2379</v>
      </c>
      <c r="E124" t="s">
        <v>33</v>
      </c>
      <c r="F124" t="s">
        <v>2588</v>
      </c>
      <c r="G124" t="s">
        <v>33</v>
      </c>
      <c r="H124" t="b">
        <v>1</v>
      </c>
      <c r="I124" s="8">
        <v>45945.423159722224</v>
      </c>
      <c r="J124" t="s">
        <v>2380</v>
      </c>
      <c r="L124">
        <v>603616</v>
      </c>
      <c r="M124" t="s">
        <v>2381</v>
      </c>
      <c r="P124" t="s">
        <v>2704</v>
      </c>
      <c r="Q124" t="s">
        <v>2383</v>
      </c>
      <c r="R124">
        <v>1</v>
      </c>
      <c r="S124" t="s">
        <v>2380</v>
      </c>
      <c r="T124" t="s">
        <v>2383</v>
      </c>
      <c r="U124" s="8">
        <v>45940.655405092592</v>
      </c>
      <c r="V124" s="8">
        <v>45945.958333333336</v>
      </c>
      <c r="W124">
        <v>1</v>
      </c>
      <c r="X124">
        <v>2.7677546300000002</v>
      </c>
      <c r="Y124" t="s">
        <v>2579</v>
      </c>
      <c r="Z124" t="s">
        <v>9221</v>
      </c>
      <c r="AA124" t="s">
        <v>3643</v>
      </c>
      <c r="AB124" t="s">
        <v>1278</v>
      </c>
      <c r="AC124" t="s">
        <v>9222</v>
      </c>
      <c r="AD124" t="s">
        <v>2708</v>
      </c>
      <c r="AE124">
        <v>1</v>
      </c>
      <c r="AH124" t="s">
        <v>12</v>
      </c>
      <c r="AI124" s="8">
        <v>45944.508773148147</v>
      </c>
      <c r="AK124" t="s">
        <v>2719</v>
      </c>
      <c r="AL124" t="s">
        <v>2719</v>
      </c>
      <c r="AO124" t="s">
        <v>3644</v>
      </c>
      <c r="AP124" t="s">
        <v>2401</v>
      </c>
    </row>
    <row r="125" spans="1:42">
      <c r="A125" t="s">
        <v>1728</v>
      </c>
      <c r="B125" t="s">
        <v>2377</v>
      </c>
      <c r="C125" t="s">
        <v>2438</v>
      </c>
      <c r="D125" t="s">
        <v>2379</v>
      </c>
      <c r="E125" t="s">
        <v>18</v>
      </c>
      <c r="F125" t="s">
        <v>2578</v>
      </c>
      <c r="G125" t="s">
        <v>2416</v>
      </c>
      <c r="H125" t="b">
        <v>1</v>
      </c>
      <c r="I125" s="8">
        <v>45940.698611111111</v>
      </c>
      <c r="J125" t="s">
        <v>2380</v>
      </c>
      <c r="L125">
        <v>602429</v>
      </c>
      <c r="M125" t="s">
        <v>2381</v>
      </c>
      <c r="P125" t="s">
        <v>2704</v>
      </c>
      <c r="Q125" t="s">
        <v>2383</v>
      </c>
      <c r="R125">
        <v>1</v>
      </c>
      <c r="S125" t="s">
        <v>2380</v>
      </c>
      <c r="T125" t="s">
        <v>2383</v>
      </c>
      <c r="U125" s="8">
        <v>45940.662777777776</v>
      </c>
      <c r="V125" s="8">
        <v>45945.958333333336</v>
      </c>
      <c r="W125">
        <v>1</v>
      </c>
      <c r="X125">
        <v>3.5833333000000002E-2</v>
      </c>
      <c r="Y125" t="s">
        <v>2579</v>
      </c>
      <c r="Z125" t="s">
        <v>9627</v>
      </c>
      <c r="AA125" t="s">
        <v>3606</v>
      </c>
      <c r="AB125" t="s">
        <v>1278</v>
      </c>
      <c r="AC125" t="s">
        <v>9628</v>
      </c>
      <c r="AD125" t="s">
        <v>2708</v>
      </c>
      <c r="AE125">
        <v>1</v>
      </c>
      <c r="AO125" t="s">
        <v>3608</v>
      </c>
      <c r="AP125" t="s">
        <v>2401</v>
      </c>
    </row>
    <row r="126" spans="1:42">
      <c r="A126" t="s">
        <v>1652</v>
      </c>
      <c r="B126" t="s">
        <v>2389</v>
      </c>
      <c r="C126" t="s">
        <v>2415</v>
      </c>
      <c r="D126" t="s">
        <v>2379</v>
      </c>
      <c r="E126" t="s">
        <v>2601</v>
      </c>
      <c r="F126" t="s">
        <v>2578</v>
      </c>
      <c r="G126" t="s">
        <v>2601</v>
      </c>
      <c r="H126" t="b">
        <v>1</v>
      </c>
      <c r="I126" s="8">
        <v>45943.677534722221</v>
      </c>
      <c r="J126" t="s">
        <v>2380</v>
      </c>
      <c r="K126">
        <v>1202153</v>
      </c>
      <c r="L126">
        <v>603066</v>
      </c>
      <c r="M126" t="s">
        <v>2381</v>
      </c>
      <c r="P126" t="s">
        <v>6790</v>
      </c>
      <c r="Q126" t="s">
        <v>2383</v>
      </c>
      <c r="R126">
        <v>1</v>
      </c>
      <c r="S126" t="s">
        <v>2380</v>
      </c>
      <c r="T126" t="s">
        <v>2383</v>
      </c>
      <c r="U126" s="8">
        <v>45940.664953703701</v>
      </c>
      <c r="V126" s="8">
        <v>45945.958333333336</v>
      </c>
      <c r="W126">
        <v>1</v>
      </c>
      <c r="X126">
        <v>1.012581019</v>
      </c>
      <c r="Y126" t="s">
        <v>2579</v>
      </c>
      <c r="Z126" t="s">
        <v>6838</v>
      </c>
      <c r="AA126" t="s">
        <v>6792</v>
      </c>
      <c r="AB126" t="s">
        <v>1278</v>
      </c>
      <c r="AC126" t="s">
        <v>6839</v>
      </c>
      <c r="AD126" t="s">
        <v>2708</v>
      </c>
      <c r="AE126">
        <v>1</v>
      </c>
      <c r="AO126" t="s">
        <v>2388</v>
      </c>
      <c r="AP126" t="s">
        <v>2401</v>
      </c>
    </row>
    <row r="127" spans="1:42">
      <c r="A127" t="s">
        <v>1548</v>
      </c>
      <c r="B127" t="s">
        <v>2389</v>
      </c>
      <c r="C127" t="s">
        <v>2390</v>
      </c>
      <c r="D127" t="s">
        <v>2379</v>
      </c>
      <c r="E127" t="s">
        <v>2452</v>
      </c>
      <c r="F127" t="s">
        <v>3539</v>
      </c>
      <c r="G127" t="s">
        <v>2452</v>
      </c>
      <c r="H127" t="b">
        <v>1</v>
      </c>
      <c r="I127" s="8">
        <v>45945.35670138889</v>
      </c>
      <c r="J127" t="s">
        <v>2380</v>
      </c>
      <c r="K127">
        <v>1202410</v>
      </c>
      <c r="L127">
        <v>603833</v>
      </c>
      <c r="M127" t="s">
        <v>2381</v>
      </c>
      <c r="P127" t="s">
        <v>3540</v>
      </c>
      <c r="Q127" t="s">
        <v>2383</v>
      </c>
      <c r="R127">
        <v>1</v>
      </c>
      <c r="S127" t="s">
        <v>2380</v>
      </c>
      <c r="T127" t="s">
        <v>2383</v>
      </c>
      <c r="U127" s="8">
        <v>45940.672083333331</v>
      </c>
      <c r="V127" s="8">
        <v>45945.958333333336</v>
      </c>
      <c r="W127">
        <v>1</v>
      </c>
      <c r="X127">
        <v>2.6846180560000001</v>
      </c>
      <c r="Y127" t="s">
        <v>3521</v>
      </c>
      <c r="Z127" t="s">
        <v>7840</v>
      </c>
      <c r="AA127" t="s">
        <v>4785</v>
      </c>
      <c r="AB127" t="s">
        <v>1278</v>
      </c>
      <c r="AC127" t="s">
        <v>7841</v>
      </c>
      <c r="AD127" t="s">
        <v>2708</v>
      </c>
      <c r="AE127">
        <v>1</v>
      </c>
      <c r="AO127" t="s">
        <v>2957</v>
      </c>
      <c r="AP127" t="s">
        <v>2401</v>
      </c>
    </row>
    <row r="128" spans="1:42">
      <c r="A128" t="s">
        <v>925</v>
      </c>
      <c r="B128" t="s">
        <v>2377</v>
      </c>
      <c r="C128" t="s">
        <v>2443</v>
      </c>
      <c r="D128" t="s">
        <v>2443</v>
      </c>
      <c r="E128" t="s">
        <v>25</v>
      </c>
      <c r="F128" t="s">
        <v>2588</v>
      </c>
      <c r="G128" t="s">
        <v>25</v>
      </c>
      <c r="H128" t="b">
        <v>1</v>
      </c>
      <c r="I128" s="8">
        <v>45946.482175925928</v>
      </c>
      <c r="J128" t="s">
        <v>2380</v>
      </c>
      <c r="L128">
        <v>601152</v>
      </c>
      <c r="M128" t="s">
        <v>2381</v>
      </c>
      <c r="N128">
        <v>10</v>
      </c>
      <c r="P128" t="s">
        <v>6606</v>
      </c>
      <c r="Q128" t="s">
        <v>2383</v>
      </c>
      <c r="R128">
        <v>1</v>
      </c>
      <c r="S128" t="s">
        <v>2380</v>
      </c>
      <c r="T128" t="s">
        <v>2383</v>
      </c>
      <c r="U128" s="8">
        <v>45940.685081018521</v>
      </c>
      <c r="V128" s="8">
        <v>45945.958333333336</v>
      </c>
      <c r="W128">
        <v>1</v>
      </c>
      <c r="X128">
        <v>3.797094907</v>
      </c>
      <c r="Y128" t="s">
        <v>2579</v>
      </c>
      <c r="Z128" t="s">
        <v>7196</v>
      </c>
      <c r="AA128" t="s">
        <v>3353</v>
      </c>
      <c r="AB128" t="s">
        <v>1278</v>
      </c>
      <c r="AC128" t="s">
        <v>7197</v>
      </c>
      <c r="AD128" t="s">
        <v>2708</v>
      </c>
      <c r="AE128">
        <v>1</v>
      </c>
      <c r="AO128" t="s">
        <v>2388</v>
      </c>
      <c r="AP128" t="s">
        <v>2401</v>
      </c>
    </row>
    <row r="129" spans="1:42">
      <c r="A129" t="s">
        <v>697</v>
      </c>
      <c r="B129" t="s">
        <v>2377</v>
      </c>
      <c r="C129" t="s">
        <v>2415</v>
      </c>
      <c r="D129" t="s">
        <v>2379</v>
      </c>
      <c r="E129" t="s">
        <v>25</v>
      </c>
      <c r="F129" t="s">
        <v>2417</v>
      </c>
      <c r="G129" t="s">
        <v>25</v>
      </c>
      <c r="H129" t="b">
        <v>1</v>
      </c>
      <c r="I129" s="8">
        <v>45944.679398148146</v>
      </c>
      <c r="J129" t="s">
        <v>2380</v>
      </c>
      <c r="L129">
        <v>602944</v>
      </c>
      <c r="M129" t="s">
        <v>2381</v>
      </c>
      <c r="N129">
        <v>5</v>
      </c>
      <c r="P129" t="s">
        <v>2743</v>
      </c>
      <c r="Q129" t="s">
        <v>2383</v>
      </c>
      <c r="R129">
        <v>1</v>
      </c>
      <c r="S129" t="s">
        <v>2380</v>
      </c>
      <c r="T129" t="s">
        <v>2383</v>
      </c>
      <c r="U129" s="8">
        <v>45940.694537037038</v>
      </c>
      <c r="V129" s="8">
        <v>45945.958333333336</v>
      </c>
      <c r="W129">
        <v>1</v>
      </c>
      <c r="X129">
        <v>1.9848611110000001</v>
      </c>
      <c r="Y129" t="s">
        <v>2418</v>
      </c>
      <c r="Z129" t="s">
        <v>5514</v>
      </c>
      <c r="AA129" t="s">
        <v>2745</v>
      </c>
      <c r="AB129" t="s">
        <v>1278</v>
      </c>
      <c r="AC129" t="s">
        <v>2746</v>
      </c>
      <c r="AD129" t="s">
        <v>2708</v>
      </c>
      <c r="AE129">
        <v>1</v>
      </c>
      <c r="AO129" t="s">
        <v>2408</v>
      </c>
      <c r="AP129" t="s">
        <v>2401</v>
      </c>
    </row>
    <row r="130" spans="1:42">
      <c r="A130" t="s">
        <v>1602</v>
      </c>
      <c r="B130" t="s">
        <v>2377</v>
      </c>
      <c r="C130" t="s">
        <v>2415</v>
      </c>
      <c r="D130" t="s">
        <v>2379</v>
      </c>
      <c r="E130" t="s">
        <v>2416</v>
      </c>
      <c r="F130" t="s">
        <v>8940</v>
      </c>
      <c r="G130" t="s">
        <v>2416</v>
      </c>
      <c r="H130" t="b">
        <v>1</v>
      </c>
      <c r="I130" s="8">
        <v>45944.494791666664</v>
      </c>
      <c r="J130" t="s">
        <v>2380</v>
      </c>
      <c r="L130">
        <v>605564</v>
      </c>
      <c r="M130" t="s">
        <v>2381</v>
      </c>
      <c r="P130" t="s">
        <v>2704</v>
      </c>
      <c r="Q130" t="s">
        <v>2383</v>
      </c>
      <c r="R130">
        <v>1</v>
      </c>
      <c r="S130" t="s">
        <v>2380</v>
      </c>
      <c r="T130" t="s">
        <v>2383</v>
      </c>
      <c r="U130" s="8">
        <v>45940.721759259257</v>
      </c>
      <c r="V130" s="8">
        <v>45945.958333333336</v>
      </c>
      <c r="W130">
        <v>1</v>
      </c>
      <c r="X130">
        <v>1.7730324070000001</v>
      </c>
      <c r="Y130" t="s">
        <v>8941</v>
      </c>
      <c r="Z130" t="s">
        <v>9521</v>
      </c>
      <c r="AA130" t="s">
        <v>8943</v>
      </c>
      <c r="AB130" t="s">
        <v>1278</v>
      </c>
      <c r="AC130" t="s">
        <v>9522</v>
      </c>
      <c r="AD130" t="s">
        <v>2708</v>
      </c>
      <c r="AE130">
        <v>1</v>
      </c>
      <c r="AH130" t="s">
        <v>33</v>
      </c>
      <c r="AI130" s="8">
        <v>45943.638171296298</v>
      </c>
      <c r="AK130" t="s">
        <v>2719</v>
      </c>
      <c r="AL130" t="s">
        <v>2719</v>
      </c>
      <c r="AO130" t="s">
        <v>2715</v>
      </c>
      <c r="AP130" t="s">
        <v>8931</v>
      </c>
    </row>
    <row r="131" spans="1:42">
      <c r="A131" t="s">
        <v>785</v>
      </c>
      <c r="B131" t="s">
        <v>2377</v>
      </c>
      <c r="C131" t="s">
        <v>2390</v>
      </c>
      <c r="D131" t="s">
        <v>2379</v>
      </c>
      <c r="E131" t="s">
        <v>24</v>
      </c>
      <c r="F131" t="s">
        <v>3747</v>
      </c>
      <c r="G131" t="s">
        <v>24</v>
      </c>
      <c r="H131" t="b">
        <v>1</v>
      </c>
      <c r="I131" s="8">
        <v>45945.69458333333</v>
      </c>
      <c r="J131" t="s">
        <v>2380</v>
      </c>
      <c r="L131">
        <v>601299</v>
      </c>
      <c r="M131" t="s">
        <v>2381</v>
      </c>
      <c r="P131" t="s">
        <v>3773</v>
      </c>
      <c r="Q131" t="s">
        <v>2383</v>
      </c>
      <c r="R131">
        <v>1</v>
      </c>
      <c r="S131" t="s">
        <v>2380</v>
      </c>
      <c r="T131" t="s">
        <v>2383</v>
      </c>
      <c r="U131" s="8">
        <v>45943.245393518519</v>
      </c>
      <c r="V131" s="8">
        <v>45945.958333333336</v>
      </c>
      <c r="W131">
        <v>1</v>
      </c>
      <c r="X131">
        <v>2.449189815</v>
      </c>
      <c r="Y131" t="s">
        <v>3748</v>
      </c>
      <c r="Z131" t="s">
        <v>3992</v>
      </c>
      <c r="AA131" t="s">
        <v>3758</v>
      </c>
      <c r="AB131" t="s">
        <v>1278</v>
      </c>
      <c r="AC131" t="s">
        <v>3993</v>
      </c>
      <c r="AD131" t="s">
        <v>2708</v>
      </c>
      <c r="AE131">
        <v>1</v>
      </c>
      <c r="AO131" t="s">
        <v>2712</v>
      </c>
      <c r="AP131" t="s">
        <v>2401</v>
      </c>
    </row>
    <row r="132" spans="1:42">
      <c r="A132" t="s">
        <v>1539</v>
      </c>
      <c r="B132" t="s">
        <v>2389</v>
      </c>
      <c r="C132" t="s">
        <v>2390</v>
      </c>
      <c r="D132" t="s">
        <v>2379</v>
      </c>
      <c r="E132" t="s">
        <v>2452</v>
      </c>
      <c r="F132" t="s">
        <v>2417</v>
      </c>
      <c r="G132" t="s">
        <v>2452</v>
      </c>
      <c r="H132" t="b">
        <v>1</v>
      </c>
      <c r="I132" s="8">
        <v>45945.398888888885</v>
      </c>
      <c r="J132" t="s">
        <v>2380</v>
      </c>
      <c r="K132">
        <v>1202411</v>
      </c>
      <c r="L132">
        <v>601313</v>
      </c>
      <c r="M132" t="s">
        <v>2381</v>
      </c>
      <c r="P132" t="s">
        <v>5393</v>
      </c>
      <c r="Q132" t="s">
        <v>2383</v>
      </c>
      <c r="R132">
        <v>1</v>
      </c>
      <c r="S132" t="s">
        <v>2380</v>
      </c>
      <c r="T132" t="s">
        <v>2383</v>
      </c>
      <c r="U132" s="8">
        <v>45943.32135416667</v>
      </c>
      <c r="V132" s="8">
        <v>45945.958333333336</v>
      </c>
      <c r="W132">
        <v>1</v>
      </c>
      <c r="X132">
        <v>2.0775347219999998</v>
      </c>
      <c r="Y132" t="s">
        <v>2418</v>
      </c>
      <c r="Z132" t="s">
        <v>5394</v>
      </c>
      <c r="AA132" t="s">
        <v>1537</v>
      </c>
      <c r="AB132" t="s">
        <v>1278</v>
      </c>
      <c r="AC132" t="s">
        <v>5395</v>
      </c>
      <c r="AD132" t="s">
        <v>2708</v>
      </c>
      <c r="AE132">
        <v>1</v>
      </c>
      <c r="AO132" t="s">
        <v>2408</v>
      </c>
      <c r="AP132" t="s">
        <v>2401</v>
      </c>
    </row>
    <row r="133" spans="1:42">
      <c r="A133" t="s">
        <v>1014</v>
      </c>
      <c r="B133" t="s">
        <v>2377</v>
      </c>
      <c r="C133" t="s">
        <v>2438</v>
      </c>
      <c r="D133" t="s">
        <v>2379</v>
      </c>
      <c r="E133" t="s">
        <v>25</v>
      </c>
      <c r="F133" t="s">
        <v>3747</v>
      </c>
      <c r="G133" t="s">
        <v>25</v>
      </c>
      <c r="H133" t="b">
        <v>1</v>
      </c>
      <c r="I133" s="8">
        <v>45943.654606481483</v>
      </c>
      <c r="J133" t="s">
        <v>2380</v>
      </c>
      <c r="L133">
        <v>606813</v>
      </c>
      <c r="M133" t="s">
        <v>2381</v>
      </c>
      <c r="N133">
        <v>10</v>
      </c>
      <c r="P133" t="s">
        <v>2704</v>
      </c>
      <c r="Q133" t="s">
        <v>2383</v>
      </c>
      <c r="R133">
        <v>1</v>
      </c>
      <c r="S133" t="s">
        <v>2380</v>
      </c>
      <c r="T133" t="s">
        <v>2383</v>
      </c>
      <c r="U133" s="8">
        <v>45943.359351851854</v>
      </c>
      <c r="V133" s="8">
        <v>45946.958333333336</v>
      </c>
      <c r="W133">
        <v>1</v>
      </c>
      <c r="X133">
        <v>0.29525463000000002</v>
      </c>
      <c r="Y133" t="s">
        <v>3748</v>
      </c>
      <c r="Z133" t="s">
        <v>9254</v>
      </c>
      <c r="AA133" t="s">
        <v>3834</v>
      </c>
      <c r="AB133" t="s">
        <v>1278</v>
      </c>
      <c r="AC133" t="s">
        <v>2387</v>
      </c>
      <c r="AD133" t="s">
        <v>2708</v>
      </c>
      <c r="AE133">
        <v>1</v>
      </c>
      <c r="AH133" t="s">
        <v>33</v>
      </c>
      <c r="AI133" s="8">
        <v>45943.638310185182</v>
      </c>
      <c r="AK133" t="s">
        <v>2719</v>
      </c>
      <c r="AL133" t="s">
        <v>2719</v>
      </c>
      <c r="AO133" t="s">
        <v>2712</v>
      </c>
      <c r="AP133" t="s">
        <v>2401</v>
      </c>
    </row>
    <row r="134" spans="1:42">
      <c r="A134" t="s">
        <v>1012</v>
      </c>
      <c r="B134" t="s">
        <v>2377</v>
      </c>
      <c r="C134" t="s">
        <v>2438</v>
      </c>
      <c r="D134" t="s">
        <v>2379</v>
      </c>
      <c r="E134" t="s">
        <v>25</v>
      </c>
      <c r="F134" t="s">
        <v>3891</v>
      </c>
      <c r="G134" t="s">
        <v>25</v>
      </c>
      <c r="H134" t="b">
        <v>1</v>
      </c>
      <c r="I134" s="8">
        <v>45943.387233796297</v>
      </c>
      <c r="J134" t="s">
        <v>2380</v>
      </c>
      <c r="L134">
        <v>603619</v>
      </c>
      <c r="M134" t="s">
        <v>2381</v>
      </c>
      <c r="N134">
        <v>15</v>
      </c>
      <c r="P134" t="s">
        <v>2704</v>
      </c>
      <c r="Q134" t="s">
        <v>2383</v>
      </c>
      <c r="R134">
        <v>1</v>
      </c>
      <c r="S134" t="s">
        <v>2380</v>
      </c>
      <c r="T134" t="s">
        <v>2383</v>
      </c>
      <c r="U134" s="8">
        <v>45943.366400462961</v>
      </c>
      <c r="V134" s="8">
        <v>45946.958333333336</v>
      </c>
      <c r="W134">
        <v>1</v>
      </c>
      <c r="X134">
        <v>2.0833332999999999E-2</v>
      </c>
      <c r="Y134" t="s">
        <v>3892</v>
      </c>
      <c r="Z134" t="s">
        <v>5053</v>
      </c>
      <c r="AA134" t="s">
        <v>5054</v>
      </c>
      <c r="AB134" t="s">
        <v>1278</v>
      </c>
      <c r="AC134" t="s">
        <v>2387</v>
      </c>
      <c r="AD134" t="s">
        <v>2708</v>
      </c>
      <c r="AE134">
        <v>1</v>
      </c>
      <c r="AO134" t="s">
        <v>2715</v>
      </c>
      <c r="AP134" t="s">
        <v>2401</v>
      </c>
    </row>
    <row r="135" spans="1:42">
      <c r="A135" t="s">
        <v>57</v>
      </c>
      <c r="B135" t="s">
        <v>2377</v>
      </c>
      <c r="C135" t="s">
        <v>2378</v>
      </c>
      <c r="D135" t="s">
        <v>2379</v>
      </c>
      <c r="E135" t="s">
        <v>25</v>
      </c>
      <c r="F135" t="s">
        <v>2417</v>
      </c>
      <c r="G135" t="s">
        <v>25</v>
      </c>
      <c r="H135" t="b">
        <v>1</v>
      </c>
      <c r="I135" s="8">
        <v>45946.57675925926</v>
      </c>
      <c r="J135" t="s">
        <v>2380</v>
      </c>
      <c r="L135">
        <v>602935</v>
      </c>
      <c r="M135" t="s">
        <v>2381</v>
      </c>
      <c r="N135">
        <v>10</v>
      </c>
      <c r="P135" t="s">
        <v>9334</v>
      </c>
      <c r="Q135" t="s">
        <v>2383</v>
      </c>
      <c r="R135">
        <v>1</v>
      </c>
      <c r="S135" t="s">
        <v>2380</v>
      </c>
      <c r="T135" t="s">
        <v>2383</v>
      </c>
      <c r="U135" s="8">
        <v>45943.381990740738</v>
      </c>
      <c r="V135" s="8">
        <v>45946.958333333336</v>
      </c>
      <c r="W135">
        <v>1</v>
      </c>
      <c r="X135">
        <v>3.1947685190000001</v>
      </c>
      <c r="Y135" t="s">
        <v>2418</v>
      </c>
      <c r="Z135" t="s">
        <v>10167</v>
      </c>
      <c r="AA135" t="s">
        <v>1339</v>
      </c>
      <c r="AB135" t="s">
        <v>1278</v>
      </c>
      <c r="AC135" t="s">
        <v>10168</v>
      </c>
      <c r="AE135">
        <v>1</v>
      </c>
      <c r="AO135" t="s">
        <v>4121</v>
      </c>
      <c r="AP135" t="s">
        <v>2401</v>
      </c>
    </row>
    <row r="136" spans="1:42">
      <c r="A136" t="s">
        <v>1480</v>
      </c>
      <c r="B136" t="s">
        <v>2389</v>
      </c>
      <c r="C136" t="s">
        <v>2390</v>
      </c>
      <c r="D136" t="s">
        <v>2379</v>
      </c>
      <c r="E136" t="s">
        <v>12</v>
      </c>
      <c r="F136" t="s">
        <v>3193</v>
      </c>
      <c r="G136" t="s">
        <v>12</v>
      </c>
      <c r="H136" t="b">
        <v>1</v>
      </c>
      <c r="I136" s="8">
        <v>45945.601851851854</v>
      </c>
      <c r="J136" t="s">
        <v>2380</v>
      </c>
      <c r="K136">
        <v>1202557</v>
      </c>
      <c r="L136">
        <v>609841</v>
      </c>
      <c r="M136" t="s">
        <v>2381</v>
      </c>
      <c r="P136" t="s">
        <v>3681</v>
      </c>
      <c r="Q136" t="s">
        <v>2383</v>
      </c>
      <c r="R136">
        <v>1</v>
      </c>
      <c r="S136" t="s">
        <v>2380</v>
      </c>
      <c r="T136" t="s">
        <v>2383</v>
      </c>
      <c r="U136" s="8">
        <v>45943.400833333333</v>
      </c>
      <c r="V136" s="8">
        <v>45946.958333333336</v>
      </c>
      <c r="W136">
        <v>1</v>
      </c>
      <c r="X136">
        <v>2.2010185189999998</v>
      </c>
      <c r="Y136" t="s">
        <v>3194</v>
      </c>
      <c r="Z136" t="s">
        <v>9864</v>
      </c>
      <c r="AA136" t="s">
        <v>3683</v>
      </c>
      <c r="AB136" t="s">
        <v>1278</v>
      </c>
      <c r="AC136" t="s">
        <v>9865</v>
      </c>
      <c r="AD136" t="s">
        <v>2708</v>
      </c>
      <c r="AE136">
        <v>1</v>
      </c>
      <c r="AO136" t="s">
        <v>3644</v>
      </c>
      <c r="AP136" t="s">
        <v>2401</v>
      </c>
    </row>
    <row r="137" spans="1:42">
      <c r="A137" t="s">
        <v>1478</v>
      </c>
      <c r="B137" t="s">
        <v>2389</v>
      </c>
      <c r="C137" t="s">
        <v>2390</v>
      </c>
      <c r="D137" t="s">
        <v>2379</v>
      </c>
      <c r="E137" t="s">
        <v>12</v>
      </c>
      <c r="F137" t="s">
        <v>3193</v>
      </c>
      <c r="G137" t="s">
        <v>12</v>
      </c>
      <c r="H137" t="b">
        <v>1</v>
      </c>
      <c r="I137" s="8">
        <v>45945.604270833333</v>
      </c>
      <c r="J137" t="s">
        <v>2380</v>
      </c>
      <c r="K137">
        <v>1202586</v>
      </c>
      <c r="L137">
        <v>609841</v>
      </c>
      <c r="M137" t="s">
        <v>2381</v>
      </c>
      <c r="P137" t="s">
        <v>3681</v>
      </c>
      <c r="Q137" t="s">
        <v>2383</v>
      </c>
      <c r="R137">
        <v>1</v>
      </c>
      <c r="S137" t="s">
        <v>2380</v>
      </c>
      <c r="T137" t="s">
        <v>2383</v>
      </c>
      <c r="U137" s="8">
        <v>45943.401053240741</v>
      </c>
      <c r="V137" s="8">
        <v>45946.958333333336</v>
      </c>
      <c r="W137">
        <v>1</v>
      </c>
      <c r="X137">
        <v>2.2032175930000002</v>
      </c>
      <c r="Y137" t="s">
        <v>3194</v>
      </c>
      <c r="Z137" t="s">
        <v>9866</v>
      </c>
      <c r="AA137" t="s">
        <v>3683</v>
      </c>
      <c r="AB137" t="s">
        <v>1278</v>
      </c>
      <c r="AC137" t="s">
        <v>9867</v>
      </c>
      <c r="AD137" t="s">
        <v>2708</v>
      </c>
      <c r="AE137">
        <v>1</v>
      </c>
      <c r="AO137" t="s">
        <v>3644</v>
      </c>
      <c r="AP137" t="s">
        <v>2401</v>
      </c>
    </row>
    <row r="138" spans="1:42">
      <c r="A138" t="s">
        <v>777</v>
      </c>
      <c r="B138" t="s">
        <v>2377</v>
      </c>
      <c r="C138" t="s">
        <v>2438</v>
      </c>
      <c r="D138" t="s">
        <v>2379</v>
      </c>
      <c r="E138" t="s">
        <v>25</v>
      </c>
      <c r="F138" t="s">
        <v>3747</v>
      </c>
      <c r="G138" t="s">
        <v>25</v>
      </c>
      <c r="H138" t="b">
        <v>1</v>
      </c>
      <c r="I138" s="8">
        <v>45943.454861111109</v>
      </c>
      <c r="J138" t="s">
        <v>2380</v>
      </c>
      <c r="L138">
        <v>601590</v>
      </c>
      <c r="M138" t="s">
        <v>2381</v>
      </c>
      <c r="N138">
        <v>8</v>
      </c>
      <c r="P138" t="s">
        <v>2704</v>
      </c>
      <c r="Q138" t="s">
        <v>2383</v>
      </c>
      <c r="R138">
        <v>1</v>
      </c>
      <c r="S138" t="s">
        <v>2380</v>
      </c>
      <c r="T138" t="s">
        <v>2383</v>
      </c>
      <c r="U138" s="8">
        <v>45943.404907407406</v>
      </c>
      <c r="V138" s="8">
        <v>45946.958333333336</v>
      </c>
      <c r="W138">
        <v>1</v>
      </c>
      <c r="X138">
        <v>4.9953704000000002E-2</v>
      </c>
      <c r="Y138" t="s">
        <v>3748</v>
      </c>
      <c r="Z138" t="s">
        <v>4888</v>
      </c>
      <c r="AA138" t="s">
        <v>3771</v>
      </c>
      <c r="AB138" t="s">
        <v>1278</v>
      </c>
      <c r="AC138" t="s">
        <v>2387</v>
      </c>
      <c r="AD138" t="s">
        <v>2708</v>
      </c>
      <c r="AE138">
        <v>1</v>
      </c>
      <c r="AO138" t="s">
        <v>2712</v>
      </c>
      <c r="AP138" t="s">
        <v>2401</v>
      </c>
    </row>
    <row r="139" spans="1:42">
      <c r="A139" t="s">
        <v>705</v>
      </c>
      <c r="B139" t="s">
        <v>2377</v>
      </c>
      <c r="C139" t="s">
        <v>2378</v>
      </c>
      <c r="D139" t="s">
        <v>2379</v>
      </c>
      <c r="E139" t="s">
        <v>25</v>
      </c>
      <c r="F139" t="s">
        <v>4112</v>
      </c>
      <c r="G139" t="s">
        <v>25</v>
      </c>
      <c r="H139" t="b">
        <v>1</v>
      </c>
      <c r="I139" s="8">
        <v>45946.561840277776</v>
      </c>
      <c r="J139" t="s">
        <v>2380</v>
      </c>
      <c r="L139">
        <v>602741</v>
      </c>
      <c r="M139" t="s">
        <v>2381</v>
      </c>
      <c r="N139">
        <v>10</v>
      </c>
      <c r="P139" t="s">
        <v>3896</v>
      </c>
      <c r="Q139" t="s">
        <v>2383</v>
      </c>
      <c r="R139">
        <v>1</v>
      </c>
      <c r="S139" t="s">
        <v>2380</v>
      </c>
      <c r="T139" t="s">
        <v>2383</v>
      </c>
      <c r="U139" s="8">
        <v>45943.441666666666</v>
      </c>
      <c r="V139" s="8">
        <v>45946.958333333336</v>
      </c>
      <c r="W139">
        <v>1</v>
      </c>
      <c r="X139">
        <v>3.1201736109999998</v>
      </c>
      <c r="Y139" t="s">
        <v>3901</v>
      </c>
      <c r="Z139" t="s">
        <v>5034</v>
      </c>
      <c r="AA139" t="s">
        <v>5035</v>
      </c>
      <c r="AB139" t="s">
        <v>1278</v>
      </c>
      <c r="AC139" t="s">
        <v>5036</v>
      </c>
      <c r="AD139" t="s">
        <v>2708</v>
      </c>
      <c r="AE139">
        <v>1</v>
      </c>
      <c r="AO139" t="s">
        <v>2715</v>
      </c>
      <c r="AP139" t="s">
        <v>2401</v>
      </c>
    </row>
    <row r="140" spans="1:42">
      <c r="A140" t="s">
        <v>433</v>
      </c>
      <c r="B140" t="s">
        <v>2377</v>
      </c>
      <c r="C140" t="s">
        <v>2390</v>
      </c>
      <c r="D140" t="s">
        <v>2379</v>
      </c>
      <c r="E140" t="s">
        <v>25</v>
      </c>
      <c r="F140" t="s">
        <v>3747</v>
      </c>
      <c r="G140" t="s">
        <v>25</v>
      </c>
      <c r="H140" t="b">
        <v>1</v>
      </c>
      <c r="I140" s="8">
        <v>45946.379502314812</v>
      </c>
      <c r="J140" t="s">
        <v>2380</v>
      </c>
      <c r="L140">
        <v>606849</v>
      </c>
      <c r="M140" t="s">
        <v>2381</v>
      </c>
      <c r="N140">
        <v>8</v>
      </c>
      <c r="P140" t="s">
        <v>2704</v>
      </c>
      <c r="Q140" t="s">
        <v>2383</v>
      </c>
      <c r="R140">
        <v>1</v>
      </c>
      <c r="S140" t="s">
        <v>2380</v>
      </c>
      <c r="T140" t="s">
        <v>2383</v>
      </c>
      <c r="U140" s="8">
        <v>45943.459178240744</v>
      </c>
      <c r="V140" s="8">
        <v>45946.958333333336</v>
      </c>
      <c r="W140">
        <v>1</v>
      </c>
      <c r="X140">
        <v>2.9203240739999998</v>
      </c>
      <c r="Y140" t="s">
        <v>3748</v>
      </c>
      <c r="Z140" t="s">
        <v>4889</v>
      </c>
      <c r="AA140" t="s">
        <v>3755</v>
      </c>
      <c r="AB140" t="s">
        <v>1278</v>
      </c>
      <c r="AC140" t="s">
        <v>4890</v>
      </c>
      <c r="AD140" t="s">
        <v>2708</v>
      </c>
      <c r="AE140">
        <v>1</v>
      </c>
      <c r="AO140" t="s">
        <v>2712</v>
      </c>
      <c r="AP140" t="s">
        <v>2401</v>
      </c>
    </row>
    <row r="141" spans="1:42">
      <c r="A141" t="s">
        <v>1658</v>
      </c>
      <c r="B141" t="s">
        <v>2389</v>
      </c>
      <c r="C141" t="s">
        <v>2438</v>
      </c>
      <c r="D141" t="s">
        <v>2379</v>
      </c>
      <c r="E141" t="s">
        <v>307</v>
      </c>
      <c r="F141" t="s">
        <v>2417</v>
      </c>
      <c r="G141" t="s">
        <v>307</v>
      </c>
      <c r="H141" t="b">
        <v>1</v>
      </c>
      <c r="I141" s="8">
        <v>45943.660416666666</v>
      </c>
      <c r="J141" t="s">
        <v>2380</v>
      </c>
      <c r="K141">
        <v>1202047</v>
      </c>
      <c r="L141">
        <v>602042</v>
      </c>
      <c r="M141" t="s">
        <v>2381</v>
      </c>
      <c r="P141" t="s">
        <v>8066</v>
      </c>
      <c r="Q141" t="s">
        <v>2383</v>
      </c>
      <c r="R141">
        <v>1</v>
      </c>
      <c r="S141" t="s">
        <v>2380</v>
      </c>
      <c r="T141" t="s">
        <v>2383</v>
      </c>
      <c r="U141" s="8">
        <v>45943.471250000002</v>
      </c>
      <c r="V141" s="8">
        <v>45946.958333333336</v>
      </c>
      <c r="W141">
        <v>1</v>
      </c>
      <c r="X141">
        <v>0.18916666700000001</v>
      </c>
      <c r="Y141" t="s">
        <v>2418</v>
      </c>
      <c r="Z141" t="s">
        <v>8068</v>
      </c>
      <c r="AA141" t="s">
        <v>1656</v>
      </c>
      <c r="AB141" t="s">
        <v>1278</v>
      </c>
      <c r="AC141" t="s">
        <v>2802</v>
      </c>
      <c r="AD141" t="s">
        <v>2708</v>
      </c>
      <c r="AE141">
        <v>1</v>
      </c>
      <c r="AO141" t="s">
        <v>4121</v>
      </c>
      <c r="AP141" t="s">
        <v>2401</v>
      </c>
    </row>
    <row r="142" spans="1:42">
      <c r="A142" t="s">
        <v>638</v>
      </c>
      <c r="B142" t="s">
        <v>2377</v>
      </c>
      <c r="C142" t="s">
        <v>2438</v>
      </c>
      <c r="D142" t="s">
        <v>2379</v>
      </c>
      <c r="E142" t="s">
        <v>12</v>
      </c>
      <c r="F142" t="s">
        <v>2588</v>
      </c>
      <c r="G142" t="s">
        <v>12</v>
      </c>
      <c r="H142" t="b">
        <v>1</v>
      </c>
      <c r="I142" s="8">
        <v>45944.414409722223</v>
      </c>
      <c r="J142" t="s">
        <v>2380</v>
      </c>
      <c r="L142">
        <v>609706</v>
      </c>
      <c r="M142" t="s">
        <v>2381</v>
      </c>
      <c r="P142" t="s">
        <v>8823</v>
      </c>
      <c r="Q142" t="s">
        <v>2383</v>
      </c>
      <c r="R142">
        <v>1</v>
      </c>
      <c r="S142" t="s">
        <v>2380</v>
      </c>
      <c r="T142" t="s">
        <v>2383</v>
      </c>
      <c r="U142" s="8">
        <v>45943.473692129628</v>
      </c>
      <c r="V142" s="8">
        <v>45946.958333333336</v>
      </c>
      <c r="W142">
        <v>1</v>
      </c>
      <c r="X142">
        <v>0.94071759300000002</v>
      </c>
      <c r="Y142" t="s">
        <v>2579</v>
      </c>
      <c r="Z142" t="s">
        <v>9837</v>
      </c>
      <c r="AA142" t="s">
        <v>8825</v>
      </c>
      <c r="AB142" t="s">
        <v>1278</v>
      </c>
      <c r="AC142" t="s">
        <v>9838</v>
      </c>
      <c r="AD142" t="s">
        <v>2708</v>
      </c>
      <c r="AE142">
        <v>1</v>
      </c>
      <c r="AO142" t="s">
        <v>3644</v>
      </c>
      <c r="AP142" t="s">
        <v>2401</v>
      </c>
    </row>
    <row r="143" spans="1:42">
      <c r="A143" t="s">
        <v>629</v>
      </c>
      <c r="B143" t="s">
        <v>2377</v>
      </c>
      <c r="C143" t="s">
        <v>2438</v>
      </c>
      <c r="D143" t="s">
        <v>2379</v>
      </c>
      <c r="E143" t="s">
        <v>25</v>
      </c>
      <c r="F143" t="s">
        <v>3747</v>
      </c>
      <c r="G143" t="s">
        <v>25</v>
      </c>
      <c r="H143" t="b">
        <v>1</v>
      </c>
      <c r="I143" s="8">
        <v>45943.705312500002</v>
      </c>
      <c r="J143" t="s">
        <v>2380</v>
      </c>
      <c r="L143">
        <v>601299</v>
      </c>
      <c r="M143" t="s">
        <v>2381</v>
      </c>
      <c r="N143">
        <v>10</v>
      </c>
      <c r="P143" t="s">
        <v>2704</v>
      </c>
      <c r="Q143" t="s">
        <v>2383</v>
      </c>
      <c r="R143">
        <v>1</v>
      </c>
      <c r="S143" t="s">
        <v>2380</v>
      </c>
      <c r="T143" t="s">
        <v>2383</v>
      </c>
      <c r="U143" s="8">
        <v>45943.477256944447</v>
      </c>
      <c r="V143" s="8">
        <v>45946.958333333336</v>
      </c>
      <c r="W143">
        <v>1</v>
      </c>
      <c r="X143">
        <v>0.22805555599999999</v>
      </c>
      <c r="Y143" t="s">
        <v>3748</v>
      </c>
      <c r="Z143" t="s">
        <v>4102</v>
      </c>
      <c r="AA143" t="s">
        <v>3758</v>
      </c>
      <c r="AB143" t="s">
        <v>1278</v>
      </c>
      <c r="AC143" t="s">
        <v>2387</v>
      </c>
      <c r="AD143" t="s">
        <v>2708</v>
      </c>
      <c r="AE143">
        <v>1</v>
      </c>
      <c r="AO143" t="s">
        <v>2712</v>
      </c>
      <c r="AP143" t="s">
        <v>2401</v>
      </c>
    </row>
    <row r="144" spans="1:42">
      <c r="A144" t="s">
        <v>56</v>
      </c>
      <c r="B144" t="s">
        <v>2377</v>
      </c>
      <c r="C144" t="s">
        <v>2378</v>
      </c>
      <c r="D144" t="s">
        <v>2379</v>
      </c>
      <c r="E144" t="s">
        <v>25</v>
      </c>
      <c r="F144" t="s">
        <v>3891</v>
      </c>
      <c r="G144" t="s">
        <v>25</v>
      </c>
      <c r="H144" t="b">
        <v>1</v>
      </c>
      <c r="I144" s="8">
        <v>45946.567685185182</v>
      </c>
      <c r="J144" t="s">
        <v>2380</v>
      </c>
      <c r="L144">
        <v>603098</v>
      </c>
      <c r="M144" t="s">
        <v>2381</v>
      </c>
      <c r="N144">
        <v>10</v>
      </c>
      <c r="P144" t="s">
        <v>3896</v>
      </c>
      <c r="Q144" t="s">
        <v>2383</v>
      </c>
      <c r="R144">
        <v>1</v>
      </c>
      <c r="S144" t="s">
        <v>2380</v>
      </c>
      <c r="T144" t="s">
        <v>2383</v>
      </c>
      <c r="U144" s="8">
        <v>45943.484166666669</v>
      </c>
      <c r="V144" s="8">
        <v>45946.958333333336</v>
      </c>
      <c r="W144">
        <v>1</v>
      </c>
      <c r="X144">
        <v>3.0835185190000001</v>
      </c>
      <c r="Y144" t="s">
        <v>3892</v>
      </c>
      <c r="Z144" t="s">
        <v>5038</v>
      </c>
      <c r="AA144" t="s">
        <v>4910</v>
      </c>
      <c r="AB144" t="s">
        <v>1278</v>
      </c>
      <c r="AC144" t="s">
        <v>4911</v>
      </c>
      <c r="AD144" t="s">
        <v>2708</v>
      </c>
      <c r="AE144">
        <v>1</v>
      </c>
      <c r="AO144" t="s">
        <v>2715</v>
      </c>
      <c r="AP144" t="s">
        <v>2401</v>
      </c>
    </row>
    <row r="145" spans="1:42">
      <c r="A145" t="s">
        <v>40</v>
      </c>
      <c r="B145" t="s">
        <v>2377</v>
      </c>
      <c r="C145" t="s">
        <v>2390</v>
      </c>
      <c r="D145" t="s">
        <v>2379</v>
      </c>
      <c r="E145" t="s">
        <v>28</v>
      </c>
      <c r="F145" t="s">
        <v>3193</v>
      </c>
      <c r="G145" t="s">
        <v>28</v>
      </c>
      <c r="H145" t="b">
        <v>1</v>
      </c>
      <c r="I145" s="8">
        <v>45946.412118055552</v>
      </c>
      <c r="J145" t="s">
        <v>2380</v>
      </c>
      <c r="L145">
        <v>609763</v>
      </c>
      <c r="M145" t="s">
        <v>2381</v>
      </c>
      <c r="N145">
        <v>20</v>
      </c>
      <c r="P145" t="s">
        <v>7417</v>
      </c>
      <c r="Q145" t="s">
        <v>2383</v>
      </c>
      <c r="R145">
        <v>1</v>
      </c>
      <c r="S145" t="s">
        <v>2380</v>
      </c>
      <c r="T145" t="s">
        <v>2383</v>
      </c>
      <c r="U145" s="8">
        <v>45943.500636574077</v>
      </c>
      <c r="V145" s="8">
        <v>45946.958333333336</v>
      </c>
      <c r="W145">
        <v>1</v>
      </c>
      <c r="X145">
        <v>2.911481481</v>
      </c>
      <c r="Y145" t="s">
        <v>3194</v>
      </c>
      <c r="Z145" t="s">
        <v>7960</v>
      </c>
      <c r="AA145" t="s">
        <v>7481</v>
      </c>
      <c r="AB145" t="s">
        <v>1278</v>
      </c>
      <c r="AC145" t="s">
        <v>4825</v>
      </c>
      <c r="AD145" t="s">
        <v>2708</v>
      </c>
      <c r="AE145">
        <v>1</v>
      </c>
      <c r="AO145" t="s">
        <v>2957</v>
      </c>
      <c r="AP145" t="s">
        <v>2401</v>
      </c>
    </row>
    <row r="146" spans="1:42">
      <c r="A146" t="s">
        <v>62</v>
      </c>
      <c r="B146" t="s">
        <v>2377</v>
      </c>
      <c r="C146" t="s">
        <v>2378</v>
      </c>
      <c r="D146" t="s">
        <v>2379</v>
      </c>
      <c r="E146" t="s">
        <v>28</v>
      </c>
      <c r="F146" t="s">
        <v>3249</v>
      </c>
      <c r="G146" t="s">
        <v>28</v>
      </c>
      <c r="H146" t="b">
        <v>1</v>
      </c>
      <c r="I146" s="8">
        <v>45946.670127314814</v>
      </c>
      <c r="J146" t="s">
        <v>2380</v>
      </c>
      <c r="L146">
        <v>605043</v>
      </c>
      <c r="M146" t="s">
        <v>2381</v>
      </c>
      <c r="N146">
        <v>15</v>
      </c>
      <c r="P146" t="s">
        <v>4540</v>
      </c>
      <c r="Q146" t="s">
        <v>2383</v>
      </c>
      <c r="R146">
        <v>1</v>
      </c>
      <c r="S146" t="s">
        <v>2380</v>
      </c>
      <c r="T146" t="s">
        <v>2383</v>
      </c>
      <c r="U146" s="8">
        <v>45943.511620370373</v>
      </c>
      <c r="V146" s="8">
        <v>45946.958333333336</v>
      </c>
      <c r="W146">
        <v>1</v>
      </c>
      <c r="X146">
        <v>3.158506944</v>
      </c>
      <c r="Y146" t="s">
        <v>3250</v>
      </c>
      <c r="Z146" t="s">
        <v>9324</v>
      </c>
      <c r="AA146" t="s">
        <v>1329</v>
      </c>
      <c r="AB146" t="s">
        <v>1278</v>
      </c>
      <c r="AC146" t="s">
        <v>4825</v>
      </c>
      <c r="AD146" t="s">
        <v>2708</v>
      </c>
      <c r="AE146">
        <v>1</v>
      </c>
      <c r="AF146">
        <v>2</v>
      </c>
      <c r="AH146" t="s">
        <v>2723</v>
      </c>
      <c r="AI146" s="8">
        <v>45946.663888888892</v>
      </c>
      <c r="AK146" t="s">
        <v>2719</v>
      </c>
      <c r="AL146" t="s">
        <v>2724</v>
      </c>
      <c r="AO146" t="s">
        <v>2388</v>
      </c>
      <c r="AP146" t="s">
        <v>2401</v>
      </c>
    </row>
    <row r="147" spans="1:42">
      <c r="A147" t="s">
        <v>917</v>
      </c>
      <c r="B147" t="s">
        <v>2377</v>
      </c>
      <c r="C147" t="s">
        <v>2390</v>
      </c>
      <c r="D147" t="s">
        <v>2379</v>
      </c>
      <c r="E147" t="s">
        <v>25</v>
      </c>
      <c r="F147" t="s">
        <v>3445</v>
      </c>
      <c r="G147" t="s">
        <v>25</v>
      </c>
      <c r="H147" t="b">
        <v>1</v>
      </c>
      <c r="I147" s="8">
        <v>45946.435960648145</v>
      </c>
      <c r="J147" t="s">
        <v>2380</v>
      </c>
      <c r="L147">
        <v>602410</v>
      </c>
      <c r="M147" t="s">
        <v>2381</v>
      </c>
      <c r="N147">
        <v>10</v>
      </c>
      <c r="P147" t="s">
        <v>4125</v>
      </c>
      <c r="Q147" t="s">
        <v>2383</v>
      </c>
      <c r="R147">
        <v>1</v>
      </c>
      <c r="S147" t="s">
        <v>2380</v>
      </c>
      <c r="T147" t="s">
        <v>2383</v>
      </c>
      <c r="U147" s="8">
        <v>45943.517164351855</v>
      </c>
      <c r="V147" s="8">
        <v>45946.958333333336</v>
      </c>
      <c r="W147">
        <v>1</v>
      </c>
      <c r="X147">
        <v>2.918796296</v>
      </c>
      <c r="Y147" t="s">
        <v>4126</v>
      </c>
      <c r="Z147" t="s">
        <v>7902</v>
      </c>
      <c r="AA147" t="s">
        <v>7903</v>
      </c>
      <c r="AB147" t="s">
        <v>1278</v>
      </c>
      <c r="AC147" t="s">
        <v>7904</v>
      </c>
      <c r="AD147" t="s">
        <v>2708</v>
      </c>
      <c r="AE147">
        <v>1</v>
      </c>
      <c r="AO147" t="s">
        <v>2957</v>
      </c>
      <c r="AP147" t="s">
        <v>2401</v>
      </c>
    </row>
    <row r="148" spans="1:42">
      <c r="A148" t="s">
        <v>7568</v>
      </c>
      <c r="B148" t="s">
        <v>2389</v>
      </c>
      <c r="C148" t="s">
        <v>2438</v>
      </c>
      <c r="D148" t="s">
        <v>2379</v>
      </c>
      <c r="E148" t="s">
        <v>307</v>
      </c>
      <c r="F148" t="s">
        <v>7566</v>
      </c>
      <c r="G148" t="s">
        <v>307</v>
      </c>
      <c r="H148" t="b">
        <v>1</v>
      </c>
      <c r="I148" s="8">
        <v>45943.714282407411</v>
      </c>
      <c r="J148" t="s">
        <v>2380</v>
      </c>
      <c r="K148">
        <v>1202167</v>
      </c>
      <c r="L148">
        <v>606984</v>
      </c>
      <c r="M148" t="s">
        <v>2381</v>
      </c>
      <c r="P148" t="s">
        <v>2670</v>
      </c>
      <c r="Q148" t="s">
        <v>2383</v>
      </c>
      <c r="R148">
        <v>1</v>
      </c>
      <c r="S148" t="s">
        <v>2380</v>
      </c>
      <c r="T148" t="s">
        <v>2383</v>
      </c>
      <c r="U148" s="8">
        <v>45943.521840277775</v>
      </c>
      <c r="V148" s="8">
        <v>45946.958333333336</v>
      </c>
      <c r="W148">
        <v>1</v>
      </c>
      <c r="X148">
        <v>0.19244212999999999</v>
      </c>
      <c r="Y148" t="s">
        <v>7567</v>
      </c>
      <c r="Z148" t="s">
        <v>7569</v>
      </c>
      <c r="AA148" t="s">
        <v>7570</v>
      </c>
      <c r="AB148" t="s">
        <v>1278</v>
      </c>
      <c r="AD148" t="s">
        <v>2708</v>
      </c>
      <c r="AE148">
        <v>1</v>
      </c>
      <c r="AO148" t="s">
        <v>2957</v>
      </c>
      <c r="AP148" t="s">
        <v>2401</v>
      </c>
    </row>
    <row r="149" spans="1:42">
      <c r="A149" t="s">
        <v>1681</v>
      </c>
      <c r="B149" t="s">
        <v>2389</v>
      </c>
      <c r="C149" t="s">
        <v>2447</v>
      </c>
      <c r="D149" t="s">
        <v>2379</v>
      </c>
      <c r="E149" t="s">
        <v>2452</v>
      </c>
      <c r="F149" t="s">
        <v>2588</v>
      </c>
      <c r="G149" t="s">
        <v>2452</v>
      </c>
      <c r="H149" t="b">
        <v>1</v>
      </c>
      <c r="I149" s="8">
        <v>45947.654236111113</v>
      </c>
      <c r="J149" t="s">
        <v>2380</v>
      </c>
      <c r="K149">
        <v>1203035</v>
      </c>
      <c r="L149">
        <v>603769</v>
      </c>
      <c r="M149" t="s">
        <v>2381</v>
      </c>
      <c r="P149" t="s">
        <v>9055</v>
      </c>
      <c r="Q149" t="s">
        <v>2383</v>
      </c>
      <c r="R149">
        <v>1</v>
      </c>
      <c r="S149" t="s">
        <v>2380</v>
      </c>
      <c r="T149" t="s">
        <v>2383</v>
      </c>
      <c r="U149" s="8">
        <v>45943.528043981481</v>
      </c>
      <c r="V149" s="8">
        <v>45951.958333333336</v>
      </c>
      <c r="W149">
        <v>1</v>
      </c>
      <c r="X149">
        <v>4.1261921299999997</v>
      </c>
      <c r="Y149" t="s">
        <v>2579</v>
      </c>
      <c r="Z149" t="s">
        <v>9056</v>
      </c>
      <c r="AA149" t="s">
        <v>1680</v>
      </c>
      <c r="AB149" t="s">
        <v>1278</v>
      </c>
      <c r="AC149" t="s">
        <v>9057</v>
      </c>
      <c r="AD149" t="s">
        <v>2708</v>
      </c>
      <c r="AE149">
        <v>1</v>
      </c>
      <c r="AH149" t="s">
        <v>33</v>
      </c>
      <c r="AI149" s="8">
        <v>45947.605868055558</v>
      </c>
      <c r="AK149" t="s">
        <v>2719</v>
      </c>
      <c r="AL149" t="s">
        <v>2719</v>
      </c>
      <c r="AO149" t="s">
        <v>2388</v>
      </c>
      <c r="AP149" t="s">
        <v>2401</v>
      </c>
    </row>
    <row r="150" spans="1:42">
      <c r="A150" t="s">
        <v>52</v>
      </c>
      <c r="B150" t="s">
        <v>2377</v>
      </c>
      <c r="C150" t="s">
        <v>2390</v>
      </c>
      <c r="D150" t="s">
        <v>2379</v>
      </c>
      <c r="E150" t="s">
        <v>25</v>
      </c>
      <c r="F150">
        <v>6654</v>
      </c>
      <c r="G150" t="s">
        <v>25</v>
      </c>
      <c r="H150" t="b">
        <v>1</v>
      </c>
      <c r="I150" s="8">
        <v>45946.472407407404</v>
      </c>
      <c r="J150" t="s">
        <v>2380</v>
      </c>
      <c r="L150">
        <v>609584</v>
      </c>
      <c r="M150" t="s">
        <v>2381</v>
      </c>
      <c r="N150">
        <v>10</v>
      </c>
      <c r="P150" t="s">
        <v>7189</v>
      </c>
      <c r="Q150" t="s">
        <v>2383</v>
      </c>
      <c r="R150">
        <v>1</v>
      </c>
      <c r="S150" t="s">
        <v>2380</v>
      </c>
      <c r="T150" t="s">
        <v>2383</v>
      </c>
      <c r="U150" s="8">
        <v>45943.528194444443</v>
      </c>
      <c r="V150" s="8">
        <v>45946.958333333336</v>
      </c>
      <c r="W150">
        <v>1</v>
      </c>
      <c r="X150">
        <v>2.944212963</v>
      </c>
      <c r="Y150" t="s">
        <v>7190</v>
      </c>
      <c r="Z150" t="s">
        <v>7191</v>
      </c>
      <c r="AA150" t="s">
        <v>7192</v>
      </c>
      <c r="AB150" t="s">
        <v>1278</v>
      </c>
      <c r="AC150" t="s">
        <v>7193</v>
      </c>
      <c r="AD150" t="s">
        <v>2708</v>
      </c>
      <c r="AE150">
        <v>1</v>
      </c>
      <c r="AO150" t="s">
        <v>2388</v>
      </c>
      <c r="AP150" t="s">
        <v>2401</v>
      </c>
    </row>
    <row r="151" spans="1:42">
      <c r="A151" t="s">
        <v>1645</v>
      </c>
      <c r="B151" t="s">
        <v>2389</v>
      </c>
      <c r="C151" t="s">
        <v>2438</v>
      </c>
      <c r="D151" t="s">
        <v>2379</v>
      </c>
      <c r="E151" t="s">
        <v>307</v>
      </c>
      <c r="F151" t="s">
        <v>2417</v>
      </c>
      <c r="G151" t="s">
        <v>307</v>
      </c>
      <c r="H151" t="b">
        <v>1</v>
      </c>
      <c r="I151" s="8">
        <v>45943.75309027778</v>
      </c>
      <c r="J151" t="s">
        <v>2380</v>
      </c>
      <c r="K151">
        <v>1202172</v>
      </c>
      <c r="L151">
        <v>605212</v>
      </c>
      <c r="M151" t="s">
        <v>2381</v>
      </c>
      <c r="P151" t="s">
        <v>5262</v>
      </c>
      <c r="Q151" t="s">
        <v>2383</v>
      </c>
      <c r="R151">
        <v>1</v>
      </c>
      <c r="S151" t="s">
        <v>2380</v>
      </c>
      <c r="T151" t="s">
        <v>2383</v>
      </c>
      <c r="U151" s="8">
        <v>45943.534120370372</v>
      </c>
      <c r="V151" s="8">
        <v>45946.958333333336</v>
      </c>
      <c r="W151">
        <v>1</v>
      </c>
      <c r="X151">
        <v>0.21896990699999999</v>
      </c>
      <c r="Y151" t="s">
        <v>2418</v>
      </c>
      <c r="Z151" t="s">
        <v>5263</v>
      </c>
      <c r="AA151" t="s">
        <v>1643</v>
      </c>
      <c r="AB151" t="s">
        <v>1278</v>
      </c>
      <c r="AC151" t="s">
        <v>5264</v>
      </c>
      <c r="AD151" t="s">
        <v>2708</v>
      </c>
      <c r="AE151">
        <v>1</v>
      </c>
      <c r="AO151" t="s">
        <v>2408</v>
      </c>
      <c r="AP151" t="s">
        <v>2401</v>
      </c>
    </row>
    <row r="152" spans="1:42">
      <c r="A152" t="s">
        <v>625</v>
      </c>
      <c r="B152" t="s">
        <v>2377</v>
      </c>
      <c r="C152" t="s">
        <v>2438</v>
      </c>
      <c r="D152" t="s">
        <v>2379</v>
      </c>
      <c r="E152" t="s">
        <v>25</v>
      </c>
      <c r="F152" t="s">
        <v>2402</v>
      </c>
      <c r="G152" t="s">
        <v>25</v>
      </c>
      <c r="H152" t="b">
        <v>1</v>
      </c>
      <c r="I152" s="8">
        <v>45943.61451388889</v>
      </c>
      <c r="J152" t="s">
        <v>2380</v>
      </c>
      <c r="L152">
        <v>605244</v>
      </c>
      <c r="M152" t="s">
        <v>2381</v>
      </c>
      <c r="N152">
        <v>25</v>
      </c>
      <c r="P152" t="s">
        <v>2704</v>
      </c>
      <c r="Q152" t="s">
        <v>2383</v>
      </c>
      <c r="R152">
        <v>1</v>
      </c>
      <c r="S152" t="s">
        <v>2380</v>
      </c>
      <c r="T152" t="s">
        <v>2383</v>
      </c>
      <c r="U152" s="8">
        <v>45943.556296296294</v>
      </c>
      <c r="V152" s="8">
        <v>45946.958333333336</v>
      </c>
      <c r="W152">
        <v>1</v>
      </c>
      <c r="X152">
        <v>5.8217592999999998E-2</v>
      </c>
      <c r="Y152" t="s">
        <v>2403</v>
      </c>
      <c r="Z152" t="s">
        <v>5512</v>
      </c>
      <c r="AA152" t="s">
        <v>2815</v>
      </c>
      <c r="AB152" t="s">
        <v>1278</v>
      </c>
      <c r="AC152" t="s">
        <v>2387</v>
      </c>
      <c r="AD152" t="s">
        <v>2708</v>
      </c>
      <c r="AE152">
        <v>1</v>
      </c>
      <c r="AO152" t="s">
        <v>2408</v>
      </c>
      <c r="AP152" t="s">
        <v>2401</v>
      </c>
    </row>
    <row r="153" spans="1:42">
      <c r="A153" t="s">
        <v>900</v>
      </c>
      <c r="B153" t="s">
        <v>2377</v>
      </c>
      <c r="C153" t="s">
        <v>2438</v>
      </c>
      <c r="D153" t="s">
        <v>2379</v>
      </c>
      <c r="E153" t="s">
        <v>25</v>
      </c>
      <c r="F153" t="s">
        <v>3747</v>
      </c>
      <c r="G153" t="s">
        <v>25</v>
      </c>
      <c r="H153" t="b">
        <v>1</v>
      </c>
      <c r="I153" s="8">
        <v>45943.652743055558</v>
      </c>
      <c r="J153" t="s">
        <v>2380</v>
      </c>
      <c r="L153">
        <v>609121</v>
      </c>
      <c r="M153" t="s">
        <v>2381</v>
      </c>
      <c r="N153">
        <v>25</v>
      </c>
      <c r="P153" t="s">
        <v>2704</v>
      </c>
      <c r="Q153" t="s">
        <v>2383</v>
      </c>
      <c r="R153">
        <v>1</v>
      </c>
      <c r="S153" t="s">
        <v>2380</v>
      </c>
      <c r="T153" t="s">
        <v>2383</v>
      </c>
      <c r="U153" s="8">
        <v>45943.558136574073</v>
      </c>
      <c r="V153" s="8">
        <v>45946.958333333336</v>
      </c>
      <c r="W153">
        <v>1</v>
      </c>
      <c r="X153">
        <v>9.4606481000000006E-2</v>
      </c>
      <c r="Y153" t="s">
        <v>3748</v>
      </c>
      <c r="Z153" t="s">
        <v>4870</v>
      </c>
      <c r="AA153" t="s">
        <v>3751</v>
      </c>
      <c r="AB153" t="s">
        <v>1278</v>
      </c>
      <c r="AC153" t="s">
        <v>2387</v>
      </c>
      <c r="AD153" t="s">
        <v>2708</v>
      </c>
      <c r="AE153">
        <v>1</v>
      </c>
      <c r="AO153" t="s">
        <v>2712</v>
      </c>
      <c r="AP153" t="s">
        <v>2401</v>
      </c>
    </row>
    <row r="154" spans="1:42">
      <c r="A154" t="s">
        <v>914</v>
      </c>
      <c r="B154" t="s">
        <v>2377</v>
      </c>
      <c r="C154" t="s">
        <v>2390</v>
      </c>
      <c r="D154" t="s">
        <v>2379</v>
      </c>
      <c r="E154" t="s">
        <v>12</v>
      </c>
      <c r="F154" t="s">
        <v>3921</v>
      </c>
      <c r="G154" t="s">
        <v>12</v>
      </c>
      <c r="H154" t="b">
        <v>1</v>
      </c>
      <c r="I154" s="8">
        <v>45946.436296296299</v>
      </c>
      <c r="J154" t="s">
        <v>2380</v>
      </c>
      <c r="L154">
        <v>608029</v>
      </c>
      <c r="M154" t="s">
        <v>2381</v>
      </c>
      <c r="P154" t="s">
        <v>3936</v>
      </c>
      <c r="Q154" t="s">
        <v>2383</v>
      </c>
      <c r="R154">
        <v>1</v>
      </c>
      <c r="S154" t="s">
        <v>2380</v>
      </c>
      <c r="T154" t="s">
        <v>2383</v>
      </c>
      <c r="U154" s="8">
        <v>45943.587476851855</v>
      </c>
      <c r="V154" s="8">
        <v>45946.958333333336</v>
      </c>
      <c r="W154">
        <v>1</v>
      </c>
      <c r="X154">
        <v>2.8488194440000001</v>
      </c>
      <c r="Y154" t="s">
        <v>1352</v>
      </c>
      <c r="Z154" t="s">
        <v>3943</v>
      </c>
      <c r="AA154" t="s">
        <v>3923</v>
      </c>
      <c r="AB154" t="s">
        <v>1278</v>
      </c>
      <c r="AC154" t="s">
        <v>913</v>
      </c>
      <c r="AD154" t="s">
        <v>2708</v>
      </c>
      <c r="AE154">
        <v>1</v>
      </c>
      <c r="AO154" t="s">
        <v>2720</v>
      </c>
      <c r="AP154" t="s">
        <v>2401</v>
      </c>
    </row>
    <row r="155" spans="1:42">
      <c r="A155" t="s">
        <v>45</v>
      </c>
      <c r="B155" t="s">
        <v>2377</v>
      </c>
      <c r="C155" t="s">
        <v>2390</v>
      </c>
      <c r="D155" t="s">
        <v>2379</v>
      </c>
      <c r="E155" t="s">
        <v>12</v>
      </c>
      <c r="F155" t="s">
        <v>3921</v>
      </c>
      <c r="G155" t="s">
        <v>12</v>
      </c>
      <c r="H155" t="b">
        <v>1</v>
      </c>
      <c r="I155" s="8">
        <v>45946.455497685187</v>
      </c>
      <c r="J155" t="s">
        <v>2380</v>
      </c>
      <c r="L155">
        <v>608029</v>
      </c>
      <c r="M155" t="s">
        <v>2381</v>
      </c>
      <c r="P155" t="s">
        <v>3936</v>
      </c>
      <c r="Q155" t="s">
        <v>2383</v>
      </c>
      <c r="R155">
        <v>1</v>
      </c>
      <c r="S155" t="s">
        <v>2380</v>
      </c>
      <c r="T155" t="s">
        <v>2383</v>
      </c>
      <c r="U155" s="8">
        <v>45943.588101851848</v>
      </c>
      <c r="V155" s="8">
        <v>45946.958333333336</v>
      </c>
      <c r="W155">
        <v>1</v>
      </c>
      <c r="X155">
        <v>2.8673958329999998</v>
      </c>
      <c r="Y155" t="s">
        <v>1352</v>
      </c>
      <c r="Z155" t="s">
        <v>3944</v>
      </c>
      <c r="AA155" t="s">
        <v>3923</v>
      </c>
      <c r="AB155" t="s">
        <v>1278</v>
      </c>
      <c r="AC155" t="s">
        <v>3945</v>
      </c>
      <c r="AD155" t="s">
        <v>2708</v>
      </c>
      <c r="AE155">
        <v>1</v>
      </c>
      <c r="AO155" t="s">
        <v>2720</v>
      </c>
      <c r="AP155" t="s">
        <v>2401</v>
      </c>
    </row>
    <row r="156" spans="1:42">
      <c r="A156" t="s">
        <v>634</v>
      </c>
      <c r="B156" t="s">
        <v>2377</v>
      </c>
      <c r="C156" t="s">
        <v>2438</v>
      </c>
      <c r="D156" t="s">
        <v>2379</v>
      </c>
      <c r="E156" t="s">
        <v>33</v>
      </c>
      <c r="F156" t="s">
        <v>2588</v>
      </c>
      <c r="G156" t="s">
        <v>33</v>
      </c>
      <c r="H156" t="b">
        <v>1</v>
      </c>
      <c r="I156" s="8">
        <v>45944.595509259256</v>
      </c>
      <c r="J156" t="s">
        <v>2380</v>
      </c>
      <c r="L156">
        <v>603888</v>
      </c>
      <c r="M156" t="s">
        <v>2381</v>
      </c>
      <c r="P156" t="s">
        <v>4128</v>
      </c>
      <c r="Q156" t="s">
        <v>2383</v>
      </c>
      <c r="R156">
        <v>1</v>
      </c>
      <c r="S156" t="s">
        <v>2380</v>
      </c>
      <c r="T156" t="s">
        <v>2383</v>
      </c>
      <c r="U156" s="8">
        <v>45943.622175925928</v>
      </c>
      <c r="V156" s="8">
        <v>45946.958333333336</v>
      </c>
      <c r="W156">
        <v>1</v>
      </c>
      <c r="X156">
        <v>0.97333333300000002</v>
      </c>
      <c r="Y156" t="s">
        <v>2579</v>
      </c>
      <c r="Z156" t="s">
        <v>9356</v>
      </c>
      <c r="AA156" t="s">
        <v>1573</v>
      </c>
      <c r="AB156" t="s">
        <v>1278</v>
      </c>
      <c r="AC156" t="s">
        <v>2387</v>
      </c>
      <c r="AD156" t="s">
        <v>2708</v>
      </c>
      <c r="AE156">
        <v>1</v>
      </c>
      <c r="AF156">
        <v>2</v>
      </c>
      <c r="AH156" t="s">
        <v>2723</v>
      </c>
      <c r="AI156" s="8">
        <v>45944.593564814815</v>
      </c>
      <c r="AK156" t="s">
        <v>2719</v>
      </c>
      <c r="AL156" t="s">
        <v>2724</v>
      </c>
      <c r="AO156" t="s">
        <v>3644</v>
      </c>
      <c r="AP156" t="s">
        <v>2401</v>
      </c>
    </row>
    <row r="157" spans="1:42">
      <c r="A157" t="s">
        <v>649</v>
      </c>
      <c r="B157" t="s">
        <v>2377</v>
      </c>
      <c r="C157" t="s">
        <v>2438</v>
      </c>
      <c r="D157" t="s">
        <v>2379</v>
      </c>
      <c r="E157" t="s">
        <v>33</v>
      </c>
      <c r="F157" t="s">
        <v>2588</v>
      </c>
      <c r="G157" t="s">
        <v>33</v>
      </c>
      <c r="H157" t="b">
        <v>1</v>
      </c>
      <c r="I157" s="8">
        <v>45944.615358796298</v>
      </c>
      <c r="J157" t="s">
        <v>2380</v>
      </c>
      <c r="L157">
        <v>605376</v>
      </c>
      <c r="M157" t="s">
        <v>2381</v>
      </c>
      <c r="P157" t="s">
        <v>4128</v>
      </c>
      <c r="Q157" t="s">
        <v>2383</v>
      </c>
      <c r="R157">
        <v>1</v>
      </c>
      <c r="S157" t="s">
        <v>2380</v>
      </c>
      <c r="T157" t="s">
        <v>2383</v>
      </c>
      <c r="U157" s="8">
        <v>45943.623842592591</v>
      </c>
      <c r="V157" s="8">
        <v>45946.958333333336</v>
      </c>
      <c r="W157">
        <v>1</v>
      </c>
      <c r="X157">
        <v>0.99151620399999996</v>
      </c>
      <c r="Y157" t="s">
        <v>2579</v>
      </c>
      <c r="Z157" t="s">
        <v>9373</v>
      </c>
      <c r="AA157" t="s">
        <v>4130</v>
      </c>
      <c r="AB157" t="s">
        <v>1278</v>
      </c>
      <c r="AC157" t="s">
        <v>2387</v>
      </c>
      <c r="AD157" t="s">
        <v>2708</v>
      </c>
      <c r="AE157">
        <v>1</v>
      </c>
      <c r="AF157">
        <v>5</v>
      </c>
      <c r="AH157" t="s">
        <v>2723</v>
      </c>
      <c r="AI157" s="8">
        <v>45944.612187500003</v>
      </c>
      <c r="AK157" t="s">
        <v>2719</v>
      </c>
      <c r="AL157" t="s">
        <v>2724</v>
      </c>
      <c r="AO157" t="s">
        <v>3644</v>
      </c>
      <c r="AP157" t="s">
        <v>2401</v>
      </c>
    </row>
    <row r="158" spans="1:42">
      <c r="A158" t="s">
        <v>1579</v>
      </c>
      <c r="B158" t="s">
        <v>2377</v>
      </c>
      <c r="C158" t="s">
        <v>2438</v>
      </c>
      <c r="D158" t="s">
        <v>2379</v>
      </c>
      <c r="E158" t="s">
        <v>33</v>
      </c>
      <c r="F158" t="s">
        <v>2588</v>
      </c>
      <c r="G158" t="s">
        <v>33</v>
      </c>
      <c r="H158" t="b">
        <v>1</v>
      </c>
      <c r="I158" s="8">
        <v>45944.605798611112</v>
      </c>
      <c r="J158" t="s">
        <v>2380</v>
      </c>
      <c r="L158">
        <v>605376</v>
      </c>
      <c r="M158" t="s">
        <v>2381</v>
      </c>
      <c r="P158" t="s">
        <v>4128</v>
      </c>
      <c r="Q158" t="s">
        <v>2383</v>
      </c>
      <c r="R158">
        <v>1</v>
      </c>
      <c r="S158" t="s">
        <v>2380</v>
      </c>
      <c r="T158" t="s">
        <v>2383</v>
      </c>
      <c r="U158" s="8">
        <v>45943.62940972222</v>
      </c>
      <c r="V158" s="8">
        <v>45946.958333333336</v>
      </c>
      <c r="W158">
        <v>1</v>
      </c>
      <c r="X158">
        <v>0.97638888899999998</v>
      </c>
      <c r="Y158" t="s">
        <v>2579</v>
      </c>
      <c r="Z158" t="s">
        <v>4129</v>
      </c>
      <c r="AA158" t="s">
        <v>4130</v>
      </c>
      <c r="AB158" t="s">
        <v>1278</v>
      </c>
      <c r="AC158" t="s">
        <v>4131</v>
      </c>
      <c r="AE158">
        <v>1</v>
      </c>
      <c r="AF158">
        <v>2</v>
      </c>
      <c r="AH158" t="s">
        <v>2723</v>
      </c>
      <c r="AI158" s="8">
        <v>45944.598032407404</v>
      </c>
      <c r="AK158" t="s">
        <v>2719</v>
      </c>
      <c r="AL158" t="s">
        <v>2724</v>
      </c>
      <c r="AO158" t="s">
        <v>3644</v>
      </c>
      <c r="AP158" t="s">
        <v>2401</v>
      </c>
    </row>
    <row r="159" spans="1:42">
      <c r="A159" t="s">
        <v>42</v>
      </c>
      <c r="B159" t="s">
        <v>2377</v>
      </c>
      <c r="C159" t="s">
        <v>2390</v>
      </c>
      <c r="D159" t="s">
        <v>2379</v>
      </c>
      <c r="E159" t="s">
        <v>25</v>
      </c>
      <c r="F159" t="s">
        <v>2417</v>
      </c>
      <c r="G159" t="s">
        <v>25</v>
      </c>
      <c r="H159" t="b">
        <v>1</v>
      </c>
      <c r="I159" s="8">
        <v>45946.411168981482</v>
      </c>
      <c r="J159" t="s">
        <v>2380</v>
      </c>
      <c r="L159">
        <v>602944</v>
      </c>
      <c r="M159" t="s">
        <v>2381</v>
      </c>
      <c r="P159" t="s">
        <v>2743</v>
      </c>
      <c r="Q159" t="s">
        <v>2383</v>
      </c>
      <c r="R159">
        <v>1</v>
      </c>
      <c r="S159" t="s">
        <v>2380</v>
      </c>
      <c r="T159" t="s">
        <v>2383</v>
      </c>
      <c r="U159" s="8">
        <v>45943.638391203705</v>
      </c>
      <c r="V159" s="8">
        <v>45946.958333333336</v>
      </c>
      <c r="W159">
        <v>1</v>
      </c>
      <c r="X159">
        <v>2.772777778</v>
      </c>
      <c r="Y159" t="s">
        <v>2418</v>
      </c>
      <c r="Z159" t="s">
        <v>4172</v>
      </c>
      <c r="AA159" t="s">
        <v>2745</v>
      </c>
      <c r="AB159" t="s">
        <v>1278</v>
      </c>
      <c r="AC159" t="s">
        <v>2746</v>
      </c>
      <c r="AD159" t="s">
        <v>2708</v>
      </c>
      <c r="AE159">
        <v>1</v>
      </c>
      <c r="AO159" t="s">
        <v>2408</v>
      </c>
      <c r="AP159" t="s">
        <v>2401</v>
      </c>
    </row>
    <row r="160" spans="1:42">
      <c r="A160" t="s">
        <v>1626</v>
      </c>
      <c r="B160" t="s">
        <v>2389</v>
      </c>
      <c r="C160" t="s">
        <v>2438</v>
      </c>
      <c r="D160" t="s">
        <v>2379</v>
      </c>
      <c r="E160" t="s">
        <v>12</v>
      </c>
      <c r="F160" t="s">
        <v>2588</v>
      </c>
      <c r="G160" t="s">
        <v>12</v>
      </c>
      <c r="H160" t="b">
        <v>1</v>
      </c>
      <c r="I160" s="8">
        <v>45944.414733796293</v>
      </c>
      <c r="J160" t="s">
        <v>2380</v>
      </c>
      <c r="K160">
        <v>1202234</v>
      </c>
      <c r="L160">
        <v>609706</v>
      </c>
      <c r="M160" t="s">
        <v>2381</v>
      </c>
      <c r="P160" t="s">
        <v>8823</v>
      </c>
      <c r="Q160" t="s">
        <v>2383</v>
      </c>
      <c r="R160">
        <v>1</v>
      </c>
      <c r="S160" t="s">
        <v>2380</v>
      </c>
      <c r="T160" t="s">
        <v>2383</v>
      </c>
      <c r="U160" s="8">
        <v>45943.642696759256</v>
      </c>
      <c r="V160" s="8">
        <v>45946.958333333336</v>
      </c>
      <c r="W160">
        <v>1</v>
      </c>
      <c r="X160">
        <v>0.77203703700000004</v>
      </c>
      <c r="Y160" t="s">
        <v>2579</v>
      </c>
      <c r="Z160" t="s">
        <v>9876</v>
      </c>
      <c r="AA160" t="s">
        <v>8825</v>
      </c>
      <c r="AB160" t="s">
        <v>1278</v>
      </c>
      <c r="AC160" t="s">
        <v>9877</v>
      </c>
      <c r="AD160" t="s">
        <v>2708</v>
      </c>
      <c r="AE160">
        <v>1</v>
      </c>
      <c r="AO160" t="s">
        <v>3644</v>
      </c>
      <c r="AP160" t="s">
        <v>2401</v>
      </c>
    </row>
    <row r="161" spans="1:42">
      <c r="A161" t="s">
        <v>44</v>
      </c>
      <c r="B161" t="s">
        <v>2377</v>
      </c>
      <c r="C161" t="s">
        <v>2390</v>
      </c>
      <c r="D161" t="s">
        <v>2379</v>
      </c>
      <c r="E161" t="s">
        <v>28</v>
      </c>
      <c r="F161" t="s">
        <v>3261</v>
      </c>
      <c r="G161" t="s">
        <v>28</v>
      </c>
      <c r="H161" t="b">
        <v>1</v>
      </c>
      <c r="I161" s="8">
        <v>45946.427002314813</v>
      </c>
      <c r="J161" t="s">
        <v>2380</v>
      </c>
      <c r="L161">
        <v>601294</v>
      </c>
      <c r="M161" t="s">
        <v>2381</v>
      </c>
      <c r="N161">
        <v>20</v>
      </c>
      <c r="P161" t="s">
        <v>4638</v>
      </c>
      <c r="Q161" t="s">
        <v>2383</v>
      </c>
      <c r="R161">
        <v>1</v>
      </c>
      <c r="S161" t="s">
        <v>2380</v>
      </c>
      <c r="T161" t="s">
        <v>2383</v>
      </c>
      <c r="U161" s="8">
        <v>45943.647673611114</v>
      </c>
      <c r="V161" s="8">
        <v>45946.958333333336</v>
      </c>
      <c r="W161">
        <v>1</v>
      </c>
      <c r="X161">
        <v>2.7793287040000001</v>
      </c>
      <c r="Y161" t="s">
        <v>3262</v>
      </c>
      <c r="Z161" t="s">
        <v>7950</v>
      </c>
      <c r="AA161" t="s">
        <v>1435</v>
      </c>
      <c r="AB161" t="s">
        <v>1278</v>
      </c>
      <c r="AC161" t="s">
        <v>7951</v>
      </c>
      <c r="AD161" t="s">
        <v>2708</v>
      </c>
      <c r="AE161">
        <v>1</v>
      </c>
      <c r="AO161" t="s">
        <v>2957</v>
      </c>
      <c r="AP161" t="s">
        <v>2401</v>
      </c>
    </row>
    <row r="162" spans="1:42">
      <c r="A162" t="s">
        <v>475</v>
      </c>
      <c r="B162" t="s">
        <v>2377</v>
      </c>
      <c r="C162" t="s">
        <v>2691</v>
      </c>
      <c r="D162" t="s">
        <v>2379</v>
      </c>
      <c r="E162" t="s">
        <v>28</v>
      </c>
      <c r="F162" t="s">
        <v>3261</v>
      </c>
      <c r="G162" t="s">
        <v>28</v>
      </c>
      <c r="H162" t="b">
        <v>1</v>
      </c>
      <c r="I162" s="8">
        <v>45951.430856481478</v>
      </c>
      <c r="J162" t="s">
        <v>2380</v>
      </c>
      <c r="L162">
        <v>602679</v>
      </c>
      <c r="M162" t="s">
        <v>2381</v>
      </c>
      <c r="N162">
        <v>15</v>
      </c>
      <c r="P162" t="s">
        <v>7909</v>
      </c>
      <c r="Q162" t="s">
        <v>2383</v>
      </c>
      <c r="R162">
        <v>1</v>
      </c>
      <c r="S162" t="s">
        <v>2380</v>
      </c>
      <c r="T162" t="s">
        <v>2383</v>
      </c>
      <c r="U162" s="8">
        <v>45943.652048611111</v>
      </c>
      <c r="V162" s="8">
        <v>45951.958333333336</v>
      </c>
      <c r="W162">
        <v>1</v>
      </c>
      <c r="X162">
        <v>5.7788078699999996</v>
      </c>
      <c r="Y162" t="s">
        <v>3262</v>
      </c>
      <c r="Z162" t="s">
        <v>7910</v>
      </c>
      <c r="AA162" t="s">
        <v>1294</v>
      </c>
      <c r="AB162" t="s">
        <v>1278</v>
      </c>
      <c r="AC162" t="s">
        <v>3066</v>
      </c>
      <c r="AD162" t="s">
        <v>2708</v>
      </c>
      <c r="AE162">
        <v>1</v>
      </c>
      <c r="AO162" t="s">
        <v>2957</v>
      </c>
      <c r="AP162" t="s">
        <v>2401</v>
      </c>
    </row>
    <row r="163" spans="1:42">
      <c r="A163" t="s">
        <v>1409</v>
      </c>
      <c r="B163" t="s">
        <v>2389</v>
      </c>
      <c r="C163" t="s">
        <v>2390</v>
      </c>
      <c r="D163" t="s">
        <v>2379</v>
      </c>
      <c r="E163" t="s">
        <v>2452</v>
      </c>
      <c r="F163" t="s">
        <v>3891</v>
      </c>
      <c r="G163" t="s">
        <v>2452</v>
      </c>
      <c r="H163" t="b">
        <v>1</v>
      </c>
      <c r="I163" s="8">
        <v>45946.489305555559</v>
      </c>
      <c r="J163" t="s">
        <v>2380</v>
      </c>
      <c r="K163">
        <v>1202731</v>
      </c>
      <c r="L163">
        <v>603165</v>
      </c>
      <c r="M163" t="s">
        <v>2381</v>
      </c>
      <c r="P163" t="s">
        <v>5007</v>
      </c>
      <c r="Q163" t="s">
        <v>2383</v>
      </c>
      <c r="R163">
        <v>1</v>
      </c>
      <c r="S163" t="s">
        <v>2380</v>
      </c>
      <c r="T163" t="s">
        <v>2383</v>
      </c>
      <c r="U163" s="8">
        <v>45943.655868055554</v>
      </c>
      <c r="V163" s="8">
        <v>45946.958333333336</v>
      </c>
      <c r="W163">
        <v>1</v>
      </c>
      <c r="X163">
        <v>2.8334375000000001</v>
      </c>
      <c r="Y163" t="s">
        <v>3892</v>
      </c>
      <c r="Z163" t="s">
        <v>5008</v>
      </c>
      <c r="AA163" t="s">
        <v>1405</v>
      </c>
      <c r="AB163" t="s">
        <v>1278</v>
      </c>
      <c r="AC163" t="s">
        <v>5009</v>
      </c>
      <c r="AD163" t="s">
        <v>2708</v>
      </c>
      <c r="AE163">
        <v>1</v>
      </c>
      <c r="AO163" t="s">
        <v>2715</v>
      </c>
      <c r="AP163" t="s">
        <v>2401</v>
      </c>
    </row>
    <row r="164" spans="1:42">
      <c r="A164" t="s">
        <v>904</v>
      </c>
      <c r="B164" t="s">
        <v>2377</v>
      </c>
      <c r="C164" t="s">
        <v>2390</v>
      </c>
      <c r="D164" t="s">
        <v>2379</v>
      </c>
      <c r="E164" t="s">
        <v>28</v>
      </c>
      <c r="F164" t="s">
        <v>3520</v>
      </c>
      <c r="G164" t="s">
        <v>28</v>
      </c>
      <c r="H164" t="b">
        <v>1</v>
      </c>
      <c r="I164" s="8">
        <v>45946.374409722222</v>
      </c>
      <c r="J164" t="s">
        <v>2380</v>
      </c>
      <c r="L164">
        <v>603223</v>
      </c>
      <c r="M164" t="s">
        <v>2381</v>
      </c>
      <c r="N164">
        <v>20</v>
      </c>
      <c r="P164" t="s">
        <v>2704</v>
      </c>
      <c r="Q164" t="s">
        <v>2383</v>
      </c>
      <c r="R164">
        <v>1</v>
      </c>
      <c r="S164" t="s">
        <v>2380</v>
      </c>
      <c r="T164" t="s">
        <v>2383</v>
      </c>
      <c r="U164" s="8">
        <v>45943.666122685187</v>
      </c>
      <c r="V164" s="8">
        <v>45946.958333333336</v>
      </c>
      <c r="W164">
        <v>1</v>
      </c>
      <c r="X164">
        <v>2.7082870369999998</v>
      </c>
      <c r="Y164" t="s">
        <v>3521</v>
      </c>
      <c r="Z164" t="s">
        <v>9101</v>
      </c>
      <c r="AA164" t="s">
        <v>3524</v>
      </c>
      <c r="AB164" t="s">
        <v>1278</v>
      </c>
      <c r="AC164" t="s">
        <v>4825</v>
      </c>
      <c r="AD164" t="s">
        <v>2708</v>
      </c>
      <c r="AE164">
        <v>1</v>
      </c>
      <c r="AH164" t="s">
        <v>33</v>
      </c>
      <c r="AI164" s="8">
        <v>45945.411724537036</v>
      </c>
      <c r="AK164" t="s">
        <v>2719</v>
      </c>
      <c r="AL164" t="s">
        <v>2719</v>
      </c>
      <c r="AO164" t="s">
        <v>2957</v>
      </c>
      <c r="AP164" t="s">
        <v>2401</v>
      </c>
    </row>
    <row r="165" spans="1:42">
      <c r="A165" t="s">
        <v>1441</v>
      </c>
      <c r="B165" t="s">
        <v>2389</v>
      </c>
      <c r="C165" t="s">
        <v>2390</v>
      </c>
      <c r="D165" t="s">
        <v>2379</v>
      </c>
      <c r="E165" t="s">
        <v>2452</v>
      </c>
      <c r="F165" t="s">
        <v>2409</v>
      </c>
      <c r="G165" t="s">
        <v>2452</v>
      </c>
      <c r="H165" t="b">
        <v>1</v>
      </c>
      <c r="I165" s="8">
        <v>45946.40556712963</v>
      </c>
      <c r="J165" t="s">
        <v>2380</v>
      </c>
      <c r="L165">
        <v>608068</v>
      </c>
      <c r="M165" t="s">
        <v>2381</v>
      </c>
      <c r="P165" t="s">
        <v>2486</v>
      </c>
      <c r="Q165" t="s">
        <v>2383</v>
      </c>
      <c r="R165">
        <v>1</v>
      </c>
      <c r="S165" t="s">
        <v>2380</v>
      </c>
      <c r="T165" t="s">
        <v>2383</v>
      </c>
      <c r="U165" s="8">
        <v>45943.666967592595</v>
      </c>
      <c r="V165" s="8">
        <v>45946.958333333336</v>
      </c>
      <c r="W165">
        <v>1</v>
      </c>
      <c r="X165">
        <v>2.7385995369999998</v>
      </c>
      <c r="Y165" t="s">
        <v>2410</v>
      </c>
      <c r="Z165" t="s">
        <v>2854</v>
      </c>
      <c r="AA165" t="s">
        <v>2471</v>
      </c>
      <c r="AB165" t="s">
        <v>1278</v>
      </c>
      <c r="AC165" t="s">
        <v>2855</v>
      </c>
      <c r="AE165">
        <v>1</v>
      </c>
      <c r="AO165" t="s">
        <v>2408</v>
      </c>
      <c r="AP165" t="s">
        <v>2401</v>
      </c>
    </row>
    <row r="166" spans="1:42">
      <c r="A166" t="s">
        <v>781</v>
      </c>
      <c r="B166" t="s">
        <v>2377</v>
      </c>
      <c r="C166" t="s">
        <v>2438</v>
      </c>
      <c r="D166" t="s">
        <v>2379</v>
      </c>
      <c r="E166" t="s">
        <v>25</v>
      </c>
      <c r="F166" t="s">
        <v>3891</v>
      </c>
      <c r="G166" t="s">
        <v>25</v>
      </c>
      <c r="H166" t="b">
        <v>1</v>
      </c>
      <c r="I166" s="8">
        <v>45943.743101851855</v>
      </c>
      <c r="J166" t="s">
        <v>2380</v>
      </c>
      <c r="L166">
        <v>609820</v>
      </c>
      <c r="M166" t="s">
        <v>2381</v>
      </c>
      <c r="N166">
        <v>10</v>
      </c>
      <c r="P166" t="s">
        <v>2704</v>
      </c>
      <c r="Q166" t="s">
        <v>2383</v>
      </c>
      <c r="R166">
        <v>1</v>
      </c>
      <c r="S166" t="s">
        <v>2380</v>
      </c>
      <c r="T166" t="s">
        <v>2383</v>
      </c>
      <c r="U166" s="8">
        <v>45943.688414351855</v>
      </c>
      <c r="V166" s="8">
        <v>45946.958333333336</v>
      </c>
      <c r="W166">
        <v>1</v>
      </c>
      <c r="X166">
        <v>5.46875E-2</v>
      </c>
      <c r="Y166" t="s">
        <v>3892</v>
      </c>
      <c r="Z166" t="s">
        <v>5028</v>
      </c>
      <c r="AA166" t="s">
        <v>5029</v>
      </c>
      <c r="AB166" t="s">
        <v>1278</v>
      </c>
      <c r="AC166" t="s">
        <v>2387</v>
      </c>
      <c r="AD166" t="s">
        <v>2708</v>
      </c>
      <c r="AE166">
        <v>1</v>
      </c>
      <c r="AO166" t="s">
        <v>2715</v>
      </c>
      <c r="AP166" t="s">
        <v>2401</v>
      </c>
    </row>
    <row r="167" spans="1:42">
      <c r="A167" t="s">
        <v>1472</v>
      </c>
      <c r="B167" t="s">
        <v>2389</v>
      </c>
      <c r="C167" t="s">
        <v>2415</v>
      </c>
      <c r="D167" t="s">
        <v>2379</v>
      </c>
      <c r="E167" t="s">
        <v>12</v>
      </c>
      <c r="F167" t="s">
        <v>3193</v>
      </c>
      <c r="G167" t="s">
        <v>12</v>
      </c>
      <c r="H167" t="b">
        <v>1</v>
      </c>
      <c r="I167" s="8">
        <v>45945.618784722225</v>
      </c>
      <c r="J167" t="s">
        <v>2380</v>
      </c>
      <c r="K167">
        <v>1202596</v>
      </c>
      <c r="L167">
        <v>609841</v>
      </c>
      <c r="M167" t="s">
        <v>2381</v>
      </c>
      <c r="P167" t="s">
        <v>3681</v>
      </c>
      <c r="Q167" t="s">
        <v>2383</v>
      </c>
      <c r="R167">
        <v>1</v>
      </c>
      <c r="S167" t="s">
        <v>2380</v>
      </c>
      <c r="T167" t="s">
        <v>2383</v>
      </c>
      <c r="U167" s="8">
        <v>45943.689305555556</v>
      </c>
      <c r="V167" s="8">
        <v>45946.958333333336</v>
      </c>
      <c r="W167">
        <v>1</v>
      </c>
      <c r="X167">
        <v>1.929479167</v>
      </c>
      <c r="Y167" t="s">
        <v>3194</v>
      </c>
      <c r="Z167" t="s">
        <v>9872</v>
      </c>
      <c r="AA167" t="s">
        <v>3683</v>
      </c>
      <c r="AB167" t="s">
        <v>1278</v>
      </c>
      <c r="AC167" t="s">
        <v>9873</v>
      </c>
      <c r="AD167" t="s">
        <v>2708</v>
      </c>
      <c r="AE167">
        <v>1</v>
      </c>
      <c r="AO167" t="s">
        <v>3644</v>
      </c>
      <c r="AP167" t="s">
        <v>2401</v>
      </c>
    </row>
    <row r="168" spans="1:42">
      <c r="A168" t="s">
        <v>1476</v>
      </c>
      <c r="B168" t="s">
        <v>2389</v>
      </c>
      <c r="C168" t="s">
        <v>2415</v>
      </c>
      <c r="D168" t="s">
        <v>2379</v>
      </c>
      <c r="E168" t="s">
        <v>12</v>
      </c>
      <c r="F168" t="s">
        <v>3193</v>
      </c>
      <c r="G168" t="s">
        <v>12</v>
      </c>
      <c r="H168" t="b">
        <v>1</v>
      </c>
      <c r="I168" s="8">
        <v>45945.614178240743</v>
      </c>
      <c r="J168" t="s">
        <v>2380</v>
      </c>
      <c r="K168">
        <v>1202594</v>
      </c>
      <c r="L168">
        <v>609841</v>
      </c>
      <c r="M168" t="s">
        <v>2381</v>
      </c>
      <c r="P168" t="s">
        <v>3681</v>
      </c>
      <c r="Q168" t="s">
        <v>2383</v>
      </c>
      <c r="R168">
        <v>1</v>
      </c>
      <c r="S168" t="s">
        <v>2380</v>
      </c>
      <c r="T168" t="s">
        <v>2383</v>
      </c>
      <c r="U168" s="8">
        <v>45943.689502314817</v>
      </c>
      <c r="V168" s="8">
        <v>45946.958333333336</v>
      </c>
      <c r="W168">
        <v>1</v>
      </c>
      <c r="X168">
        <v>1.9246759259999999</v>
      </c>
      <c r="Y168" t="s">
        <v>3194</v>
      </c>
      <c r="Z168" t="s">
        <v>9868</v>
      </c>
      <c r="AA168" t="s">
        <v>3683</v>
      </c>
      <c r="AB168" t="s">
        <v>1278</v>
      </c>
      <c r="AC168" t="s">
        <v>9869</v>
      </c>
      <c r="AD168" t="s">
        <v>2708</v>
      </c>
      <c r="AE168">
        <v>1</v>
      </c>
      <c r="AO168" t="s">
        <v>3644</v>
      </c>
      <c r="AP168" t="s">
        <v>2401</v>
      </c>
    </row>
    <row r="169" spans="1:42">
      <c r="A169" t="s">
        <v>1379</v>
      </c>
      <c r="B169" t="s">
        <v>2377</v>
      </c>
      <c r="C169" t="s">
        <v>2390</v>
      </c>
      <c r="D169" t="s">
        <v>2379</v>
      </c>
      <c r="E169" t="s">
        <v>24</v>
      </c>
      <c r="F169" t="s">
        <v>3445</v>
      </c>
      <c r="G169" t="s">
        <v>24</v>
      </c>
      <c r="H169" t="b">
        <v>1</v>
      </c>
      <c r="I169" s="8">
        <v>45946.581365740742</v>
      </c>
      <c r="J169" t="s">
        <v>2380</v>
      </c>
      <c r="L169">
        <v>603970</v>
      </c>
      <c r="M169" t="s">
        <v>2381</v>
      </c>
      <c r="P169" t="s">
        <v>4125</v>
      </c>
      <c r="Q169" t="s">
        <v>2383</v>
      </c>
      <c r="R169">
        <v>1</v>
      </c>
      <c r="S169" t="s">
        <v>2380</v>
      </c>
      <c r="T169" t="s">
        <v>2383</v>
      </c>
      <c r="U169" s="8">
        <v>45943.689525462964</v>
      </c>
      <c r="V169" s="8">
        <v>45946.958333333336</v>
      </c>
      <c r="W169">
        <v>1</v>
      </c>
      <c r="X169">
        <v>2.8918402780000001</v>
      </c>
      <c r="Y169" t="s">
        <v>4126</v>
      </c>
      <c r="Z169" t="s">
        <v>9952</v>
      </c>
      <c r="AA169" t="s">
        <v>2306</v>
      </c>
      <c r="AB169" t="s">
        <v>1278</v>
      </c>
      <c r="AC169" t="s">
        <v>2746</v>
      </c>
      <c r="AE169">
        <v>1</v>
      </c>
      <c r="AO169" t="s">
        <v>2957</v>
      </c>
      <c r="AP169" t="s">
        <v>2401</v>
      </c>
    </row>
    <row r="170" spans="1:42">
      <c r="A170" t="s">
        <v>1474</v>
      </c>
      <c r="B170" t="s">
        <v>2389</v>
      </c>
      <c r="C170" t="s">
        <v>2415</v>
      </c>
      <c r="D170" t="s">
        <v>2379</v>
      </c>
      <c r="E170" t="s">
        <v>12</v>
      </c>
      <c r="F170" t="s">
        <v>3193</v>
      </c>
      <c r="G170" t="s">
        <v>12</v>
      </c>
      <c r="H170" t="b">
        <v>1</v>
      </c>
      <c r="I170" s="8">
        <v>45945.616562499999</v>
      </c>
      <c r="J170" t="s">
        <v>2380</v>
      </c>
      <c r="K170">
        <v>1202595</v>
      </c>
      <c r="L170">
        <v>609841</v>
      </c>
      <c r="M170" t="s">
        <v>2381</v>
      </c>
      <c r="P170" t="s">
        <v>3681</v>
      </c>
      <c r="Q170" t="s">
        <v>2383</v>
      </c>
      <c r="R170">
        <v>1</v>
      </c>
      <c r="S170" t="s">
        <v>2380</v>
      </c>
      <c r="T170" t="s">
        <v>2383</v>
      </c>
      <c r="U170" s="8">
        <v>45943.689687500002</v>
      </c>
      <c r="V170" s="8">
        <v>45946.958333333336</v>
      </c>
      <c r="W170">
        <v>1</v>
      </c>
      <c r="X170">
        <v>1.9268749999999999</v>
      </c>
      <c r="Y170" t="s">
        <v>3194</v>
      </c>
      <c r="Z170" t="s">
        <v>9870</v>
      </c>
      <c r="AA170" t="s">
        <v>3683</v>
      </c>
      <c r="AB170" t="s">
        <v>1278</v>
      </c>
      <c r="AC170" t="s">
        <v>9871</v>
      </c>
      <c r="AD170" t="s">
        <v>2708</v>
      </c>
      <c r="AE170">
        <v>1</v>
      </c>
      <c r="AO170" t="s">
        <v>3644</v>
      </c>
      <c r="AP170" t="s">
        <v>2401</v>
      </c>
    </row>
    <row r="171" spans="1:42">
      <c r="A171" t="s">
        <v>1407</v>
      </c>
      <c r="B171" t="s">
        <v>2389</v>
      </c>
      <c r="C171" t="s">
        <v>2390</v>
      </c>
      <c r="D171" t="s">
        <v>2379</v>
      </c>
      <c r="E171" t="s">
        <v>2452</v>
      </c>
      <c r="F171" t="s">
        <v>3891</v>
      </c>
      <c r="G171" t="s">
        <v>2452</v>
      </c>
      <c r="H171" t="b">
        <v>1</v>
      </c>
      <c r="I171" s="8">
        <v>45946.493043981478</v>
      </c>
      <c r="J171" t="s">
        <v>2380</v>
      </c>
      <c r="K171">
        <v>1202734</v>
      </c>
      <c r="L171">
        <v>603165</v>
      </c>
      <c r="M171" t="s">
        <v>2381</v>
      </c>
      <c r="P171" t="s">
        <v>5007</v>
      </c>
      <c r="Q171" t="s">
        <v>2383</v>
      </c>
      <c r="R171">
        <v>1</v>
      </c>
      <c r="S171" t="s">
        <v>2380</v>
      </c>
      <c r="T171" t="s">
        <v>2383</v>
      </c>
      <c r="U171" s="8">
        <v>45943.69121527778</v>
      </c>
      <c r="V171" s="8">
        <v>45946.958333333336</v>
      </c>
      <c r="W171">
        <v>1</v>
      </c>
      <c r="X171">
        <v>2.8018287040000001</v>
      </c>
      <c r="Y171" t="s">
        <v>3892</v>
      </c>
      <c r="Z171" t="s">
        <v>5010</v>
      </c>
      <c r="AA171" t="s">
        <v>1405</v>
      </c>
      <c r="AB171" t="s">
        <v>1278</v>
      </c>
      <c r="AC171" t="s">
        <v>5011</v>
      </c>
      <c r="AD171" t="s">
        <v>2708</v>
      </c>
      <c r="AE171">
        <v>1</v>
      </c>
      <c r="AO171" t="s">
        <v>2715</v>
      </c>
      <c r="AP171" t="s">
        <v>2401</v>
      </c>
    </row>
    <row r="172" spans="1:42">
      <c r="A172" t="s">
        <v>787</v>
      </c>
      <c r="B172" t="s">
        <v>2377</v>
      </c>
      <c r="C172" t="s">
        <v>2390</v>
      </c>
      <c r="D172" t="s">
        <v>2379</v>
      </c>
      <c r="E172" t="s">
        <v>24</v>
      </c>
      <c r="F172" t="s">
        <v>3445</v>
      </c>
      <c r="G172" t="s">
        <v>24</v>
      </c>
      <c r="H172" t="b">
        <v>1</v>
      </c>
      <c r="I172" s="8">
        <v>45946.583043981482</v>
      </c>
      <c r="J172" t="s">
        <v>2380</v>
      </c>
      <c r="L172">
        <v>603970</v>
      </c>
      <c r="M172" t="s">
        <v>2381</v>
      </c>
      <c r="P172" t="s">
        <v>4125</v>
      </c>
      <c r="Q172" t="s">
        <v>2383</v>
      </c>
      <c r="R172">
        <v>1</v>
      </c>
      <c r="S172" t="s">
        <v>2380</v>
      </c>
      <c r="T172" t="s">
        <v>2383</v>
      </c>
      <c r="U172" s="8">
        <v>45943.707048611112</v>
      </c>
      <c r="V172" s="8">
        <v>45946.958333333336</v>
      </c>
      <c r="W172">
        <v>1</v>
      </c>
      <c r="X172">
        <v>2.8759953700000001</v>
      </c>
      <c r="Y172" t="s">
        <v>4126</v>
      </c>
      <c r="Z172" t="s">
        <v>7403</v>
      </c>
      <c r="AA172" t="s">
        <v>2306</v>
      </c>
      <c r="AB172" t="s">
        <v>1278</v>
      </c>
      <c r="AC172" t="s">
        <v>2746</v>
      </c>
      <c r="AD172" t="s">
        <v>2708</v>
      </c>
      <c r="AE172">
        <v>1</v>
      </c>
      <c r="AO172" t="s">
        <v>2957</v>
      </c>
      <c r="AP172" t="s">
        <v>2401</v>
      </c>
    </row>
    <row r="173" spans="1:42">
      <c r="A173" t="s">
        <v>915</v>
      </c>
      <c r="B173" t="s">
        <v>2377</v>
      </c>
      <c r="C173" t="s">
        <v>2390</v>
      </c>
      <c r="D173" t="s">
        <v>2379</v>
      </c>
      <c r="E173" t="s">
        <v>28</v>
      </c>
      <c r="F173" t="s">
        <v>3445</v>
      </c>
      <c r="G173" t="s">
        <v>28</v>
      </c>
      <c r="H173" t="b">
        <v>1</v>
      </c>
      <c r="I173" s="8">
        <v>45946.435034722221</v>
      </c>
      <c r="J173" t="s">
        <v>2380</v>
      </c>
      <c r="L173">
        <v>602410</v>
      </c>
      <c r="M173" t="s">
        <v>2381</v>
      </c>
      <c r="N173">
        <v>15</v>
      </c>
      <c r="P173" t="s">
        <v>4125</v>
      </c>
      <c r="Q173" t="s">
        <v>2383</v>
      </c>
      <c r="R173">
        <v>1</v>
      </c>
      <c r="S173" t="s">
        <v>2380</v>
      </c>
      <c r="T173" t="s">
        <v>2383</v>
      </c>
      <c r="U173" s="8">
        <v>45943.709988425922</v>
      </c>
      <c r="V173" s="8">
        <v>45946.958333333336</v>
      </c>
      <c r="W173">
        <v>1</v>
      </c>
      <c r="X173">
        <v>2.7250462959999999</v>
      </c>
      <c r="Y173" t="s">
        <v>4126</v>
      </c>
      <c r="Z173" t="s">
        <v>7906</v>
      </c>
      <c r="AA173" t="s">
        <v>7903</v>
      </c>
      <c r="AB173" t="s">
        <v>1278</v>
      </c>
      <c r="AC173" t="s">
        <v>3066</v>
      </c>
      <c r="AD173" t="s">
        <v>2708</v>
      </c>
      <c r="AE173">
        <v>1</v>
      </c>
      <c r="AO173" t="s">
        <v>2957</v>
      </c>
      <c r="AP173" t="s">
        <v>2401</v>
      </c>
    </row>
    <row r="174" spans="1:42">
      <c r="A174" t="s">
        <v>54</v>
      </c>
      <c r="B174" t="s">
        <v>2377</v>
      </c>
      <c r="C174" t="s">
        <v>2390</v>
      </c>
      <c r="D174" t="s">
        <v>2379</v>
      </c>
      <c r="E174" t="s">
        <v>12</v>
      </c>
      <c r="F174" t="s">
        <v>2588</v>
      </c>
      <c r="G174" t="s">
        <v>12</v>
      </c>
      <c r="H174" t="b">
        <v>1</v>
      </c>
      <c r="I174" s="8">
        <v>45946.484965277778</v>
      </c>
      <c r="J174" t="s">
        <v>2380</v>
      </c>
      <c r="L174">
        <v>603757</v>
      </c>
      <c r="M174" t="s">
        <v>2381</v>
      </c>
      <c r="P174" t="s">
        <v>8955</v>
      </c>
      <c r="Q174" t="s">
        <v>2383</v>
      </c>
      <c r="R174">
        <v>1</v>
      </c>
      <c r="S174" t="s">
        <v>2380</v>
      </c>
      <c r="T174" t="s">
        <v>2383</v>
      </c>
      <c r="U174" s="8">
        <v>45943.849374999998</v>
      </c>
      <c r="V174" s="8">
        <v>45946.958333333336</v>
      </c>
      <c r="W174">
        <v>1</v>
      </c>
      <c r="X174">
        <v>2.635590278</v>
      </c>
      <c r="Y174" t="s">
        <v>2579</v>
      </c>
      <c r="Z174" t="s">
        <v>9767</v>
      </c>
      <c r="AA174" t="s">
        <v>9752</v>
      </c>
      <c r="AB174" t="s">
        <v>1278</v>
      </c>
      <c r="AC174" t="s">
        <v>53</v>
      </c>
      <c r="AD174" t="s">
        <v>2708</v>
      </c>
      <c r="AE174">
        <v>1</v>
      </c>
      <c r="AO174" t="s">
        <v>3644</v>
      </c>
      <c r="AP174" t="s">
        <v>2401</v>
      </c>
    </row>
    <row r="175" spans="1:42">
      <c r="A175" t="s">
        <v>1411</v>
      </c>
      <c r="B175" t="s">
        <v>2389</v>
      </c>
      <c r="C175" t="s">
        <v>2390</v>
      </c>
      <c r="D175" t="s">
        <v>2379</v>
      </c>
      <c r="E175" t="s">
        <v>12</v>
      </c>
      <c r="F175" t="s">
        <v>2588</v>
      </c>
      <c r="G175" t="s">
        <v>12</v>
      </c>
      <c r="H175" t="b">
        <v>1</v>
      </c>
      <c r="I175" s="8">
        <v>45946.486666666664</v>
      </c>
      <c r="J175" t="s">
        <v>2380</v>
      </c>
      <c r="K175">
        <v>1202729</v>
      </c>
      <c r="L175">
        <v>603756</v>
      </c>
      <c r="M175" t="s">
        <v>2381</v>
      </c>
      <c r="P175" t="s">
        <v>8955</v>
      </c>
      <c r="Q175" t="s">
        <v>2383</v>
      </c>
      <c r="R175">
        <v>1</v>
      </c>
      <c r="S175" t="s">
        <v>2380</v>
      </c>
      <c r="T175" t="s">
        <v>2383</v>
      </c>
      <c r="U175" s="8">
        <v>45943.896550925929</v>
      </c>
      <c r="V175" s="8">
        <v>45946.958333333336</v>
      </c>
      <c r="W175">
        <v>1</v>
      </c>
      <c r="X175">
        <v>2.590115741</v>
      </c>
      <c r="Y175" t="s">
        <v>2579</v>
      </c>
      <c r="Z175" t="s">
        <v>9497</v>
      </c>
      <c r="AA175" t="s">
        <v>1290</v>
      </c>
      <c r="AB175" t="s">
        <v>1278</v>
      </c>
      <c r="AC175" t="s">
        <v>9498</v>
      </c>
      <c r="AD175" t="s">
        <v>2708</v>
      </c>
      <c r="AE175">
        <v>1</v>
      </c>
      <c r="AO175" t="s">
        <v>3644</v>
      </c>
      <c r="AP175" t="s">
        <v>8931</v>
      </c>
    </row>
    <row r="176" spans="1:42">
      <c r="A176" t="s">
        <v>413</v>
      </c>
      <c r="B176" t="s">
        <v>2377</v>
      </c>
      <c r="C176" t="s">
        <v>2438</v>
      </c>
      <c r="D176" t="s">
        <v>2379</v>
      </c>
      <c r="E176" t="s">
        <v>25</v>
      </c>
      <c r="F176" t="s">
        <v>2588</v>
      </c>
      <c r="G176" t="s">
        <v>25</v>
      </c>
      <c r="H176" t="b">
        <v>1</v>
      </c>
      <c r="I176" s="8">
        <v>45944.394513888888</v>
      </c>
      <c r="J176" t="s">
        <v>2380</v>
      </c>
      <c r="L176">
        <v>603654</v>
      </c>
      <c r="M176" t="s">
        <v>2381</v>
      </c>
      <c r="N176">
        <v>8</v>
      </c>
      <c r="P176" t="s">
        <v>2704</v>
      </c>
      <c r="Q176" t="s">
        <v>2383</v>
      </c>
      <c r="R176">
        <v>1</v>
      </c>
      <c r="S176" t="s">
        <v>2380</v>
      </c>
      <c r="T176" t="s">
        <v>2383</v>
      </c>
      <c r="U176" s="8">
        <v>45944.354328703703</v>
      </c>
      <c r="V176" s="8">
        <v>45947.958333333336</v>
      </c>
      <c r="W176">
        <v>1</v>
      </c>
      <c r="X176">
        <v>4.0185184999999998E-2</v>
      </c>
      <c r="Y176" t="s">
        <v>2579</v>
      </c>
      <c r="Z176" t="s">
        <v>7397</v>
      </c>
      <c r="AA176" t="s">
        <v>7398</v>
      </c>
      <c r="AB176" t="s">
        <v>1278</v>
      </c>
      <c r="AC176" t="s">
        <v>2387</v>
      </c>
      <c r="AD176" t="s">
        <v>2708</v>
      </c>
      <c r="AE176">
        <v>1</v>
      </c>
      <c r="AO176" t="s">
        <v>2388</v>
      </c>
      <c r="AP176" t="s">
        <v>2401</v>
      </c>
    </row>
    <row r="177" spans="1:42">
      <c r="A177" t="s">
        <v>1018</v>
      </c>
      <c r="B177" t="s">
        <v>2377</v>
      </c>
      <c r="C177" t="s">
        <v>2438</v>
      </c>
      <c r="D177" t="s">
        <v>2379</v>
      </c>
      <c r="E177" t="s">
        <v>25</v>
      </c>
      <c r="F177">
        <v>6654</v>
      </c>
      <c r="G177" t="s">
        <v>25</v>
      </c>
      <c r="H177" t="b">
        <v>1</v>
      </c>
      <c r="I177" s="8">
        <v>45944.40693287037</v>
      </c>
      <c r="J177" t="s">
        <v>2380</v>
      </c>
      <c r="L177">
        <v>609584</v>
      </c>
      <c r="M177" t="s">
        <v>2381</v>
      </c>
      <c r="N177">
        <v>25</v>
      </c>
      <c r="P177" t="s">
        <v>2704</v>
      </c>
      <c r="Q177" t="s">
        <v>2383</v>
      </c>
      <c r="R177">
        <v>1</v>
      </c>
      <c r="S177" t="s">
        <v>2380</v>
      </c>
      <c r="T177" t="s">
        <v>2383</v>
      </c>
      <c r="U177" s="8">
        <v>45944.355231481481</v>
      </c>
      <c r="V177" s="8">
        <v>45947.958333333336</v>
      </c>
      <c r="W177">
        <v>1</v>
      </c>
      <c r="X177">
        <v>5.1701389E-2</v>
      </c>
      <c r="Y177" t="s">
        <v>7190</v>
      </c>
      <c r="Z177" t="s">
        <v>7272</v>
      </c>
      <c r="AA177" t="s">
        <v>7192</v>
      </c>
      <c r="AB177" t="s">
        <v>1278</v>
      </c>
      <c r="AC177" t="s">
        <v>2387</v>
      </c>
      <c r="AD177" t="s">
        <v>2708</v>
      </c>
      <c r="AE177">
        <v>1</v>
      </c>
      <c r="AO177" t="s">
        <v>2388</v>
      </c>
      <c r="AP177" t="s">
        <v>2401</v>
      </c>
    </row>
    <row r="178" spans="1:42">
      <c r="A178" t="s">
        <v>1401</v>
      </c>
      <c r="B178" t="s">
        <v>2389</v>
      </c>
      <c r="C178" t="s">
        <v>2390</v>
      </c>
      <c r="D178" t="s">
        <v>2379</v>
      </c>
      <c r="E178" t="s">
        <v>2452</v>
      </c>
      <c r="F178" t="s">
        <v>2417</v>
      </c>
      <c r="G178" t="s">
        <v>2452</v>
      </c>
      <c r="H178" t="b">
        <v>1</v>
      </c>
      <c r="I178" s="8">
        <v>45946.521840277775</v>
      </c>
      <c r="J178" t="s">
        <v>2380</v>
      </c>
      <c r="K178">
        <v>1202773</v>
      </c>
      <c r="L178">
        <v>602876</v>
      </c>
      <c r="M178" t="s">
        <v>2381</v>
      </c>
      <c r="P178" t="s">
        <v>5595</v>
      </c>
      <c r="Q178" t="s">
        <v>2383</v>
      </c>
      <c r="R178">
        <v>1</v>
      </c>
      <c r="S178" t="s">
        <v>2380</v>
      </c>
      <c r="T178" t="s">
        <v>2383</v>
      </c>
      <c r="U178" s="8">
        <v>45944.379166666666</v>
      </c>
      <c r="V178" s="8">
        <v>45947.958333333336</v>
      </c>
      <c r="W178">
        <v>1</v>
      </c>
      <c r="X178">
        <v>2.1426736110000002</v>
      </c>
      <c r="Y178" t="s">
        <v>2418</v>
      </c>
      <c r="Z178" t="s">
        <v>5613</v>
      </c>
      <c r="AA178" t="s">
        <v>1307</v>
      </c>
      <c r="AB178" t="s">
        <v>1278</v>
      </c>
      <c r="AC178" t="s">
        <v>5614</v>
      </c>
      <c r="AD178" t="s">
        <v>2708</v>
      </c>
      <c r="AE178">
        <v>1</v>
      </c>
      <c r="AO178" t="s">
        <v>2540</v>
      </c>
      <c r="AP178" t="s">
        <v>2401</v>
      </c>
    </row>
    <row r="179" spans="1:42">
      <c r="A179" t="s">
        <v>640</v>
      </c>
      <c r="B179" t="s">
        <v>2377</v>
      </c>
      <c r="C179" t="s">
        <v>2438</v>
      </c>
      <c r="D179" t="s">
        <v>2379</v>
      </c>
      <c r="E179" t="s">
        <v>28</v>
      </c>
      <c r="F179" t="s">
        <v>2627</v>
      </c>
      <c r="G179" t="s">
        <v>28</v>
      </c>
      <c r="H179" t="b">
        <v>1</v>
      </c>
      <c r="I179" s="8">
        <v>45944.418217592596</v>
      </c>
      <c r="J179" t="s">
        <v>2380</v>
      </c>
      <c r="L179">
        <v>602686</v>
      </c>
      <c r="M179" t="s">
        <v>2381</v>
      </c>
      <c r="N179">
        <v>20</v>
      </c>
      <c r="P179" t="s">
        <v>2704</v>
      </c>
      <c r="Q179" t="s">
        <v>2383</v>
      </c>
      <c r="R179">
        <v>1</v>
      </c>
      <c r="S179" t="s">
        <v>2380</v>
      </c>
      <c r="T179" t="s">
        <v>2383</v>
      </c>
      <c r="U179" s="8">
        <v>45944.405185185184</v>
      </c>
      <c r="V179" s="8">
        <v>45947.958333333336</v>
      </c>
      <c r="W179">
        <v>1</v>
      </c>
      <c r="X179">
        <v>1.3032406999999999E-2</v>
      </c>
      <c r="Y179" t="s">
        <v>2628</v>
      </c>
      <c r="Z179" t="s">
        <v>9622</v>
      </c>
      <c r="AA179" t="s">
        <v>3585</v>
      </c>
      <c r="AB179" t="s">
        <v>1278</v>
      </c>
      <c r="AC179" t="s">
        <v>3066</v>
      </c>
      <c r="AD179" t="s">
        <v>2708</v>
      </c>
      <c r="AE179">
        <v>1</v>
      </c>
      <c r="AO179" t="s">
        <v>3586</v>
      </c>
      <c r="AP179" t="s">
        <v>2401</v>
      </c>
    </row>
    <row r="180" spans="1:42">
      <c r="A180" t="s">
        <v>643</v>
      </c>
      <c r="B180" t="s">
        <v>2377</v>
      </c>
      <c r="C180" t="s">
        <v>2438</v>
      </c>
      <c r="D180" t="s">
        <v>2379</v>
      </c>
      <c r="E180" t="s">
        <v>33</v>
      </c>
      <c r="F180" t="s">
        <v>2409</v>
      </c>
      <c r="G180" t="s">
        <v>33</v>
      </c>
      <c r="H180" t="b">
        <v>1</v>
      </c>
      <c r="I180" s="8">
        <v>45944.517129629632</v>
      </c>
      <c r="J180" t="s">
        <v>2380</v>
      </c>
      <c r="L180">
        <v>608028</v>
      </c>
      <c r="M180" t="s">
        <v>2381</v>
      </c>
      <c r="P180" t="s">
        <v>2704</v>
      </c>
      <c r="Q180" t="s">
        <v>2383</v>
      </c>
      <c r="R180">
        <v>1</v>
      </c>
      <c r="S180" t="s">
        <v>2380</v>
      </c>
      <c r="T180" t="s">
        <v>2383</v>
      </c>
      <c r="U180" s="8">
        <v>45944.40552083333</v>
      </c>
      <c r="V180" s="8">
        <v>45947.958333333336</v>
      </c>
      <c r="W180">
        <v>1</v>
      </c>
      <c r="X180">
        <v>0.111608796</v>
      </c>
      <c r="Y180" t="s">
        <v>2410</v>
      </c>
      <c r="Z180" t="s">
        <v>9205</v>
      </c>
      <c r="AA180" t="s">
        <v>8806</v>
      </c>
      <c r="AB180" t="s">
        <v>1278</v>
      </c>
      <c r="AC180" t="s">
        <v>8818</v>
      </c>
      <c r="AD180" t="s">
        <v>2708</v>
      </c>
      <c r="AE180">
        <v>1</v>
      </c>
      <c r="AH180" t="s">
        <v>24</v>
      </c>
      <c r="AI180" s="8">
        <v>45944.511724537035</v>
      </c>
      <c r="AK180" t="s">
        <v>2719</v>
      </c>
      <c r="AL180" t="s">
        <v>2719</v>
      </c>
      <c r="AO180" t="s">
        <v>3644</v>
      </c>
      <c r="AP180" t="s">
        <v>2401</v>
      </c>
    </row>
    <row r="181" spans="1:42">
      <c r="A181" t="s">
        <v>1071</v>
      </c>
      <c r="B181" t="s">
        <v>2377</v>
      </c>
      <c r="C181" t="s">
        <v>2438</v>
      </c>
      <c r="D181" t="s">
        <v>2379</v>
      </c>
      <c r="E181" t="s">
        <v>33</v>
      </c>
      <c r="F181" t="s">
        <v>2409</v>
      </c>
      <c r="G181" t="s">
        <v>33</v>
      </c>
      <c r="H181" t="b">
        <v>1</v>
      </c>
      <c r="I181" s="8">
        <v>45944.517071759263</v>
      </c>
      <c r="J181" t="s">
        <v>2380</v>
      </c>
      <c r="L181">
        <v>608028</v>
      </c>
      <c r="M181" t="s">
        <v>2381</v>
      </c>
      <c r="P181" t="s">
        <v>2704</v>
      </c>
      <c r="Q181" t="s">
        <v>2383</v>
      </c>
      <c r="R181">
        <v>1</v>
      </c>
      <c r="S181" t="s">
        <v>2380</v>
      </c>
      <c r="T181" t="s">
        <v>2383</v>
      </c>
      <c r="U181" s="8">
        <v>45944.405902777777</v>
      </c>
      <c r="V181" s="8">
        <v>45947.958333333336</v>
      </c>
      <c r="W181">
        <v>1</v>
      </c>
      <c r="X181">
        <v>0.111168981</v>
      </c>
      <c r="Y181" t="s">
        <v>2410</v>
      </c>
      <c r="Z181" t="s">
        <v>9217</v>
      </c>
      <c r="AA181" t="s">
        <v>8806</v>
      </c>
      <c r="AB181" t="s">
        <v>1278</v>
      </c>
      <c r="AC181" t="s">
        <v>9218</v>
      </c>
      <c r="AD181" t="s">
        <v>2708</v>
      </c>
      <c r="AE181">
        <v>1</v>
      </c>
      <c r="AH181" t="s">
        <v>12</v>
      </c>
      <c r="AI181" s="8">
        <v>45944.502523148149</v>
      </c>
      <c r="AK181" t="s">
        <v>2719</v>
      </c>
      <c r="AL181" t="s">
        <v>2719</v>
      </c>
      <c r="AO181" t="s">
        <v>3644</v>
      </c>
      <c r="AP181" t="s">
        <v>2401</v>
      </c>
    </row>
    <row r="182" spans="1:42">
      <c r="A182" t="s">
        <v>936</v>
      </c>
      <c r="B182" t="s">
        <v>2377</v>
      </c>
      <c r="C182" t="s">
        <v>2390</v>
      </c>
      <c r="D182" t="s">
        <v>2379</v>
      </c>
      <c r="E182" t="s">
        <v>12</v>
      </c>
      <c r="F182" t="s">
        <v>2588</v>
      </c>
      <c r="G182" t="s">
        <v>12</v>
      </c>
      <c r="H182" t="b">
        <v>1</v>
      </c>
      <c r="I182" s="8">
        <v>45946.50167824074</v>
      </c>
      <c r="J182" t="s">
        <v>2380</v>
      </c>
      <c r="L182">
        <v>609694</v>
      </c>
      <c r="M182" t="s">
        <v>2381</v>
      </c>
      <c r="P182" t="s">
        <v>3655</v>
      </c>
      <c r="Q182" t="s">
        <v>2383</v>
      </c>
      <c r="R182">
        <v>1</v>
      </c>
      <c r="S182" t="s">
        <v>2380</v>
      </c>
      <c r="T182" t="s">
        <v>2383</v>
      </c>
      <c r="U182" s="8">
        <v>45944.419189814813</v>
      </c>
      <c r="V182" s="8">
        <v>45947.958333333336</v>
      </c>
      <c r="W182">
        <v>1</v>
      </c>
      <c r="X182">
        <v>2.0824884259999998</v>
      </c>
      <c r="Y182" t="s">
        <v>2579</v>
      </c>
      <c r="Z182" t="s">
        <v>9757</v>
      </c>
      <c r="AA182" t="s">
        <v>3657</v>
      </c>
      <c r="AB182" t="s">
        <v>1278</v>
      </c>
      <c r="AC182" t="s">
        <v>9758</v>
      </c>
      <c r="AD182" t="s">
        <v>2708</v>
      </c>
      <c r="AE182">
        <v>1</v>
      </c>
      <c r="AO182" t="s">
        <v>3644</v>
      </c>
      <c r="AP182" t="s">
        <v>2401</v>
      </c>
    </row>
    <row r="183" spans="1:42">
      <c r="A183" t="s">
        <v>906</v>
      </c>
      <c r="B183" t="s">
        <v>2377</v>
      </c>
      <c r="C183" t="s">
        <v>2438</v>
      </c>
      <c r="D183" t="s">
        <v>2379</v>
      </c>
      <c r="E183" t="s">
        <v>25</v>
      </c>
      <c r="F183" t="s">
        <v>3558</v>
      </c>
      <c r="G183" t="s">
        <v>25</v>
      </c>
      <c r="H183" t="b">
        <v>1</v>
      </c>
      <c r="I183" s="8">
        <v>45944.474293981482</v>
      </c>
      <c r="J183" t="s">
        <v>2380</v>
      </c>
      <c r="L183">
        <v>603796</v>
      </c>
      <c r="M183" t="s">
        <v>2381</v>
      </c>
      <c r="N183">
        <v>20</v>
      </c>
      <c r="P183" t="s">
        <v>2704</v>
      </c>
      <c r="Q183" t="s">
        <v>2383</v>
      </c>
      <c r="R183">
        <v>1</v>
      </c>
      <c r="S183" t="s">
        <v>2380</v>
      </c>
      <c r="T183" t="s">
        <v>2383</v>
      </c>
      <c r="U183" s="8">
        <v>45944.421620370369</v>
      </c>
      <c r="V183" s="8">
        <v>45947.958333333336</v>
      </c>
      <c r="W183">
        <v>1</v>
      </c>
      <c r="X183">
        <v>5.2673611000000002E-2</v>
      </c>
      <c r="Y183" t="s">
        <v>3560</v>
      </c>
      <c r="Z183" t="s">
        <v>7964</v>
      </c>
      <c r="AA183" t="s">
        <v>7965</v>
      </c>
      <c r="AB183" t="s">
        <v>1278</v>
      </c>
      <c r="AC183" t="s">
        <v>2387</v>
      </c>
      <c r="AD183" t="s">
        <v>2708</v>
      </c>
      <c r="AE183">
        <v>1</v>
      </c>
      <c r="AO183" t="s">
        <v>2957</v>
      </c>
      <c r="AP183" t="s">
        <v>2401</v>
      </c>
    </row>
    <row r="184" spans="1:42">
      <c r="A184" t="s">
        <v>1399</v>
      </c>
      <c r="B184" t="s">
        <v>2389</v>
      </c>
      <c r="C184" t="s">
        <v>2390</v>
      </c>
      <c r="D184" t="s">
        <v>2379</v>
      </c>
      <c r="E184" t="s">
        <v>2452</v>
      </c>
      <c r="F184">
        <v>6412</v>
      </c>
      <c r="G184" t="s">
        <v>2452</v>
      </c>
      <c r="H184" t="b">
        <v>1</v>
      </c>
      <c r="I184" s="8">
        <v>45946.523668981485</v>
      </c>
      <c r="J184" t="s">
        <v>2380</v>
      </c>
      <c r="L184">
        <v>606896</v>
      </c>
      <c r="M184" t="s">
        <v>2381</v>
      </c>
      <c r="P184" t="s">
        <v>3418</v>
      </c>
      <c r="Q184" t="s">
        <v>2383</v>
      </c>
      <c r="R184">
        <v>1</v>
      </c>
      <c r="S184" t="s">
        <v>2380</v>
      </c>
      <c r="T184" t="s">
        <v>2383</v>
      </c>
      <c r="U184" s="8">
        <v>45944.428333333337</v>
      </c>
      <c r="V184" s="8">
        <v>45947.958333333336</v>
      </c>
      <c r="W184">
        <v>1</v>
      </c>
      <c r="X184">
        <v>2.0953356479999998</v>
      </c>
      <c r="Y184" t="s">
        <v>3419</v>
      </c>
      <c r="Z184" t="s">
        <v>3420</v>
      </c>
      <c r="AA184" t="s">
        <v>3421</v>
      </c>
      <c r="AB184" t="s">
        <v>1278</v>
      </c>
      <c r="AC184" t="s">
        <v>3422</v>
      </c>
      <c r="AE184">
        <v>1</v>
      </c>
      <c r="AO184" t="s">
        <v>2388</v>
      </c>
      <c r="AP184" t="s">
        <v>2401</v>
      </c>
    </row>
    <row r="185" spans="1:42">
      <c r="A185" t="s">
        <v>652</v>
      </c>
      <c r="B185" t="s">
        <v>2377</v>
      </c>
      <c r="C185" t="s">
        <v>2438</v>
      </c>
      <c r="D185" t="s">
        <v>2379</v>
      </c>
      <c r="E185" t="s">
        <v>28</v>
      </c>
      <c r="F185" t="s">
        <v>3747</v>
      </c>
      <c r="G185" t="s">
        <v>28</v>
      </c>
      <c r="H185" t="b">
        <v>1</v>
      </c>
      <c r="I185" s="8">
        <v>45944.459849537037</v>
      </c>
      <c r="J185" t="s">
        <v>2380</v>
      </c>
      <c r="L185">
        <v>603140</v>
      </c>
      <c r="M185" t="s">
        <v>2381</v>
      </c>
      <c r="N185">
        <v>20</v>
      </c>
      <c r="P185" t="s">
        <v>2704</v>
      </c>
      <c r="Q185" t="s">
        <v>2383</v>
      </c>
      <c r="R185">
        <v>1</v>
      </c>
      <c r="S185" t="s">
        <v>2380</v>
      </c>
      <c r="T185" t="s">
        <v>2383</v>
      </c>
      <c r="U185" s="8">
        <v>45944.447650462964</v>
      </c>
      <c r="V185" s="8">
        <v>45947.958333333336</v>
      </c>
      <c r="W185">
        <v>1</v>
      </c>
      <c r="X185">
        <v>1.2199074000000001E-2</v>
      </c>
      <c r="Y185" t="s">
        <v>3748</v>
      </c>
      <c r="Z185" t="s">
        <v>4867</v>
      </c>
      <c r="AA185" t="s">
        <v>3853</v>
      </c>
      <c r="AB185" t="s">
        <v>1278</v>
      </c>
      <c r="AC185" t="s">
        <v>3066</v>
      </c>
      <c r="AD185" t="s">
        <v>2708</v>
      </c>
      <c r="AE185">
        <v>1</v>
      </c>
      <c r="AO185" t="s">
        <v>2712</v>
      </c>
      <c r="AP185" t="s">
        <v>2401</v>
      </c>
    </row>
    <row r="186" spans="1:42">
      <c r="A186" t="s">
        <v>712</v>
      </c>
      <c r="B186" t="s">
        <v>2377</v>
      </c>
      <c r="C186" t="s">
        <v>2390</v>
      </c>
      <c r="D186" t="s">
        <v>2379</v>
      </c>
      <c r="E186" t="s">
        <v>18</v>
      </c>
      <c r="F186" t="s">
        <v>2578</v>
      </c>
      <c r="G186" t="s">
        <v>2416</v>
      </c>
      <c r="H186" t="b">
        <v>1</v>
      </c>
      <c r="I186" s="8">
        <v>45947.408935185187</v>
      </c>
      <c r="J186" t="s">
        <v>2380</v>
      </c>
      <c r="L186">
        <v>602598</v>
      </c>
      <c r="M186" t="s">
        <v>2381</v>
      </c>
      <c r="P186" t="s">
        <v>7458</v>
      </c>
      <c r="Q186" t="s">
        <v>2383</v>
      </c>
      <c r="R186">
        <v>1</v>
      </c>
      <c r="S186" t="s">
        <v>2380</v>
      </c>
      <c r="T186" t="s">
        <v>2383</v>
      </c>
      <c r="U186" s="8">
        <v>45944.451770833337</v>
      </c>
      <c r="V186" s="8">
        <v>45947.958333333336</v>
      </c>
      <c r="W186">
        <v>1</v>
      </c>
      <c r="X186">
        <v>2.9571643519999999</v>
      </c>
      <c r="Y186" t="s">
        <v>2579</v>
      </c>
      <c r="Z186" t="s">
        <v>7459</v>
      </c>
      <c r="AA186" t="s">
        <v>7460</v>
      </c>
      <c r="AB186" t="s">
        <v>1278</v>
      </c>
      <c r="AC186" t="s">
        <v>7461</v>
      </c>
      <c r="AD186" t="s">
        <v>2708</v>
      </c>
      <c r="AE186">
        <v>1</v>
      </c>
      <c r="AO186" t="s">
        <v>2957</v>
      </c>
      <c r="AP186" t="s">
        <v>2401</v>
      </c>
    </row>
    <row r="187" spans="1:42">
      <c r="A187" t="s">
        <v>1396</v>
      </c>
      <c r="B187" t="s">
        <v>2389</v>
      </c>
      <c r="C187" t="s">
        <v>2390</v>
      </c>
      <c r="D187" t="s">
        <v>2379</v>
      </c>
      <c r="E187" t="s">
        <v>2452</v>
      </c>
      <c r="F187" t="s">
        <v>2477</v>
      </c>
      <c r="G187" t="s">
        <v>2452</v>
      </c>
      <c r="H187" t="b">
        <v>1</v>
      </c>
      <c r="I187" s="8">
        <v>45946.532905092594</v>
      </c>
      <c r="J187" t="s">
        <v>2380</v>
      </c>
      <c r="K187">
        <v>1202774</v>
      </c>
      <c r="L187">
        <v>606757</v>
      </c>
      <c r="M187" t="s">
        <v>2381</v>
      </c>
      <c r="P187" t="s">
        <v>5396</v>
      </c>
      <c r="Q187" t="s">
        <v>2383</v>
      </c>
      <c r="R187">
        <v>1</v>
      </c>
      <c r="S187" t="s">
        <v>2380</v>
      </c>
      <c r="T187" t="s">
        <v>2383</v>
      </c>
      <c r="U187" s="8">
        <v>45944.457986111112</v>
      </c>
      <c r="V187" s="8">
        <v>45947.958333333336</v>
      </c>
      <c r="W187">
        <v>1</v>
      </c>
      <c r="X187">
        <v>2.0749189810000002</v>
      </c>
      <c r="Y187" t="s">
        <v>2403</v>
      </c>
      <c r="Z187" t="s">
        <v>5397</v>
      </c>
      <c r="AA187" t="s">
        <v>1394</v>
      </c>
      <c r="AB187" t="s">
        <v>1278</v>
      </c>
      <c r="AC187" t="s">
        <v>5398</v>
      </c>
      <c r="AD187" t="s">
        <v>2708</v>
      </c>
      <c r="AE187">
        <v>1</v>
      </c>
      <c r="AO187" t="s">
        <v>2408</v>
      </c>
      <c r="AP187" t="s">
        <v>2401</v>
      </c>
    </row>
    <row r="188" spans="1:42">
      <c r="A188" t="s">
        <v>669</v>
      </c>
      <c r="B188" t="s">
        <v>2377</v>
      </c>
      <c r="C188" t="s">
        <v>2415</v>
      </c>
      <c r="D188" t="s">
        <v>2379</v>
      </c>
      <c r="E188" t="s">
        <v>18</v>
      </c>
      <c r="F188" t="s">
        <v>3747</v>
      </c>
      <c r="G188" t="s">
        <v>2416</v>
      </c>
      <c r="H188" t="b">
        <v>1</v>
      </c>
      <c r="I188" s="8">
        <v>45945.551446759258</v>
      </c>
      <c r="J188" t="s">
        <v>2380</v>
      </c>
      <c r="L188">
        <v>609910</v>
      </c>
      <c r="M188" t="s">
        <v>2381</v>
      </c>
      <c r="P188" t="s">
        <v>2704</v>
      </c>
      <c r="Q188" t="s">
        <v>2383</v>
      </c>
      <c r="R188">
        <v>1</v>
      </c>
      <c r="S188" t="s">
        <v>2380</v>
      </c>
      <c r="T188" t="s">
        <v>2383</v>
      </c>
      <c r="U188" s="8">
        <v>45944.460138888891</v>
      </c>
      <c r="V188" s="8">
        <v>45950.958333333336</v>
      </c>
      <c r="W188">
        <v>1</v>
      </c>
      <c r="X188">
        <v>1.0913078700000001</v>
      </c>
      <c r="Y188" t="s">
        <v>3748</v>
      </c>
      <c r="Z188" t="s">
        <v>4001</v>
      </c>
      <c r="AA188" t="s">
        <v>668</v>
      </c>
      <c r="AB188" t="s">
        <v>1278</v>
      </c>
      <c r="AC188" t="s">
        <v>4002</v>
      </c>
      <c r="AD188" t="s">
        <v>2708</v>
      </c>
      <c r="AE188">
        <v>1</v>
      </c>
      <c r="AO188" t="s">
        <v>2712</v>
      </c>
      <c r="AP188" t="s">
        <v>2401</v>
      </c>
    </row>
    <row r="189" spans="1:42">
      <c r="A189" t="s">
        <v>1389</v>
      </c>
      <c r="B189" t="s">
        <v>2389</v>
      </c>
      <c r="C189" t="s">
        <v>2390</v>
      </c>
      <c r="D189" t="s">
        <v>2379</v>
      </c>
      <c r="E189" t="s">
        <v>2452</v>
      </c>
      <c r="F189" t="s">
        <v>7050</v>
      </c>
      <c r="G189" t="s">
        <v>2452</v>
      </c>
      <c r="H189" t="b">
        <v>1</v>
      </c>
      <c r="I189" s="8">
        <v>45946.55232638889</v>
      </c>
      <c r="J189" t="s">
        <v>2380</v>
      </c>
      <c r="K189">
        <v>1202832</v>
      </c>
      <c r="L189">
        <v>603125</v>
      </c>
      <c r="M189" t="s">
        <v>2381</v>
      </c>
      <c r="P189" t="s">
        <v>7081</v>
      </c>
      <c r="Q189" t="s">
        <v>2383</v>
      </c>
      <c r="R189">
        <v>1</v>
      </c>
      <c r="S189" t="s">
        <v>2380</v>
      </c>
      <c r="T189" t="s">
        <v>2383</v>
      </c>
      <c r="U189" s="8">
        <v>45944.469363425924</v>
      </c>
      <c r="V189" s="8">
        <v>45947.958333333336</v>
      </c>
      <c r="W189">
        <v>1</v>
      </c>
      <c r="X189">
        <v>2.0829629629999999</v>
      </c>
      <c r="Y189" t="s">
        <v>7051</v>
      </c>
      <c r="Z189" t="s">
        <v>7082</v>
      </c>
      <c r="AA189" t="s">
        <v>1387</v>
      </c>
      <c r="AB189" t="s">
        <v>1278</v>
      </c>
      <c r="AC189" t="s">
        <v>7083</v>
      </c>
      <c r="AD189" t="s">
        <v>2708</v>
      </c>
      <c r="AE189">
        <v>1</v>
      </c>
      <c r="AO189" t="s">
        <v>2388</v>
      </c>
      <c r="AP189" t="s">
        <v>2401</v>
      </c>
    </row>
    <row r="190" spans="1:42">
      <c r="A190" t="s">
        <v>68</v>
      </c>
      <c r="B190" t="s">
        <v>2377</v>
      </c>
      <c r="C190" t="s">
        <v>2390</v>
      </c>
      <c r="D190" t="s">
        <v>2379</v>
      </c>
      <c r="E190" t="s">
        <v>28</v>
      </c>
      <c r="F190" t="s">
        <v>3339</v>
      </c>
      <c r="G190" t="s">
        <v>28</v>
      </c>
      <c r="H190" t="b">
        <v>1</v>
      </c>
      <c r="I190" s="8">
        <v>45946.639814814815</v>
      </c>
      <c r="J190" t="s">
        <v>2380</v>
      </c>
      <c r="L190">
        <v>609849</v>
      </c>
      <c r="M190" t="s">
        <v>2381</v>
      </c>
      <c r="N190">
        <v>15</v>
      </c>
      <c r="P190" t="s">
        <v>3477</v>
      </c>
      <c r="Q190" t="s">
        <v>2383</v>
      </c>
      <c r="R190">
        <v>1</v>
      </c>
      <c r="S190" t="s">
        <v>2380</v>
      </c>
      <c r="T190" t="s">
        <v>2383</v>
      </c>
      <c r="U190" s="8">
        <v>45944.469976851855</v>
      </c>
      <c r="V190" s="8">
        <v>45947.958333333336</v>
      </c>
      <c r="W190">
        <v>1</v>
      </c>
      <c r="X190">
        <v>2.169837963</v>
      </c>
      <c r="Y190" t="s">
        <v>3340</v>
      </c>
      <c r="Z190" t="s">
        <v>7907</v>
      </c>
      <c r="AA190" t="s">
        <v>7908</v>
      </c>
      <c r="AB190" t="s">
        <v>1278</v>
      </c>
      <c r="AC190" t="s">
        <v>3066</v>
      </c>
      <c r="AD190" t="s">
        <v>2708</v>
      </c>
      <c r="AE190">
        <v>1</v>
      </c>
      <c r="AO190" t="s">
        <v>2957</v>
      </c>
      <c r="AP190" t="s">
        <v>2401</v>
      </c>
    </row>
    <row r="191" spans="1:42">
      <c r="A191" t="s">
        <v>654</v>
      </c>
      <c r="B191" t="s">
        <v>2377</v>
      </c>
      <c r="C191" t="s">
        <v>2438</v>
      </c>
      <c r="D191" t="s">
        <v>2379</v>
      </c>
      <c r="E191" t="s">
        <v>28</v>
      </c>
      <c r="F191" t="s">
        <v>7055</v>
      </c>
      <c r="G191" t="s">
        <v>28</v>
      </c>
      <c r="H191" t="b">
        <v>1</v>
      </c>
      <c r="I191" s="8">
        <v>45944.488263888888</v>
      </c>
      <c r="J191" t="s">
        <v>2380</v>
      </c>
      <c r="L191">
        <v>602617</v>
      </c>
      <c r="M191" t="s">
        <v>2381</v>
      </c>
      <c r="N191">
        <v>20</v>
      </c>
      <c r="P191" t="s">
        <v>2704</v>
      </c>
      <c r="Q191" t="s">
        <v>2383</v>
      </c>
      <c r="R191">
        <v>1</v>
      </c>
      <c r="S191" t="s">
        <v>2380</v>
      </c>
      <c r="T191" t="s">
        <v>2383</v>
      </c>
      <c r="U191" s="8">
        <v>45944.473611111112</v>
      </c>
      <c r="V191" s="8">
        <v>45947.958333333336</v>
      </c>
      <c r="W191">
        <v>1</v>
      </c>
      <c r="X191">
        <v>1.4652778E-2</v>
      </c>
      <c r="Y191" t="s">
        <v>7056</v>
      </c>
      <c r="Z191" t="s">
        <v>7955</v>
      </c>
      <c r="AA191" t="s">
        <v>7956</v>
      </c>
      <c r="AB191" t="s">
        <v>1278</v>
      </c>
      <c r="AC191" t="s">
        <v>3076</v>
      </c>
      <c r="AD191" t="s">
        <v>2708</v>
      </c>
      <c r="AE191">
        <v>1</v>
      </c>
      <c r="AO191" t="s">
        <v>2957</v>
      </c>
      <c r="AP191" t="s">
        <v>2401</v>
      </c>
    </row>
    <row r="192" spans="1:42">
      <c r="A192" t="s">
        <v>939</v>
      </c>
      <c r="B192" t="s">
        <v>2377</v>
      </c>
      <c r="C192" t="s">
        <v>2390</v>
      </c>
      <c r="D192" t="s">
        <v>2379</v>
      </c>
      <c r="E192" t="s">
        <v>12</v>
      </c>
      <c r="F192" t="s">
        <v>7055</v>
      </c>
      <c r="G192" t="s">
        <v>12</v>
      </c>
      <c r="H192" t="b">
        <v>1</v>
      </c>
      <c r="I192" s="8">
        <v>45946.556377314817</v>
      </c>
      <c r="J192" t="s">
        <v>2380</v>
      </c>
      <c r="L192">
        <v>603490</v>
      </c>
      <c r="M192" t="s">
        <v>2381</v>
      </c>
      <c r="P192" t="s">
        <v>2704</v>
      </c>
      <c r="Q192" t="s">
        <v>2383</v>
      </c>
      <c r="R192">
        <v>1</v>
      </c>
      <c r="S192" t="s">
        <v>2380</v>
      </c>
      <c r="T192" t="s">
        <v>2383</v>
      </c>
      <c r="U192" s="8">
        <v>45944.480208333334</v>
      </c>
      <c r="V192" s="8">
        <v>45947.958333333336</v>
      </c>
      <c r="W192">
        <v>1</v>
      </c>
      <c r="X192">
        <v>2.0761689809999999</v>
      </c>
      <c r="Y192" t="s">
        <v>7056</v>
      </c>
      <c r="Z192" t="s">
        <v>9780</v>
      </c>
      <c r="AA192" t="s">
        <v>9781</v>
      </c>
      <c r="AB192" t="s">
        <v>1278</v>
      </c>
      <c r="AC192" t="s">
        <v>9782</v>
      </c>
      <c r="AD192" t="s">
        <v>2708</v>
      </c>
      <c r="AE192">
        <v>1</v>
      </c>
      <c r="AO192" t="s">
        <v>3644</v>
      </c>
      <c r="AP192" t="s">
        <v>2401</v>
      </c>
    </row>
    <row r="193" spans="1:42">
      <c r="A193" t="s">
        <v>64</v>
      </c>
      <c r="B193" t="s">
        <v>2377</v>
      </c>
      <c r="C193" t="s">
        <v>2390</v>
      </c>
      <c r="D193" t="s">
        <v>2379</v>
      </c>
      <c r="E193" t="s">
        <v>12</v>
      </c>
      <c r="F193" t="s">
        <v>7055</v>
      </c>
      <c r="G193" t="s">
        <v>12</v>
      </c>
      <c r="H193" t="b">
        <v>1</v>
      </c>
      <c r="I193" s="8">
        <v>45946.61582175926</v>
      </c>
      <c r="J193" t="s">
        <v>2380</v>
      </c>
      <c r="L193">
        <v>603490</v>
      </c>
      <c r="M193" t="s">
        <v>2381</v>
      </c>
      <c r="P193" t="s">
        <v>2704</v>
      </c>
      <c r="Q193" t="s">
        <v>2383</v>
      </c>
      <c r="R193">
        <v>1</v>
      </c>
      <c r="S193" t="s">
        <v>2380</v>
      </c>
      <c r="T193" t="s">
        <v>2383</v>
      </c>
      <c r="U193" s="8">
        <v>45944.482106481482</v>
      </c>
      <c r="V193" s="8">
        <v>45947.958333333336</v>
      </c>
      <c r="W193">
        <v>1</v>
      </c>
      <c r="X193">
        <v>2.1337152779999999</v>
      </c>
      <c r="Y193" t="s">
        <v>7056</v>
      </c>
      <c r="Z193" t="s">
        <v>9785</v>
      </c>
      <c r="AA193" t="s">
        <v>9781</v>
      </c>
      <c r="AB193" t="s">
        <v>1278</v>
      </c>
      <c r="AC193" t="s">
        <v>9786</v>
      </c>
      <c r="AD193" t="s">
        <v>2708</v>
      </c>
      <c r="AE193">
        <v>1</v>
      </c>
      <c r="AO193" t="s">
        <v>3644</v>
      </c>
      <c r="AP193" t="s">
        <v>2401</v>
      </c>
    </row>
    <row r="194" spans="1:42">
      <c r="A194" t="s">
        <v>707</v>
      </c>
      <c r="B194" t="s">
        <v>2377</v>
      </c>
      <c r="C194" t="s">
        <v>2390</v>
      </c>
      <c r="D194" t="s">
        <v>2379</v>
      </c>
      <c r="E194" t="s">
        <v>12</v>
      </c>
      <c r="F194" t="s">
        <v>7055</v>
      </c>
      <c r="G194" t="s">
        <v>12</v>
      </c>
      <c r="H194" t="b">
        <v>1</v>
      </c>
      <c r="I194" s="8">
        <v>45946.621134259258</v>
      </c>
      <c r="J194" t="s">
        <v>2380</v>
      </c>
      <c r="L194">
        <v>603490</v>
      </c>
      <c r="M194" t="s">
        <v>2381</v>
      </c>
      <c r="P194" t="s">
        <v>2704</v>
      </c>
      <c r="Q194" t="s">
        <v>2383</v>
      </c>
      <c r="R194">
        <v>1</v>
      </c>
      <c r="S194" t="s">
        <v>2380</v>
      </c>
      <c r="T194" t="s">
        <v>2383</v>
      </c>
      <c r="U194" s="8">
        <v>45944.482974537037</v>
      </c>
      <c r="V194" s="8">
        <v>45947.958333333336</v>
      </c>
      <c r="W194">
        <v>1</v>
      </c>
      <c r="X194">
        <v>2.1381597220000002</v>
      </c>
      <c r="Y194" t="s">
        <v>7056</v>
      </c>
      <c r="Z194" t="s">
        <v>9783</v>
      </c>
      <c r="AA194" t="s">
        <v>9781</v>
      </c>
      <c r="AB194" t="s">
        <v>1278</v>
      </c>
      <c r="AC194" t="s">
        <v>9784</v>
      </c>
      <c r="AD194" t="s">
        <v>2708</v>
      </c>
      <c r="AE194">
        <v>1</v>
      </c>
      <c r="AO194" t="s">
        <v>3644</v>
      </c>
      <c r="AP194" t="s">
        <v>2401</v>
      </c>
    </row>
    <row r="195" spans="1:42">
      <c r="A195" t="s">
        <v>1428</v>
      </c>
      <c r="B195" t="s">
        <v>2389</v>
      </c>
      <c r="C195" t="s">
        <v>2415</v>
      </c>
      <c r="D195" t="s">
        <v>2379</v>
      </c>
      <c r="E195" t="s">
        <v>2601</v>
      </c>
      <c r="F195" t="s">
        <v>2578</v>
      </c>
      <c r="G195" t="s">
        <v>2601</v>
      </c>
      <c r="H195" t="b">
        <v>1</v>
      </c>
      <c r="I195" s="8">
        <v>45946.451909722222</v>
      </c>
      <c r="J195" t="s">
        <v>2380</v>
      </c>
      <c r="K195">
        <v>1202695</v>
      </c>
      <c r="L195">
        <v>603066</v>
      </c>
      <c r="M195" t="s">
        <v>2381</v>
      </c>
      <c r="P195" t="s">
        <v>6790</v>
      </c>
      <c r="Q195" t="s">
        <v>2383</v>
      </c>
      <c r="R195">
        <v>1</v>
      </c>
      <c r="S195" t="s">
        <v>2380</v>
      </c>
      <c r="T195" t="s">
        <v>2383</v>
      </c>
      <c r="U195" s="8">
        <v>45944.491724537038</v>
      </c>
      <c r="V195" s="8">
        <v>45947.958333333336</v>
      </c>
      <c r="W195">
        <v>1</v>
      </c>
      <c r="X195">
        <v>1.9601851850000001</v>
      </c>
      <c r="Y195" t="s">
        <v>2579</v>
      </c>
      <c r="Z195" t="s">
        <v>6840</v>
      </c>
      <c r="AA195" t="s">
        <v>6792</v>
      </c>
      <c r="AB195" t="s">
        <v>1278</v>
      </c>
      <c r="AC195" t="s">
        <v>6841</v>
      </c>
      <c r="AD195" t="s">
        <v>2708</v>
      </c>
      <c r="AE195">
        <v>1</v>
      </c>
      <c r="AO195" t="s">
        <v>2388</v>
      </c>
      <c r="AP195" t="s">
        <v>2401</v>
      </c>
    </row>
    <row r="196" spans="1:42">
      <c r="A196" t="s">
        <v>479</v>
      </c>
      <c r="B196" t="s">
        <v>2377</v>
      </c>
      <c r="C196" t="s">
        <v>2443</v>
      </c>
      <c r="D196" t="s">
        <v>2443</v>
      </c>
      <c r="E196" t="s">
        <v>33</v>
      </c>
      <c r="F196" t="s">
        <v>2417</v>
      </c>
      <c r="G196" t="s">
        <v>33</v>
      </c>
      <c r="H196" t="b">
        <v>1</v>
      </c>
      <c r="I196" s="8">
        <v>45951.671585648146</v>
      </c>
      <c r="J196" t="s">
        <v>2380</v>
      </c>
      <c r="L196">
        <v>602935</v>
      </c>
      <c r="M196" t="s">
        <v>2381</v>
      </c>
      <c r="P196" t="s">
        <v>9334</v>
      </c>
      <c r="Q196" t="s">
        <v>2383</v>
      </c>
      <c r="R196">
        <v>1</v>
      </c>
      <c r="S196" t="s">
        <v>2380</v>
      </c>
      <c r="T196" t="s">
        <v>2383</v>
      </c>
      <c r="U196" s="8">
        <v>45944.503148148149</v>
      </c>
      <c r="V196" s="8">
        <v>45950.958333333336</v>
      </c>
      <c r="W196">
        <v>1</v>
      </c>
      <c r="X196">
        <v>5.1684374999999996</v>
      </c>
      <c r="Y196" t="s">
        <v>2418</v>
      </c>
      <c r="Z196" t="s">
        <v>9335</v>
      </c>
      <c r="AA196" t="s">
        <v>1339</v>
      </c>
      <c r="AB196" t="s">
        <v>1278</v>
      </c>
      <c r="AC196" t="s">
        <v>9336</v>
      </c>
      <c r="AD196" t="s">
        <v>2708</v>
      </c>
      <c r="AE196">
        <v>1</v>
      </c>
      <c r="AF196">
        <v>2</v>
      </c>
      <c r="AH196" t="s">
        <v>2723</v>
      </c>
      <c r="AI196" s="8">
        <v>45951.67050925926</v>
      </c>
      <c r="AK196" t="s">
        <v>2719</v>
      </c>
      <c r="AL196" t="s">
        <v>2724</v>
      </c>
      <c r="AO196" t="s">
        <v>4121</v>
      </c>
      <c r="AP196" t="s">
        <v>2401</v>
      </c>
    </row>
    <row r="197" spans="1:42">
      <c r="A197" t="s">
        <v>708</v>
      </c>
      <c r="B197" t="s">
        <v>2377</v>
      </c>
      <c r="C197" t="s">
        <v>2378</v>
      </c>
      <c r="D197" t="s">
        <v>2379</v>
      </c>
      <c r="E197" t="s">
        <v>12</v>
      </c>
      <c r="F197" t="s">
        <v>2417</v>
      </c>
      <c r="G197" t="s">
        <v>33</v>
      </c>
      <c r="H197" t="b">
        <v>1</v>
      </c>
      <c r="I197" s="8">
        <v>45947.645011574074</v>
      </c>
      <c r="J197" t="s">
        <v>2380</v>
      </c>
      <c r="L197">
        <v>603089</v>
      </c>
      <c r="M197" t="s">
        <v>2381</v>
      </c>
      <c r="P197" t="s">
        <v>2704</v>
      </c>
      <c r="Q197" t="s">
        <v>2383</v>
      </c>
      <c r="R197">
        <v>1</v>
      </c>
      <c r="S197" t="s">
        <v>2380</v>
      </c>
      <c r="T197" t="s">
        <v>2383</v>
      </c>
      <c r="U197" s="8">
        <v>45944.524699074071</v>
      </c>
      <c r="V197" s="8">
        <v>45947.958333333336</v>
      </c>
      <c r="W197">
        <v>1</v>
      </c>
      <c r="X197">
        <v>3.1203124999999998</v>
      </c>
      <c r="Y197" t="s">
        <v>2418</v>
      </c>
      <c r="Z197" t="s">
        <v>9206</v>
      </c>
      <c r="AA197" t="s">
        <v>9207</v>
      </c>
      <c r="AB197" t="s">
        <v>1278</v>
      </c>
      <c r="AC197" t="s">
        <v>9208</v>
      </c>
      <c r="AD197" t="s">
        <v>2708</v>
      </c>
      <c r="AE197">
        <v>1</v>
      </c>
      <c r="AH197" t="s">
        <v>33</v>
      </c>
      <c r="AI197" s="8">
        <v>45947.605567129627</v>
      </c>
      <c r="AK197" t="s">
        <v>2719</v>
      </c>
      <c r="AL197" t="s">
        <v>2719</v>
      </c>
      <c r="AO197" t="s">
        <v>3644</v>
      </c>
      <c r="AP197" t="s">
        <v>2401</v>
      </c>
    </row>
    <row r="198" spans="1:42">
      <c r="A198" t="s">
        <v>439</v>
      </c>
      <c r="B198" t="s">
        <v>2377</v>
      </c>
      <c r="C198" t="s">
        <v>2390</v>
      </c>
      <c r="D198" t="s">
        <v>2379</v>
      </c>
      <c r="E198" t="s">
        <v>25</v>
      </c>
      <c r="F198" t="s">
        <v>3445</v>
      </c>
      <c r="G198" t="s">
        <v>25</v>
      </c>
      <c r="H198" t="b">
        <v>1</v>
      </c>
      <c r="I198" s="8">
        <v>45946.695810185185</v>
      </c>
      <c r="J198" t="s">
        <v>2380</v>
      </c>
      <c r="L198">
        <v>603970</v>
      </c>
      <c r="M198" t="s">
        <v>2381</v>
      </c>
      <c r="N198">
        <v>5</v>
      </c>
      <c r="P198" t="s">
        <v>4125</v>
      </c>
      <c r="Q198" t="s">
        <v>2383</v>
      </c>
      <c r="R198">
        <v>1</v>
      </c>
      <c r="S198" t="s">
        <v>2380</v>
      </c>
      <c r="T198" t="s">
        <v>2383</v>
      </c>
      <c r="U198" s="8">
        <v>45944.538993055554</v>
      </c>
      <c r="V198" s="8">
        <v>45947.958333333336</v>
      </c>
      <c r="W198">
        <v>1</v>
      </c>
      <c r="X198">
        <v>2.1568171299999999</v>
      </c>
      <c r="Y198" t="s">
        <v>4126</v>
      </c>
      <c r="Z198" t="s">
        <v>7969</v>
      </c>
      <c r="AA198" t="s">
        <v>2306</v>
      </c>
      <c r="AB198" t="s">
        <v>1278</v>
      </c>
      <c r="AC198" t="s">
        <v>2746</v>
      </c>
      <c r="AD198" t="s">
        <v>2708</v>
      </c>
      <c r="AE198">
        <v>1</v>
      </c>
      <c r="AO198" t="s">
        <v>2957</v>
      </c>
      <c r="AP198" t="s">
        <v>2401</v>
      </c>
    </row>
    <row r="199" spans="1:42">
      <c r="A199" t="s">
        <v>66</v>
      </c>
      <c r="B199" t="s">
        <v>2377</v>
      </c>
      <c r="C199" t="s">
        <v>2390</v>
      </c>
      <c r="D199" t="s">
        <v>2379</v>
      </c>
      <c r="E199" t="s">
        <v>28</v>
      </c>
      <c r="F199" t="s">
        <v>4122</v>
      </c>
      <c r="G199" t="s">
        <v>28</v>
      </c>
      <c r="H199" t="b">
        <v>1</v>
      </c>
      <c r="I199" s="8">
        <v>45946.6325</v>
      </c>
      <c r="J199" t="s">
        <v>2380</v>
      </c>
      <c r="L199">
        <v>603993</v>
      </c>
      <c r="M199" t="s">
        <v>2381</v>
      </c>
      <c r="N199">
        <v>15</v>
      </c>
      <c r="P199" t="s">
        <v>5460</v>
      </c>
      <c r="Q199" t="s">
        <v>2383</v>
      </c>
      <c r="R199">
        <v>1</v>
      </c>
      <c r="S199" t="s">
        <v>2380</v>
      </c>
      <c r="T199" t="s">
        <v>2383</v>
      </c>
      <c r="U199" s="8">
        <v>45944.54246527778</v>
      </c>
      <c r="V199" s="8">
        <v>45947.958333333336</v>
      </c>
      <c r="W199">
        <v>1</v>
      </c>
      <c r="X199">
        <v>2.090034722</v>
      </c>
      <c r="Y199" t="s">
        <v>1352</v>
      </c>
      <c r="Z199" t="s">
        <v>5461</v>
      </c>
      <c r="AA199" t="s">
        <v>1350</v>
      </c>
      <c r="AB199" t="s">
        <v>1278</v>
      </c>
      <c r="AC199" t="s">
        <v>65</v>
      </c>
      <c r="AD199" t="s">
        <v>2708</v>
      </c>
      <c r="AE199">
        <v>1</v>
      </c>
      <c r="AO199" t="s">
        <v>2408</v>
      </c>
      <c r="AP199" t="s">
        <v>2401</v>
      </c>
    </row>
    <row r="200" spans="1:42">
      <c r="A200" t="s">
        <v>1316</v>
      </c>
      <c r="B200" t="s">
        <v>2377</v>
      </c>
      <c r="C200" t="s">
        <v>2390</v>
      </c>
      <c r="D200" t="s">
        <v>2379</v>
      </c>
      <c r="E200" t="s">
        <v>25</v>
      </c>
      <c r="F200" t="s">
        <v>3445</v>
      </c>
      <c r="G200" t="s">
        <v>2723</v>
      </c>
      <c r="H200" t="b">
        <v>1</v>
      </c>
      <c r="I200" s="8">
        <v>45946.704293981478</v>
      </c>
      <c r="J200" t="s">
        <v>2380</v>
      </c>
      <c r="L200">
        <v>603970</v>
      </c>
      <c r="M200" t="s">
        <v>2381</v>
      </c>
      <c r="P200" t="s">
        <v>4125</v>
      </c>
      <c r="Q200" t="s">
        <v>2383</v>
      </c>
      <c r="R200">
        <v>1</v>
      </c>
      <c r="S200" t="s">
        <v>2380</v>
      </c>
      <c r="T200" t="s">
        <v>2383</v>
      </c>
      <c r="U200" s="8">
        <v>45944.554224537038</v>
      </c>
      <c r="V200" s="8">
        <v>45947.958333333336</v>
      </c>
      <c r="W200">
        <v>1</v>
      </c>
      <c r="X200">
        <v>2.1500694440000001</v>
      </c>
      <c r="Y200" t="s">
        <v>4126</v>
      </c>
      <c r="Z200" t="s">
        <v>7502</v>
      </c>
      <c r="AA200" t="s">
        <v>2306</v>
      </c>
      <c r="AB200" t="s">
        <v>1278</v>
      </c>
      <c r="AC200" t="s">
        <v>2746</v>
      </c>
      <c r="AD200" t="s">
        <v>2708</v>
      </c>
      <c r="AE200">
        <v>1</v>
      </c>
      <c r="AO200" t="s">
        <v>2957</v>
      </c>
      <c r="AP200" t="s">
        <v>2401</v>
      </c>
    </row>
    <row r="201" spans="1:42">
      <c r="A201" t="s">
        <v>1328</v>
      </c>
      <c r="B201" t="s">
        <v>2389</v>
      </c>
      <c r="C201" t="s">
        <v>2390</v>
      </c>
      <c r="D201" t="s">
        <v>2379</v>
      </c>
      <c r="E201" t="s">
        <v>25</v>
      </c>
      <c r="F201" t="s">
        <v>2402</v>
      </c>
      <c r="G201" t="s">
        <v>25</v>
      </c>
      <c r="H201" t="b">
        <v>1</v>
      </c>
      <c r="I201" s="8">
        <v>45946.672314814816</v>
      </c>
      <c r="J201" t="s">
        <v>2380</v>
      </c>
      <c r="K201">
        <v>1203026</v>
      </c>
      <c r="L201">
        <v>609844</v>
      </c>
      <c r="M201" t="s">
        <v>2381</v>
      </c>
      <c r="N201">
        <v>5</v>
      </c>
      <c r="P201" t="s">
        <v>2486</v>
      </c>
      <c r="Q201" t="s">
        <v>2383</v>
      </c>
      <c r="R201">
        <v>1</v>
      </c>
      <c r="S201" t="s">
        <v>2380</v>
      </c>
      <c r="T201" t="s">
        <v>2383</v>
      </c>
      <c r="U201" s="8">
        <v>45944.568657407406</v>
      </c>
      <c r="V201" s="8">
        <v>45947.958333333336</v>
      </c>
      <c r="W201">
        <v>1</v>
      </c>
      <c r="X201">
        <v>2.103657407</v>
      </c>
      <c r="Y201" t="s">
        <v>2403</v>
      </c>
      <c r="Z201" t="s">
        <v>5547</v>
      </c>
      <c r="AA201" t="s">
        <v>5260</v>
      </c>
      <c r="AB201" t="s">
        <v>1278</v>
      </c>
      <c r="AC201" t="s">
        <v>5548</v>
      </c>
      <c r="AD201" t="s">
        <v>2708</v>
      </c>
      <c r="AE201">
        <v>1</v>
      </c>
      <c r="AO201" t="s">
        <v>2408</v>
      </c>
      <c r="AP201" t="s">
        <v>2401</v>
      </c>
    </row>
    <row r="202" spans="1:42">
      <c r="A202" t="s">
        <v>1326</v>
      </c>
      <c r="B202" t="s">
        <v>2389</v>
      </c>
      <c r="C202" t="s">
        <v>2390</v>
      </c>
      <c r="D202" t="s">
        <v>2379</v>
      </c>
      <c r="E202" t="s">
        <v>25</v>
      </c>
      <c r="F202" t="s">
        <v>2402</v>
      </c>
      <c r="G202" t="s">
        <v>25</v>
      </c>
      <c r="H202" t="b">
        <v>1</v>
      </c>
      <c r="I202" s="8">
        <v>45946.674502314818</v>
      </c>
      <c r="J202" t="s">
        <v>2380</v>
      </c>
      <c r="K202">
        <v>1203027</v>
      </c>
      <c r="L202">
        <v>609844</v>
      </c>
      <c r="M202" t="s">
        <v>2381</v>
      </c>
      <c r="N202">
        <v>5</v>
      </c>
      <c r="P202" t="s">
        <v>2486</v>
      </c>
      <c r="Q202" t="s">
        <v>2383</v>
      </c>
      <c r="R202">
        <v>1</v>
      </c>
      <c r="S202" t="s">
        <v>2380</v>
      </c>
      <c r="T202" t="s">
        <v>2383</v>
      </c>
      <c r="U202" s="8">
        <v>45944.569351851853</v>
      </c>
      <c r="V202" s="8">
        <v>45947.958333333336</v>
      </c>
      <c r="W202">
        <v>1</v>
      </c>
      <c r="X202">
        <v>2.1051504630000002</v>
      </c>
      <c r="Y202" t="s">
        <v>2403</v>
      </c>
      <c r="Z202" t="s">
        <v>5549</v>
      </c>
      <c r="AA202" t="s">
        <v>5260</v>
      </c>
      <c r="AB202" t="s">
        <v>1278</v>
      </c>
      <c r="AC202" t="s">
        <v>5550</v>
      </c>
      <c r="AD202" t="s">
        <v>2708</v>
      </c>
      <c r="AE202">
        <v>1</v>
      </c>
      <c r="AO202" t="s">
        <v>2408</v>
      </c>
      <c r="AP202" t="s">
        <v>2401</v>
      </c>
    </row>
    <row r="203" spans="1:42">
      <c r="A203" t="s">
        <v>1332</v>
      </c>
      <c r="B203" t="s">
        <v>2389</v>
      </c>
      <c r="C203" t="s">
        <v>2390</v>
      </c>
      <c r="D203" t="s">
        <v>2379</v>
      </c>
      <c r="E203" t="s">
        <v>25</v>
      </c>
      <c r="F203" t="s">
        <v>2402</v>
      </c>
      <c r="G203" t="s">
        <v>25</v>
      </c>
      <c r="H203" t="b">
        <v>1</v>
      </c>
      <c r="I203" s="8">
        <v>45946.66920138889</v>
      </c>
      <c r="J203" t="s">
        <v>2380</v>
      </c>
      <c r="K203">
        <v>1203025</v>
      </c>
      <c r="L203">
        <v>609844</v>
      </c>
      <c r="M203" t="s">
        <v>2381</v>
      </c>
      <c r="N203">
        <v>5</v>
      </c>
      <c r="P203" t="s">
        <v>2486</v>
      </c>
      <c r="Q203" t="s">
        <v>2383</v>
      </c>
      <c r="R203">
        <v>1</v>
      </c>
      <c r="S203" t="s">
        <v>2380</v>
      </c>
      <c r="T203" t="s">
        <v>2383</v>
      </c>
      <c r="U203" s="8">
        <v>45944.569930555554</v>
      </c>
      <c r="V203" s="8">
        <v>45947.958333333336</v>
      </c>
      <c r="W203">
        <v>1</v>
      </c>
      <c r="X203">
        <v>2.0992708329999998</v>
      </c>
      <c r="Y203" t="s">
        <v>2403</v>
      </c>
      <c r="Z203" t="s">
        <v>5545</v>
      </c>
      <c r="AA203" t="s">
        <v>5260</v>
      </c>
      <c r="AB203" t="s">
        <v>1278</v>
      </c>
      <c r="AC203" t="s">
        <v>5546</v>
      </c>
      <c r="AD203" t="s">
        <v>2708</v>
      </c>
      <c r="AE203">
        <v>1</v>
      </c>
      <c r="AO203" t="s">
        <v>2408</v>
      </c>
      <c r="AP203" t="s">
        <v>2401</v>
      </c>
    </row>
    <row r="204" spans="1:42">
      <c r="A204" t="s">
        <v>1587</v>
      </c>
      <c r="B204" t="s">
        <v>2389</v>
      </c>
      <c r="C204" t="s">
        <v>2390</v>
      </c>
      <c r="D204" t="s">
        <v>2379</v>
      </c>
      <c r="E204" t="s">
        <v>25</v>
      </c>
      <c r="F204" t="s">
        <v>2578</v>
      </c>
      <c r="G204" t="s">
        <v>25</v>
      </c>
      <c r="H204" t="b">
        <v>1</v>
      </c>
      <c r="I204" s="8">
        <v>45947.368344907409</v>
      </c>
      <c r="J204" t="s">
        <v>2380</v>
      </c>
      <c r="K204">
        <v>1203044</v>
      </c>
      <c r="L204">
        <v>601173</v>
      </c>
      <c r="M204" t="s">
        <v>2381</v>
      </c>
      <c r="N204">
        <v>5</v>
      </c>
      <c r="P204" t="s">
        <v>7084</v>
      </c>
      <c r="Q204" t="s">
        <v>2383</v>
      </c>
      <c r="R204">
        <v>1</v>
      </c>
      <c r="S204" t="s">
        <v>2380</v>
      </c>
      <c r="T204" t="s">
        <v>2383</v>
      </c>
      <c r="U204" s="8">
        <v>45944.578009259261</v>
      </c>
      <c r="V204" s="8">
        <v>45947.958333333336</v>
      </c>
      <c r="W204">
        <v>1</v>
      </c>
      <c r="X204">
        <v>2.7903356480000001</v>
      </c>
      <c r="Y204" t="s">
        <v>2579</v>
      </c>
      <c r="Z204" t="s">
        <v>7371</v>
      </c>
      <c r="AA204" t="s">
        <v>7087</v>
      </c>
      <c r="AB204" t="s">
        <v>1278</v>
      </c>
      <c r="AC204" t="s">
        <v>7372</v>
      </c>
      <c r="AD204" t="s">
        <v>2708</v>
      </c>
      <c r="AE204">
        <v>1</v>
      </c>
      <c r="AO204" t="s">
        <v>2388</v>
      </c>
      <c r="AP204" t="s">
        <v>2401</v>
      </c>
    </row>
    <row r="205" spans="1:42">
      <c r="A205" t="s">
        <v>442</v>
      </c>
      <c r="B205" t="s">
        <v>2377</v>
      </c>
      <c r="C205" t="s">
        <v>2390</v>
      </c>
      <c r="D205" t="s">
        <v>2379</v>
      </c>
      <c r="E205" t="s">
        <v>25</v>
      </c>
      <c r="F205" t="s">
        <v>2417</v>
      </c>
      <c r="G205" t="s">
        <v>25</v>
      </c>
      <c r="H205" t="b">
        <v>1</v>
      </c>
      <c r="I205" s="8">
        <v>45947.394120370373</v>
      </c>
      <c r="J205" t="s">
        <v>2380</v>
      </c>
      <c r="L205">
        <v>603965</v>
      </c>
      <c r="M205" t="s">
        <v>2381</v>
      </c>
      <c r="N205">
        <v>5</v>
      </c>
      <c r="P205" t="s">
        <v>2704</v>
      </c>
      <c r="Q205" t="s">
        <v>2383</v>
      </c>
      <c r="R205">
        <v>1</v>
      </c>
      <c r="S205" t="s">
        <v>2380</v>
      </c>
      <c r="T205" t="s">
        <v>2383</v>
      </c>
      <c r="U205" s="8">
        <v>45944.583726851852</v>
      </c>
      <c r="V205" s="8">
        <v>45947.958333333336</v>
      </c>
      <c r="W205">
        <v>1</v>
      </c>
      <c r="X205">
        <v>2.8103935189999998</v>
      </c>
      <c r="Y205" t="s">
        <v>2418</v>
      </c>
      <c r="Z205" t="s">
        <v>8106</v>
      </c>
      <c r="AA205" t="s">
        <v>1591</v>
      </c>
      <c r="AB205" t="s">
        <v>1278</v>
      </c>
      <c r="AC205" t="s">
        <v>2387</v>
      </c>
      <c r="AD205" t="s">
        <v>2708</v>
      </c>
      <c r="AE205">
        <v>1</v>
      </c>
      <c r="AO205" t="s">
        <v>4121</v>
      </c>
      <c r="AP205" t="s">
        <v>2401</v>
      </c>
    </row>
    <row r="206" spans="1:42">
      <c r="A206" t="s">
        <v>1345</v>
      </c>
      <c r="B206" t="s">
        <v>2389</v>
      </c>
      <c r="C206" t="s">
        <v>2390</v>
      </c>
      <c r="D206" t="s">
        <v>2379</v>
      </c>
      <c r="E206" t="s">
        <v>25</v>
      </c>
      <c r="F206" t="s">
        <v>2578</v>
      </c>
      <c r="G206" t="s">
        <v>25</v>
      </c>
      <c r="H206" t="b">
        <v>1</v>
      </c>
      <c r="I206" s="8">
        <v>45946.649976851855</v>
      </c>
      <c r="J206" t="s">
        <v>2380</v>
      </c>
      <c r="K206">
        <v>1203019</v>
      </c>
      <c r="L206">
        <v>601173</v>
      </c>
      <c r="M206" t="s">
        <v>2381</v>
      </c>
      <c r="N206">
        <v>5</v>
      </c>
      <c r="P206" t="s">
        <v>7084</v>
      </c>
      <c r="Q206" t="s">
        <v>2383</v>
      </c>
      <c r="R206">
        <v>1</v>
      </c>
      <c r="S206" t="s">
        <v>2380</v>
      </c>
      <c r="T206" t="s">
        <v>2383</v>
      </c>
      <c r="U206" s="8">
        <v>45944.590104166666</v>
      </c>
      <c r="V206" s="8">
        <v>45947.958333333336</v>
      </c>
      <c r="W206">
        <v>1</v>
      </c>
      <c r="X206">
        <v>2.0598726850000002</v>
      </c>
      <c r="Y206" t="s">
        <v>2579</v>
      </c>
      <c r="Z206" t="s">
        <v>7373</v>
      </c>
      <c r="AA206" t="s">
        <v>7087</v>
      </c>
      <c r="AB206" t="s">
        <v>1278</v>
      </c>
      <c r="AC206" t="s">
        <v>7374</v>
      </c>
      <c r="AD206" t="s">
        <v>2708</v>
      </c>
      <c r="AE206">
        <v>1</v>
      </c>
      <c r="AO206" t="s">
        <v>2388</v>
      </c>
      <c r="AP206" t="s">
        <v>2401</v>
      </c>
    </row>
    <row r="207" spans="1:42">
      <c r="A207" t="s">
        <v>34</v>
      </c>
      <c r="B207" t="s">
        <v>2377</v>
      </c>
      <c r="C207" t="s">
        <v>2378</v>
      </c>
      <c r="D207" t="s">
        <v>2379</v>
      </c>
      <c r="E207" t="s">
        <v>33</v>
      </c>
      <c r="F207" t="s">
        <v>2417</v>
      </c>
      <c r="G207" t="s">
        <v>33</v>
      </c>
      <c r="H207" t="b">
        <v>1</v>
      </c>
      <c r="I207" s="8">
        <v>45947.609861111108</v>
      </c>
      <c r="J207" t="s">
        <v>2380</v>
      </c>
      <c r="L207">
        <v>603313</v>
      </c>
      <c r="M207" t="s">
        <v>2381</v>
      </c>
      <c r="P207" t="s">
        <v>2704</v>
      </c>
      <c r="Q207" t="s">
        <v>2383</v>
      </c>
      <c r="R207">
        <v>1</v>
      </c>
      <c r="S207" t="s">
        <v>2380</v>
      </c>
      <c r="T207" t="s">
        <v>2383</v>
      </c>
      <c r="U207" s="8">
        <v>45944.590752314813</v>
      </c>
      <c r="V207" s="8">
        <v>45947.958333333336</v>
      </c>
      <c r="W207">
        <v>1</v>
      </c>
      <c r="X207">
        <v>3.0191087959999998</v>
      </c>
      <c r="Y207" t="s">
        <v>2418</v>
      </c>
      <c r="Z207" t="s">
        <v>9353</v>
      </c>
      <c r="AA207" t="s">
        <v>9354</v>
      </c>
      <c r="AB207" t="s">
        <v>1278</v>
      </c>
      <c r="AC207" t="s">
        <v>9355</v>
      </c>
      <c r="AD207" t="s">
        <v>2708</v>
      </c>
      <c r="AE207">
        <v>1</v>
      </c>
      <c r="AF207">
        <v>2</v>
      </c>
      <c r="AH207" t="s">
        <v>2723</v>
      </c>
      <c r="AI207" s="8">
        <v>45947.609212962961</v>
      </c>
      <c r="AK207" t="s">
        <v>2719</v>
      </c>
      <c r="AL207" t="s">
        <v>2724</v>
      </c>
      <c r="AO207" t="s">
        <v>3644</v>
      </c>
      <c r="AP207" t="s">
        <v>2401</v>
      </c>
    </row>
    <row r="208" spans="1:42">
      <c r="A208" t="s">
        <v>937</v>
      </c>
      <c r="B208" t="s">
        <v>2377</v>
      </c>
      <c r="C208" t="s">
        <v>2415</v>
      </c>
      <c r="D208" t="s">
        <v>2379</v>
      </c>
      <c r="E208" t="s">
        <v>12</v>
      </c>
      <c r="F208" t="s">
        <v>2588</v>
      </c>
      <c r="G208" t="s">
        <v>12</v>
      </c>
      <c r="H208" t="b">
        <v>1</v>
      </c>
      <c r="I208" s="8">
        <v>45946.535555555558</v>
      </c>
      <c r="J208" t="s">
        <v>2380</v>
      </c>
      <c r="L208">
        <v>603881</v>
      </c>
      <c r="M208" t="s">
        <v>2381</v>
      </c>
      <c r="P208" t="s">
        <v>2704</v>
      </c>
      <c r="Q208" t="s">
        <v>2383</v>
      </c>
      <c r="R208">
        <v>1</v>
      </c>
      <c r="S208" t="s">
        <v>2380</v>
      </c>
      <c r="T208" t="s">
        <v>2383</v>
      </c>
      <c r="U208" s="8">
        <v>45944.591261574074</v>
      </c>
      <c r="V208" s="8">
        <v>45947.958333333336</v>
      </c>
      <c r="W208">
        <v>1</v>
      </c>
      <c r="X208">
        <v>1.9442939809999999</v>
      </c>
      <c r="Y208" t="s">
        <v>2579</v>
      </c>
      <c r="Z208" t="s">
        <v>3949</v>
      </c>
      <c r="AA208" t="s">
        <v>3950</v>
      </c>
      <c r="AB208" t="s">
        <v>1278</v>
      </c>
      <c r="AC208" t="s">
        <v>3951</v>
      </c>
      <c r="AD208" t="s">
        <v>2708</v>
      </c>
      <c r="AE208">
        <v>1</v>
      </c>
      <c r="AO208" t="s">
        <v>2720</v>
      </c>
      <c r="AP208" t="s">
        <v>2401</v>
      </c>
    </row>
    <row r="209" spans="1:42">
      <c r="A209" t="s">
        <v>1383</v>
      </c>
      <c r="B209" t="s">
        <v>2389</v>
      </c>
      <c r="C209" t="s">
        <v>2415</v>
      </c>
      <c r="D209" t="s">
        <v>2379</v>
      </c>
      <c r="E209" t="s">
        <v>2601</v>
      </c>
      <c r="F209" t="s">
        <v>2417</v>
      </c>
      <c r="G209" t="s">
        <v>2601</v>
      </c>
      <c r="H209" t="b">
        <v>1</v>
      </c>
      <c r="I209" s="8">
        <v>45946.57534722222</v>
      </c>
      <c r="J209" t="s">
        <v>2380</v>
      </c>
      <c r="K209">
        <v>1202846</v>
      </c>
      <c r="L209">
        <v>601991</v>
      </c>
      <c r="M209" t="s">
        <v>2381</v>
      </c>
      <c r="P209" t="s">
        <v>5290</v>
      </c>
      <c r="Q209" t="s">
        <v>2383</v>
      </c>
      <c r="R209">
        <v>1</v>
      </c>
      <c r="S209" t="s">
        <v>2380</v>
      </c>
      <c r="T209" t="s">
        <v>2383</v>
      </c>
      <c r="U209" s="8">
        <v>45944.591967592591</v>
      </c>
      <c r="V209" s="8">
        <v>45947.958333333336</v>
      </c>
      <c r="W209">
        <v>1</v>
      </c>
      <c r="X209">
        <v>1.9833796299999999</v>
      </c>
      <c r="Y209" t="s">
        <v>2418</v>
      </c>
      <c r="Z209" t="s">
        <v>5294</v>
      </c>
      <c r="AA209" t="s">
        <v>5292</v>
      </c>
      <c r="AB209" t="s">
        <v>1278</v>
      </c>
      <c r="AC209" t="s">
        <v>5295</v>
      </c>
      <c r="AD209" t="s">
        <v>2708</v>
      </c>
      <c r="AE209">
        <v>1</v>
      </c>
      <c r="AO209" t="s">
        <v>2408</v>
      </c>
      <c r="AP209" t="s">
        <v>2401</v>
      </c>
    </row>
    <row r="210" spans="1:42">
      <c r="A210" t="s">
        <v>710</v>
      </c>
      <c r="B210" t="s">
        <v>2377</v>
      </c>
      <c r="C210" t="s">
        <v>2378</v>
      </c>
      <c r="D210" t="s">
        <v>2379</v>
      </c>
      <c r="E210" t="s">
        <v>33</v>
      </c>
      <c r="F210" t="s">
        <v>2588</v>
      </c>
      <c r="G210" t="s">
        <v>33</v>
      </c>
      <c r="H210" t="b">
        <v>1</v>
      </c>
      <c r="I210" s="8">
        <v>45947.617349537039</v>
      </c>
      <c r="J210" t="s">
        <v>2380</v>
      </c>
      <c r="L210">
        <v>603950</v>
      </c>
      <c r="M210" t="s">
        <v>2381</v>
      </c>
      <c r="P210" t="s">
        <v>2704</v>
      </c>
      <c r="Q210" t="s">
        <v>2383</v>
      </c>
      <c r="R210">
        <v>1</v>
      </c>
      <c r="S210" t="s">
        <v>2380</v>
      </c>
      <c r="T210" t="s">
        <v>2383</v>
      </c>
      <c r="U210" s="8">
        <v>45944.593854166669</v>
      </c>
      <c r="V210" s="8">
        <v>45947.958333333336</v>
      </c>
      <c r="W210">
        <v>1</v>
      </c>
      <c r="X210">
        <v>3.02349537</v>
      </c>
      <c r="Y210" t="s">
        <v>2579</v>
      </c>
      <c r="Z210" t="s">
        <v>9366</v>
      </c>
      <c r="AA210" t="s">
        <v>3647</v>
      </c>
      <c r="AB210" t="s">
        <v>1278</v>
      </c>
      <c r="AC210" t="s">
        <v>9367</v>
      </c>
      <c r="AD210" t="s">
        <v>2708</v>
      </c>
      <c r="AE210">
        <v>1</v>
      </c>
      <c r="AF210">
        <v>4</v>
      </c>
      <c r="AH210" t="s">
        <v>2723</v>
      </c>
      <c r="AI210" s="8">
        <v>45947.608449074076</v>
      </c>
      <c r="AK210" t="s">
        <v>2719</v>
      </c>
      <c r="AL210" t="s">
        <v>2724</v>
      </c>
      <c r="AO210" t="s">
        <v>3644</v>
      </c>
      <c r="AP210" t="s">
        <v>2401</v>
      </c>
    </row>
    <row r="211" spans="1:42">
      <c r="A211" t="s">
        <v>435</v>
      </c>
      <c r="B211" t="s">
        <v>2377</v>
      </c>
      <c r="C211" t="s">
        <v>2390</v>
      </c>
      <c r="D211" t="s">
        <v>2379</v>
      </c>
      <c r="E211" t="s">
        <v>24</v>
      </c>
      <c r="F211" t="s">
        <v>2457</v>
      </c>
      <c r="G211" t="s">
        <v>24</v>
      </c>
      <c r="H211" t="b">
        <v>1</v>
      </c>
      <c r="I211" s="8">
        <v>45946.599618055552</v>
      </c>
      <c r="J211" t="s">
        <v>2380</v>
      </c>
      <c r="L211">
        <v>602770</v>
      </c>
      <c r="M211" t="s">
        <v>2381</v>
      </c>
      <c r="P211" t="s">
        <v>4150</v>
      </c>
      <c r="Q211" t="s">
        <v>2383</v>
      </c>
      <c r="R211">
        <v>1</v>
      </c>
      <c r="S211" t="s">
        <v>2380</v>
      </c>
      <c r="T211" t="s">
        <v>2383</v>
      </c>
      <c r="U211" s="8">
        <v>45944.594641203701</v>
      </c>
      <c r="V211" s="8">
        <v>45947.958333333336</v>
      </c>
      <c r="W211">
        <v>1</v>
      </c>
      <c r="X211">
        <v>2.004976852</v>
      </c>
      <c r="Y211" t="s">
        <v>2403</v>
      </c>
      <c r="Z211" t="s">
        <v>4151</v>
      </c>
      <c r="AA211" t="s">
        <v>1364</v>
      </c>
      <c r="AB211" t="s">
        <v>1278</v>
      </c>
      <c r="AC211" t="s">
        <v>4152</v>
      </c>
      <c r="AD211" t="s">
        <v>2708</v>
      </c>
      <c r="AE211">
        <v>1</v>
      </c>
      <c r="AO211" t="s">
        <v>2408</v>
      </c>
      <c r="AP211" t="s">
        <v>2401</v>
      </c>
    </row>
    <row r="212" spans="1:42">
      <c r="A212" t="s">
        <v>1135</v>
      </c>
      <c r="B212" t="s">
        <v>2377</v>
      </c>
      <c r="C212" t="s">
        <v>2447</v>
      </c>
      <c r="D212" t="s">
        <v>2379</v>
      </c>
      <c r="E212" t="s">
        <v>28</v>
      </c>
      <c r="F212" t="s">
        <v>3747</v>
      </c>
      <c r="G212" t="s">
        <v>28</v>
      </c>
      <c r="H212" t="b">
        <v>1</v>
      </c>
      <c r="I212" s="8">
        <v>45951.468460648146</v>
      </c>
      <c r="J212" t="s">
        <v>2380</v>
      </c>
      <c r="L212">
        <v>609911</v>
      </c>
      <c r="M212" t="s">
        <v>2381</v>
      </c>
      <c r="N212">
        <v>20</v>
      </c>
      <c r="P212" t="s">
        <v>2704</v>
      </c>
      <c r="Q212" t="s">
        <v>2383</v>
      </c>
      <c r="R212">
        <v>1</v>
      </c>
      <c r="S212" t="s">
        <v>2380</v>
      </c>
      <c r="T212" t="s">
        <v>2383</v>
      </c>
      <c r="U212" s="8">
        <v>45944.595173611109</v>
      </c>
      <c r="V212" s="8">
        <v>45951.958333333336</v>
      </c>
      <c r="W212">
        <v>1</v>
      </c>
      <c r="X212">
        <v>4.8732870369999999</v>
      </c>
      <c r="Y212" t="s">
        <v>3748</v>
      </c>
      <c r="Z212" t="s">
        <v>4868</v>
      </c>
      <c r="AA212" t="s">
        <v>4106</v>
      </c>
      <c r="AB212" t="s">
        <v>1278</v>
      </c>
      <c r="AC212" t="s">
        <v>4869</v>
      </c>
      <c r="AD212" t="s">
        <v>2708</v>
      </c>
      <c r="AE212">
        <v>1</v>
      </c>
      <c r="AO212" t="s">
        <v>2712</v>
      </c>
      <c r="AP212" t="s">
        <v>2401</v>
      </c>
    </row>
    <row r="213" spans="1:42">
      <c r="A213" t="s">
        <v>1372</v>
      </c>
      <c r="B213" t="s">
        <v>2389</v>
      </c>
      <c r="C213" t="s">
        <v>2415</v>
      </c>
      <c r="D213" t="s">
        <v>2379</v>
      </c>
      <c r="E213" t="s">
        <v>2452</v>
      </c>
      <c r="F213" t="s">
        <v>2409</v>
      </c>
      <c r="G213" t="s">
        <v>2452</v>
      </c>
      <c r="H213" t="b">
        <v>1</v>
      </c>
      <c r="I213" s="8">
        <v>45946.593043981484</v>
      </c>
      <c r="J213" t="s">
        <v>2380</v>
      </c>
      <c r="K213">
        <v>1202851</v>
      </c>
      <c r="L213">
        <v>608068</v>
      </c>
      <c r="M213" t="s">
        <v>2381</v>
      </c>
      <c r="P213" t="s">
        <v>2486</v>
      </c>
      <c r="Q213" t="s">
        <v>2383</v>
      </c>
      <c r="R213">
        <v>1</v>
      </c>
      <c r="S213" t="s">
        <v>2380</v>
      </c>
      <c r="T213" t="s">
        <v>2383</v>
      </c>
      <c r="U213" s="8">
        <v>45944.606817129628</v>
      </c>
      <c r="V213" s="8">
        <v>45947.958333333336</v>
      </c>
      <c r="W213">
        <v>1</v>
      </c>
      <c r="X213">
        <v>1.9862268519999999</v>
      </c>
      <c r="Y213" t="s">
        <v>2410</v>
      </c>
      <c r="Z213" t="s">
        <v>5382</v>
      </c>
      <c r="AA213" t="s">
        <v>2471</v>
      </c>
      <c r="AB213" t="s">
        <v>1278</v>
      </c>
      <c r="AC213" t="s">
        <v>5383</v>
      </c>
      <c r="AD213" t="s">
        <v>2708</v>
      </c>
      <c r="AE213">
        <v>1</v>
      </c>
      <c r="AO213" t="s">
        <v>2408</v>
      </c>
      <c r="AP213" t="s">
        <v>2401</v>
      </c>
    </row>
    <row r="214" spans="1:42">
      <c r="A214" t="s">
        <v>1568</v>
      </c>
      <c r="B214" t="s">
        <v>2389</v>
      </c>
      <c r="C214" t="s">
        <v>2447</v>
      </c>
      <c r="D214" t="s">
        <v>2379</v>
      </c>
      <c r="E214" t="s">
        <v>25</v>
      </c>
      <c r="F214" t="s">
        <v>3747</v>
      </c>
      <c r="G214" t="s">
        <v>25</v>
      </c>
      <c r="H214" t="b">
        <v>1</v>
      </c>
      <c r="I214" s="8">
        <v>45950.661469907405</v>
      </c>
      <c r="J214" t="s">
        <v>2380</v>
      </c>
      <c r="K214">
        <v>1203673</v>
      </c>
      <c r="L214">
        <v>601527</v>
      </c>
      <c r="M214" t="s">
        <v>2381</v>
      </c>
      <c r="N214">
        <v>5</v>
      </c>
      <c r="P214" t="s">
        <v>4089</v>
      </c>
      <c r="Q214" t="s">
        <v>2383</v>
      </c>
      <c r="R214">
        <v>1</v>
      </c>
      <c r="S214" t="s">
        <v>2380</v>
      </c>
      <c r="T214" t="s">
        <v>2383</v>
      </c>
      <c r="U214" s="8">
        <v>45944.607557870368</v>
      </c>
      <c r="V214" s="8">
        <v>45953.958333333336</v>
      </c>
      <c r="W214">
        <v>1</v>
      </c>
      <c r="X214">
        <v>4.0539120369999999</v>
      </c>
      <c r="Y214" t="s">
        <v>3748</v>
      </c>
      <c r="Z214" t="s">
        <v>4881</v>
      </c>
      <c r="AA214" t="s">
        <v>3815</v>
      </c>
      <c r="AB214" t="s">
        <v>1278</v>
      </c>
      <c r="AC214" t="s">
        <v>4882</v>
      </c>
      <c r="AD214" t="s">
        <v>2708</v>
      </c>
      <c r="AE214">
        <v>1</v>
      </c>
      <c r="AO214" t="s">
        <v>2712</v>
      </c>
      <c r="AP214" t="s">
        <v>2401</v>
      </c>
    </row>
    <row r="215" spans="1:42">
      <c r="A215" t="s">
        <v>1367</v>
      </c>
      <c r="B215" t="s">
        <v>2389</v>
      </c>
      <c r="C215" t="s">
        <v>2415</v>
      </c>
      <c r="D215" t="s">
        <v>2379</v>
      </c>
      <c r="E215" t="s">
        <v>2452</v>
      </c>
      <c r="F215" t="s">
        <v>2409</v>
      </c>
      <c r="G215" t="s">
        <v>2452</v>
      </c>
      <c r="H215" t="b">
        <v>1</v>
      </c>
      <c r="I215" s="8">
        <v>45946.595590277779</v>
      </c>
      <c r="J215" t="s">
        <v>2380</v>
      </c>
      <c r="L215">
        <v>608068</v>
      </c>
      <c r="M215" t="s">
        <v>2381</v>
      </c>
      <c r="P215" t="s">
        <v>2486</v>
      </c>
      <c r="Q215" t="s">
        <v>2383</v>
      </c>
      <c r="R215">
        <v>1</v>
      </c>
      <c r="S215" t="s">
        <v>2380</v>
      </c>
      <c r="T215" t="s">
        <v>2383</v>
      </c>
      <c r="U215" s="8">
        <v>45944.609050925923</v>
      </c>
      <c r="V215" s="8">
        <v>45947.958333333336</v>
      </c>
      <c r="W215">
        <v>1</v>
      </c>
      <c r="X215">
        <v>1.9865393520000001</v>
      </c>
      <c r="Y215" t="s">
        <v>2410</v>
      </c>
      <c r="Z215" t="s">
        <v>2856</v>
      </c>
      <c r="AA215" t="s">
        <v>2471</v>
      </c>
      <c r="AB215" t="s">
        <v>1278</v>
      </c>
      <c r="AC215" t="s">
        <v>2857</v>
      </c>
      <c r="AE215">
        <v>1</v>
      </c>
      <c r="AO215" t="s">
        <v>2408</v>
      </c>
      <c r="AP215" t="s">
        <v>2401</v>
      </c>
    </row>
    <row r="216" spans="1:42">
      <c r="A216" t="s">
        <v>73</v>
      </c>
      <c r="B216" t="s">
        <v>2377</v>
      </c>
      <c r="C216" t="s">
        <v>2390</v>
      </c>
      <c r="D216" t="s">
        <v>2379</v>
      </c>
      <c r="E216" t="s">
        <v>25</v>
      </c>
      <c r="F216" t="s">
        <v>3500</v>
      </c>
      <c r="G216" t="s">
        <v>25</v>
      </c>
      <c r="H216" t="b">
        <v>1</v>
      </c>
      <c r="I216" s="8">
        <v>45947.423391203702</v>
      </c>
      <c r="J216" t="s">
        <v>2380</v>
      </c>
      <c r="L216">
        <v>609865</v>
      </c>
      <c r="M216" t="s">
        <v>2381</v>
      </c>
      <c r="N216">
        <v>5</v>
      </c>
      <c r="P216" t="s">
        <v>4661</v>
      </c>
      <c r="Q216" t="s">
        <v>2383</v>
      </c>
      <c r="R216">
        <v>1</v>
      </c>
      <c r="S216" t="s">
        <v>2380</v>
      </c>
      <c r="T216" t="s">
        <v>2383</v>
      </c>
      <c r="U216" s="8">
        <v>45944.617754629631</v>
      </c>
      <c r="V216" s="8">
        <v>45947.958333333336</v>
      </c>
      <c r="W216">
        <v>1</v>
      </c>
      <c r="X216">
        <v>2.8056365740000002</v>
      </c>
      <c r="Y216" t="s">
        <v>3501</v>
      </c>
      <c r="Z216" t="s">
        <v>7975</v>
      </c>
      <c r="AA216" t="s">
        <v>7487</v>
      </c>
      <c r="AB216" t="s">
        <v>1278</v>
      </c>
      <c r="AC216" t="s">
        <v>7976</v>
      </c>
      <c r="AD216" t="s">
        <v>2708</v>
      </c>
      <c r="AE216">
        <v>1</v>
      </c>
      <c r="AO216" t="s">
        <v>2957</v>
      </c>
      <c r="AP216" t="s">
        <v>2401</v>
      </c>
    </row>
    <row r="217" spans="1:42">
      <c r="A217" t="s">
        <v>1343</v>
      </c>
      <c r="B217" t="s">
        <v>2389</v>
      </c>
      <c r="C217" t="s">
        <v>2390</v>
      </c>
      <c r="D217" t="s">
        <v>2379</v>
      </c>
      <c r="E217" t="s">
        <v>25</v>
      </c>
      <c r="F217" t="s">
        <v>2578</v>
      </c>
      <c r="G217" t="s">
        <v>25</v>
      </c>
      <c r="H217" t="b">
        <v>1</v>
      </c>
      <c r="I217" s="8">
        <v>45946.651990740742</v>
      </c>
      <c r="J217" t="s">
        <v>2380</v>
      </c>
      <c r="K217">
        <v>1203020</v>
      </c>
      <c r="L217">
        <v>601173</v>
      </c>
      <c r="M217" t="s">
        <v>2381</v>
      </c>
      <c r="N217">
        <v>5</v>
      </c>
      <c r="P217" t="s">
        <v>7084</v>
      </c>
      <c r="Q217" t="s">
        <v>2383</v>
      </c>
      <c r="R217">
        <v>1</v>
      </c>
      <c r="S217" t="s">
        <v>2380</v>
      </c>
      <c r="T217" t="s">
        <v>2383</v>
      </c>
      <c r="U217" s="8">
        <v>45944.618784722225</v>
      </c>
      <c r="V217" s="8">
        <v>45947.958333333336</v>
      </c>
      <c r="W217">
        <v>1</v>
      </c>
      <c r="X217">
        <v>2.0332060190000001</v>
      </c>
      <c r="Y217" t="s">
        <v>2579</v>
      </c>
      <c r="Z217" t="s">
        <v>7375</v>
      </c>
      <c r="AA217" t="s">
        <v>7087</v>
      </c>
      <c r="AB217" t="s">
        <v>1278</v>
      </c>
      <c r="AC217" t="s">
        <v>7376</v>
      </c>
      <c r="AD217" t="s">
        <v>2708</v>
      </c>
      <c r="AE217">
        <v>1</v>
      </c>
      <c r="AO217" t="s">
        <v>2388</v>
      </c>
      <c r="AP217" t="s">
        <v>2401</v>
      </c>
    </row>
    <row r="218" spans="1:42">
      <c r="A218" t="s">
        <v>7815</v>
      </c>
      <c r="B218" t="s">
        <v>2389</v>
      </c>
      <c r="C218" t="s">
        <v>2415</v>
      </c>
      <c r="D218" t="s">
        <v>2379</v>
      </c>
      <c r="E218" t="s">
        <v>2452</v>
      </c>
      <c r="F218" t="s">
        <v>7813</v>
      </c>
      <c r="G218" t="s">
        <v>2452</v>
      </c>
      <c r="H218" t="b">
        <v>1</v>
      </c>
      <c r="I218" s="8">
        <v>45946.602534722224</v>
      </c>
      <c r="J218" t="s">
        <v>2380</v>
      </c>
      <c r="K218">
        <v>1202909</v>
      </c>
      <c r="L218">
        <v>601103</v>
      </c>
      <c r="M218" t="s">
        <v>2381</v>
      </c>
      <c r="P218" t="s">
        <v>2670</v>
      </c>
      <c r="Q218" t="s">
        <v>2383</v>
      </c>
      <c r="R218">
        <v>1</v>
      </c>
      <c r="S218" t="s">
        <v>2380</v>
      </c>
      <c r="T218" t="s">
        <v>2383</v>
      </c>
      <c r="U218" s="8">
        <v>45944.624745370369</v>
      </c>
      <c r="V218" s="8">
        <v>45947.958333333336</v>
      </c>
      <c r="W218">
        <v>1</v>
      </c>
      <c r="X218">
        <v>1.9777893520000001</v>
      </c>
      <c r="Y218" t="s">
        <v>7814</v>
      </c>
      <c r="Z218" t="s">
        <v>7816</v>
      </c>
      <c r="AA218" t="s">
        <v>7817</v>
      </c>
      <c r="AB218" t="s">
        <v>1278</v>
      </c>
      <c r="AC218" t="s">
        <v>7818</v>
      </c>
      <c r="AD218" t="s">
        <v>2708</v>
      </c>
      <c r="AE218">
        <v>1</v>
      </c>
      <c r="AO218" t="s">
        <v>2957</v>
      </c>
      <c r="AP218" t="s">
        <v>2401</v>
      </c>
    </row>
    <row r="219" spans="1:42">
      <c r="A219" t="s">
        <v>7819</v>
      </c>
      <c r="B219" t="s">
        <v>2389</v>
      </c>
      <c r="C219" t="s">
        <v>2415</v>
      </c>
      <c r="D219" t="s">
        <v>2379</v>
      </c>
      <c r="E219" t="s">
        <v>2452</v>
      </c>
      <c r="F219" t="s">
        <v>7813</v>
      </c>
      <c r="G219" t="s">
        <v>2452</v>
      </c>
      <c r="H219" t="b">
        <v>1</v>
      </c>
      <c r="I219" s="8">
        <v>45946.608599537038</v>
      </c>
      <c r="J219" t="s">
        <v>2380</v>
      </c>
      <c r="K219">
        <v>1202918</v>
      </c>
      <c r="L219">
        <v>601103</v>
      </c>
      <c r="M219" t="s">
        <v>2381</v>
      </c>
      <c r="P219" t="s">
        <v>2670</v>
      </c>
      <c r="Q219" t="s">
        <v>2383</v>
      </c>
      <c r="R219">
        <v>1</v>
      </c>
      <c r="S219" t="s">
        <v>2380</v>
      </c>
      <c r="T219" t="s">
        <v>2383</v>
      </c>
      <c r="U219" s="8">
        <v>45944.625428240739</v>
      </c>
      <c r="V219" s="8">
        <v>45947.958333333336</v>
      </c>
      <c r="W219">
        <v>1</v>
      </c>
      <c r="X219">
        <v>1.9831712960000001</v>
      </c>
      <c r="Y219" t="s">
        <v>7814</v>
      </c>
      <c r="Z219" t="s">
        <v>7820</v>
      </c>
      <c r="AA219" t="s">
        <v>7817</v>
      </c>
      <c r="AB219" t="s">
        <v>1278</v>
      </c>
      <c r="AC219" t="s">
        <v>7821</v>
      </c>
      <c r="AD219" t="s">
        <v>2708</v>
      </c>
      <c r="AE219">
        <v>1</v>
      </c>
      <c r="AO219" t="s">
        <v>2957</v>
      </c>
      <c r="AP219" t="s">
        <v>2401</v>
      </c>
    </row>
    <row r="220" spans="1:42">
      <c r="A220" t="s">
        <v>7822</v>
      </c>
      <c r="B220" t="s">
        <v>2389</v>
      </c>
      <c r="C220" t="s">
        <v>2415</v>
      </c>
      <c r="D220" t="s">
        <v>2379</v>
      </c>
      <c r="E220" t="s">
        <v>2452</v>
      </c>
      <c r="F220" t="s">
        <v>7813</v>
      </c>
      <c r="G220" t="s">
        <v>2452</v>
      </c>
      <c r="H220" t="b">
        <v>1</v>
      </c>
      <c r="I220" s="8">
        <v>45946.616435185184</v>
      </c>
      <c r="J220" t="s">
        <v>2380</v>
      </c>
      <c r="K220">
        <v>1202970</v>
      </c>
      <c r="L220">
        <v>601103</v>
      </c>
      <c r="M220" t="s">
        <v>2381</v>
      </c>
      <c r="P220" t="s">
        <v>2670</v>
      </c>
      <c r="Q220" t="s">
        <v>2383</v>
      </c>
      <c r="R220">
        <v>1</v>
      </c>
      <c r="S220" t="s">
        <v>2380</v>
      </c>
      <c r="T220" t="s">
        <v>2383</v>
      </c>
      <c r="U220" s="8">
        <v>45944.627511574072</v>
      </c>
      <c r="V220" s="8">
        <v>45947.958333333336</v>
      </c>
      <c r="W220">
        <v>1</v>
      </c>
      <c r="X220">
        <v>1.9889236109999999</v>
      </c>
      <c r="Y220" t="s">
        <v>7814</v>
      </c>
      <c r="Z220" t="s">
        <v>7823</v>
      </c>
      <c r="AA220" t="s">
        <v>7817</v>
      </c>
      <c r="AB220" t="s">
        <v>1278</v>
      </c>
      <c r="AC220" t="s">
        <v>7824</v>
      </c>
      <c r="AD220" t="s">
        <v>2708</v>
      </c>
      <c r="AE220">
        <v>1</v>
      </c>
      <c r="AO220" t="s">
        <v>2957</v>
      </c>
      <c r="AP220" t="s">
        <v>2401</v>
      </c>
    </row>
    <row r="221" spans="1:42">
      <c r="A221" t="s">
        <v>1341</v>
      </c>
      <c r="B221" t="s">
        <v>2389</v>
      </c>
      <c r="C221" t="s">
        <v>2390</v>
      </c>
      <c r="D221" t="s">
        <v>2379</v>
      </c>
      <c r="E221" t="s">
        <v>25</v>
      </c>
      <c r="F221" t="s">
        <v>2578</v>
      </c>
      <c r="G221" t="s">
        <v>25</v>
      </c>
      <c r="H221" t="b">
        <v>1</v>
      </c>
      <c r="I221" s="8">
        <v>45946.655300925922</v>
      </c>
      <c r="J221" t="s">
        <v>2380</v>
      </c>
      <c r="K221">
        <v>1203021</v>
      </c>
      <c r="L221">
        <v>601173</v>
      </c>
      <c r="M221" t="s">
        <v>2381</v>
      </c>
      <c r="N221">
        <v>5</v>
      </c>
      <c r="P221" t="s">
        <v>7084</v>
      </c>
      <c r="Q221" t="s">
        <v>2383</v>
      </c>
      <c r="R221">
        <v>1</v>
      </c>
      <c r="S221" t="s">
        <v>2380</v>
      </c>
      <c r="T221" t="s">
        <v>2383</v>
      </c>
      <c r="U221" s="8">
        <v>45944.629120370373</v>
      </c>
      <c r="V221" s="8">
        <v>45947.958333333336</v>
      </c>
      <c r="W221">
        <v>1</v>
      </c>
      <c r="X221">
        <v>2.0261805559999999</v>
      </c>
      <c r="Y221" t="s">
        <v>2579</v>
      </c>
      <c r="Z221" t="s">
        <v>7377</v>
      </c>
      <c r="AA221" t="s">
        <v>7087</v>
      </c>
      <c r="AB221" t="s">
        <v>1278</v>
      </c>
      <c r="AC221" t="s">
        <v>7378</v>
      </c>
      <c r="AD221" t="s">
        <v>2708</v>
      </c>
      <c r="AE221">
        <v>1</v>
      </c>
      <c r="AO221" t="s">
        <v>2388</v>
      </c>
      <c r="AP221" t="s">
        <v>2401</v>
      </c>
    </row>
    <row r="222" spans="1:42">
      <c r="A222" t="s">
        <v>7825</v>
      </c>
      <c r="B222" t="s">
        <v>2389</v>
      </c>
      <c r="C222" t="s">
        <v>2415</v>
      </c>
      <c r="D222" t="s">
        <v>2379</v>
      </c>
      <c r="E222" t="s">
        <v>2452</v>
      </c>
      <c r="F222" t="s">
        <v>7813</v>
      </c>
      <c r="G222" t="s">
        <v>2452</v>
      </c>
      <c r="H222" t="b">
        <v>1</v>
      </c>
      <c r="I222" s="8">
        <v>45946.621504629627</v>
      </c>
      <c r="J222" t="s">
        <v>2380</v>
      </c>
      <c r="K222">
        <v>1202978</v>
      </c>
      <c r="L222">
        <v>601103</v>
      </c>
      <c r="M222" t="s">
        <v>2381</v>
      </c>
      <c r="P222" t="s">
        <v>2670</v>
      </c>
      <c r="Q222" t="s">
        <v>2383</v>
      </c>
      <c r="R222">
        <v>1</v>
      </c>
      <c r="S222" t="s">
        <v>2380</v>
      </c>
      <c r="T222" t="s">
        <v>2383</v>
      </c>
      <c r="U222" s="8">
        <v>45944.629583333335</v>
      </c>
      <c r="V222" s="8">
        <v>45947.958333333336</v>
      </c>
      <c r="W222">
        <v>1</v>
      </c>
      <c r="X222">
        <v>1.9919212959999999</v>
      </c>
      <c r="Y222" t="s">
        <v>7814</v>
      </c>
      <c r="Z222" t="s">
        <v>7826</v>
      </c>
      <c r="AA222" t="s">
        <v>7817</v>
      </c>
      <c r="AB222" t="s">
        <v>1278</v>
      </c>
      <c r="AC222" t="s">
        <v>7827</v>
      </c>
      <c r="AD222" t="s">
        <v>2708</v>
      </c>
      <c r="AE222">
        <v>1</v>
      </c>
      <c r="AO222" t="s">
        <v>2957</v>
      </c>
      <c r="AP222" t="s">
        <v>2401</v>
      </c>
    </row>
    <row r="223" spans="1:42">
      <c r="A223" t="s">
        <v>79</v>
      </c>
      <c r="B223" t="s">
        <v>2377</v>
      </c>
      <c r="C223" t="s">
        <v>2390</v>
      </c>
      <c r="D223" t="s">
        <v>2379</v>
      </c>
      <c r="E223" t="s">
        <v>24</v>
      </c>
      <c r="F223" t="s">
        <v>4897</v>
      </c>
      <c r="G223" t="s">
        <v>24</v>
      </c>
      <c r="H223" t="b">
        <v>1</v>
      </c>
      <c r="I223" s="8">
        <v>45947.584606481483</v>
      </c>
      <c r="J223" t="s">
        <v>2380</v>
      </c>
      <c r="L223">
        <v>603552</v>
      </c>
      <c r="M223" t="s">
        <v>2381</v>
      </c>
      <c r="P223" t="s">
        <v>3896</v>
      </c>
      <c r="Q223" t="s">
        <v>2383</v>
      </c>
      <c r="R223">
        <v>1</v>
      </c>
      <c r="S223" t="s">
        <v>2380</v>
      </c>
      <c r="T223" t="s">
        <v>2383</v>
      </c>
      <c r="U223" s="8">
        <v>45944.630555555559</v>
      </c>
      <c r="V223" s="8">
        <v>45947.958333333336</v>
      </c>
      <c r="W223">
        <v>1</v>
      </c>
      <c r="X223">
        <v>2.9540509259999999</v>
      </c>
      <c r="Y223" t="s">
        <v>4898</v>
      </c>
      <c r="Z223" t="s">
        <v>4917</v>
      </c>
      <c r="AA223" t="s">
        <v>4918</v>
      </c>
      <c r="AB223" t="s">
        <v>1278</v>
      </c>
      <c r="AC223" t="s">
        <v>4919</v>
      </c>
      <c r="AD223" t="s">
        <v>2708</v>
      </c>
      <c r="AE223">
        <v>1</v>
      </c>
      <c r="AO223" t="s">
        <v>2715</v>
      </c>
      <c r="AP223" t="s">
        <v>2401</v>
      </c>
    </row>
    <row r="224" spans="1:42">
      <c r="A224" t="s">
        <v>1566</v>
      </c>
      <c r="B224" t="s">
        <v>2377</v>
      </c>
      <c r="C224" t="s">
        <v>2390</v>
      </c>
      <c r="D224" t="s">
        <v>2379</v>
      </c>
      <c r="E224" t="s">
        <v>24</v>
      </c>
      <c r="F224" t="s">
        <v>2477</v>
      </c>
      <c r="G224" t="s">
        <v>24</v>
      </c>
      <c r="H224" t="b">
        <v>1</v>
      </c>
      <c r="I224" s="8">
        <v>45947.582048611112</v>
      </c>
      <c r="J224" t="s">
        <v>2380</v>
      </c>
      <c r="L224">
        <v>601844</v>
      </c>
      <c r="M224" t="s">
        <v>2381</v>
      </c>
      <c r="P224" t="s">
        <v>2747</v>
      </c>
      <c r="Q224" t="s">
        <v>2383</v>
      </c>
      <c r="R224">
        <v>1</v>
      </c>
      <c r="S224" t="s">
        <v>2380</v>
      </c>
      <c r="T224" t="s">
        <v>2383</v>
      </c>
      <c r="U224" s="8">
        <v>45944.634270833332</v>
      </c>
      <c r="V224" s="8">
        <v>45947.958333333336</v>
      </c>
      <c r="W224">
        <v>1</v>
      </c>
      <c r="X224">
        <v>2.9477777779999998</v>
      </c>
      <c r="Y224" t="s">
        <v>2403</v>
      </c>
      <c r="Z224" t="s">
        <v>2748</v>
      </c>
      <c r="AA224" t="s">
        <v>1565</v>
      </c>
      <c r="AB224" t="s">
        <v>1278</v>
      </c>
      <c r="AC224" t="s">
        <v>2749</v>
      </c>
      <c r="AE224">
        <v>1</v>
      </c>
      <c r="AO224" t="s">
        <v>2408</v>
      </c>
      <c r="AP224" t="s">
        <v>2401</v>
      </c>
    </row>
    <row r="225" spans="1:42">
      <c r="A225" t="s">
        <v>1564</v>
      </c>
      <c r="B225" t="s">
        <v>2389</v>
      </c>
      <c r="C225" t="s">
        <v>2390</v>
      </c>
      <c r="D225" t="s">
        <v>2379</v>
      </c>
      <c r="E225" t="s">
        <v>33</v>
      </c>
      <c r="F225" t="s">
        <v>3735</v>
      </c>
      <c r="G225" t="s">
        <v>33</v>
      </c>
      <c r="H225" t="b">
        <v>1</v>
      </c>
      <c r="I225" s="8">
        <v>45947.416192129633</v>
      </c>
      <c r="J225" t="s">
        <v>2380</v>
      </c>
      <c r="L225">
        <v>601379</v>
      </c>
      <c r="M225" t="s">
        <v>2381</v>
      </c>
      <c r="P225" t="s">
        <v>3736</v>
      </c>
      <c r="Q225" t="s">
        <v>2383</v>
      </c>
      <c r="R225">
        <v>1</v>
      </c>
      <c r="S225" t="s">
        <v>2380</v>
      </c>
      <c r="T225" t="s">
        <v>2383</v>
      </c>
      <c r="U225" s="8">
        <v>45944.638333333336</v>
      </c>
      <c r="V225" s="8">
        <v>45947.958333333336</v>
      </c>
      <c r="W225">
        <v>1</v>
      </c>
      <c r="X225">
        <v>2.7778587959999999</v>
      </c>
      <c r="Y225" t="s">
        <v>1352</v>
      </c>
      <c r="Z225" t="s">
        <v>3737</v>
      </c>
      <c r="AA225" t="s">
        <v>3738</v>
      </c>
      <c r="AB225" t="s">
        <v>1278</v>
      </c>
      <c r="AC225" t="s">
        <v>3739</v>
      </c>
      <c r="AE225">
        <v>1</v>
      </c>
      <c r="AO225" t="s">
        <v>2720</v>
      </c>
      <c r="AP225" t="s">
        <v>2401</v>
      </c>
    </row>
    <row r="226" spans="1:42">
      <c r="A226" t="s">
        <v>440</v>
      </c>
      <c r="B226" t="s">
        <v>2377</v>
      </c>
      <c r="C226" t="s">
        <v>2390</v>
      </c>
      <c r="D226" t="s">
        <v>2379</v>
      </c>
      <c r="E226" t="s">
        <v>25</v>
      </c>
      <c r="F226" t="s">
        <v>3445</v>
      </c>
      <c r="G226" t="s">
        <v>25</v>
      </c>
      <c r="H226" t="b">
        <v>1</v>
      </c>
      <c r="I226" s="8">
        <v>45946.698761574073</v>
      </c>
      <c r="J226" t="s">
        <v>2380</v>
      </c>
      <c r="L226">
        <v>603970</v>
      </c>
      <c r="M226" t="s">
        <v>2381</v>
      </c>
      <c r="N226">
        <v>5</v>
      </c>
      <c r="P226" t="s">
        <v>4125</v>
      </c>
      <c r="Q226" t="s">
        <v>2383</v>
      </c>
      <c r="R226">
        <v>1</v>
      </c>
      <c r="S226" t="s">
        <v>2380</v>
      </c>
      <c r="T226" t="s">
        <v>2383</v>
      </c>
      <c r="U226" s="8">
        <v>45944.643703703703</v>
      </c>
      <c r="V226" s="8">
        <v>45947.958333333336</v>
      </c>
      <c r="W226">
        <v>1</v>
      </c>
      <c r="X226">
        <v>2.0550578700000002</v>
      </c>
      <c r="Y226" t="s">
        <v>4126</v>
      </c>
      <c r="Z226" t="s">
        <v>7970</v>
      </c>
      <c r="AA226" t="s">
        <v>2306</v>
      </c>
      <c r="AB226" t="s">
        <v>1278</v>
      </c>
      <c r="AC226" t="s">
        <v>2746</v>
      </c>
      <c r="AD226" t="s">
        <v>2708</v>
      </c>
      <c r="AE226">
        <v>1</v>
      </c>
      <c r="AO226" t="s">
        <v>2957</v>
      </c>
      <c r="AP226" t="s">
        <v>2401</v>
      </c>
    </row>
    <row r="227" spans="1:42">
      <c r="A227" t="s">
        <v>1323</v>
      </c>
      <c r="B227" t="s">
        <v>2389</v>
      </c>
      <c r="C227" t="s">
        <v>2390</v>
      </c>
      <c r="D227" t="s">
        <v>2379</v>
      </c>
      <c r="E227" t="s">
        <v>25</v>
      </c>
      <c r="F227" t="s">
        <v>2402</v>
      </c>
      <c r="G227" t="s">
        <v>25</v>
      </c>
      <c r="H227" t="b">
        <v>1</v>
      </c>
      <c r="I227" s="8">
        <v>45946.685717592591</v>
      </c>
      <c r="J227" t="s">
        <v>2380</v>
      </c>
      <c r="K227">
        <v>1203029</v>
      </c>
      <c r="L227">
        <v>605085</v>
      </c>
      <c r="M227" t="s">
        <v>2381</v>
      </c>
      <c r="N227">
        <v>5</v>
      </c>
      <c r="P227" t="s">
        <v>5229</v>
      </c>
      <c r="Q227" t="s">
        <v>2383</v>
      </c>
      <c r="R227">
        <v>1</v>
      </c>
      <c r="S227" t="s">
        <v>2380</v>
      </c>
      <c r="T227" t="s">
        <v>2383</v>
      </c>
      <c r="U227" s="8">
        <v>45944.648761574077</v>
      </c>
      <c r="V227" s="8">
        <v>45947.958333333336</v>
      </c>
      <c r="W227">
        <v>1</v>
      </c>
      <c r="X227">
        <v>2.0369560189999998</v>
      </c>
      <c r="Y227" t="s">
        <v>2403</v>
      </c>
      <c r="Z227" t="s">
        <v>5567</v>
      </c>
      <c r="AA227" t="s">
        <v>2406</v>
      </c>
      <c r="AB227" t="s">
        <v>1278</v>
      </c>
      <c r="AC227" t="s">
        <v>5231</v>
      </c>
      <c r="AD227" t="s">
        <v>2708</v>
      </c>
      <c r="AE227">
        <v>1</v>
      </c>
      <c r="AO227" t="s">
        <v>2408</v>
      </c>
      <c r="AP227" t="s">
        <v>2401</v>
      </c>
    </row>
    <row r="228" spans="1:42">
      <c r="A228" t="s">
        <v>1561</v>
      </c>
      <c r="B228" t="s">
        <v>2389</v>
      </c>
      <c r="C228" t="s">
        <v>2390</v>
      </c>
      <c r="D228" t="s">
        <v>2379</v>
      </c>
      <c r="E228" t="s">
        <v>25</v>
      </c>
      <c r="F228" t="s">
        <v>2402</v>
      </c>
      <c r="G228" t="s">
        <v>25</v>
      </c>
      <c r="H228" t="b">
        <v>1</v>
      </c>
      <c r="I228" s="8">
        <v>45947.637256944443</v>
      </c>
      <c r="J228" t="s">
        <v>2380</v>
      </c>
      <c r="K228">
        <v>1203028</v>
      </c>
      <c r="L228">
        <v>605085</v>
      </c>
      <c r="M228" t="s">
        <v>2381</v>
      </c>
      <c r="N228">
        <v>5</v>
      </c>
      <c r="P228" t="s">
        <v>5229</v>
      </c>
      <c r="Q228" t="s">
        <v>2383</v>
      </c>
      <c r="R228">
        <v>1</v>
      </c>
      <c r="S228" t="s">
        <v>2380</v>
      </c>
      <c r="T228" t="s">
        <v>2383</v>
      </c>
      <c r="U228" s="8">
        <v>45944.654942129629</v>
      </c>
      <c r="V228" s="8">
        <v>45947.958333333336</v>
      </c>
      <c r="W228">
        <v>1</v>
      </c>
      <c r="X228">
        <v>2.9823148150000001</v>
      </c>
      <c r="Y228" t="s">
        <v>2403</v>
      </c>
      <c r="Z228" t="s">
        <v>5230</v>
      </c>
      <c r="AA228" t="s">
        <v>2406</v>
      </c>
      <c r="AB228" t="s">
        <v>1278</v>
      </c>
      <c r="AC228" t="s">
        <v>5231</v>
      </c>
      <c r="AD228" t="s">
        <v>2708</v>
      </c>
      <c r="AE228">
        <v>1</v>
      </c>
      <c r="AH228" t="s">
        <v>33</v>
      </c>
      <c r="AI228" s="8">
        <v>45947.605624999997</v>
      </c>
      <c r="AK228" t="s">
        <v>2719</v>
      </c>
      <c r="AL228" t="s">
        <v>2719</v>
      </c>
      <c r="AO228" t="s">
        <v>2408</v>
      </c>
      <c r="AP228" t="s">
        <v>2401</v>
      </c>
    </row>
    <row r="229" spans="1:42">
      <c r="A229" t="s">
        <v>1336</v>
      </c>
      <c r="B229" t="s">
        <v>2389</v>
      </c>
      <c r="C229" t="s">
        <v>2390</v>
      </c>
      <c r="D229" t="s">
        <v>2379</v>
      </c>
      <c r="E229" t="s">
        <v>25</v>
      </c>
      <c r="F229" t="s">
        <v>2578</v>
      </c>
      <c r="G229" t="s">
        <v>25</v>
      </c>
      <c r="H229" t="b">
        <v>1</v>
      </c>
      <c r="I229" s="8">
        <v>45946.66542824074</v>
      </c>
      <c r="J229" t="s">
        <v>2380</v>
      </c>
      <c r="K229">
        <v>1203024</v>
      </c>
      <c r="L229">
        <v>601173</v>
      </c>
      <c r="M229" t="s">
        <v>2381</v>
      </c>
      <c r="N229">
        <v>5</v>
      </c>
      <c r="P229" t="s">
        <v>7084</v>
      </c>
      <c r="Q229" t="s">
        <v>2383</v>
      </c>
      <c r="R229">
        <v>1</v>
      </c>
      <c r="S229" t="s">
        <v>2380</v>
      </c>
      <c r="T229" t="s">
        <v>2383</v>
      </c>
      <c r="U229" s="8">
        <v>45944.658009259256</v>
      </c>
      <c r="V229" s="8">
        <v>45947.958333333336</v>
      </c>
      <c r="W229">
        <v>1</v>
      </c>
      <c r="X229">
        <v>2.0074189809999998</v>
      </c>
      <c r="Y229" t="s">
        <v>2579</v>
      </c>
      <c r="Z229" t="s">
        <v>7379</v>
      </c>
      <c r="AA229" t="s">
        <v>7087</v>
      </c>
      <c r="AB229" t="s">
        <v>1278</v>
      </c>
      <c r="AC229" t="s">
        <v>7380</v>
      </c>
      <c r="AD229" t="s">
        <v>2708</v>
      </c>
      <c r="AE229">
        <v>1</v>
      </c>
      <c r="AO229" t="s">
        <v>2388</v>
      </c>
      <c r="AP229" t="s">
        <v>2401</v>
      </c>
    </row>
    <row r="230" spans="1:42">
      <c r="A230" t="s">
        <v>1338</v>
      </c>
      <c r="B230" t="s">
        <v>2389</v>
      </c>
      <c r="C230" t="s">
        <v>2390</v>
      </c>
      <c r="D230" t="s">
        <v>2379</v>
      </c>
      <c r="E230" t="s">
        <v>25</v>
      </c>
      <c r="F230" t="s">
        <v>2578</v>
      </c>
      <c r="G230" t="s">
        <v>25</v>
      </c>
      <c r="H230" t="b">
        <v>1</v>
      </c>
      <c r="I230" s="8">
        <v>45946.663703703707</v>
      </c>
      <c r="J230" t="s">
        <v>2380</v>
      </c>
      <c r="K230">
        <v>1203023</v>
      </c>
      <c r="L230">
        <v>601173</v>
      </c>
      <c r="M230" t="s">
        <v>2381</v>
      </c>
      <c r="N230">
        <v>5</v>
      </c>
      <c r="P230" t="s">
        <v>7084</v>
      </c>
      <c r="Q230" t="s">
        <v>2383</v>
      </c>
      <c r="R230">
        <v>1</v>
      </c>
      <c r="S230" t="s">
        <v>2380</v>
      </c>
      <c r="T230" t="s">
        <v>2383</v>
      </c>
      <c r="U230" s="8">
        <v>45944.663657407407</v>
      </c>
      <c r="V230" s="8">
        <v>45947.958333333336</v>
      </c>
      <c r="W230">
        <v>1</v>
      </c>
      <c r="X230">
        <v>2.0000462959999998</v>
      </c>
      <c r="Y230" t="s">
        <v>2579</v>
      </c>
      <c r="Z230" t="s">
        <v>7381</v>
      </c>
      <c r="AA230" t="s">
        <v>7087</v>
      </c>
      <c r="AB230" t="s">
        <v>1278</v>
      </c>
      <c r="AC230" t="s">
        <v>7382</v>
      </c>
      <c r="AD230" t="s">
        <v>2708</v>
      </c>
      <c r="AE230">
        <v>1</v>
      </c>
      <c r="AO230" t="s">
        <v>2388</v>
      </c>
      <c r="AP230" t="s">
        <v>2401</v>
      </c>
    </row>
    <row r="231" spans="1:42">
      <c r="A231" t="s">
        <v>942</v>
      </c>
      <c r="B231" t="s">
        <v>2377</v>
      </c>
      <c r="C231" t="s">
        <v>2390</v>
      </c>
      <c r="D231" t="s">
        <v>2379</v>
      </c>
      <c r="E231" t="s">
        <v>24</v>
      </c>
      <c r="F231" t="s">
        <v>2457</v>
      </c>
      <c r="G231" t="s">
        <v>24</v>
      </c>
      <c r="H231" t="b">
        <v>1</v>
      </c>
      <c r="I231" s="8">
        <v>45947.602546296293</v>
      </c>
      <c r="J231" t="s">
        <v>2380</v>
      </c>
      <c r="L231">
        <v>601809</v>
      </c>
      <c r="M231" t="s">
        <v>2381</v>
      </c>
      <c r="P231" t="s">
        <v>4156</v>
      </c>
      <c r="Q231" t="s">
        <v>2383</v>
      </c>
      <c r="R231">
        <v>1</v>
      </c>
      <c r="S231" t="s">
        <v>2380</v>
      </c>
      <c r="T231" t="s">
        <v>2383</v>
      </c>
      <c r="U231" s="8">
        <v>45944.678425925929</v>
      </c>
      <c r="V231" s="8">
        <v>45947.958333333336</v>
      </c>
      <c r="W231">
        <v>1</v>
      </c>
      <c r="X231">
        <v>2.9241203699999998</v>
      </c>
      <c r="Y231" t="s">
        <v>2403</v>
      </c>
      <c r="Z231" t="s">
        <v>4157</v>
      </c>
      <c r="AA231" t="s">
        <v>1557</v>
      </c>
      <c r="AB231" t="s">
        <v>1278</v>
      </c>
      <c r="AC231" t="s">
        <v>4158</v>
      </c>
      <c r="AD231" t="s">
        <v>2708</v>
      </c>
      <c r="AE231">
        <v>1</v>
      </c>
      <c r="AO231" t="s">
        <v>2408</v>
      </c>
      <c r="AP231" t="s">
        <v>2401</v>
      </c>
    </row>
    <row r="232" spans="1:42">
      <c r="A232" t="s">
        <v>1556</v>
      </c>
      <c r="B232" t="s">
        <v>2389</v>
      </c>
      <c r="C232" t="s">
        <v>2390</v>
      </c>
      <c r="D232" t="s">
        <v>2379</v>
      </c>
      <c r="E232" t="s">
        <v>2601</v>
      </c>
      <c r="F232" t="s">
        <v>2477</v>
      </c>
      <c r="G232" t="s">
        <v>2601</v>
      </c>
      <c r="H232" t="b">
        <v>1</v>
      </c>
      <c r="I232" s="8">
        <v>45947.389444444445</v>
      </c>
      <c r="J232" t="s">
        <v>2380</v>
      </c>
      <c r="K232">
        <v>1203046</v>
      </c>
      <c r="L232">
        <v>603022</v>
      </c>
      <c r="M232" t="s">
        <v>2381</v>
      </c>
      <c r="P232" t="s">
        <v>3087</v>
      </c>
      <c r="Q232" t="s">
        <v>2383</v>
      </c>
      <c r="R232">
        <v>1</v>
      </c>
      <c r="S232" t="s">
        <v>2380</v>
      </c>
      <c r="T232" t="s">
        <v>2383</v>
      </c>
      <c r="U232" s="8">
        <v>45944.68</v>
      </c>
      <c r="V232" s="8">
        <v>45947.958333333336</v>
      </c>
      <c r="W232">
        <v>1</v>
      </c>
      <c r="X232">
        <v>2.7094444439999998</v>
      </c>
      <c r="Y232" t="s">
        <v>2403</v>
      </c>
      <c r="Z232" t="s">
        <v>5288</v>
      </c>
      <c r="AA232" t="s">
        <v>1555</v>
      </c>
      <c r="AB232" t="s">
        <v>1278</v>
      </c>
      <c r="AC232" t="s">
        <v>5289</v>
      </c>
      <c r="AD232" t="s">
        <v>2708</v>
      </c>
      <c r="AE232">
        <v>1</v>
      </c>
      <c r="AO232" t="s">
        <v>2408</v>
      </c>
      <c r="AP232" t="s">
        <v>2401</v>
      </c>
    </row>
    <row r="233" spans="1:42">
      <c r="A233" t="s">
        <v>437</v>
      </c>
      <c r="B233" t="s">
        <v>2377</v>
      </c>
      <c r="C233" t="s">
        <v>2390</v>
      </c>
      <c r="D233" t="s">
        <v>2379</v>
      </c>
      <c r="E233" t="s">
        <v>25</v>
      </c>
      <c r="F233" t="s">
        <v>3445</v>
      </c>
      <c r="G233" t="s">
        <v>25</v>
      </c>
      <c r="H233" t="b">
        <v>1</v>
      </c>
      <c r="I233" s="8">
        <v>45946.692939814813</v>
      </c>
      <c r="J233" t="s">
        <v>2380</v>
      </c>
      <c r="L233">
        <v>603970</v>
      </c>
      <c r="M233" t="s">
        <v>2381</v>
      </c>
      <c r="N233">
        <v>5</v>
      </c>
      <c r="P233" t="s">
        <v>4125</v>
      </c>
      <c r="Q233" t="s">
        <v>2383</v>
      </c>
      <c r="R233">
        <v>1</v>
      </c>
      <c r="S233" t="s">
        <v>2380</v>
      </c>
      <c r="T233" t="s">
        <v>2383</v>
      </c>
      <c r="U233" s="8">
        <v>45944.685648148145</v>
      </c>
      <c r="V233" s="8">
        <v>45947.958333333336</v>
      </c>
      <c r="W233">
        <v>1</v>
      </c>
      <c r="X233">
        <v>2.0072916670000001</v>
      </c>
      <c r="Y233" t="s">
        <v>4126</v>
      </c>
      <c r="Z233" t="s">
        <v>7971</v>
      </c>
      <c r="AA233" t="s">
        <v>2306</v>
      </c>
      <c r="AB233" t="s">
        <v>1278</v>
      </c>
      <c r="AC233" t="s">
        <v>2746</v>
      </c>
      <c r="AD233" t="s">
        <v>2708</v>
      </c>
      <c r="AE233">
        <v>1</v>
      </c>
      <c r="AO233" t="s">
        <v>2957</v>
      </c>
      <c r="AP233" t="s">
        <v>2401</v>
      </c>
    </row>
    <row r="234" spans="1:42">
      <c r="A234" t="s">
        <v>1551</v>
      </c>
      <c r="B234" t="s">
        <v>2377</v>
      </c>
      <c r="C234" t="s">
        <v>2390</v>
      </c>
      <c r="D234" t="s">
        <v>2379</v>
      </c>
      <c r="E234" t="s">
        <v>24</v>
      </c>
      <c r="F234" t="s">
        <v>2417</v>
      </c>
      <c r="G234" t="s">
        <v>24</v>
      </c>
      <c r="H234" t="b">
        <v>1</v>
      </c>
      <c r="I234" s="8">
        <v>45947.649965277778</v>
      </c>
      <c r="J234" t="s">
        <v>2380</v>
      </c>
      <c r="L234">
        <v>602944</v>
      </c>
      <c r="M234" t="s">
        <v>2381</v>
      </c>
      <c r="P234" t="s">
        <v>2743</v>
      </c>
      <c r="Q234" t="s">
        <v>2383</v>
      </c>
      <c r="R234">
        <v>1</v>
      </c>
      <c r="S234" t="s">
        <v>2380</v>
      </c>
      <c r="T234" t="s">
        <v>2383</v>
      </c>
      <c r="U234" s="8">
        <v>45944.702499999999</v>
      </c>
      <c r="V234" s="8">
        <v>45947.958333333336</v>
      </c>
      <c r="W234">
        <v>1</v>
      </c>
      <c r="X234">
        <v>2.9474652780000001</v>
      </c>
      <c r="Y234" t="s">
        <v>2418</v>
      </c>
      <c r="Z234" t="s">
        <v>2744</v>
      </c>
      <c r="AA234" t="s">
        <v>2745</v>
      </c>
      <c r="AB234" t="s">
        <v>1278</v>
      </c>
      <c r="AC234" t="s">
        <v>2746</v>
      </c>
      <c r="AE234">
        <v>1</v>
      </c>
      <c r="AO234" t="s">
        <v>2408</v>
      </c>
      <c r="AP234" t="s">
        <v>2401</v>
      </c>
    </row>
    <row r="235" spans="1:42">
      <c r="A235" t="s">
        <v>1550</v>
      </c>
      <c r="B235" t="s">
        <v>2389</v>
      </c>
      <c r="C235" t="s">
        <v>2390</v>
      </c>
      <c r="D235" t="s">
        <v>2379</v>
      </c>
      <c r="E235" t="s">
        <v>2601</v>
      </c>
      <c r="F235" t="s">
        <v>4112</v>
      </c>
      <c r="G235" t="s">
        <v>2601</v>
      </c>
      <c r="H235" t="b">
        <v>1</v>
      </c>
      <c r="I235" s="8">
        <v>45947.631284722222</v>
      </c>
      <c r="J235" t="s">
        <v>2380</v>
      </c>
      <c r="K235">
        <v>1203283</v>
      </c>
      <c r="L235">
        <v>602331</v>
      </c>
      <c r="M235" t="s">
        <v>2381</v>
      </c>
      <c r="P235" t="s">
        <v>3896</v>
      </c>
      <c r="Q235" t="s">
        <v>2383</v>
      </c>
      <c r="R235">
        <v>1</v>
      </c>
      <c r="S235" t="s">
        <v>2380</v>
      </c>
      <c r="T235" t="s">
        <v>2383</v>
      </c>
      <c r="U235" s="8">
        <v>45944.709780092591</v>
      </c>
      <c r="V235" s="8">
        <v>45947.958333333336</v>
      </c>
      <c r="W235">
        <v>1</v>
      </c>
      <c r="X235">
        <v>2.9215046299999998</v>
      </c>
      <c r="Y235" t="s">
        <v>3901</v>
      </c>
      <c r="Z235" t="s">
        <v>4993</v>
      </c>
      <c r="AA235" t="s">
        <v>4994</v>
      </c>
      <c r="AB235" t="s">
        <v>1278</v>
      </c>
      <c r="AC235" t="s">
        <v>4995</v>
      </c>
      <c r="AD235" t="s">
        <v>2708</v>
      </c>
      <c r="AE235">
        <v>1</v>
      </c>
      <c r="AO235" t="s">
        <v>2715</v>
      </c>
      <c r="AP235" t="s">
        <v>2401</v>
      </c>
    </row>
    <row r="236" spans="1:42">
      <c r="A236" t="s">
        <v>1420</v>
      </c>
      <c r="B236" t="s">
        <v>2389</v>
      </c>
      <c r="C236" t="s">
        <v>2415</v>
      </c>
      <c r="D236" t="s">
        <v>2379</v>
      </c>
      <c r="E236" t="s">
        <v>2601</v>
      </c>
      <c r="F236" t="s">
        <v>2417</v>
      </c>
      <c r="G236" t="s">
        <v>2601</v>
      </c>
      <c r="H236" t="b">
        <v>1</v>
      </c>
      <c r="I236" s="8">
        <v>45946.464606481481</v>
      </c>
      <c r="J236" t="s">
        <v>2380</v>
      </c>
      <c r="K236">
        <v>1202716</v>
      </c>
      <c r="L236">
        <v>601397</v>
      </c>
      <c r="M236" t="s">
        <v>2381</v>
      </c>
      <c r="P236" t="s">
        <v>3101</v>
      </c>
      <c r="Q236" t="s">
        <v>2383</v>
      </c>
      <c r="R236">
        <v>1</v>
      </c>
      <c r="S236" t="s">
        <v>2380</v>
      </c>
      <c r="T236" t="s">
        <v>2383</v>
      </c>
      <c r="U236" s="8">
        <v>45944.717141203706</v>
      </c>
      <c r="V236" s="8">
        <v>45947.958333333336</v>
      </c>
      <c r="W236">
        <v>1</v>
      </c>
      <c r="X236">
        <v>1.747465278</v>
      </c>
      <c r="Y236" t="s">
        <v>2418</v>
      </c>
      <c r="Z236" t="s">
        <v>5604</v>
      </c>
      <c r="AA236" t="s">
        <v>1418</v>
      </c>
      <c r="AB236" t="s">
        <v>1278</v>
      </c>
      <c r="AC236" t="s">
        <v>5605</v>
      </c>
      <c r="AD236" t="s">
        <v>2708</v>
      </c>
      <c r="AE236">
        <v>1</v>
      </c>
      <c r="AO236" t="s">
        <v>2540</v>
      </c>
      <c r="AP236" t="s">
        <v>2401</v>
      </c>
    </row>
    <row r="237" spans="1:42">
      <c r="A237" t="s">
        <v>1549</v>
      </c>
      <c r="B237" t="s">
        <v>2377</v>
      </c>
      <c r="C237" t="s">
        <v>2390</v>
      </c>
      <c r="D237" t="s">
        <v>2379</v>
      </c>
      <c r="E237" t="s">
        <v>24</v>
      </c>
      <c r="F237">
        <v>4056</v>
      </c>
      <c r="G237" t="s">
        <v>24</v>
      </c>
      <c r="H237" t="b">
        <v>1</v>
      </c>
      <c r="I237" s="8">
        <v>45947.5778587963</v>
      </c>
      <c r="J237" t="s">
        <v>2380</v>
      </c>
      <c r="L237">
        <v>603296</v>
      </c>
      <c r="M237" t="s">
        <v>2381</v>
      </c>
      <c r="P237" t="s">
        <v>6566</v>
      </c>
      <c r="Q237" t="s">
        <v>2383</v>
      </c>
      <c r="R237">
        <v>1</v>
      </c>
      <c r="S237" t="s">
        <v>2380</v>
      </c>
      <c r="T237" t="s">
        <v>2383</v>
      </c>
      <c r="U237" s="8">
        <v>45944.721550925926</v>
      </c>
      <c r="V237" s="8">
        <v>45947.958333333336</v>
      </c>
      <c r="W237">
        <v>1</v>
      </c>
      <c r="X237">
        <v>2.8563078700000002</v>
      </c>
      <c r="Y237" t="s">
        <v>3379</v>
      </c>
      <c r="Z237" t="s">
        <v>6567</v>
      </c>
      <c r="AA237" t="s">
        <v>6568</v>
      </c>
      <c r="AB237" t="s">
        <v>1278</v>
      </c>
      <c r="AC237" t="s">
        <v>6569</v>
      </c>
      <c r="AD237" t="s">
        <v>2708</v>
      </c>
      <c r="AE237">
        <v>1</v>
      </c>
      <c r="AO237" t="s">
        <v>2388</v>
      </c>
      <c r="AP237" t="s">
        <v>2401</v>
      </c>
    </row>
    <row r="238" spans="1:42">
      <c r="A238" t="s">
        <v>1545</v>
      </c>
      <c r="B238" t="s">
        <v>2389</v>
      </c>
      <c r="C238" t="s">
        <v>2390</v>
      </c>
      <c r="D238" t="s">
        <v>2379</v>
      </c>
      <c r="E238" t="s">
        <v>307</v>
      </c>
      <c r="F238" t="s">
        <v>7576</v>
      </c>
      <c r="G238" t="s">
        <v>307</v>
      </c>
      <c r="H238" t="b">
        <v>1</v>
      </c>
      <c r="I238" s="8">
        <v>45947.394988425927</v>
      </c>
      <c r="J238" t="s">
        <v>2380</v>
      </c>
      <c r="K238">
        <v>1203050</v>
      </c>
      <c r="L238">
        <v>602665</v>
      </c>
      <c r="M238" t="s">
        <v>2381</v>
      </c>
      <c r="P238" t="s">
        <v>7577</v>
      </c>
      <c r="Q238" t="s">
        <v>2383</v>
      </c>
      <c r="R238">
        <v>1</v>
      </c>
      <c r="S238" t="s">
        <v>2380</v>
      </c>
      <c r="T238" t="s">
        <v>2383</v>
      </c>
      <c r="U238" s="8">
        <v>45945.359710648147</v>
      </c>
      <c r="V238" s="8">
        <v>45950.958333333336</v>
      </c>
      <c r="W238">
        <v>1</v>
      </c>
      <c r="X238">
        <v>2.0352777780000002</v>
      </c>
      <c r="Y238" t="s">
        <v>7578</v>
      </c>
      <c r="Z238" t="s">
        <v>7579</v>
      </c>
      <c r="AA238" t="s">
        <v>7580</v>
      </c>
      <c r="AB238" t="s">
        <v>1278</v>
      </c>
      <c r="AC238" t="s">
        <v>7581</v>
      </c>
      <c r="AD238" t="s">
        <v>2708</v>
      </c>
      <c r="AE238">
        <v>1</v>
      </c>
      <c r="AO238" t="s">
        <v>2957</v>
      </c>
      <c r="AP238" t="s">
        <v>2401</v>
      </c>
    </row>
    <row r="239" spans="1:42">
      <c r="A239" t="s">
        <v>1544</v>
      </c>
      <c r="B239" t="s">
        <v>2389</v>
      </c>
      <c r="C239" t="s">
        <v>2390</v>
      </c>
      <c r="D239" t="s">
        <v>2379</v>
      </c>
      <c r="E239" t="s">
        <v>33</v>
      </c>
      <c r="F239" t="s">
        <v>2588</v>
      </c>
      <c r="G239" t="s">
        <v>33</v>
      </c>
      <c r="H239" t="b">
        <v>1</v>
      </c>
      <c r="I239" s="8">
        <v>45949.594537037039</v>
      </c>
      <c r="J239" t="s">
        <v>2380</v>
      </c>
      <c r="K239">
        <v>1203422</v>
      </c>
      <c r="L239">
        <v>603757</v>
      </c>
      <c r="M239" t="s">
        <v>2381</v>
      </c>
      <c r="P239" t="s">
        <v>8955</v>
      </c>
      <c r="Q239" t="s">
        <v>2383</v>
      </c>
      <c r="R239">
        <v>1</v>
      </c>
      <c r="S239" t="s">
        <v>2380</v>
      </c>
      <c r="T239" t="s">
        <v>2383</v>
      </c>
      <c r="U239" s="8">
        <v>45945.362719907411</v>
      </c>
      <c r="V239" s="8">
        <v>45950.958333333336</v>
      </c>
      <c r="W239">
        <v>1</v>
      </c>
      <c r="X239">
        <v>2.23181713</v>
      </c>
      <c r="Y239" t="s">
        <v>2579</v>
      </c>
      <c r="Z239" t="s">
        <v>9841</v>
      </c>
      <c r="AA239" t="s">
        <v>9752</v>
      </c>
      <c r="AB239" t="s">
        <v>1278</v>
      </c>
      <c r="AC239" t="s">
        <v>9842</v>
      </c>
      <c r="AD239" t="s">
        <v>2708</v>
      </c>
      <c r="AE239">
        <v>1</v>
      </c>
      <c r="AO239" t="s">
        <v>3644</v>
      </c>
      <c r="AP239" t="s">
        <v>2401</v>
      </c>
    </row>
    <row r="240" spans="1:42">
      <c r="A240" t="s">
        <v>956</v>
      </c>
      <c r="B240" t="s">
        <v>2377</v>
      </c>
      <c r="C240" t="s">
        <v>2390</v>
      </c>
      <c r="D240" t="s">
        <v>2379</v>
      </c>
      <c r="E240" t="s">
        <v>18</v>
      </c>
      <c r="F240" t="s">
        <v>2402</v>
      </c>
      <c r="G240" t="s">
        <v>2416</v>
      </c>
      <c r="H240" t="b">
        <v>1</v>
      </c>
      <c r="I240" s="8">
        <v>45950.38040509259</v>
      </c>
      <c r="J240" t="s">
        <v>2380</v>
      </c>
      <c r="L240">
        <v>602471</v>
      </c>
      <c r="M240" t="s">
        <v>2381</v>
      </c>
      <c r="P240" t="s">
        <v>4117</v>
      </c>
      <c r="Q240" t="s">
        <v>2383</v>
      </c>
      <c r="R240">
        <v>1</v>
      </c>
      <c r="S240" t="s">
        <v>2380</v>
      </c>
      <c r="T240" t="s">
        <v>2383</v>
      </c>
      <c r="U240" s="8">
        <v>45945.40221064815</v>
      </c>
      <c r="V240" s="8">
        <v>45950.958333333336</v>
      </c>
      <c r="W240">
        <v>1</v>
      </c>
      <c r="X240">
        <v>2.9781944440000001</v>
      </c>
      <c r="Y240" t="s">
        <v>2403</v>
      </c>
      <c r="Z240" t="s">
        <v>8045</v>
      </c>
      <c r="AA240" t="s">
        <v>4120</v>
      </c>
      <c r="AB240" t="s">
        <v>1278</v>
      </c>
      <c r="AC240" t="s">
        <v>8046</v>
      </c>
      <c r="AD240" t="s">
        <v>2708</v>
      </c>
      <c r="AE240">
        <v>1</v>
      </c>
      <c r="AO240" t="s">
        <v>4121</v>
      </c>
      <c r="AP240" t="s">
        <v>2401</v>
      </c>
    </row>
    <row r="241" spans="1:42">
      <c r="A241" t="s">
        <v>1534</v>
      </c>
      <c r="B241" t="s">
        <v>2389</v>
      </c>
      <c r="C241" t="s">
        <v>2378</v>
      </c>
      <c r="D241" t="s">
        <v>2379</v>
      </c>
      <c r="E241" t="s">
        <v>307</v>
      </c>
      <c r="F241" t="s">
        <v>2578</v>
      </c>
      <c r="G241" t="s">
        <v>307</v>
      </c>
      <c r="H241" t="b">
        <v>1</v>
      </c>
      <c r="I241" s="8">
        <v>45948.535011574073</v>
      </c>
      <c r="J241" t="s">
        <v>2380</v>
      </c>
      <c r="K241">
        <v>1203406</v>
      </c>
      <c r="L241">
        <v>603066</v>
      </c>
      <c r="M241" t="s">
        <v>2381</v>
      </c>
      <c r="P241" t="s">
        <v>6790</v>
      </c>
      <c r="Q241" t="s">
        <v>2383</v>
      </c>
      <c r="R241">
        <v>1</v>
      </c>
      <c r="S241" t="s">
        <v>2380</v>
      </c>
      <c r="T241" t="s">
        <v>2383</v>
      </c>
      <c r="U241" s="8">
        <v>45945.402824074074</v>
      </c>
      <c r="V241" s="8">
        <v>45950.958333333336</v>
      </c>
      <c r="W241">
        <v>1</v>
      </c>
      <c r="X241">
        <v>3.1321875000000001</v>
      </c>
      <c r="Y241" t="s">
        <v>2579</v>
      </c>
      <c r="Z241" t="s">
        <v>6791</v>
      </c>
      <c r="AA241" t="s">
        <v>6792</v>
      </c>
      <c r="AB241" t="s">
        <v>1278</v>
      </c>
      <c r="AC241" t="s">
        <v>6793</v>
      </c>
      <c r="AD241" t="s">
        <v>2708</v>
      </c>
      <c r="AE241">
        <v>1</v>
      </c>
      <c r="AO241" t="s">
        <v>2388</v>
      </c>
      <c r="AP241" t="s">
        <v>2401</v>
      </c>
    </row>
    <row r="242" spans="1:42">
      <c r="A242" t="s">
        <v>93</v>
      </c>
      <c r="B242" t="s">
        <v>2377</v>
      </c>
      <c r="C242" t="s">
        <v>2390</v>
      </c>
      <c r="D242" t="s">
        <v>2379</v>
      </c>
      <c r="E242" t="s">
        <v>18</v>
      </c>
      <c r="F242" t="s">
        <v>2417</v>
      </c>
      <c r="G242" t="s">
        <v>2416</v>
      </c>
      <c r="H242" t="b">
        <v>1</v>
      </c>
      <c r="I242" s="8">
        <v>45950.393240740741</v>
      </c>
      <c r="J242" t="s">
        <v>2380</v>
      </c>
      <c r="L242">
        <v>603026</v>
      </c>
      <c r="M242" t="s">
        <v>2381</v>
      </c>
      <c r="P242" t="s">
        <v>3597</v>
      </c>
      <c r="Q242" t="s">
        <v>2383</v>
      </c>
      <c r="R242">
        <v>1</v>
      </c>
      <c r="S242" t="s">
        <v>2380</v>
      </c>
      <c r="T242" t="s">
        <v>2383</v>
      </c>
      <c r="U242" s="8">
        <v>45945.407754629632</v>
      </c>
      <c r="V242" s="8">
        <v>45950.958333333336</v>
      </c>
      <c r="W242">
        <v>1</v>
      </c>
      <c r="X242">
        <v>2.9854861110000002</v>
      </c>
      <c r="Y242" t="s">
        <v>2418</v>
      </c>
      <c r="Z242" t="s">
        <v>9605</v>
      </c>
      <c r="AA242" t="s">
        <v>1533</v>
      </c>
      <c r="AB242" t="s">
        <v>1278</v>
      </c>
      <c r="AC242" t="s">
        <v>9606</v>
      </c>
      <c r="AD242" t="s">
        <v>2708</v>
      </c>
      <c r="AE242">
        <v>1</v>
      </c>
      <c r="AO242" t="s">
        <v>3586</v>
      </c>
      <c r="AP242" t="s">
        <v>2401</v>
      </c>
    </row>
    <row r="243" spans="1:42">
      <c r="A243" t="s">
        <v>671</v>
      </c>
      <c r="B243" t="s">
        <v>2377</v>
      </c>
      <c r="C243" t="s">
        <v>2390</v>
      </c>
      <c r="D243" t="s">
        <v>2379</v>
      </c>
      <c r="E243" t="s">
        <v>18</v>
      </c>
      <c r="F243" t="s">
        <v>2578</v>
      </c>
      <c r="G243" t="s">
        <v>2416</v>
      </c>
      <c r="H243" t="b">
        <v>1</v>
      </c>
      <c r="I243" s="8">
        <v>45947.699212962965</v>
      </c>
      <c r="J243" t="s">
        <v>2380</v>
      </c>
      <c r="L243">
        <v>603471</v>
      </c>
      <c r="M243" t="s">
        <v>2381</v>
      </c>
      <c r="P243" t="s">
        <v>6611</v>
      </c>
      <c r="Q243" t="s">
        <v>2383</v>
      </c>
      <c r="R243">
        <v>1</v>
      </c>
      <c r="S243" t="s">
        <v>2380</v>
      </c>
      <c r="T243" t="s">
        <v>2383</v>
      </c>
      <c r="U243" s="8">
        <v>45945.434791666667</v>
      </c>
      <c r="V243" s="8">
        <v>45950.958333333336</v>
      </c>
      <c r="W243">
        <v>1</v>
      </c>
      <c r="X243">
        <v>2.2644212960000001</v>
      </c>
      <c r="Y243" t="s">
        <v>2579</v>
      </c>
      <c r="Z243" t="s">
        <v>6612</v>
      </c>
      <c r="AA243" t="s">
        <v>1527</v>
      </c>
      <c r="AB243" t="s">
        <v>1278</v>
      </c>
      <c r="AC243" t="s">
        <v>6613</v>
      </c>
      <c r="AD243" t="s">
        <v>2708</v>
      </c>
      <c r="AE243">
        <v>1</v>
      </c>
      <c r="AO243" t="s">
        <v>2388</v>
      </c>
      <c r="AP243" t="s">
        <v>2401</v>
      </c>
    </row>
    <row r="244" spans="1:42">
      <c r="A244" t="s">
        <v>1524</v>
      </c>
      <c r="B244" t="s">
        <v>2389</v>
      </c>
      <c r="C244" t="s">
        <v>2390</v>
      </c>
      <c r="D244" t="s">
        <v>2379</v>
      </c>
      <c r="E244" t="s">
        <v>25</v>
      </c>
      <c r="F244" t="s">
        <v>2402</v>
      </c>
      <c r="G244" t="s">
        <v>25</v>
      </c>
      <c r="H244" t="b">
        <v>1</v>
      </c>
      <c r="I244" s="8">
        <v>45950.427407407406</v>
      </c>
      <c r="J244" t="s">
        <v>2380</v>
      </c>
      <c r="L244">
        <v>609880</v>
      </c>
      <c r="M244" t="s">
        <v>2381</v>
      </c>
      <c r="P244" t="s">
        <v>2795</v>
      </c>
      <c r="Q244" t="s">
        <v>2383</v>
      </c>
      <c r="R244">
        <v>1</v>
      </c>
      <c r="S244" t="s">
        <v>2380</v>
      </c>
      <c r="T244" t="s">
        <v>2383</v>
      </c>
      <c r="U244" s="8">
        <v>45945.436273148145</v>
      </c>
      <c r="V244" s="8">
        <v>45950.958333333336</v>
      </c>
      <c r="W244">
        <v>1</v>
      </c>
      <c r="X244">
        <v>2.9911342589999999</v>
      </c>
      <c r="Y244" t="s">
        <v>2403</v>
      </c>
      <c r="Z244" t="s">
        <v>2796</v>
      </c>
      <c r="AA244" t="s">
        <v>1523</v>
      </c>
      <c r="AB244" t="s">
        <v>1278</v>
      </c>
      <c r="AC244" t="s">
        <v>2797</v>
      </c>
      <c r="AE244">
        <v>1</v>
      </c>
      <c r="AO244" t="s">
        <v>2408</v>
      </c>
      <c r="AP244" t="s">
        <v>2401</v>
      </c>
    </row>
    <row r="245" spans="1:42">
      <c r="A245" t="s">
        <v>1507</v>
      </c>
      <c r="B245" t="s">
        <v>2389</v>
      </c>
      <c r="C245" t="s">
        <v>2415</v>
      </c>
      <c r="D245" t="s">
        <v>2379</v>
      </c>
      <c r="E245" t="s">
        <v>307</v>
      </c>
      <c r="F245" t="s">
        <v>2402</v>
      </c>
      <c r="G245" t="s">
        <v>307</v>
      </c>
      <c r="H245" t="b">
        <v>1</v>
      </c>
      <c r="I245" s="8">
        <v>45947.417650462965</v>
      </c>
      <c r="J245" t="s">
        <v>2380</v>
      </c>
      <c r="K245">
        <v>1203053</v>
      </c>
      <c r="L245">
        <v>604414</v>
      </c>
      <c r="M245" t="s">
        <v>2381</v>
      </c>
      <c r="P245" t="s">
        <v>2486</v>
      </c>
      <c r="Q245" t="s">
        <v>2395</v>
      </c>
      <c r="R245">
        <v>1</v>
      </c>
      <c r="S245" t="s">
        <v>2380</v>
      </c>
      <c r="T245" t="s">
        <v>2383</v>
      </c>
      <c r="U245" s="8">
        <v>45945.457673611112</v>
      </c>
      <c r="V245" s="8">
        <v>45950.958333333336</v>
      </c>
      <c r="W245">
        <v>1</v>
      </c>
      <c r="X245">
        <v>1.959976852</v>
      </c>
      <c r="Y245" t="s">
        <v>2403</v>
      </c>
      <c r="Z245" t="s">
        <v>8201</v>
      </c>
      <c r="AA245" t="s">
        <v>8202</v>
      </c>
      <c r="AB245" t="s">
        <v>1278</v>
      </c>
      <c r="AC245" t="s">
        <v>8203</v>
      </c>
      <c r="AD245" t="s">
        <v>2708</v>
      </c>
      <c r="AE245">
        <v>1</v>
      </c>
      <c r="AO245" t="s">
        <v>4137</v>
      </c>
      <c r="AP245" t="s">
        <v>2401</v>
      </c>
    </row>
    <row r="246" spans="1:42">
      <c r="A246" t="s">
        <v>1506</v>
      </c>
      <c r="B246" t="s">
        <v>2389</v>
      </c>
      <c r="C246" t="s">
        <v>2390</v>
      </c>
      <c r="D246" t="s">
        <v>2379</v>
      </c>
      <c r="E246" t="s">
        <v>2601</v>
      </c>
      <c r="F246" t="s">
        <v>2578</v>
      </c>
      <c r="G246" t="s">
        <v>2601</v>
      </c>
      <c r="H246" t="b">
        <v>1</v>
      </c>
      <c r="I246" s="8">
        <v>45947.578182870369</v>
      </c>
      <c r="J246" t="s">
        <v>2380</v>
      </c>
      <c r="K246">
        <v>1203208</v>
      </c>
      <c r="L246">
        <v>601196</v>
      </c>
      <c r="M246" t="s">
        <v>2381</v>
      </c>
      <c r="P246" t="s">
        <v>6834</v>
      </c>
      <c r="Q246" t="s">
        <v>2383</v>
      </c>
      <c r="R246">
        <v>1</v>
      </c>
      <c r="S246" t="s">
        <v>2380</v>
      </c>
      <c r="T246" t="s">
        <v>2383</v>
      </c>
      <c r="U246" s="8">
        <v>45945.45957175926</v>
      </c>
      <c r="V246" s="8">
        <v>45950.958333333336</v>
      </c>
      <c r="W246">
        <v>1</v>
      </c>
      <c r="X246">
        <v>2.1186111109999999</v>
      </c>
      <c r="Y246" t="s">
        <v>2579</v>
      </c>
      <c r="Z246" t="s">
        <v>6835</v>
      </c>
      <c r="AA246" t="s">
        <v>6836</v>
      </c>
      <c r="AB246" t="s">
        <v>1278</v>
      </c>
      <c r="AC246" t="s">
        <v>6837</v>
      </c>
      <c r="AD246" t="s">
        <v>2708</v>
      </c>
      <c r="AE246">
        <v>1</v>
      </c>
      <c r="AO246" t="s">
        <v>2388</v>
      </c>
      <c r="AP246" t="s">
        <v>2401</v>
      </c>
    </row>
    <row r="247" spans="1:42">
      <c r="A247" t="s">
        <v>732</v>
      </c>
      <c r="B247" t="s">
        <v>2377</v>
      </c>
      <c r="C247" t="s">
        <v>2378</v>
      </c>
      <c r="D247" t="s">
        <v>2379</v>
      </c>
      <c r="E247" t="s">
        <v>24</v>
      </c>
      <c r="F247" t="s">
        <v>3891</v>
      </c>
      <c r="G247" t="s">
        <v>24</v>
      </c>
      <c r="H247" t="b">
        <v>1</v>
      </c>
      <c r="I247" s="8">
        <v>45948.510891203703</v>
      </c>
      <c r="J247" t="s">
        <v>2380</v>
      </c>
      <c r="L247">
        <v>603098</v>
      </c>
      <c r="M247" t="s">
        <v>2381</v>
      </c>
      <c r="P247" t="s">
        <v>3896</v>
      </c>
      <c r="Q247" t="s">
        <v>2383</v>
      </c>
      <c r="R247">
        <v>1</v>
      </c>
      <c r="S247" t="s">
        <v>2380</v>
      </c>
      <c r="T247" t="s">
        <v>2383</v>
      </c>
      <c r="U247" s="8">
        <v>45945.466874999998</v>
      </c>
      <c r="V247" s="8">
        <v>45950.958333333336</v>
      </c>
      <c r="W247">
        <v>1</v>
      </c>
      <c r="X247">
        <v>3.0440162040000001</v>
      </c>
      <c r="Y247" t="s">
        <v>3892</v>
      </c>
      <c r="Z247" t="s">
        <v>4909</v>
      </c>
      <c r="AA247" t="s">
        <v>4910</v>
      </c>
      <c r="AB247" t="s">
        <v>1278</v>
      </c>
      <c r="AC247" t="s">
        <v>4911</v>
      </c>
      <c r="AD247" t="s">
        <v>2708</v>
      </c>
      <c r="AE247">
        <v>1</v>
      </c>
      <c r="AO247" t="s">
        <v>2715</v>
      </c>
      <c r="AP247" t="s">
        <v>2401</v>
      </c>
    </row>
    <row r="248" spans="1:42">
      <c r="A248" t="s">
        <v>842</v>
      </c>
      <c r="B248" t="s">
        <v>2377</v>
      </c>
      <c r="C248" t="s">
        <v>2378</v>
      </c>
      <c r="D248" t="s">
        <v>2379</v>
      </c>
      <c r="E248" t="s">
        <v>24</v>
      </c>
      <c r="F248" t="s">
        <v>3440</v>
      </c>
      <c r="G248" t="s">
        <v>24</v>
      </c>
      <c r="H248" t="b">
        <v>1</v>
      </c>
      <c r="I248" s="8">
        <v>45948.53833333333</v>
      </c>
      <c r="J248" t="s">
        <v>2380</v>
      </c>
      <c r="L248">
        <v>609848</v>
      </c>
      <c r="M248" t="s">
        <v>2381</v>
      </c>
      <c r="P248" t="s">
        <v>2704</v>
      </c>
      <c r="Q248" t="s">
        <v>2383</v>
      </c>
      <c r="R248">
        <v>1</v>
      </c>
      <c r="S248" t="s">
        <v>2380</v>
      </c>
      <c r="T248" t="s">
        <v>2383</v>
      </c>
      <c r="U248" s="8">
        <v>45945.469270833331</v>
      </c>
      <c r="V248" s="8">
        <v>45950.958333333336</v>
      </c>
      <c r="W248">
        <v>1</v>
      </c>
      <c r="X248">
        <v>3.0690624999999998</v>
      </c>
      <c r="Y248" t="s">
        <v>3441</v>
      </c>
      <c r="Z248" t="s">
        <v>7409</v>
      </c>
      <c r="AA248" t="s">
        <v>3444</v>
      </c>
      <c r="AB248" t="s">
        <v>1278</v>
      </c>
      <c r="AC248" t="s">
        <v>2387</v>
      </c>
      <c r="AD248" t="s">
        <v>2708</v>
      </c>
      <c r="AE248">
        <v>1</v>
      </c>
      <c r="AO248" t="s">
        <v>2957</v>
      </c>
      <c r="AP248" t="s">
        <v>2401</v>
      </c>
    </row>
    <row r="249" spans="1:42">
      <c r="A249" t="s">
        <v>427</v>
      </c>
      <c r="B249" t="s">
        <v>2377</v>
      </c>
      <c r="C249" t="s">
        <v>2438</v>
      </c>
      <c r="D249" t="s">
        <v>2379</v>
      </c>
      <c r="E249" t="s">
        <v>25</v>
      </c>
      <c r="F249" t="s">
        <v>2402</v>
      </c>
      <c r="G249" t="s">
        <v>25</v>
      </c>
      <c r="H249" t="b">
        <v>1</v>
      </c>
      <c r="I249" s="8">
        <v>45945.513738425929</v>
      </c>
      <c r="J249" t="s">
        <v>2380</v>
      </c>
      <c r="L249">
        <v>605252</v>
      </c>
      <c r="M249" t="s">
        <v>2381</v>
      </c>
      <c r="P249" t="s">
        <v>2704</v>
      </c>
      <c r="Q249" t="s">
        <v>2383</v>
      </c>
      <c r="R249">
        <v>1</v>
      </c>
      <c r="S249" t="s">
        <v>2380</v>
      </c>
      <c r="T249" t="s">
        <v>2383</v>
      </c>
      <c r="U249" s="8">
        <v>45945.477905092594</v>
      </c>
      <c r="V249" s="8">
        <v>45950.958333333336</v>
      </c>
      <c r="W249">
        <v>1</v>
      </c>
      <c r="X249">
        <v>3.5833333000000002E-2</v>
      </c>
      <c r="Y249" t="s">
        <v>2403</v>
      </c>
      <c r="Z249" t="s">
        <v>4171</v>
      </c>
      <c r="AA249" t="s">
        <v>1291</v>
      </c>
      <c r="AB249" t="s">
        <v>1278</v>
      </c>
      <c r="AC249" t="s">
        <v>2387</v>
      </c>
      <c r="AD249" t="s">
        <v>2708</v>
      </c>
      <c r="AE249">
        <v>1</v>
      </c>
      <c r="AO249" t="s">
        <v>2408</v>
      </c>
      <c r="AP249" t="s">
        <v>2401</v>
      </c>
    </row>
    <row r="250" spans="1:42">
      <c r="A250" t="s">
        <v>1504</v>
      </c>
      <c r="B250" t="s">
        <v>2389</v>
      </c>
      <c r="C250" t="s">
        <v>2390</v>
      </c>
      <c r="D250" t="s">
        <v>2379</v>
      </c>
      <c r="E250" t="s">
        <v>24</v>
      </c>
      <c r="F250" t="s">
        <v>2588</v>
      </c>
      <c r="G250" t="s">
        <v>24</v>
      </c>
      <c r="H250" t="b">
        <v>1</v>
      </c>
      <c r="I250" s="8">
        <v>45947.593946759262</v>
      </c>
      <c r="J250" t="s">
        <v>2380</v>
      </c>
      <c r="L250">
        <v>606870</v>
      </c>
      <c r="M250" t="s">
        <v>2381</v>
      </c>
      <c r="P250" t="s">
        <v>3267</v>
      </c>
      <c r="Q250" t="s">
        <v>2383</v>
      </c>
      <c r="R250">
        <v>1</v>
      </c>
      <c r="S250" t="s">
        <v>2380</v>
      </c>
      <c r="T250" t="s">
        <v>2383</v>
      </c>
      <c r="U250" s="8">
        <v>45945.478217592594</v>
      </c>
      <c r="V250" s="8">
        <v>45950.958333333336</v>
      </c>
      <c r="W250">
        <v>1</v>
      </c>
      <c r="X250">
        <v>2.115729167</v>
      </c>
      <c r="Y250" t="s">
        <v>2579</v>
      </c>
      <c r="Z250" t="s">
        <v>3268</v>
      </c>
      <c r="AA250" t="s">
        <v>3269</v>
      </c>
      <c r="AB250" t="s">
        <v>1278</v>
      </c>
      <c r="AC250" t="s">
        <v>2437</v>
      </c>
      <c r="AE250">
        <v>1</v>
      </c>
      <c r="AO250" t="s">
        <v>2388</v>
      </c>
      <c r="AP250" t="s">
        <v>2401</v>
      </c>
    </row>
    <row r="251" spans="1:42">
      <c r="A251" t="s">
        <v>1503</v>
      </c>
      <c r="B251" t="s">
        <v>2389</v>
      </c>
      <c r="C251" t="s">
        <v>2390</v>
      </c>
      <c r="D251" t="s">
        <v>2379</v>
      </c>
      <c r="E251" t="s">
        <v>25</v>
      </c>
      <c r="F251" t="s">
        <v>2588</v>
      </c>
      <c r="G251" t="s">
        <v>25</v>
      </c>
      <c r="H251" t="b">
        <v>1</v>
      </c>
      <c r="I251" s="8">
        <v>45950.422893518517</v>
      </c>
      <c r="J251" t="s">
        <v>2380</v>
      </c>
      <c r="K251">
        <v>1203514</v>
      </c>
      <c r="L251">
        <v>606870</v>
      </c>
      <c r="M251" t="s">
        <v>2381</v>
      </c>
      <c r="N251">
        <v>5</v>
      </c>
      <c r="P251" t="s">
        <v>3267</v>
      </c>
      <c r="Q251" t="s">
        <v>2383</v>
      </c>
      <c r="R251">
        <v>1</v>
      </c>
      <c r="S251" t="s">
        <v>2380</v>
      </c>
      <c r="T251" t="s">
        <v>2383</v>
      </c>
      <c r="U251" s="8">
        <v>45945.479502314818</v>
      </c>
      <c r="V251" s="8">
        <v>45950.958333333336</v>
      </c>
      <c r="W251">
        <v>1</v>
      </c>
      <c r="X251">
        <v>2.9433912040000001</v>
      </c>
      <c r="Y251" t="s">
        <v>2579</v>
      </c>
      <c r="Z251" t="s">
        <v>7383</v>
      </c>
      <c r="AA251" t="s">
        <v>3269</v>
      </c>
      <c r="AB251" t="s">
        <v>1278</v>
      </c>
      <c r="AC251" t="s">
        <v>7384</v>
      </c>
      <c r="AD251" t="s">
        <v>2708</v>
      </c>
      <c r="AE251">
        <v>1</v>
      </c>
      <c r="AO251" t="s">
        <v>2388</v>
      </c>
      <c r="AP251" t="s">
        <v>2401</v>
      </c>
    </row>
    <row r="252" spans="1:42">
      <c r="A252" t="s">
        <v>1092</v>
      </c>
      <c r="B252" t="s">
        <v>2377</v>
      </c>
      <c r="C252" t="s">
        <v>2438</v>
      </c>
      <c r="D252" t="s">
        <v>2379</v>
      </c>
      <c r="E252" t="s">
        <v>25</v>
      </c>
      <c r="F252" t="s">
        <v>3261</v>
      </c>
      <c r="G252" t="s">
        <v>25</v>
      </c>
      <c r="H252" t="b">
        <v>1</v>
      </c>
      <c r="I252" s="8">
        <v>45945.573969907404</v>
      </c>
      <c r="J252" t="s">
        <v>2380</v>
      </c>
      <c r="L252">
        <v>603583</v>
      </c>
      <c r="M252" t="s">
        <v>2381</v>
      </c>
      <c r="N252">
        <v>35</v>
      </c>
      <c r="P252" t="s">
        <v>2704</v>
      </c>
      <c r="Q252" t="s">
        <v>2383</v>
      </c>
      <c r="R252">
        <v>1</v>
      </c>
      <c r="S252" t="s">
        <v>2380</v>
      </c>
      <c r="T252" t="s">
        <v>2383</v>
      </c>
      <c r="U252" s="8">
        <v>45945.480324074073</v>
      </c>
      <c r="V252" s="8">
        <v>45950.958333333336</v>
      </c>
      <c r="W252">
        <v>1</v>
      </c>
      <c r="X252">
        <v>9.3645832999999998E-2</v>
      </c>
      <c r="Y252" t="s">
        <v>3262</v>
      </c>
      <c r="Z252" t="s">
        <v>7967</v>
      </c>
      <c r="AA252" t="s">
        <v>7968</v>
      </c>
      <c r="AB252" t="s">
        <v>1278</v>
      </c>
      <c r="AC252" t="s">
        <v>2387</v>
      </c>
      <c r="AD252" t="s">
        <v>2708</v>
      </c>
      <c r="AE252">
        <v>1</v>
      </c>
      <c r="AO252" t="s">
        <v>2957</v>
      </c>
      <c r="AP252" t="s">
        <v>2401</v>
      </c>
    </row>
    <row r="253" spans="1:42">
      <c r="A253" t="s">
        <v>1502</v>
      </c>
      <c r="B253" t="s">
        <v>2389</v>
      </c>
      <c r="C253" t="s">
        <v>2415</v>
      </c>
      <c r="D253" t="s">
        <v>2379</v>
      </c>
      <c r="E253" t="s">
        <v>2601</v>
      </c>
      <c r="F253" t="s">
        <v>2417</v>
      </c>
      <c r="G253" t="s">
        <v>2601</v>
      </c>
      <c r="H253" t="b">
        <v>1</v>
      </c>
      <c r="I253" s="8">
        <v>45947.39576388889</v>
      </c>
      <c r="J253" t="s">
        <v>2380</v>
      </c>
      <c r="K253">
        <v>1203049</v>
      </c>
      <c r="L253">
        <v>601397</v>
      </c>
      <c r="M253" t="s">
        <v>2381</v>
      </c>
      <c r="P253" t="s">
        <v>3101</v>
      </c>
      <c r="Q253" t="s">
        <v>2383</v>
      </c>
      <c r="R253">
        <v>1</v>
      </c>
      <c r="S253" t="s">
        <v>2380</v>
      </c>
      <c r="T253" t="s">
        <v>2383</v>
      </c>
      <c r="U253" s="8">
        <v>45945.481192129628</v>
      </c>
      <c r="V253" s="8">
        <v>45950.958333333336</v>
      </c>
      <c r="W253">
        <v>1</v>
      </c>
      <c r="X253">
        <v>1.914571759</v>
      </c>
      <c r="Y253" t="s">
        <v>2418</v>
      </c>
      <c r="Z253" t="s">
        <v>5606</v>
      </c>
      <c r="AA253" t="s">
        <v>1418</v>
      </c>
      <c r="AB253" t="s">
        <v>1278</v>
      </c>
      <c r="AC253" t="s">
        <v>5602</v>
      </c>
      <c r="AD253" t="s">
        <v>2708</v>
      </c>
      <c r="AE253">
        <v>1</v>
      </c>
      <c r="AO253" t="s">
        <v>2540</v>
      </c>
      <c r="AP253" t="s">
        <v>2401</v>
      </c>
    </row>
    <row r="254" spans="1:42">
      <c r="A254" t="s">
        <v>452</v>
      </c>
      <c r="B254" t="s">
        <v>2377</v>
      </c>
      <c r="C254" t="s">
        <v>2390</v>
      </c>
      <c r="D254" t="s">
        <v>2379</v>
      </c>
      <c r="E254" t="s">
        <v>24</v>
      </c>
      <c r="F254" t="s">
        <v>2588</v>
      </c>
      <c r="G254" t="s">
        <v>24</v>
      </c>
      <c r="H254" t="b">
        <v>1</v>
      </c>
      <c r="I254" s="8">
        <v>45948.410266203704</v>
      </c>
      <c r="J254" t="s">
        <v>2380</v>
      </c>
      <c r="L254">
        <v>603959</v>
      </c>
      <c r="M254" t="s">
        <v>2381</v>
      </c>
      <c r="P254" t="s">
        <v>2589</v>
      </c>
      <c r="Q254" t="s">
        <v>2383</v>
      </c>
      <c r="R254">
        <v>1</v>
      </c>
      <c r="S254" t="s">
        <v>2380</v>
      </c>
      <c r="T254" t="s">
        <v>2383</v>
      </c>
      <c r="U254" s="8">
        <v>45945.483206018522</v>
      </c>
      <c r="V254" s="8">
        <v>45950.958333333336</v>
      </c>
      <c r="W254">
        <v>1</v>
      </c>
      <c r="X254">
        <v>2.9270601850000002</v>
      </c>
      <c r="Y254" t="s">
        <v>2579</v>
      </c>
      <c r="Z254" t="s">
        <v>6553</v>
      </c>
      <c r="AA254" t="s">
        <v>2592</v>
      </c>
      <c r="AB254" t="s">
        <v>1278</v>
      </c>
      <c r="AC254" t="s">
        <v>2387</v>
      </c>
      <c r="AD254" t="s">
        <v>2708</v>
      </c>
      <c r="AE254">
        <v>1</v>
      </c>
      <c r="AO254" t="s">
        <v>2388</v>
      </c>
      <c r="AP254" t="s">
        <v>2401</v>
      </c>
    </row>
    <row r="255" spans="1:42">
      <c r="A255" t="s">
        <v>1501</v>
      </c>
      <c r="B255" t="s">
        <v>2377</v>
      </c>
      <c r="C255" t="s">
        <v>2390</v>
      </c>
      <c r="D255" t="s">
        <v>2379</v>
      </c>
      <c r="E255" t="s">
        <v>24</v>
      </c>
      <c r="F255" t="s">
        <v>2588</v>
      </c>
      <c r="G255" t="s">
        <v>24</v>
      </c>
      <c r="H255" t="b">
        <v>1</v>
      </c>
      <c r="I255" s="8">
        <v>45948.408437500002</v>
      </c>
      <c r="J255" t="s">
        <v>2380</v>
      </c>
      <c r="L255">
        <v>603959</v>
      </c>
      <c r="M255" t="s">
        <v>2381</v>
      </c>
      <c r="P255" t="s">
        <v>2589</v>
      </c>
      <c r="Q255" t="s">
        <v>2383</v>
      </c>
      <c r="R255">
        <v>1</v>
      </c>
      <c r="S255" t="s">
        <v>2380</v>
      </c>
      <c r="T255" t="s">
        <v>2383</v>
      </c>
      <c r="U255" s="8">
        <v>45945.4846875</v>
      </c>
      <c r="V255" s="8">
        <v>45950.958333333336</v>
      </c>
      <c r="W255">
        <v>1</v>
      </c>
      <c r="X255">
        <v>2.9237500000000001</v>
      </c>
      <c r="Y255" t="s">
        <v>2579</v>
      </c>
      <c r="Z255" t="s">
        <v>3192</v>
      </c>
      <c r="AA255" t="s">
        <v>2592</v>
      </c>
      <c r="AB255" t="s">
        <v>1278</v>
      </c>
      <c r="AC255" t="s">
        <v>2387</v>
      </c>
      <c r="AE255">
        <v>1</v>
      </c>
      <c r="AO255" t="s">
        <v>2388</v>
      </c>
      <c r="AP255" t="s">
        <v>2401</v>
      </c>
    </row>
    <row r="256" spans="1:42">
      <c r="A256" t="s">
        <v>952</v>
      </c>
      <c r="B256" t="s">
        <v>2377</v>
      </c>
      <c r="C256" t="s">
        <v>2390</v>
      </c>
      <c r="D256" t="s">
        <v>2379</v>
      </c>
      <c r="E256" t="s">
        <v>24</v>
      </c>
      <c r="F256" t="s">
        <v>2578</v>
      </c>
      <c r="G256" t="s">
        <v>24</v>
      </c>
      <c r="H256" t="b">
        <v>1</v>
      </c>
      <c r="I256" s="8">
        <v>45948.443854166668</v>
      </c>
      <c r="J256" t="s">
        <v>2380</v>
      </c>
      <c r="L256">
        <v>602008</v>
      </c>
      <c r="M256" t="s">
        <v>2381</v>
      </c>
      <c r="P256" t="s">
        <v>7428</v>
      </c>
      <c r="Q256" t="s">
        <v>2383</v>
      </c>
      <c r="R256">
        <v>1</v>
      </c>
      <c r="S256" t="s">
        <v>2380</v>
      </c>
      <c r="T256" t="s">
        <v>2383</v>
      </c>
      <c r="U256" s="8">
        <v>45945.485856481479</v>
      </c>
      <c r="V256" s="8">
        <v>45950.958333333336</v>
      </c>
      <c r="W256">
        <v>1</v>
      </c>
      <c r="X256">
        <v>2.957997685</v>
      </c>
      <c r="Y256" t="s">
        <v>2579</v>
      </c>
      <c r="Z256" t="s">
        <v>7429</v>
      </c>
      <c r="AA256" t="s">
        <v>7430</v>
      </c>
      <c r="AB256" t="s">
        <v>1278</v>
      </c>
      <c r="AC256" t="s">
        <v>7431</v>
      </c>
      <c r="AD256" t="s">
        <v>2708</v>
      </c>
      <c r="AE256">
        <v>1</v>
      </c>
      <c r="AO256" t="s">
        <v>2957</v>
      </c>
      <c r="AP256" t="s">
        <v>2401</v>
      </c>
    </row>
    <row r="257" spans="1:42">
      <c r="A257" t="s">
        <v>139</v>
      </c>
      <c r="B257" t="s">
        <v>2377</v>
      </c>
      <c r="C257" t="s">
        <v>2447</v>
      </c>
      <c r="D257" t="s">
        <v>2379</v>
      </c>
      <c r="E257" t="s">
        <v>18</v>
      </c>
      <c r="F257" t="s">
        <v>3539</v>
      </c>
      <c r="G257" t="s">
        <v>2416</v>
      </c>
      <c r="H257" t="b">
        <v>1</v>
      </c>
      <c r="I257" s="8">
        <v>45952.429166666669</v>
      </c>
      <c r="J257" t="s">
        <v>2380</v>
      </c>
      <c r="L257">
        <v>603566</v>
      </c>
      <c r="M257" t="s">
        <v>2381</v>
      </c>
      <c r="P257" t="s">
        <v>2704</v>
      </c>
      <c r="Q257" t="s">
        <v>2383</v>
      </c>
      <c r="R257">
        <v>1</v>
      </c>
      <c r="S257" t="s">
        <v>2380</v>
      </c>
      <c r="T257" t="s">
        <v>2383</v>
      </c>
      <c r="U257" s="8">
        <v>45945.48741898148</v>
      </c>
      <c r="V257" s="8">
        <v>45958.958333333336</v>
      </c>
      <c r="W257">
        <v>1</v>
      </c>
      <c r="X257">
        <v>4.9417476850000002</v>
      </c>
      <c r="Y257" t="s">
        <v>3521</v>
      </c>
      <c r="Z257" t="s">
        <v>7475</v>
      </c>
      <c r="AA257" t="s">
        <v>3543</v>
      </c>
      <c r="AB257" t="s">
        <v>1278</v>
      </c>
      <c r="AC257" t="s">
        <v>7476</v>
      </c>
      <c r="AD257" t="s">
        <v>2708</v>
      </c>
      <c r="AE257">
        <v>1</v>
      </c>
      <c r="AO257" t="s">
        <v>2957</v>
      </c>
      <c r="AP257" t="s">
        <v>2401</v>
      </c>
    </row>
    <row r="258" spans="1:42">
      <c r="A258" t="s">
        <v>1499</v>
      </c>
      <c r="B258" t="s">
        <v>2389</v>
      </c>
      <c r="C258" t="s">
        <v>2415</v>
      </c>
      <c r="D258" t="s">
        <v>2379</v>
      </c>
      <c r="E258" t="s">
        <v>2601</v>
      </c>
      <c r="F258" t="s">
        <v>2417</v>
      </c>
      <c r="G258" t="s">
        <v>2601</v>
      </c>
      <c r="H258" t="b">
        <v>1</v>
      </c>
      <c r="I258" s="8">
        <v>45947.423518518517</v>
      </c>
      <c r="J258" t="s">
        <v>2380</v>
      </c>
      <c r="K258">
        <v>1203172</v>
      </c>
      <c r="L258">
        <v>603112</v>
      </c>
      <c r="M258" t="s">
        <v>2381</v>
      </c>
      <c r="P258" t="s">
        <v>5296</v>
      </c>
      <c r="Q258" t="s">
        <v>2383</v>
      </c>
      <c r="R258">
        <v>1</v>
      </c>
      <c r="S258" t="s">
        <v>2380</v>
      </c>
      <c r="T258" t="s">
        <v>2383</v>
      </c>
      <c r="U258" s="8">
        <v>45945.488738425927</v>
      </c>
      <c r="V258" s="8">
        <v>45950.958333333336</v>
      </c>
      <c r="W258">
        <v>1</v>
      </c>
      <c r="X258">
        <v>1.9347800930000001</v>
      </c>
      <c r="Y258" t="s">
        <v>2418</v>
      </c>
      <c r="Z258" t="s">
        <v>5297</v>
      </c>
      <c r="AA258" t="s">
        <v>1498</v>
      </c>
      <c r="AB258" t="s">
        <v>1278</v>
      </c>
      <c r="AC258" t="s">
        <v>5298</v>
      </c>
      <c r="AD258" t="s">
        <v>2708</v>
      </c>
      <c r="AE258">
        <v>1</v>
      </c>
      <c r="AO258" t="s">
        <v>2408</v>
      </c>
      <c r="AP258" t="s">
        <v>2401</v>
      </c>
    </row>
    <row r="259" spans="1:42">
      <c r="A259" t="s">
        <v>1025</v>
      </c>
      <c r="B259" t="s">
        <v>2377</v>
      </c>
      <c r="C259" t="s">
        <v>2438</v>
      </c>
      <c r="D259" t="s">
        <v>2379</v>
      </c>
      <c r="E259" t="s">
        <v>18</v>
      </c>
      <c r="F259" t="s">
        <v>4604</v>
      </c>
      <c r="G259" t="s">
        <v>2416</v>
      </c>
      <c r="H259" t="b">
        <v>1</v>
      </c>
      <c r="I259" s="8">
        <v>45945.540879629632</v>
      </c>
      <c r="J259" t="s">
        <v>2380</v>
      </c>
      <c r="L259">
        <v>609755</v>
      </c>
      <c r="M259" t="s">
        <v>2381</v>
      </c>
      <c r="P259" t="s">
        <v>2704</v>
      </c>
      <c r="Q259" t="s">
        <v>2383</v>
      </c>
      <c r="R259">
        <v>1</v>
      </c>
      <c r="S259" t="s">
        <v>2380</v>
      </c>
      <c r="T259" t="s">
        <v>2383</v>
      </c>
      <c r="U259" s="8">
        <v>45945.494988425926</v>
      </c>
      <c r="V259" s="8">
        <v>45950.958333333336</v>
      </c>
      <c r="W259">
        <v>1</v>
      </c>
      <c r="X259">
        <v>4.5891203999999998E-2</v>
      </c>
      <c r="Y259" t="s">
        <v>4605</v>
      </c>
      <c r="Z259" t="s">
        <v>7477</v>
      </c>
      <c r="AA259" t="s">
        <v>7478</v>
      </c>
      <c r="AB259" t="s">
        <v>1278</v>
      </c>
      <c r="AC259" t="s">
        <v>7479</v>
      </c>
      <c r="AD259" t="s">
        <v>2708</v>
      </c>
      <c r="AE259">
        <v>1</v>
      </c>
      <c r="AO259" t="s">
        <v>2957</v>
      </c>
      <c r="AP259" t="s">
        <v>2401</v>
      </c>
    </row>
    <row r="260" spans="1:42">
      <c r="A260" t="s">
        <v>950</v>
      </c>
      <c r="B260" t="s">
        <v>2377</v>
      </c>
      <c r="C260" t="s">
        <v>2390</v>
      </c>
      <c r="D260" t="s">
        <v>2379</v>
      </c>
      <c r="E260" t="s">
        <v>24</v>
      </c>
      <c r="F260" t="s">
        <v>3445</v>
      </c>
      <c r="G260" t="s">
        <v>24</v>
      </c>
      <c r="H260" t="b">
        <v>1</v>
      </c>
      <c r="I260" s="8">
        <v>45948.420069444444</v>
      </c>
      <c r="J260" t="s">
        <v>2380</v>
      </c>
      <c r="L260">
        <v>603970</v>
      </c>
      <c r="M260" t="s">
        <v>2381</v>
      </c>
      <c r="P260" t="s">
        <v>4125</v>
      </c>
      <c r="Q260" t="s">
        <v>2383</v>
      </c>
      <c r="R260">
        <v>1</v>
      </c>
      <c r="S260" t="s">
        <v>2380</v>
      </c>
      <c r="T260" t="s">
        <v>2383</v>
      </c>
      <c r="U260" s="8">
        <v>45945.509444444448</v>
      </c>
      <c r="V260" s="8">
        <v>45950.958333333336</v>
      </c>
      <c r="W260">
        <v>1</v>
      </c>
      <c r="X260">
        <v>2.910625</v>
      </c>
      <c r="Y260" t="s">
        <v>4126</v>
      </c>
      <c r="Z260" t="s">
        <v>7404</v>
      </c>
      <c r="AA260" t="s">
        <v>2306</v>
      </c>
      <c r="AB260" t="s">
        <v>1278</v>
      </c>
      <c r="AC260" t="s">
        <v>2746</v>
      </c>
      <c r="AD260" t="s">
        <v>2708</v>
      </c>
      <c r="AE260">
        <v>1</v>
      </c>
      <c r="AO260" t="s">
        <v>2957</v>
      </c>
      <c r="AP260" t="s">
        <v>2401</v>
      </c>
    </row>
    <row r="261" spans="1:42">
      <c r="A261" t="s">
        <v>1495</v>
      </c>
      <c r="B261" t="s">
        <v>2389</v>
      </c>
      <c r="C261" t="s">
        <v>2691</v>
      </c>
      <c r="D261" t="s">
        <v>2379</v>
      </c>
      <c r="E261" t="s">
        <v>2452</v>
      </c>
      <c r="F261" t="s">
        <v>2627</v>
      </c>
      <c r="G261" t="s">
        <v>2452</v>
      </c>
      <c r="H261" t="b">
        <v>1</v>
      </c>
      <c r="I261" s="8">
        <v>45953.501655092594</v>
      </c>
      <c r="J261" t="s">
        <v>2380</v>
      </c>
      <c r="K261">
        <v>1204204</v>
      </c>
      <c r="L261">
        <v>609563</v>
      </c>
      <c r="M261" t="s">
        <v>2381</v>
      </c>
      <c r="P261" t="s">
        <v>3637</v>
      </c>
      <c r="Q261" t="s">
        <v>2383</v>
      </c>
      <c r="R261">
        <v>1</v>
      </c>
      <c r="S261" t="s">
        <v>2380</v>
      </c>
      <c r="T261" t="s">
        <v>2383</v>
      </c>
      <c r="U261" s="8">
        <v>45945.514201388891</v>
      </c>
      <c r="V261" s="8">
        <v>45959.958333333336</v>
      </c>
      <c r="W261">
        <v>1</v>
      </c>
      <c r="X261">
        <v>5.987453704</v>
      </c>
      <c r="Y261" t="s">
        <v>2628</v>
      </c>
      <c r="Z261" t="s">
        <v>9616</v>
      </c>
      <c r="AA261" t="s">
        <v>9614</v>
      </c>
      <c r="AB261" t="s">
        <v>1278</v>
      </c>
      <c r="AC261" t="s">
        <v>9617</v>
      </c>
      <c r="AD261" t="s">
        <v>2708</v>
      </c>
      <c r="AE261">
        <v>1</v>
      </c>
      <c r="AO261" t="s">
        <v>3586</v>
      </c>
      <c r="AP261" t="s">
        <v>2401</v>
      </c>
    </row>
    <row r="262" spans="1:42">
      <c r="A262" t="s">
        <v>1492</v>
      </c>
      <c r="B262" t="s">
        <v>2389</v>
      </c>
      <c r="C262" t="s">
        <v>2691</v>
      </c>
      <c r="D262" t="s">
        <v>2379</v>
      </c>
      <c r="E262" t="s">
        <v>2452</v>
      </c>
      <c r="F262" t="s">
        <v>2627</v>
      </c>
      <c r="G262" t="s">
        <v>2452</v>
      </c>
      <c r="H262" t="b">
        <v>1</v>
      </c>
      <c r="I262" s="8">
        <v>45959.47278935185</v>
      </c>
      <c r="J262" t="s">
        <v>2380</v>
      </c>
      <c r="K262">
        <v>1205448</v>
      </c>
      <c r="L262">
        <v>609563</v>
      </c>
      <c r="M262" t="s">
        <v>2381</v>
      </c>
      <c r="P262" t="s">
        <v>3637</v>
      </c>
      <c r="Q262" t="s">
        <v>2383</v>
      </c>
      <c r="R262">
        <v>1</v>
      </c>
      <c r="S262" t="s">
        <v>2380</v>
      </c>
      <c r="T262" t="s">
        <v>2383</v>
      </c>
      <c r="U262" s="8">
        <v>45945.514872685184</v>
      </c>
      <c r="V262" s="8">
        <v>45964.958333333336</v>
      </c>
      <c r="W262">
        <v>1</v>
      </c>
      <c r="X262">
        <v>9.9579166669999992</v>
      </c>
      <c r="Y262" t="s">
        <v>2628</v>
      </c>
      <c r="Z262" t="s">
        <v>9618</v>
      </c>
      <c r="AA262" t="s">
        <v>9614</v>
      </c>
      <c r="AB262" t="s">
        <v>1278</v>
      </c>
      <c r="AC262" t="s">
        <v>9619</v>
      </c>
      <c r="AD262" t="s">
        <v>2708</v>
      </c>
      <c r="AE262">
        <v>1</v>
      </c>
      <c r="AO262" t="s">
        <v>3586</v>
      </c>
      <c r="AP262" t="s">
        <v>2401</v>
      </c>
    </row>
    <row r="263" spans="1:42">
      <c r="A263" t="s">
        <v>1493</v>
      </c>
      <c r="B263" t="s">
        <v>2389</v>
      </c>
      <c r="C263" t="s">
        <v>2390</v>
      </c>
      <c r="D263" t="s">
        <v>2379</v>
      </c>
      <c r="E263" t="s">
        <v>33</v>
      </c>
      <c r="F263" t="s">
        <v>8551</v>
      </c>
      <c r="G263" t="s">
        <v>33</v>
      </c>
      <c r="H263" t="b">
        <v>1</v>
      </c>
      <c r="I263" s="8">
        <v>45950.47824074074</v>
      </c>
      <c r="J263" t="s">
        <v>2380</v>
      </c>
      <c r="K263">
        <v>1203572</v>
      </c>
      <c r="L263">
        <v>609041</v>
      </c>
      <c r="M263" t="s">
        <v>2381</v>
      </c>
      <c r="P263" t="s">
        <v>8552</v>
      </c>
      <c r="Q263" t="s">
        <v>2383</v>
      </c>
      <c r="R263">
        <v>1</v>
      </c>
      <c r="S263" t="s">
        <v>2380</v>
      </c>
      <c r="T263" t="s">
        <v>2383</v>
      </c>
      <c r="U263" s="8">
        <v>45945.515034722222</v>
      </c>
      <c r="V263" s="8">
        <v>45950.958333333336</v>
      </c>
      <c r="W263">
        <v>1</v>
      </c>
      <c r="X263">
        <v>2.9632060189999998</v>
      </c>
      <c r="Y263" t="s">
        <v>2628</v>
      </c>
      <c r="Z263" t="s">
        <v>9607</v>
      </c>
      <c r="AA263" t="s">
        <v>1490</v>
      </c>
      <c r="AB263" t="s">
        <v>1278</v>
      </c>
      <c r="AC263" t="s">
        <v>9608</v>
      </c>
      <c r="AD263" t="s">
        <v>2708</v>
      </c>
      <c r="AE263">
        <v>1</v>
      </c>
      <c r="AO263" t="s">
        <v>3586</v>
      </c>
      <c r="AP263" t="s">
        <v>2401</v>
      </c>
    </row>
    <row r="264" spans="1:42">
      <c r="A264" t="s">
        <v>1491</v>
      </c>
      <c r="B264" t="s">
        <v>2389</v>
      </c>
      <c r="C264" t="s">
        <v>2390</v>
      </c>
      <c r="D264" t="s">
        <v>2379</v>
      </c>
      <c r="E264" t="s">
        <v>33</v>
      </c>
      <c r="F264" t="s">
        <v>8551</v>
      </c>
      <c r="G264" t="s">
        <v>33</v>
      </c>
      <c r="H264" t="b">
        <v>1</v>
      </c>
      <c r="I264" s="8">
        <v>45950.476400462961</v>
      </c>
      <c r="J264" t="s">
        <v>2380</v>
      </c>
      <c r="K264">
        <v>1203571</v>
      </c>
      <c r="L264">
        <v>609041</v>
      </c>
      <c r="M264" t="s">
        <v>2381</v>
      </c>
      <c r="P264" t="s">
        <v>8552</v>
      </c>
      <c r="Q264" t="s">
        <v>2383</v>
      </c>
      <c r="R264">
        <v>1</v>
      </c>
      <c r="S264" t="s">
        <v>2380</v>
      </c>
      <c r="T264" t="s">
        <v>2383</v>
      </c>
      <c r="U264" s="8">
        <v>45945.518159722225</v>
      </c>
      <c r="V264" s="8">
        <v>45950.958333333336</v>
      </c>
      <c r="W264">
        <v>1</v>
      </c>
      <c r="X264">
        <v>2.958240741</v>
      </c>
      <c r="Y264" t="s">
        <v>2628</v>
      </c>
      <c r="Z264" t="s">
        <v>9609</v>
      </c>
      <c r="AA264" t="s">
        <v>1490</v>
      </c>
      <c r="AB264" t="s">
        <v>1278</v>
      </c>
      <c r="AC264" t="s">
        <v>9610</v>
      </c>
      <c r="AD264" t="s">
        <v>2708</v>
      </c>
      <c r="AE264">
        <v>1</v>
      </c>
      <c r="AO264" t="s">
        <v>3586</v>
      </c>
      <c r="AP264" t="s">
        <v>2401</v>
      </c>
    </row>
    <row r="265" spans="1:42">
      <c r="A265" t="s">
        <v>960</v>
      </c>
      <c r="B265" t="s">
        <v>2377</v>
      </c>
      <c r="C265" t="s">
        <v>2390</v>
      </c>
      <c r="D265" t="s">
        <v>2379</v>
      </c>
      <c r="E265" t="s">
        <v>25</v>
      </c>
      <c r="F265" t="s">
        <v>3539</v>
      </c>
      <c r="G265" t="s">
        <v>25</v>
      </c>
      <c r="H265" t="b">
        <v>1</v>
      </c>
      <c r="I265" s="8">
        <v>45950.395266203705</v>
      </c>
      <c r="J265" t="s">
        <v>2380</v>
      </c>
      <c r="L265">
        <v>603566</v>
      </c>
      <c r="M265" t="s">
        <v>2381</v>
      </c>
      <c r="N265">
        <v>10</v>
      </c>
      <c r="P265" t="s">
        <v>2704</v>
      </c>
      <c r="Q265" t="s">
        <v>2383</v>
      </c>
      <c r="R265">
        <v>1</v>
      </c>
      <c r="S265" t="s">
        <v>2380</v>
      </c>
      <c r="T265" t="s">
        <v>2383</v>
      </c>
      <c r="U265" s="8">
        <v>45945.532418981478</v>
      </c>
      <c r="V265" s="8">
        <v>45950.958333333336</v>
      </c>
      <c r="W265">
        <v>1</v>
      </c>
      <c r="X265">
        <v>2.8628472220000001</v>
      </c>
      <c r="Y265" t="s">
        <v>3521</v>
      </c>
      <c r="Z265" t="s">
        <v>7905</v>
      </c>
      <c r="AA265" t="s">
        <v>3543</v>
      </c>
      <c r="AB265" t="s">
        <v>1278</v>
      </c>
      <c r="AC265" t="s">
        <v>2746</v>
      </c>
      <c r="AD265" t="s">
        <v>2708</v>
      </c>
      <c r="AE265">
        <v>1</v>
      </c>
      <c r="AO265" t="s">
        <v>2957</v>
      </c>
      <c r="AP265" t="s">
        <v>2401</v>
      </c>
    </row>
    <row r="266" spans="1:42">
      <c r="A266" t="s">
        <v>448</v>
      </c>
      <c r="B266" t="s">
        <v>2377</v>
      </c>
      <c r="C266" t="s">
        <v>2390</v>
      </c>
      <c r="D266" t="s">
        <v>2379</v>
      </c>
      <c r="E266" t="s">
        <v>25</v>
      </c>
      <c r="F266" t="s">
        <v>4112</v>
      </c>
      <c r="G266" t="s">
        <v>25</v>
      </c>
      <c r="H266" t="b">
        <v>1</v>
      </c>
      <c r="I266" s="8">
        <v>45948.387175925927</v>
      </c>
      <c r="J266" t="s">
        <v>2380</v>
      </c>
      <c r="L266">
        <v>609762</v>
      </c>
      <c r="M266" t="s">
        <v>2381</v>
      </c>
      <c r="N266">
        <v>10</v>
      </c>
      <c r="P266" t="s">
        <v>3896</v>
      </c>
      <c r="Q266" t="s">
        <v>2383</v>
      </c>
      <c r="R266">
        <v>1</v>
      </c>
      <c r="S266" t="s">
        <v>2380</v>
      </c>
      <c r="T266" t="s">
        <v>2383</v>
      </c>
      <c r="U266" s="8">
        <v>45945.549675925926</v>
      </c>
      <c r="V266" s="8">
        <v>45950.958333333336</v>
      </c>
      <c r="W266">
        <v>1</v>
      </c>
      <c r="X266">
        <v>2.8374999999999999</v>
      </c>
      <c r="Y266" t="s">
        <v>3901</v>
      </c>
      <c r="Z266" t="s">
        <v>5037</v>
      </c>
      <c r="AA266" t="s">
        <v>4942</v>
      </c>
      <c r="AB266" t="s">
        <v>1278</v>
      </c>
      <c r="AC266" t="s">
        <v>2746</v>
      </c>
      <c r="AD266" t="s">
        <v>2708</v>
      </c>
      <c r="AE266">
        <v>1</v>
      </c>
      <c r="AO266" t="s">
        <v>2715</v>
      </c>
      <c r="AP266" t="s">
        <v>2401</v>
      </c>
    </row>
    <row r="267" spans="1:42">
      <c r="A267" t="s">
        <v>948</v>
      </c>
      <c r="B267" t="s">
        <v>2377</v>
      </c>
      <c r="C267" t="s">
        <v>2390</v>
      </c>
      <c r="D267" t="s">
        <v>2379</v>
      </c>
      <c r="E267" t="s">
        <v>18</v>
      </c>
      <c r="F267" t="s">
        <v>4112</v>
      </c>
      <c r="G267" t="s">
        <v>2416</v>
      </c>
      <c r="H267" t="b">
        <v>1</v>
      </c>
      <c r="I267" s="8">
        <v>45947.727916666663</v>
      </c>
      <c r="J267" t="s">
        <v>2380</v>
      </c>
      <c r="L267">
        <v>609762</v>
      </c>
      <c r="M267" t="s">
        <v>2381</v>
      </c>
      <c r="P267" t="s">
        <v>3896</v>
      </c>
      <c r="Q267" t="s">
        <v>2383</v>
      </c>
      <c r="R267">
        <v>1</v>
      </c>
      <c r="S267" t="s">
        <v>2380</v>
      </c>
      <c r="T267" t="s">
        <v>2383</v>
      </c>
      <c r="U267" s="8">
        <v>45945.550810185188</v>
      </c>
      <c r="V267" s="8">
        <v>45950.958333333336</v>
      </c>
      <c r="W267">
        <v>1</v>
      </c>
      <c r="X267">
        <v>2.177106481</v>
      </c>
      <c r="Y267" t="s">
        <v>3901</v>
      </c>
      <c r="Z267" t="s">
        <v>4941</v>
      </c>
      <c r="AA267" t="s">
        <v>4942</v>
      </c>
      <c r="AB267" t="s">
        <v>1278</v>
      </c>
      <c r="AC267" t="s">
        <v>4943</v>
      </c>
      <c r="AD267" t="s">
        <v>2708</v>
      </c>
      <c r="AE267">
        <v>1</v>
      </c>
      <c r="AO267" t="s">
        <v>2715</v>
      </c>
      <c r="AP267" t="s">
        <v>2401</v>
      </c>
    </row>
    <row r="268" spans="1:42">
      <c r="A268" t="s">
        <v>1484</v>
      </c>
      <c r="B268" t="s">
        <v>2389</v>
      </c>
      <c r="C268" t="s">
        <v>2691</v>
      </c>
      <c r="D268" t="s">
        <v>2379</v>
      </c>
      <c r="E268" t="s">
        <v>25</v>
      </c>
      <c r="F268" t="s">
        <v>3261</v>
      </c>
      <c r="G268" t="s">
        <v>25</v>
      </c>
      <c r="H268" t="b">
        <v>1</v>
      </c>
      <c r="I268" s="8">
        <v>45953.549432870372</v>
      </c>
      <c r="J268" t="s">
        <v>2380</v>
      </c>
      <c r="K268">
        <v>1204215</v>
      </c>
      <c r="L268">
        <v>606804</v>
      </c>
      <c r="M268" t="s">
        <v>2381</v>
      </c>
      <c r="N268">
        <v>5</v>
      </c>
      <c r="P268" t="s">
        <v>8013</v>
      </c>
      <c r="Q268" t="s">
        <v>2383</v>
      </c>
      <c r="R268">
        <v>1</v>
      </c>
      <c r="S268" t="s">
        <v>2380</v>
      </c>
      <c r="T268" t="s">
        <v>2383</v>
      </c>
      <c r="U268" s="8">
        <v>45945.56759259259</v>
      </c>
      <c r="V268" s="8">
        <v>45953.958333333336</v>
      </c>
      <c r="W268">
        <v>1</v>
      </c>
      <c r="X268">
        <v>5.981840278</v>
      </c>
      <c r="Y268" t="s">
        <v>3262</v>
      </c>
      <c r="Z268" t="s">
        <v>8014</v>
      </c>
      <c r="AA268" t="s">
        <v>1483</v>
      </c>
      <c r="AB268" t="s">
        <v>1278</v>
      </c>
      <c r="AC268" t="s">
        <v>8015</v>
      </c>
      <c r="AD268" t="s">
        <v>2708</v>
      </c>
      <c r="AE268">
        <v>1</v>
      </c>
      <c r="AO268" t="s">
        <v>2957</v>
      </c>
      <c r="AP268" t="s">
        <v>2401</v>
      </c>
    </row>
    <row r="269" spans="1:42">
      <c r="A269" t="s">
        <v>1482</v>
      </c>
      <c r="B269" t="s">
        <v>2389</v>
      </c>
      <c r="C269" t="s">
        <v>2390</v>
      </c>
      <c r="D269" t="s">
        <v>2379</v>
      </c>
      <c r="E269" t="s">
        <v>307</v>
      </c>
      <c r="F269" t="s">
        <v>2417</v>
      </c>
      <c r="G269" t="s">
        <v>307</v>
      </c>
      <c r="H269" t="b">
        <v>1</v>
      </c>
      <c r="I269" s="8">
        <v>45948.462465277778</v>
      </c>
      <c r="J269" t="s">
        <v>2380</v>
      </c>
      <c r="K269">
        <v>1203384</v>
      </c>
      <c r="L269">
        <v>602876</v>
      </c>
      <c r="M269" t="s">
        <v>2381</v>
      </c>
      <c r="P269" t="s">
        <v>5595</v>
      </c>
      <c r="Q269" t="s">
        <v>2383</v>
      </c>
      <c r="R269">
        <v>1</v>
      </c>
      <c r="S269" t="s">
        <v>2380</v>
      </c>
      <c r="T269" t="s">
        <v>2383</v>
      </c>
      <c r="U269" s="8">
        <v>45945.57199074074</v>
      </c>
      <c r="V269" s="8">
        <v>45950.958333333336</v>
      </c>
      <c r="W269">
        <v>1</v>
      </c>
      <c r="X269">
        <v>2.8904745369999998</v>
      </c>
      <c r="Y269" t="s">
        <v>2418</v>
      </c>
      <c r="Z269" t="s">
        <v>5596</v>
      </c>
      <c r="AA269" t="s">
        <v>1307</v>
      </c>
      <c r="AB269" t="s">
        <v>1278</v>
      </c>
      <c r="AC269" t="s">
        <v>5597</v>
      </c>
      <c r="AD269" t="s">
        <v>2708</v>
      </c>
      <c r="AE269">
        <v>1</v>
      </c>
      <c r="AO269" t="s">
        <v>2540</v>
      </c>
      <c r="AP269" t="s">
        <v>2401</v>
      </c>
    </row>
    <row r="270" spans="1:42">
      <c r="A270" t="s">
        <v>59</v>
      </c>
      <c r="B270" t="s">
        <v>2377</v>
      </c>
      <c r="C270" t="s">
        <v>2415</v>
      </c>
      <c r="D270" t="s">
        <v>2379</v>
      </c>
      <c r="E270" t="s">
        <v>28</v>
      </c>
      <c r="F270" t="s">
        <v>2578</v>
      </c>
      <c r="G270" t="s">
        <v>28</v>
      </c>
      <c r="H270" t="b">
        <v>1</v>
      </c>
      <c r="I270" s="8">
        <v>45946.602673611109</v>
      </c>
      <c r="J270" t="s">
        <v>2380</v>
      </c>
      <c r="L270">
        <v>603645</v>
      </c>
      <c r="M270" t="s">
        <v>2381</v>
      </c>
      <c r="N270">
        <v>30</v>
      </c>
      <c r="P270" t="s">
        <v>3659</v>
      </c>
      <c r="Q270" t="s">
        <v>2383</v>
      </c>
      <c r="R270">
        <v>1</v>
      </c>
      <c r="S270" t="s">
        <v>2380</v>
      </c>
      <c r="T270" t="s">
        <v>2383</v>
      </c>
      <c r="U270" s="8">
        <v>45945.578773148147</v>
      </c>
      <c r="V270" s="8">
        <v>45950.958333333336</v>
      </c>
      <c r="W270">
        <v>1</v>
      </c>
      <c r="X270">
        <v>1.0239004629999999</v>
      </c>
      <c r="Y270" t="s">
        <v>2579</v>
      </c>
      <c r="Z270" t="s">
        <v>9881</v>
      </c>
      <c r="AA270" t="s">
        <v>3661</v>
      </c>
      <c r="AB270" t="s">
        <v>1278</v>
      </c>
      <c r="AC270" t="s">
        <v>9882</v>
      </c>
      <c r="AD270" t="s">
        <v>2708</v>
      </c>
      <c r="AE270">
        <v>1</v>
      </c>
      <c r="AO270" t="s">
        <v>3644</v>
      </c>
      <c r="AP270" t="s">
        <v>2401</v>
      </c>
    </row>
    <row r="271" spans="1:42">
      <c r="A271" t="s">
        <v>921</v>
      </c>
      <c r="B271" t="s">
        <v>2377</v>
      </c>
      <c r="C271" t="s">
        <v>2415</v>
      </c>
      <c r="D271" t="s">
        <v>2379</v>
      </c>
      <c r="E271" t="s">
        <v>33</v>
      </c>
      <c r="F271" t="s">
        <v>2409</v>
      </c>
      <c r="G271" t="s">
        <v>33</v>
      </c>
      <c r="H271" t="b">
        <v>1</v>
      </c>
      <c r="I271" s="8">
        <v>45946.612025462964</v>
      </c>
      <c r="J271" t="s">
        <v>2380</v>
      </c>
      <c r="L271">
        <v>608028</v>
      </c>
      <c r="M271" t="s">
        <v>2381</v>
      </c>
      <c r="P271" t="s">
        <v>2704</v>
      </c>
      <c r="Q271" t="s">
        <v>2383</v>
      </c>
      <c r="R271">
        <v>1</v>
      </c>
      <c r="S271" t="s">
        <v>2380</v>
      </c>
      <c r="T271" t="s">
        <v>2383</v>
      </c>
      <c r="U271" s="8">
        <v>45945.600960648146</v>
      </c>
      <c r="V271" s="8">
        <v>45950.958333333336</v>
      </c>
      <c r="W271">
        <v>1</v>
      </c>
      <c r="X271">
        <v>1.0110648149999999</v>
      </c>
      <c r="Y271" t="s">
        <v>2410</v>
      </c>
      <c r="Z271" t="s">
        <v>9302</v>
      </c>
      <c r="AA271" t="s">
        <v>8806</v>
      </c>
      <c r="AB271" t="s">
        <v>1278</v>
      </c>
      <c r="AC271" t="s">
        <v>9303</v>
      </c>
      <c r="AD271" t="s">
        <v>2708</v>
      </c>
      <c r="AE271">
        <v>1</v>
      </c>
      <c r="AH271" t="s">
        <v>2723</v>
      </c>
      <c r="AI271" s="8">
        <v>45946.609652777777</v>
      </c>
      <c r="AK271" t="s">
        <v>2719</v>
      </c>
      <c r="AL271" t="s">
        <v>2724</v>
      </c>
      <c r="AO271" t="s">
        <v>3644</v>
      </c>
      <c r="AP271" t="s">
        <v>2401</v>
      </c>
    </row>
    <row r="272" spans="1:42">
      <c r="A272" t="s">
        <v>1163</v>
      </c>
      <c r="B272" t="s">
        <v>2377</v>
      </c>
      <c r="C272" t="s">
        <v>2390</v>
      </c>
      <c r="D272" t="s">
        <v>2379</v>
      </c>
      <c r="E272" t="s">
        <v>25</v>
      </c>
      <c r="F272" t="s">
        <v>2402</v>
      </c>
      <c r="G272" t="s">
        <v>25</v>
      </c>
      <c r="H272" t="b">
        <v>1</v>
      </c>
      <c r="I272" s="8">
        <v>45948.39571759259</v>
      </c>
      <c r="J272" t="s">
        <v>2380</v>
      </c>
      <c r="L272">
        <v>606805</v>
      </c>
      <c r="M272" t="s">
        <v>2381</v>
      </c>
      <c r="N272">
        <v>8</v>
      </c>
      <c r="P272" t="s">
        <v>5574</v>
      </c>
      <c r="Q272" t="s">
        <v>2383</v>
      </c>
      <c r="R272">
        <v>1</v>
      </c>
      <c r="S272" t="s">
        <v>2380</v>
      </c>
      <c r="T272" t="s">
        <v>2383</v>
      </c>
      <c r="U272" s="8">
        <v>45945.606898148151</v>
      </c>
      <c r="V272" s="8">
        <v>45950.958333333336</v>
      </c>
      <c r="W272">
        <v>1</v>
      </c>
      <c r="X272">
        <v>2.788819444</v>
      </c>
      <c r="Y272" t="s">
        <v>2403</v>
      </c>
      <c r="Z272" t="s">
        <v>5575</v>
      </c>
      <c r="AA272" t="s">
        <v>5576</v>
      </c>
      <c r="AB272" t="s">
        <v>1278</v>
      </c>
      <c r="AC272" t="s">
        <v>2387</v>
      </c>
      <c r="AD272" t="s">
        <v>2708</v>
      </c>
      <c r="AE272">
        <v>1</v>
      </c>
      <c r="AO272" t="s">
        <v>2408</v>
      </c>
      <c r="AP272" t="s">
        <v>2401</v>
      </c>
    </row>
    <row r="273" spans="1:42">
      <c r="A273" t="s">
        <v>36</v>
      </c>
      <c r="B273" t="s">
        <v>2377</v>
      </c>
      <c r="C273" t="s">
        <v>2415</v>
      </c>
      <c r="D273" t="s">
        <v>2379</v>
      </c>
      <c r="E273" t="s">
        <v>33</v>
      </c>
      <c r="F273" t="s">
        <v>2588</v>
      </c>
      <c r="G273" t="s">
        <v>33</v>
      </c>
      <c r="H273" t="b">
        <v>1</v>
      </c>
      <c r="I273" s="8">
        <v>45947.383750000001</v>
      </c>
      <c r="J273" t="s">
        <v>2380</v>
      </c>
      <c r="L273">
        <v>603123</v>
      </c>
      <c r="M273" t="s">
        <v>2381</v>
      </c>
      <c r="P273" t="s">
        <v>2704</v>
      </c>
      <c r="Q273" t="s">
        <v>2383</v>
      </c>
      <c r="R273">
        <v>1</v>
      </c>
      <c r="S273" t="s">
        <v>2380</v>
      </c>
      <c r="T273" t="s">
        <v>2383</v>
      </c>
      <c r="U273" s="8">
        <v>45945.614884259259</v>
      </c>
      <c r="V273" s="8">
        <v>45950.958333333336</v>
      </c>
      <c r="W273">
        <v>1</v>
      </c>
      <c r="X273">
        <v>1.7688657409999999</v>
      </c>
      <c r="Y273" t="s">
        <v>2579</v>
      </c>
      <c r="Z273" t="s">
        <v>5180</v>
      </c>
      <c r="AA273" t="s">
        <v>3729</v>
      </c>
      <c r="AB273" t="s">
        <v>1278</v>
      </c>
      <c r="AC273" t="s">
        <v>5181</v>
      </c>
      <c r="AD273" t="s">
        <v>2708</v>
      </c>
      <c r="AE273">
        <v>1</v>
      </c>
      <c r="AH273" t="s">
        <v>12</v>
      </c>
      <c r="AI273" s="8">
        <v>45945.695416666669</v>
      </c>
      <c r="AK273" t="s">
        <v>2719</v>
      </c>
      <c r="AL273" t="s">
        <v>5161</v>
      </c>
      <c r="AM273" t="s">
        <v>5174</v>
      </c>
      <c r="AO273" t="s">
        <v>2720</v>
      </c>
      <c r="AP273" t="s">
        <v>2401</v>
      </c>
    </row>
    <row r="274" spans="1:42">
      <c r="A274" t="s">
        <v>1469</v>
      </c>
      <c r="B274" t="s">
        <v>2389</v>
      </c>
      <c r="C274" t="s">
        <v>2415</v>
      </c>
      <c r="D274" t="s">
        <v>2379</v>
      </c>
      <c r="E274" t="s">
        <v>25</v>
      </c>
      <c r="F274" t="s">
        <v>3339</v>
      </c>
      <c r="G274" t="s">
        <v>25</v>
      </c>
      <c r="H274" t="b">
        <v>1</v>
      </c>
      <c r="I274" s="8">
        <v>45947.554270833331</v>
      </c>
      <c r="J274" t="s">
        <v>2380</v>
      </c>
      <c r="K274">
        <v>1203203</v>
      </c>
      <c r="L274">
        <v>602488</v>
      </c>
      <c r="M274" t="s">
        <v>2381</v>
      </c>
      <c r="N274">
        <v>5</v>
      </c>
      <c r="P274" t="s">
        <v>3477</v>
      </c>
      <c r="Q274" t="s">
        <v>2383</v>
      </c>
      <c r="R274">
        <v>1</v>
      </c>
      <c r="S274" t="s">
        <v>2380</v>
      </c>
      <c r="T274" t="s">
        <v>2383</v>
      </c>
      <c r="U274" s="8">
        <v>45945.617280092592</v>
      </c>
      <c r="V274" s="8">
        <v>45950.958333333336</v>
      </c>
      <c r="W274">
        <v>1</v>
      </c>
      <c r="X274">
        <v>1.936990741</v>
      </c>
      <c r="Y274" t="s">
        <v>3340</v>
      </c>
      <c r="Z274" t="s">
        <v>9735</v>
      </c>
      <c r="AA274" t="s">
        <v>3631</v>
      </c>
      <c r="AB274" t="s">
        <v>1278</v>
      </c>
      <c r="AC274" t="s">
        <v>2802</v>
      </c>
      <c r="AD274" t="s">
        <v>2708</v>
      </c>
      <c r="AE274">
        <v>1</v>
      </c>
      <c r="AO274" t="s">
        <v>3608</v>
      </c>
      <c r="AP274" t="s">
        <v>2401</v>
      </c>
    </row>
    <row r="275" spans="1:42">
      <c r="A275" t="s">
        <v>1468</v>
      </c>
      <c r="B275" t="s">
        <v>2389</v>
      </c>
      <c r="C275" t="s">
        <v>2443</v>
      </c>
      <c r="D275" t="s">
        <v>2443</v>
      </c>
      <c r="E275" t="s">
        <v>25</v>
      </c>
      <c r="F275" t="s">
        <v>3339</v>
      </c>
      <c r="G275" t="s">
        <v>25</v>
      </c>
      <c r="H275" t="b">
        <v>1</v>
      </c>
      <c r="I275" s="8">
        <v>45952.384131944447</v>
      </c>
      <c r="J275" t="s">
        <v>2380</v>
      </c>
      <c r="K275">
        <v>1203894</v>
      </c>
      <c r="L275">
        <v>602488</v>
      </c>
      <c r="M275" t="s">
        <v>2381</v>
      </c>
      <c r="N275">
        <v>5</v>
      </c>
      <c r="P275" t="s">
        <v>3477</v>
      </c>
      <c r="Q275" t="s">
        <v>2383</v>
      </c>
      <c r="R275">
        <v>1</v>
      </c>
      <c r="S275" t="s">
        <v>2380</v>
      </c>
      <c r="T275" t="s">
        <v>2383</v>
      </c>
      <c r="U275" s="8">
        <v>45945.618773148148</v>
      </c>
      <c r="V275" s="8">
        <v>45951.958333333336</v>
      </c>
      <c r="W275">
        <v>1</v>
      </c>
      <c r="X275">
        <v>4.7653587960000001</v>
      </c>
      <c r="Y275" t="s">
        <v>3340</v>
      </c>
      <c r="Z275" t="s">
        <v>9736</v>
      </c>
      <c r="AA275" t="s">
        <v>3631</v>
      </c>
      <c r="AB275" t="s">
        <v>1278</v>
      </c>
      <c r="AC275" t="s">
        <v>2802</v>
      </c>
      <c r="AD275" t="s">
        <v>2708</v>
      </c>
      <c r="AE275">
        <v>1</v>
      </c>
      <c r="AO275" t="s">
        <v>3608</v>
      </c>
      <c r="AP275" t="s">
        <v>2401</v>
      </c>
    </row>
    <row r="276" spans="1:42">
      <c r="A276" t="s">
        <v>846</v>
      </c>
      <c r="B276" t="s">
        <v>2377</v>
      </c>
      <c r="C276" t="s">
        <v>2390</v>
      </c>
      <c r="D276" t="s">
        <v>2379</v>
      </c>
      <c r="E276" t="s">
        <v>2416</v>
      </c>
      <c r="F276" t="s">
        <v>2402</v>
      </c>
      <c r="G276" t="s">
        <v>2416</v>
      </c>
      <c r="H276" t="b">
        <v>1</v>
      </c>
      <c r="I276" s="8">
        <v>45950.474374999998</v>
      </c>
      <c r="J276" t="s">
        <v>2380</v>
      </c>
      <c r="L276">
        <v>608027</v>
      </c>
      <c r="M276" t="s">
        <v>2381</v>
      </c>
      <c r="P276" t="s">
        <v>2486</v>
      </c>
      <c r="Q276" t="s">
        <v>2383</v>
      </c>
      <c r="R276">
        <v>1</v>
      </c>
      <c r="S276" t="s">
        <v>2380</v>
      </c>
      <c r="T276" t="s">
        <v>2383</v>
      </c>
      <c r="U276" s="8">
        <v>45945.625092592592</v>
      </c>
      <c r="V276" s="8">
        <v>45950.958333333336</v>
      </c>
      <c r="W276">
        <v>1</v>
      </c>
      <c r="X276">
        <v>2.849282407</v>
      </c>
      <c r="Y276" t="s">
        <v>2403</v>
      </c>
      <c r="Z276" t="s">
        <v>5218</v>
      </c>
      <c r="AA276" t="s">
        <v>2312</v>
      </c>
      <c r="AB276" t="s">
        <v>1278</v>
      </c>
      <c r="AC276" t="s">
        <v>5219</v>
      </c>
      <c r="AD276" t="s">
        <v>2708</v>
      </c>
      <c r="AE276">
        <v>1</v>
      </c>
      <c r="AH276" t="s">
        <v>24</v>
      </c>
      <c r="AI276" s="8">
        <v>45950.460949074077</v>
      </c>
      <c r="AK276" t="s">
        <v>2719</v>
      </c>
      <c r="AL276" t="s">
        <v>2719</v>
      </c>
      <c r="AO276" t="s">
        <v>2408</v>
      </c>
      <c r="AP276" t="s">
        <v>2401</v>
      </c>
    </row>
    <row r="277" spans="1:42">
      <c r="A277" t="s">
        <v>450</v>
      </c>
      <c r="B277" t="s">
        <v>2377</v>
      </c>
      <c r="C277" t="s">
        <v>2390</v>
      </c>
      <c r="D277" t="s">
        <v>2379</v>
      </c>
      <c r="E277" t="s">
        <v>25</v>
      </c>
      <c r="F277">
        <v>4056</v>
      </c>
      <c r="G277" t="s">
        <v>25</v>
      </c>
      <c r="H277" t="b">
        <v>1</v>
      </c>
      <c r="I277" s="8">
        <v>45948.391041666669</v>
      </c>
      <c r="J277" t="s">
        <v>2380</v>
      </c>
      <c r="L277">
        <v>602092</v>
      </c>
      <c r="M277" t="s">
        <v>2381</v>
      </c>
      <c r="N277">
        <v>8</v>
      </c>
      <c r="P277" t="s">
        <v>7400</v>
      </c>
      <c r="Q277" t="s">
        <v>2383</v>
      </c>
      <c r="R277">
        <v>1</v>
      </c>
      <c r="S277" t="s">
        <v>2380</v>
      </c>
      <c r="T277" t="s">
        <v>2383</v>
      </c>
      <c r="U277" s="8">
        <v>45945.638715277775</v>
      </c>
      <c r="V277" s="8">
        <v>45950.958333333336</v>
      </c>
      <c r="W277">
        <v>1</v>
      </c>
      <c r="X277">
        <v>2.7523263889999998</v>
      </c>
      <c r="Y277" t="s">
        <v>3379</v>
      </c>
      <c r="Z277" t="s">
        <v>7401</v>
      </c>
      <c r="AA277" t="s">
        <v>1280</v>
      </c>
      <c r="AB277" t="s">
        <v>1278</v>
      </c>
      <c r="AC277" t="s">
        <v>7402</v>
      </c>
      <c r="AD277" t="s">
        <v>2708</v>
      </c>
      <c r="AE277">
        <v>1</v>
      </c>
      <c r="AO277" t="s">
        <v>2388</v>
      </c>
      <c r="AP277" t="s">
        <v>2401</v>
      </c>
    </row>
    <row r="278" spans="1:42">
      <c r="A278" t="s">
        <v>1094</v>
      </c>
      <c r="B278" t="s">
        <v>2377</v>
      </c>
      <c r="C278" t="s">
        <v>2390</v>
      </c>
      <c r="D278" t="s">
        <v>2379</v>
      </c>
      <c r="E278" t="s">
        <v>25</v>
      </c>
      <c r="F278" t="s">
        <v>2402</v>
      </c>
      <c r="G278" t="s">
        <v>25</v>
      </c>
      <c r="H278" t="b">
        <v>1</v>
      </c>
      <c r="I278" s="8">
        <v>45948.428263888891</v>
      </c>
      <c r="J278" t="s">
        <v>2380</v>
      </c>
      <c r="L278">
        <v>602549</v>
      </c>
      <c r="M278" t="s">
        <v>2381</v>
      </c>
      <c r="N278">
        <v>10</v>
      </c>
      <c r="P278" t="s">
        <v>2769</v>
      </c>
      <c r="Q278" t="s">
        <v>2383</v>
      </c>
      <c r="R278">
        <v>1</v>
      </c>
      <c r="S278" t="s">
        <v>2380</v>
      </c>
      <c r="T278" t="s">
        <v>2383</v>
      </c>
      <c r="U278" s="8">
        <v>45945.649606481478</v>
      </c>
      <c r="V278" s="8">
        <v>45950.958333333336</v>
      </c>
      <c r="W278">
        <v>1</v>
      </c>
      <c r="X278">
        <v>2.7786574069999999</v>
      </c>
      <c r="Y278" t="s">
        <v>2403</v>
      </c>
      <c r="Z278" t="s">
        <v>5457</v>
      </c>
      <c r="AA278" t="s">
        <v>1460</v>
      </c>
      <c r="AB278" t="s">
        <v>1278</v>
      </c>
      <c r="AC278" t="s">
        <v>2387</v>
      </c>
      <c r="AD278" t="s">
        <v>2708</v>
      </c>
      <c r="AE278">
        <v>1</v>
      </c>
      <c r="AO278" t="s">
        <v>2408</v>
      </c>
      <c r="AP278" t="s">
        <v>2401</v>
      </c>
    </row>
    <row r="279" spans="1:42">
      <c r="A279" t="s">
        <v>1459</v>
      </c>
      <c r="B279" t="s">
        <v>2389</v>
      </c>
      <c r="C279" t="s">
        <v>2390</v>
      </c>
      <c r="D279" t="s">
        <v>2379</v>
      </c>
      <c r="E279" t="s">
        <v>24</v>
      </c>
      <c r="F279" t="s">
        <v>2588</v>
      </c>
      <c r="G279" t="s">
        <v>24</v>
      </c>
      <c r="H279" t="b">
        <v>1</v>
      </c>
      <c r="I279" s="8">
        <v>45948.449143518519</v>
      </c>
      <c r="J279" t="s">
        <v>2380</v>
      </c>
      <c r="K279">
        <v>1203382</v>
      </c>
      <c r="L279">
        <v>602896</v>
      </c>
      <c r="M279" t="s">
        <v>2381</v>
      </c>
      <c r="P279" t="s">
        <v>3274</v>
      </c>
      <c r="Q279" t="s">
        <v>2383</v>
      </c>
      <c r="R279">
        <v>1</v>
      </c>
      <c r="S279" t="s">
        <v>2380</v>
      </c>
      <c r="T279" t="s">
        <v>2383</v>
      </c>
      <c r="U279" s="8">
        <v>45945.652800925927</v>
      </c>
      <c r="V279" s="8">
        <v>45950.958333333336</v>
      </c>
      <c r="W279">
        <v>1</v>
      </c>
      <c r="X279">
        <v>2.7963425929999999</v>
      </c>
      <c r="Y279" t="s">
        <v>2579</v>
      </c>
      <c r="Z279" t="s">
        <v>6643</v>
      </c>
      <c r="AA279" t="s">
        <v>1446</v>
      </c>
      <c r="AB279" t="s">
        <v>1278</v>
      </c>
      <c r="AC279" t="s">
        <v>6644</v>
      </c>
      <c r="AD279" t="s">
        <v>2708</v>
      </c>
      <c r="AE279">
        <v>1</v>
      </c>
      <c r="AO279" t="s">
        <v>2388</v>
      </c>
      <c r="AP279" t="s">
        <v>2401</v>
      </c>
    </row>
    <row r="280" spans="1:42">
      <c r="A280" t="s">
        <v>1457</v>
      </c>
      <c r="B280" t="s">
        <v>2389</v>
      </c>
      <c r="C280" t="s">
        <v>2415</v>
      </c>
      <c r="D280" t="s">
        <v>2379</v>
      </c>
      <c r="E280" t="s">
        <v>24</v>
      </c>
      <c r="F280" t="s">
        <v>2588</v>
      </c>
      <c r="G280" t="s">
        <v>24</v>
      </c>
      <c r="H280" t="b">
        <v>1</v>
      </c>
      <c r="I280" s="8">
        <v>45947.592557870368</v>
      </c>
      <c r="J280" t="s">
        <v>2380</v>
      </c>
      <c r="K280">
        <v>1203220</v>
      </c>
      <c r="L280">
        <v>602896</v>
      </c>
      <c r="M280" t="s">
        <v>2381</v>
      </c>
      <c r="P280" t="s">
        <v>3274</v>
      </c>
      <c r="Q280" t="s">
        <v>2383</v>
      </c>
      <c r="R280">
        <v>1</v>
      </c>
      <c r="S280" t="s">
        <v>2380</v>
      </c>
      <c r="T280" t="s">
        <v>2383</v>
      </c>
      <c r="U280" s="8">
        <v>45945.654108796298</v>
      </c>
      <c r="V280" s="8">
        <v>45950.958333333336</v>
      </c>
      <c r="W280">
        <v>1</v>
      </c>
      <c r="X280">
        <v>1.938449074</v>
      </c>
      <c r="Y280" t="s">
        <v>2579</v>
      </c>
      <c r="Z280" t="s">
        <v>6645</v>
      </c>
      <c r="AA280" t="s">
        <v>1446</v>
      </c>
      <c r="AB280" t="s">
        <v>1278</v>
      </c>
      <c r="AC280" t="s">
        <v>6646</v>
      </c>
      <c r="AD280" t="s">
        <v>2708</v>
      </c>
      <c r="AE280">
        <v>1</v>
      </c>
      <c r="AO280" t="s">
        <v>2388</v>
      </c>
      <c r="AP280" t="s">
        <v>2401</v>
      </c>
    </row>
    <row r="281" spans="1:42">
      <c r="A281" t="s">
        <v>1458</v>
      </c>
      <c r="B281" t="s">
        <v>2389</v>
      </c>
      <c r="C281" t="s">
        <v>2390</v>
      </c>
      <c r="D281" t="s">
        <v>2379</v>
      </c>
      <c r="E281" t="s">
        <v>24</v>
      </c>
      <c r="F281" t="s">
        <v>2588</v>
      </c>
      <c r="G281" t="s">
        <v>24</v>
      </c>
      <c r="H281" t="b">
        <v>1</v>
      </c>
      <c r="I281" s="8">
        <v>45948.454872685186</v>
      </c>
      <c r="J281" t="s">
        <v>2380</v>
      </c>
      <c r="L281">
        <v>602896</v>
      </c>
      <c r="M281" t="s">
        <v>2381</v>
      </c>
      <c r="P281" t="s">
        <v>3274</v>
      </c>
      <c r="Q281" t="s">
        <v>2383</v>
      </c>
      <c r="R281">
        <v>1</v>
      </c>
      <c r="S281" t="s">
        <v>2380</v>
      </c>
      <c r="T281" t="s">
        <v>2383</v>
      </c>
      <c r="U281" s="8">
        <v>45945.655891203707</v>
      </c>
      <c r="V281" s="8">
        <v>45950.958333333336</v>
      </c>
      <c r="W281">
        <v>1</v>
      </c>
      <c r="X281">
        <v>2.7989814810000002</v>
      </c>
      <c r="Y281" t="s">
        <v>2579</v>
      </c>
      <c r="Z281" t="s">
        <v>3275</v>
      </c>
      <c r="AA281" t="s">
        <v>1446</v>
      </c>
      <c r="AB281" t="s">
        <v>1278</v>
      </c>
      <c r="AC281" t="s">
        <v>3276</v>
      </c>
      <c r="AE281">
        <v>1</v>
      </c>
      <c r="AO281" t="s">
        <v>2388</v>
      </c>
      <c r="AP281" t="s">
        <v>2401</v>
      </c>
    </row>
    <row r="282" spans="1:42">
      <c r="A282" t="s">
        <v>1455</v>
      </c>
      <c r="B282" t="s">
        <v>2389</v>
      </c>
      <c r="C282" t="s">
        <v>2390</v>
      </c>
      <c r="D282" t="s">
        <v>2379</v>
      </c>
      <c r="E282" t="s">
        <v>24</v>
      </c>
      <c r="F282" t="s">
        <v>2588</v>
      </c>
      <c r="G282" t="s">
        <v>24</v>
      </c>
      <c r="H282" t="b">
        <v>1</v>
      </c>
      <c r="I282" s="8">
        <v>45948.45517361111</v>
      </c>
      <c r="J282" t="s">
        <v>2380</v>
      </c>
      <c r="L282">
        <v>602896</v>
      </c>
      <c r="M282" t="s">
        <v>2381</v>
      </c>
      <c r="P282" t="s">
        <v>3274</v>
      </c>
      <c r="Q282" t="s">
        <v>2383</v>
      </c>
      <c r="R282">
        <v>1</v>
      </c>
      <c r="S282" t="s">
        <v>2380</v>
      </c>
      <c r="T282" t="s">
        <v>2383</v>
      </c>
      <c r="U282" s="8">
        <v>45945.659143518518</v>
      </c>
      <c r="V282" s="8">
        <v>45950.958333333336</v>
      </c>
      <c r="W282">
        <v>1</v>
      </c>
      <c r="X282">
        <v>2.7960300930000002</v>
      </c>
      <c r="Y282" t="s">
        <v>2579</v>
      </c>
      <c r="Z282" t="s">
        <v>3277</v>
      </c>
      <c r="AA282" t="s">
        <v>1446</v>
      </c>
      <c r="AB282" t="s">
        <v>1278</v>
      </c>
      <c r="AC282" t="s">
        <v>3278</v>
      </c>
      <c r="AE282">
        <v>1</v>
      </c>
      <c r="AO282" t="s">
        <v>2388</v>
      </c>
      <c r="AP282" t="s">
        <v>2401</v>
      </c>
    </row>
    <row r="283" spans="1:42">
      <c r="A283" t="s">
        <v>1165</v>
      </c>
      <c r="B283" t="s">
        <v>2377</v>
      </c>
      <c r="C283" t="s">
        <v>2390</v>
      </c>
      <c r="D283" t="s">
        <v>2379</v>
      </c>
      <c r="E283" t="s">
        <v>25</v>
      </c>
      <c r="F283" t="s">
        <v>3891</v>
      </c>
      <c r="G283" t="s">
        <v>25</v>
      </c>
      <c r="H283" t="b">
        <v>1</v>
      </c>
      <c r="I283" s="8">
        <v>45948.399421296293</v>
      </c>
      <c r="J283" t="s">
        <v>2380</v>
      </c>
      <c r="L283">
        <v>603640</v>
      </c>
      <c r="M283" t="s">
        <v>2381</v>
      </c>
      <c r="N283">
        <v>5555</v>
      </c>
      <c r="P283" t="s">
        <v>2704</v>
      </c>
      <c r="Q283" t="s">
        <v>2383</v>
      </c>
      <c r="R283">
        <v>1</v>
      </c>
      <c r="S283" t="s">
        <v>2380</v>
      </c>
      <c r="T283" t="s">
        <v>2383</v>
      </c>
      <c r="U283" s="8">
        <v>45945.661550925928</v>
      </c>
      <c r="V283" s="8">
        <v>45950.958333333336</v>
      </c>
      <c r="W283">
        <v>1</v>
      </c>
      <c r="X283">
        <v>2.73787037</v>
      </c>
      <c r="Y283" t="s">
        <v>3892</v>
      </c>
      <c r="Z283" t="s">
        <v>5071</v>
      </c>
      <c r="AA283" t="s">
        <v>4926</v>
      </c>
      <c r="AB283" t="s">
        <v>1278</v>
      </c>
      <c r="AC283" t="s">
        <v>2746</v>
      </c>
      <c r="AD283" t="s">
        <v>2708</v>
      </c>
      <c r="AE283">
        <v>1</v>
      </c>
      <c r="AO283" t="s">
        <v>2715</v>
      </c>
      <c r="AP283" t="s">
        <v>2401</v>
      </c>
    </row>
    <row r="284" spans="1:42">
      <c r="A284" t="s">
        <v>1454</v>
      </c>
      <c r="B284" t="s">
        <v>2389</v>
      </c>
      <c r="C284" t="s">
        <v>2415</v>
      </c>
      <c r="D284" t="s">
        <v>2379</v>
      </c>
      <c r="E284" t="s">
        <v>307</v>
      </c>
      <c r="F284" t="s">
        <v>2402</v>
      </c>
      <c r="G284" t="s">
        <v>307</v>
      </c>
      <c r="H284" t="b">
        <v>1</v>
      </c>
      <c r="I284" s="8">
        <v>45947.62703703704</v>
      </c>
      <c r="J284" t="s">
        <v>2380</v>
      </c>
      <c r="K284">
        <v>1203233</v>
      </c>
      <c r="L284">
        <v>602659</v>
      </c>
      <c r="M284" t="s">
        <v>2381</v>
      </c>
      <c r="P284" t="s">
        <v>5253</v>
      </c>
      <c r="Q284" t="s">
        <v>2383</v>
      </c>
      <c r="R284">
        <v>1</v>
      </c>
      <c r="S284" t="s">
        <v>2380</v>
      </c>
      <c r="T284" t="s">
        <v>2383</v>
      </c>
      <c r="U284" s="8">
        <v>45945.662407407406</v>
      </c>
      <c r="V284" s="8">
        <v>45950.958333333336</v>
      </c>
      <c r="W284">
        <v>1</v>
      </c>
      <c r="X284">
        <v>1.9646296299999999</v>
      </c>
      <c r="Y284" t="s">
        <v>2403</v>
      </c>
      <c r="Z284" t="s">
        <v>5254</v>
      </c>
      <c r="AA284" t="s">
        <v>1453</v>
      </c>
      <c r="AB284" t="s">
        <v>1278</v>
      </c>
      <c r="AC284" t="s">
        <v>5255</v>
      </c>
      <c r="AD284" t="s">
        <v>2708</v>
      </c>
      <c r="AE284">
        <v>1</v>
      </c>
      <c r="AO284" t="s">
        <v>2408</v>
      </c>
      <c r="AP284" t="s">
        <v>2401</v>
      </c>
    </row>
    <row r="285" spans="1:42">
      <c r="A285" t="s">
        <v>87</v>
      </c>
      <c r="B285" t="s">
        <v>2377</v>
      </c>
      <c r="C285" t="s">
        <v>2390</v>
      </c>
      <c r="D285" t="s">
        <v>2379</v>
      </c>
      <c r="E285" t="s">
        <v>25</v>
      </c>
      <c r="F285" t="s">
        <v>2578</v>
      </c>
      <c r="G285" t="s">
        <v>25</v>
      </c>
      <c r="H285" t="b">
        <v>1</v>
      </c>
      <c r="I285" s="8">
        <v>45948.423773148148</v>
      </c>
      <c r="J285" t="s">
        <v>2380</v>
      </c>
      <c r="L285">
        <v>602931</v>
      </c>
      <c r="M285" t="s">
        <v>2381</v>
      </c>
      <c r="N285">
        <v>10</v>
      </c>
      <c r="P285" t="s">
        <v>7178</v>
      </c>
      <c r="Q285" t="s">
        <v>2383</v>
      </c>
      <c r="R285">
        <v>1</v>
      </c>
      <c r="S285" t="s">
        <v>2380</v>
      </c>
      <c r="T285" t="s">
        <v>2383</v>
      </c>
      <c r="U285" s="8">
        <v>45945.665798611109</v>
      </c>
      <c r="V285" s="8">
        <v>45950.958333333336</v>
      </c>
      <c r="W285">
        <v>1</v>
      </c>
      <c r="X285">
        <v>2.7579745369999999</v>
      </c>
      <c r="Y285" t="s">
        <v>2579</v>
      </c>
      <c r="Z285" t="s">
        <v>7179</v>
      </c>
      <c r="AA285" t="s">
        <v>7180</v>
      </c>
      <c r="AB285" t="s">
        <v>1278</v>
      </c>
      <c r="AC285" t="s">
        <v>2387</v>
      </c>
      <c r="AD285" t="s">
        <v>2708</v>
      </c>
      <c r="AE285">
        <v>1</v>
      </c>
      <c r="AO285" t="s">
        <v>2388</v>
      </c>
      <c r="AP285" t="s">
        <v>2401</v>
      </c>
    </row>
    <row r="286" spans="1:42">
      <c r="A286" t="s">
        <v>1451</v>
      </c>
      <c r="B286" t="s">
        <v>2389</v>
      </c>
      <c r="C286" t="s">
        <v>2390</v>
      </c>
      <c r="D286" t="s">
        <v>2379</v>
      </c>
      <c r="E286" t="s">
        <v>24</v>
      </c>
      <c r="F286" t="s">
        <v>2588</v>
      </c>
      <c r="G286" t="s">
        <v>24</v>
      </c>
      <c r="H286" t="b">
        <v>1</v>
      </c>
      <c r="I286" s="8">
        <v>45948.455462962964</v>
      </c>
      <c r="J286" t="s">
        <v>2380</v>
      </c>
      <c r="L286">
        <v>602896</v>
      </c>
      <c r="M286" t="s">
        <v>2381</v>
      </c>
      <c r="P286" t="s">
        <v>3274</v>
      </c>
      <c r="Q286" t="s">
        <v>2383</v>
      </c>
      <c r="R286">
        <v>1</v>
      </c>
      <c r="S286" t="s">
        <v>2380</v>
      </c>
      <c r="T286" t="s">
        <v>2383</v>
      </c>
      <c r="U286" s="8">
        <v>45945.666886574072</v>
      </c>
      <c r="V286" s="8">
        <v>45950.958333333336</v>
      </c>
      <c r="W286">
        <v>1</v>
      </c>
      <c r="X286">
        <v>2.7885763890000002</v>
      </c>
      <c r="Y286" t="s">
        <v>2579</v>
      </c>
      <c r="Z286" t="s">
        <v>3279</v>
      </c>
      <c r="AA286" t="s">
        <v>1446</v>
      </c>
      <c r="AB286" t="s">
        <v>1278</v>
      </c>
      <c r="AC286" t="s">
        <v>3276</v>
      </c>
      <c r="AE286">
        <v>1</v>
      </c>
      <c r="AO286" t="s">
        <v>2388</v>
      </c>
      <c r="AP286" t="s">
        <v>2401</v>
      </c>
    </row>
    <row r="287" spans="1:42">
      <c r="A287" t="s">
        <v>1450</v>
      </c>
      <c r="B287" t="s">
        <v>2389</v>
      </c>
      <c r="C287" t="s">
        <v>2691</v>
      </c>
      <c r="D287" t="s">
        <v>2379</v>
      </c>
      <c r="E287" t="s">
        <v>25</v>
      </c>
      <c r="F287" t="s">
        <v>3261</v>
      </c>
      <c r="G287" t="s">
        <v>25</v>
      </c>
      <c r="H287" t="b">
        <v>1</v>
      </c>
      <c r="I287" s="8">
        <v>45959.350694444445</v>
      </c>
      <c r="J287" t="s">
        <v>2380</v>
      </c>
      <c r="K287">
        <v>1204843</v>
      </c>
      <c r="L287">
        <v>601294</v>
      </c>
      <c r="M287" t="s">
        <v>2381</v>
      </c>
      <c r="N287">
        <v>5</v>
      </c>
      <c r="P287" t="s">
        <v>4638</v>
      </c>
      <c r="Q287" t="s">
        <v>2383</v>
      </c>
      <c r="R287">
        <v>1</v>
      </c>
      <c r="S287" t="s">
        <v>2380</v>
      </c>
      <c r="T287" t="s">
        <v>2383</v>
      </c>
      <c r="U287" s="8">
        <v>45945.667662037034</v>
      </c>
      <c r="V287" s="8">
        <v>45960.958333333336</v>
      </c>
      <c r="W287">
        <v>1</v>
      </c>
      <c r="X287">
        <v>9.6830324070000007</v>
      </c>
      <c r="Y287" t="s">
        <v>3262</v>
      </c>
      <c r="Z287" t="s">
        <v>9113</v>
      </c>
      <c r="AA287" t="s">
        <v>1435</v>
      </c>
      <c r="AB287" t="s">
        <v>1278</v>
      </c>
      <c r="AC287" t="s">
        <v>9114</v>
      </c>
      <c r="AD287" t="s">
        <v>2708</v>
      </c>
      <c r="AE287">
        <v>1</v>
      </c>
      <c r="AH287" t="s">
        <v>33</v>
      </c>
      <c r="AI287" s="8">
        <v>45958.644907407404</v>
      </c>
      <c r="AK287" t="s">
        <v>2719</v>
      </c>
      <c r="AL287" t="s">
        <v>2719</v>
      </c>
      <c r="AO287" t="s">
        <v>2957</v>
      </c>
      <c r="AP287" t="s">
        <v>2401</v>
      </c>
    </row>
    <row r="288" spans="1:42">
      <c r="A288" t="s">
        <v>946</v>
      </c>
      <c r="B288" t="s">
        <v>2377</v>
      </c>
      <c r="C288" t="s">
        <v>2415</v>
      </c>
      <c r="D288" t="s">
        <v>2379</v>
      </c>
      <c r="E288" t="s">
        <v>25</v>
      </c>
      <c r="F288" t="s">
        <v>3891</v>
      </c>
      <c r="G288" t="s">
        <v>25</v>
      </c>
      <c r="H288" t="b">
        <v>1</v>
      </c>
      <c r="I288" s="8">
        <v>45947.671516203707</v>
      </c>
      <c r="J288" t="s">
        <v>2380</v>
      </c>
      <c r="L288">
        <v>608002</v>
      </c>
      <c r="M288" t="s">
        <v>2381</v>
      </c>
      <c r="N288">
        <v>5</v>
      </c>
      <c r="P288" t="s">
        <v>2704</v>
      </c>
      <c r="Q288" t="s">
        <v>2383</v>
      </c>
      <c r="R288">
        <v>1</v>
      </c>
      <c r="S288" t="s">
        <v>2380</v>
      </c>
      <c r="T288" t="s">
        <v>2383</v>
      </c>
      <c r="U288" s="8">
        <v>45945.673449074071</v>
      </c>
      <c r="V288" s="8">
        <v>45950.958333333336</v>
      </c>
      <c r="W288">
        <v>1</v>
      </c>
      <c r="X288">
        <v>1.9980671299999999</v>
      </c>
      <c r="Y288" t="s">
        <v>3892</v>
      </c>
      <c r="Z288" t="s">
        <v>5064</v>
      </c>
      <c r="AA288" t="s">
        <v>461</v>
      </c>
      <c r="AB288" t="s">
        <v>1278</v>
      </c>
      <c r="AC288" t="s">
        <v>2746</v>
      </c>
      <c r="AD288" t="s">
        <v>2708</v>
      </c>
      <c r="AE288">
        <v>1</v>
      </c>
      <c r="AO288" t="s">
        <v>2715</v>
      </c>
      <c r="AP288" t="s">
        <v>2401</v>
      </c>
    </row>
    <row r="289" spans="1:42">
      <c r="A289" t="s">
        <v>852</v>
      </c>
      <c r="B289" t="s">
        <v>2377</v>
      </c>
      <c r="C289" t="s">
        <v>2378</v>
      </c>
      <c r="D289" t="s">
        <v>2379</v>
      </c>
      <c r="E289" t="s">
        <v>25</v>
      </c>
      <c r="F289" t="s">
        <v>4122</v>
      </c>
      <c r="G289" t="s">
        <v>25</v>
      </c>
      <c r="H289" t="b">
        <v>1</v>
      </c>
      <c r="I289" s="8">
        <v>45951.384745370371</v>
      </c>
      <c r="J289" t="s">
        <v>2380</v>
      </c>
      <c r="L289">
        <v>602334</v>
      </c>
      <c r="M289" t="s">
        <v>2381</v>
      </c>
      <c r="N289">
        <v>15</v>
      </c>
      <c r="P289" t="s">
        <v>8088</v>
      </c>
      <c r="Q289" t="s">
        <v>2383</v>
      </c>
      <c r="R289">
        <v>1</v>
      </c>
      <c r="S289" t="s">
        <v>2380</v>
      </c>
      <c r="T289" t="s">
        <v>2383</v>
      </c>
      <c r="U289" s="8">
        <v>45945.673692129632</v>
      </c>
      <c r="V289" s="8">
        <v>45951.958333333336</v>
      </c>
      <c r="W289">
        <v>1</v>
      </c>
      <c r="X289">
        <v>3.7110532410000001</v>
      </c>
      <c r="Y289" t="s">
        <v>1352</v>
      </c>
      <c r="Z289" t="s">
        <v>8089</v>
      </c>
      <c r="AA289" t="s">
        <v>1288</v>
      </c>
      <c r="AB289" t="s">
        <v>1278</v>
      </c>
      <c r="AC289" t="s">
        <v>8090</v>
      </c>
      <c r="AD289" t="s">
        <v>2708</v>
      </c>
      <c r="AE289">
        <v>1</v>
      </c>
      <c r="AO289" t="s">
        <v>4121</v>
      </c>
      <c r="AP289" t="s">
        <v>2401</v>
      </c>
    </row>
    <row r="290" spans="1:42">
      <c r="A290" t="s">
        <v>1096</v>
      </c>
      <c r="B290" t="s">
        <v>2377</v>
      </c>
      <c r="C290" t="s">
        <v>2390</v>
      </c>
      <c r="D290" t="s">
        <v>2379</v>
      </c>
      <c r="E290" t="s">
        <v>25</v>
      </c>
      <c r="F290">
        <v>4056</v>
      </c>
      <c r="G290" t="s">
        <v>25</v>
      </c>
      <c r="H290" t="b">
        <v>1</v>
      </c>
      <c r="I290" s="8">
        <v>45948.434687499997</v>
      </c>
      <c r="J290" t="s">
        <v>2380</v>
      </c>
      <c r="L290">
        <v>603473</v>
      </c>
      <c r="M290" t="s">
        <v>2381</v>
      </c>
      <c r="N290">
        <v>10</v>
      </c>
      <c r="P290" t="s">
        <v>6782</v>
      </c>
      <c r="Q290" t="s">
        <v>2383</v>
      </c>
      <c r="R290">
        <v>1</v>
      </c>
      <c r="S290" t="s">
        <v>2380</v>
      </c>
      <c r="T290" t="s">
        <v>2383</v>
      </c>
      <c r="U290" s="8">
        <v>45945.674826388888</v>
      </c>
      <c r="V290" s="8">
        <v>45950.958333333336</v>
      </c>
      <c r="W290">
        <v>1</v>
      </c>
      <c r="X290">
        <v>2.7598611110000002</v>
      </c>
      <c r="Y290" t="s">
        <v>3379</v>
      </c>
      <c r="Z290" t="s">
        <v>7181</v>
      </c>
      <c r="AA290" t="s">
        <v>6784</v>
      </c>
      <c r="AB290" t="s">
        <v>1278</v>
      </c>
      <c r="AC290" t="s">
        <v>7182</v>
      </c>
      <c r="AD290" t="s">
        <v>2708</v>
      </c>
      <c r="AE290">
        <v>1</v>
      </c>
      <c r="AO290" t="s">
        <v>2388</v>
      </c>
      <c r="AP290" t="s">
        <v>2401</v>
      </c>
    </row>
    <row r="291" spans="1:42">
      <c r="A291" t="s">
        <v>446</v>
      </c>
      <c r="B291" t="s">
        <v>2377</v>
      </c>
      <c r="C291" t="s">
        <v>2390</v>
      </c>
      <c r="D291" t="s">
        <v>2379</v>
      </c>
      <c r="E291" t="s">
        <v>25</v>
      </c>
      <c r="F291" t="s">
        <v>2627</v>
      </c>
      <c r="G291" t="s">
        <v>25</v>
      </c>
      <c r="H291" t="b">
        <v>1</v>
      </c>
      <c r="I291" s="8">
        <v>45948.382430555554</v>
      </c>
      <c r="J291" t="s">
        <v>2380</v>
      </c>
      <c r="L291">
        <v>603744</v>
      </c>
      <c r="M291" t="s">
        <v>2381</v>
      </c>
      <c r="N291">
        <v>10</v>
      </c>
      <c r="P291" t="s">
        <v>2704</v>
      </c>
      <c r="Q291" t="s">
        <v>2383</v>
      </c>
      <c r="R291">
        <v>1</v>
      </c>
      <c r="S291" t="s">
        <v>2380</v>
      </c>
      <c r="T291" t="s">
        <v>2383</v>
      </c>
      <c r="U291" s="8">
        <v>45945.675393518519</v>
      </c>
      <c r="V291" s="8">
        <v>45950.958333333336</v>
      </c>
      <c r="W291">
        <v>1</v>
      </c>
      <c r="X291">
        <v>2.7070370370000001</v>
      </c>
      <c r="Y291" t="s">
        <v>2628</v>
      </c>
      <c r="Z291" t="s">
        <v>8084</v>
      </c>
      <c r="AA291" t="s">
        <v>1289</v>
      </c>
      <c r="AB291" t="s">
        <v>1278</v>
      </c>
      <c r="AC291" t="s">
        <v>2387</v>
      </c>
      <c r="AD291" t="s">
        <v>2708</v>
      </c>
      <c r="AE291">
        <v>1</v>
      </c>
      <c r="AO291" t="s">
        <v>4121</v>
      </c>
      <c r="AP291" t="s">
        <v>2401</v>
      </c>
    </row>
    <row r="292" spans="1:42">
      <c r="A292" t="s">
        <v>1449</v>
      </c>
      <c r="B292" t="s">
        <v>2389</v>
      </c>
      <c r="C292" t="s">
        <v>2390</v>
      </c>
      <c r="D292" t="s">
        <v>2379</v>
      </c>
      <c r="E292" t="s">
        <v>33</v>
      </c>
      <c r="F292" t="s">
        <v>2725</v>
      </c>
      <c r="G292" t="s">
        <v>33</v>
      </c>
      <c r="H292" t="b">
        <v>1</v>
      </c>
      <c r="I292" s="8">
        <v>45950.493171296293</v>
      </c>
      <c r="J292" t="s">
        <v>2380</v>
      </c>
      <c r="K292">
        <v>1203190</v>
      </c>
      <c r="L292">
        <v>604487</v>
      </c>
      <c r="M292" t="s">
        <v>2381</v>
      </c>
      <c r="P292" t="s">
        <v>9343</v>
      </c>
      <c r="Q292" t="s">
        <v>2395</v>
      </c>
      <c r="R292">
        <v>1</v>
      </c>
      <c r="S292" t="s">
        <v>2380</v>
      </c>
      <c r="T292" t="s">
        <v>2383</v>
      </c>
      <c r="U292" s="8">
        <v>45945.675532407404</v>
      </c>
      <c r="V292" s="8">
        <v>45950.958333333336</v>
      </c>
      <c r="W292">
        <v>1</v>
      </c>
      <c r="X292">
        <v>2.8176388889999999</v>
      </c>
      <c r="Y292" t="s">
        <v>1352</v>
      </c>
      <c r="Z292" t="s">
        <v>9344</v>
      </c>
      <c r="AA292" t="s">
        <v>9345</v>
      </c>
      <c r="AB292" t="s">
        <v>1278</v>
      </c>
      <c r="AC292" t="s">
        <v>9346</v>
      </c>
      <c r="AD292" t="s">
        <v>2708</v>
      </c>
      <c r="AE292">
        <v>1</v>
      </c>
      <c r="AF292">
        <v>2</v>
      </c>
      <c r="AH292" t="s">
        <v>2723</v>
      </c>
      <c r="AI292" s="8">
        <v>45950.487685185188</v>
      </c>
      <c r="AK292" t="s">
        <v>2719</v>
      </c>
      <c r="AL292" t="s">
        <v>2724</v>
      </c>
      <c r="AO292" t="s">
        <v>4137</v>
      </c>
      <c r="AP292" t="s">
        <v>2401</v>
      </c>
    </row>
    <row r="293" spans="1:42">
      <c r="A293" t="s">
        <v>1434</v>
      </c>
      <c r="B293" t="s">
        <v>2389</v>
      </c>
      <c r="C293" t="s">
        <v>2390</v>
      </c>
      <c r="D293" t="s">
        <v>2379</v>
      </c>
      <c r="E293" t="s">
        <v>2452</v>
      </c>
      <c r="F293" t="s">
        <v>4835</v>
      </c>
      <c r="G293" t="s">
        <v>2452</v>
      </c>
      <c r="H293" t="b">
        <v>1</v>
      </c>
      <c r="I293" s="8">
        <v>45951.357118055559</v>
      </c>
      <c r="J293" t="s">
        <v>2380</v>
      </c>
      <c r="K293">
        <v>1203697</v>
      </c>
      <c r="L293">
        <v>601612</v>
      </c>
      <c r="M293" t="s">
        <v>2381</v>
      </c>
      <c r="P293" t="s">
        <v>3637</v>
      </c>
      <c r="Q293" t="s">
        <v>2383</v>
      </c>
      <c r="R293">
        <v>1</v>
      </c>
      <c r="S293" t="s">
        <v>2380</v>
      </c>
      <c r="T293" t="s">
        <v>2383</v>
      </c>
      <c r="U293" s="8">
        <v>45946.425520833334</v>
      </c>
      <c r="V293" s="8">
        <v>45951.958333333336</v>
      </c>
      <c r="W293">
        <v>1</v>
      </c>
      <c r="X293">
        <v>2.9315972220000002</v>
      </c>
      <c r="Y293" t="s">
        <v>2628</v>
      </c>
      <c r="Z293" t="s">
        <v>7846</v>
      </c>
      <c r="AA293" t="s">
        <v>7847</v>
      </c>
      <c r="AB293" t="s">
        <v>1278</v>
      </c>
      <c r="AC293" t="s">
        <v>7848</v>
      </c>
      <c r="AD293" t="s">
        <v>2708</v>
      </c>
      <c r="AE293">
        <v>1</v>
      </c>
      <c r="AO293" t="s">
        <v>2957</v>
      </c>
      <c r="AP293" t="s">
        <v>2401</v>
      </c>
    </row>
    <row r="294" spans="1:42">
      <c r="A294" t="s">
        <v>1109</v>
      </c>
      <c r="B294" t="s">
        <v>2377</v>
      </c>
      <c r="C294" t="s">
        <v>2378</v>
      </c>
      <c r="D294" t="s">
        <v>2379</v>
      </c>
      <c r="E294" t="s">
        <v>33</v>
      </c>
      <c r="F294" t="s">
        <v>2417</v>
      </c>
      <c r="G294" t="s">
        <v>33</v>
      </c>
      <c r="H294" t="b">
        <v>1</v>
      </c>
      <c r="I294" s="8">
        <v>45951.442175925928</v>
      </c>
      <c r="J294" t="s">
        <v>2380</v>
      </c>
      <c r="L294">
        <v>602944</v>
      </c>
      <c r="M294" t="s">
        <v>2381</v>
      </c>
      <c r="P294" t="s">
        <v>2743</v>
      </c>
      <c r="Q294" t="s">
        <v>2383</v>
      </c>
      <c r="R294">
        <v>1</v>
      </c>
      <c r="S294" t="s">
        <v>2380</v>
      </c>
      <c r="T294" t="s">
        <v>2383</v>
      </c>
      <c r="U294" s="8">
        <v>45946.43954861111</v>
      </c>
      <c r="V294" s="8">
        <v>45951.958333333336</v>
      </c>
      <c r="W294">
        <v>1</v>
      </c>
      <c r="X294">
        <v>3.0026273149999998</v>
      </c>
      <c r="Y294" t="s">
        <v>2418</v>
      </c>
      <c r="Z294" t="s">
        <v>5217</v>
      </c>
      <c r="AA294" t="s">
        <v>2745</v>
      </c>
      <c r="AB294" t="s">
        <v>1278</v>
      </c>
      <c r="AC294" t="s">
        <v>3064</v>
      </c>
      <c r="AD294" t="s">
        <v>2708</v>
      </c>
      <c r="AE294">
        <v>1</v>
      </c>
      <c r="AH294" t="s">
        <v>24</v>
      </c>
      <c r="AI294" s="8">
        <v>45951.438136574077</v>
      </c>
      <c r="AK294" t="s">
        <v>2719</v>
      </c>
      <c r="AL294" t="s">
        <v>2719</v>
      </c>
      <c r="AO294" t="s">
        <v>2408</v>
      </c>
      <c r="AP294" t="s">
        <v>2401</v>
      </c>
    </row>
    <row r="295" spans="1:42">
      <c r="A295" t="s">
        <v>1424</v>
      </c>
      <c r="B295" t="s">
        <v>2389</v>
      </c>
      <c r="C295" t="s">
        <v>2378</v>
      </c>
      <c r="D295" t="s">
        <v>2379</v>
      </c>
      <c r="E295" t="s">
        <v>24</v>
      </c>
      <c r="F295" t="s">
        <v>2578</v>
      </c>
      <c r="G295" t="s">
        <v>24</v>
      </c>
      <c r="H295" t="b">
        <v>1</v>
      </c>
      <c r="I295" s="8">
        <v>45951.536539351851</v>
      </c>
      <c r="J295" t="s">
        <v>2380</v>
      </c>
      <c r="L295">
        <v>601544</v>
      </c>
      <c r="M295" t="s">
        <v>2381</v>
      </c>
      <c r="P295" t="s">
        <v>3270</v>
      </c>
      <c r="Q295" t="s">
        <v>2383</v>
      </c>
      <c r="R295">
        <v>1</v>
      </c>
      <c r="S295" t="s">
        <v>2380</v>
      </c>
      <c r="T295" t="s">
        <v>2383</v>
      </c>
      <c r="U295" s="8">
        <v>45946.440509259257</v>
      </c>
      <c r="V295" s="8">
        <v>45951.958333333336</v>
      </c>
      <c r="W295">
        <v>1</v>
      </c>
      <c r="X295">
        <v>3.096030093</v>
      </c>
      <c r="Y295" t="s">
        <v>2579</v>
      </c>
      <c r="Z295" t="s">
        <v>3271</v>
      </c>
      <c r="AA295" t="s">
        <v>3272</v>
      </c>
      <c r="AB295" t="s">
        <v>1278</v>
      </c>
      <c r="AC295" t="s">
        <v>3273</v>
      </c>
      <c r="AE295">
        <v>1</v>
      </c>
      <c r="AO295" t="s">
        <v>2388</v>
      </c>
      <c r="AP295" t="s">
        <v>2401</v>
      </c>
    </row>
    <row r="296" spans="1:42">
      <c r="A296" t="s">
        <v>75</v>
      </c>
      <c r="B296" t="s">
        <v>2377</v>
      </c>
      <c r="C296" t="s">
        <v>2415</v>
      </c>
      <c r="D296" t="s">
        <v>2379</v>
      </c>
      <c r="E296" t="s">
        <v>33</v>
      </c>
      <c r="F296" t="s">
        <v>3261</v>
      </c>
      <c r="G296" t="s">
        <v>33</v>
      </c>
      <c r="H296" t="b">
        <v>1</v>
      </c>
      <c r="I296" s="8">
        <v>45947.60633101852</v>
      </c>
      <c r="J296" t="s">
        <v>2380</v>
      </c>
      <c r="L296">
        <v>602679</v>
      </c>
      <c r="M296" t="s">
        <v>2381</v>
      </c>
      <c r="P296" t="s">
        <v>7909</v>
      </c>
      <c r="Q296" t="s">
        <v>2383</v>
      </c>
      <c r="R296">
        <v>1</v>
      </c>
      <c r="S296" t="s">
        <v>2380</v>
      </c>
      <c r="T296" t="s">
        <v>2383</v>
      </c>
      <c r="U296" s="8">
        <v>45946.448194444441</v>
      </c>
      <c r="V296" s="8">
        <v>45951.958333333336</v>
      </c>
      <c r="W296">
        <v>1</v>
      </c>
      <c r="X296">
        <v>1.158136574</v>
      </c>
      <c r="Y296" t="s">
        <v>3262</v>
      </c>
      <c r="Z296" t="s">
        <v>9075</v>
      </c>
      <c r="AA296" t="s">
        <v>1294</v>
      </c>
      <c r="AB296" t="s">
        <v>1278</v>
      </c>
      <c r="AC296" t="s">
        <v>9076</v>
      </c>
      <c r="AD296" t="s">
        <v>2708</v>
      </c>
      <c r="AE296">
        <v>1</v>
      </c>
      <c r="AH296" t="s">
        <v>24</v>
      </c>
      <c r="AI296" s="8">
        <v>45947.605173611111</v>
      </c>
      <c r="AK296" t="s">
        <v>2719</v>
      </c>
      <c r="AL296" t="s">
        <v>2719</v>
      </c>
      <c r="AO296" t="s">
        <v>2957</v>
      </c>
      <c r="AP296" t="s">
        <v>2401</v>
      </c>
    </row>
    <row r="297" spans="1:42">
      <c r="A297" t="s">
        <v>1421</v>
      </c>
      <c r="B297" t="s">
        <v>2389</v>
      </c>
      <c r="C297" t="s">
        <v>2378</v>
      </c>
      <c r="D297" t="s">
        <v>2379</v>
      </c>
      <c r="E297" t="s">
        <v>25</v>
      </c>
      <c r="F297" t="s">
        <v>2402</v>
      </c>
      <c r="G297" t="s">
        <v>25</v>
      </c>
      <c r="H297" t="b">
        <v>1</v>
      </c>
      <c r="I297" s="8">
        <v>45952.356805555559</v>
      </c>
      <c r="J297" t="s">
        <v>2380</v>
      </c>
      <c r="K297">
        <v>1203891</v>
      </c>
      <c r="L297">
        <v>604414</v>
      </c>
      <c r="M297" t="s">
        <v>2381</v>
      </c>
      <c r="N297">
        <v>5</v>
      </c>
      <c r="P297" t="s">
        <v>2486</v>
      </c>
      <c r="Q297" t="s">
        <v>2395</v>
      </c>
      <c r="R297">
        <v>1</v>
      </c>
      <c r="S297" t="s">
        <v>2380</v>
      </c>
      <c r="T297" t="s">
        <v>2383</v>
      </c>
      <c r="U297" s="8">
        <v>45946.453009259261</v>
      </c>
      <c r="V297" s="8">
        <v>45953.958333333336</v>
      </c>
      <c r="W297">
        <v>1</v>
      </c>
      <c r="X297">
        <v>3.9037962959999999</v>
      </c>
      <c r="Y297" t="s">
        <v>2403</v>
      </c>
      <c r="Z297" t="s">
        <v>9589</v>
      </c>
      <c r="AA297" t="s">
        <v>8202</v>
      </c>
      <c r="AB297" t="s">
        <v>1278</v>
      </c>
      <c r="AC297" t="s">
        <v>9590</v>
      </c>
      <c r="AD297" t="s">
        <v>2708</v>
      </c>
      <c r="AE297">
        <v>1</v>
      </c>
      <c r="AO297" t="s">
        <v>4137</v>
      </c>
      <c r="AP297" t="s">
        <v>2401</v>
      </c>
    </row>
    <row r="298" spans="1:42">
      <c r="A298" t="s">
        <v>958</v>
      </c>
      <c r="B298" t="s">
        <v>2377</v>
      </c>
      <c r="C298" t="s">
        <v>2390</v>
      </c>
      <c r="D298" t="s">
        <v>2379</v>
      </c>
      <c r="E298" t="s">
        <v>33</v>
      </c>
      <c r="F298" t="s">
        <v>3891</v>
      </c>
      <c r="G298" t="s">
        <v>33</v>
      </c>
      <c r="H298" t="b">
        <v>1</v>
      </c>
      <c r="I298" s="8">
        <v>45951.44226851852</v>
      </c>
      <c r="J298" t="s">
        <v>2380</v>
      </c>
      <c r="L298">
        <v>603687</v>
      </c>
      <c r="M298" t="s">
        <v>2381</v>
      </c>
      <c r="P298" t="s">
        <v>2704</v>
      </c>
      <c r="Q298" t="s">
        <v>2383</v>
      </c>
      <c r="R298">
        <v>1</v>
      </c>
      <c r="S298" t="s">
        <v>2380</v>
      </c>
      <c r="T298" t="s">
        <v>2383</v>
      </c>
      <c r="U298" s="8">
        <v>45946.469224537039</v>
      </c>
      <c r="V298" s="8">
        <v>45951.958333333336</v>
      </c>
      <c r="W298">
        <v>1</v>
      </c>
      <c r="X298">
        <v>2.973043981</v>
      </c>
      <c r="Y298" t="s">
        <v>3892</v>
      </c>
      <c r="Z298" t="s">
        <v>9267</v>
      </c>
      <c r="AA298" t="s">
        <v>9268</v>
      </c>
      <c r="AB298" t="s">
        <v>1278</v>
      </c>
      <c r="AC298" t="s">
        <v>2387</v>
      </c>
      <c r="AD298" t="s">
        <v>2708</v>
      </c>
      <c r="AE298">
        <v>1</v>
      </c>
      <c r="AH298" t="s">
        <v>24</v>
      </c>
      <c r="AI298" s="8">
        <v>45951.436203703706</v>
      </c>
      <c r="AK298" t="s">
        <v>2719</v>
      </c>
      <c r="AL298" t="s">
        <v>2719</v>
      </c>
      <c r="AO298" t="s">
        <v>2715</v>
      </c>
      <c r="AP298" t="s">
        <v>2401</v>
      </c>
    </row>
    <row r="299" spans="1:42">
      <c r="A299" t="s">
        <v>964</v>
      </c>
      <c r="B299" t="s">
        <v>2377</v>
      </c>
      <c r="C299" t="s">
        <v>2390</v>
      </c>
      <c r="D299" t="s">
        <v>2379</v>
      </c>
      <c r="E299" t="s">
        <v>33</v>
      </c>
      <c r="F299" t="s">
        <v>3747</v>
      </c>
      <c r="G299" t="s">
        <v>33</v>
      </c>
      <c r="H299" t="b">
        <v>1</v>
      </c>
      <c r="I299" s="8">
        <v>45951.43608796296</v>
      </c>
      <c r="J299" t="s">
        <v>2380</v>
      </c>
      <c r="L299">
        <v>601357</v>
      </c>
      <c r="M299" t="s">
        <v>2381</v>
      </c>
      <c r="P299" t="s">
        <v>2704</v>
      </c>
      <c r="Q299" t="s">
        <v>2383</v>
      </c>
      <c r="R299">
        <v>1</v>
      </c>
      <c r="S299" t="s">
        <v>2380</v>
      </c>
      <c r="T299" t="s">
        <v>2383</v>
      </c>
      <c r="U299" s="8">
        <v>45946.469872685186</v>
      </c>
      <c r="V299" s="8">
        <v>45951.958333333336</v>
      </c>
      <c r="W299">
        <v>1</v>
      </c>
      <c r="X299">
        <v>2.966215278</v>
      </c>
      <c r="Y299" t="s">
        <v>3748</v>
      </c>
      <c r="Z299" t="s">
        <v>9236</v>
      </c>
      <c r="AA299" t="s">
        <v>3762</v>
      </c>
      <c r="AB299" t="s">
        <v>1278</v>
      </c>
      <c r="AC299" t="s">
        <v>2387</v>
      </c>
      <c r="AD299" t="s">
        <v>2708</v>
      </c>
      <c r="AE299">
        <v>1</v>
      </c>
      <c r="AH299" t="s">
        <v>24</v>
      </c>
      <c r="AI299" s="8">
        <v>45951.435127314813</v>
      </c>
      <c r="AK299" t="s">
        <v>2719</v>
      </c>
      <c r="AL299" t="s">
        <v>2719</v>
      </c>
      <c r="AO299" t="s">
        <v>2712</v>
      </c>
      <c r="AP299" t="s">
        <v>2401</v>
      </c>
    </row>
    <row r="300" spans="1:42">
      <c r="A300" t="s">
        <v>1413</v>
      </c>
      <c r="B300" t="s">
        <v>2389</v>
      </c>
      <c r="C300" t="s">
        <v>2378</v>
      </c>
      <c r="D300" t="s">
        <v>2379</v>
      </c>
      <c r="E300" t="s">
        <v>24</v>
      </c>
      <c r="F300" t="s">
        <v>4112</v>
      </c>
      <c r="G300" t="s">
        <v>24</v>
      </c>
      <c r="H300" t="b">
        <v>1</v>
      </c>
      <c r="I300" s="8">
        <v>45951.556030092594</v>
      </c>
      <c r="J300" t="s">
        <v>2380</v>
      </c>
      <c r="K300">
        <v>1203808</v>
      </c>
      <c r="L300">
        <v>606982</v>
      </c>
      <c r="M300" t="s">
        <v>2381</v>
      </c>
      <c r="P300" t="s">
        <v>3896</v>
      </c>
      <c r="Q300" t="s">
        <v>2383</v>
      </c>
      <c r="R300">
        <v>1</v>
      </c>
      <c r="S300" t="s">
        <v>2380</v>
      </c>
      <c r="T300" t="s">
        <v>2383</v>
      </c>
      <c r="U300" s="8">
        <v>45946.471006944441</v>
      </c>
      <c r="V300" s="8">
        <v>45951.958333333336</v>
      </c>
      <c r="W300">
        <v>1</v>
      </c>
      <c r="X300">
        <v>3.0850231479999999</v>
      </c>
      <c r="Y300" t="s">
        <v>3901</v>
      </c>
      <c r="Z300" t="s">
        <v>4955</v>
      </c>
      <c r="AA300" t="s">
        <v>4956</v>
      </c>
      <c r="AB300" t="s">
        <v>1278</v>
      </c>
      <c r="AC300" t="s">
        <v>2802</v>
      </c>
      <c r="AD300" t="s">
        <v>2708</v>
      </c>
      <c r="AE300">
        <v>1</v>
      </c>
      <c r="AO300" t="s">
        <v>2715</v>
      </c>
      <c r="AP300" t="s">
        <v>2401</v>
      </c>
    </row>
    <row r="301" spans="1:42">
      <c r="A301" t="s">
        <v>1137</v>
      </c>
      <c r="B301" t="s">
        <v>2377</v>
      </c>
      <c r="C301" t="s">
        <v>2378</v>
      </c>
      <c r="D301" t="s">
        <v>2379</v>
      </c>
      <c r="E301" t="s">
        <v>18</v>
      </c>
      <c r="F301" t="s">
        <v>3472</v>
      </c>
      <c r="G301" t="s">
        <v>2416</v>
      </c>
      <c r="H301" t="b">
        <v>1</v>
      </c>
      <c r="I301" s="8">
        <v>45951.510671296295</v>
      </c>
      <c r="J301" t="s">
        <v>2380</v>
      </c>
      <c r="L301">
        <v>603685</v>
      </c>
      <c r="M301" t="s">
        <v>2381</v>
      </c>
      <c r="P301" t="s">
        <v>2704</v>
      </c>
      <c r="Q301" t="s">
        <v>2383</v>
      </c>
      <c r="R301">
        <v>1</v>
      </c>
      <c r="S301" t="s">
        <v>2380</v>
      </c>
      <c r="T301" t="s">
        <v>2383</v>
      </c>
      <c r="U301" s="8">
        <v>45946.471898148149</v>
      </c>
      <c r="V301" s="8">
        <v>45951.958333333336</v>
      </c>
      <c r="W301">
        <v>1</v>
      </c>
      <c r="X301">
        <v>3.0387731480000002</v>
      </c>
      <c r="Y301" t="s">
        <v>3473</v>
      </c>
      <c r="Z301" t="s">
        <v>7473</v>
      </c>
      <c r="AA301" t="s">
        <v>1136</v>
      </c>
      <c r="AB301" t="s">
        <v>1278</v>
      </c>
      <c r="AC301" t="s">
        <v>7474</v>
      </c>
      <c r="AD301" t="s">
        <v>2708</v>
      </c>
      <c r="AE301">
        <v>1</v>
      </c>
      <c r="AO301" t="s">
        <v>2957</v>
      </c>
      <c r="AP301" t="s">
        <v>2401</v>
      </c>
    </row>
    <row r="302" spans="1:42">
      <c r="A302" t="s">
        <v>9433</v>
      </c>
      <c r="B302" t="s">
        <v>2389</v>
      </c>
      <c r="C302" t="s">
        <v>2438</v>
      </c>
      <c r="D302" t="s">
        <v>2379</v>
      </c>
      <c r="E302" t="s">
        <v>9431</v>
      </c>
      <c r="F302" t="s">
        <v>8940</v>
      </c>
      <c r="G302" t="s">
        <v>9431</v>
      </c>
      <c r="H302" t="b">
        <v>1</v>
      </c>
      <c r="I302" s="8">
        <v>45946.507881944446</v>
      </c>
      <c r="J302" t="s">
        <v>9432</v>
      </c>
      <c r="L302">
        <v>605564</v>
      </c>
      <c r="M302" t="s">
        <v>2381</v>
      </c>
      <c r="P302" t="s">
        <v>2670</v>
      </c>
      <c r="Q302" t="s">
        <v>2383</v>
      </c>
      <c r="R302">
        <v>1</v>
      </c>
      <c r="S302" t="s">
        <v>9432</v>
      </c>
      <c r="T302" t="s">
        <v>2383</v>
      </c>
      <c r="U302" s="8">
        <v>45946.476701388892</v>
      </c>
      <c r="V302" s="8">
        <v>45951.958333333336</v>
      </c>
      <c r="W302">
        <v>1</v>
      </c>
      <c r="X302">
        <v>3.1180556000000002E-2</v>
      </c>
      <c r="Y302" t="s">
        <v>8941</v>
      </c>
      <c r="Z302" t="s">
        <v>9434</v>
      </c>
      <c r="AA302" t="s">
        <v>8943</v>
      </c>
      <c r="AB302" t="s">
        <v>1278</v>
      </c>
      <c r="AC302" t="s">
        <v>9435</v>
      </c>
      <c r="AE302">
        <v>1</v>
      </c>
      <c r="AO302" t="s">
        <v>2715</v>
      </c>
      <c r="AP302" t="s">
        <v>8931</v>
      </c>
    </row>
    <row r="303" spans="1:42">
      <c r="A303" t="s">
        <v>1403</v>
      </c>
      <c r="B303" t="s">
        <v>2389</v>
      </c>
      <c r="C303" t="s">
        <v>2378</v>
      </c>
      <c r="D303" t="s">
        <v>2379</v>
      </c>
      <c r="E303" t="s">
        <v>25</v>
      </c>
      <c r="F303" t="s">
        <v>2588</v>
      </c>
      <c r="G303" t="s">
        <v>25</v>
      </c>
      <c r="H303" t="b">
        <v>1</v>
      </c>
      <c r="I303" s="8">
        <v>45951.491770833331</v>
      </c>
      <c r="J303" t="s">
        <v>2380</v>
      </c>
      <c r="K303">
        <v>1203767</v>
      </c>
      <c r="L303">
        <v>602568</v>
      </c>
      <c r="M303" t="s">
        <v>2381</v>
      </c>
      <c r="P303" t="s">
        <v>6694</v>
      </c>
      <c r="Q303" t="s">
        <v>2383</v>
      </c>
      <c r="R303">
        <v>1</v>
      </c>
      <c r="S303" t="s">
        <v>2380</v>
      </c>
      <c r="T303" t="s">
        <v>2383</v>
      </c>
      <c r="U303" s="8">
        <v>45946.484120370369</v>
      </c>
      <c r="V303" s="8">
        <v>45954.958333333336</v>
      </c>
      <c r="W303">
        <v>1</v>
      </c>
      <c r="X303">
        <v>3.0076504630000001</v>
      </c>
      <c r="Y303" t="s">
        <v>2579</v>
      </c>
      <c r="Z303" t="s">
        <v>6695</v>
      </c>
      <c r="AA303" t="s">
        <v>6696</v>
      </c>
      <c r="AB303" t="s">
        <v>1278</v>
      </c>
      <c r="AC303" t="s">
        <v>6697</v>
      </c>
      <c r="AD303" t="s">
        <v>2708</v>
      </c>
      <c r="AE303">
        <v>1</v>
      </c>
      <c r="AO303" t="s">
        <v>2388</v>
      </c>
      <c r="AP303" t="s">
        <v>2401</v>
      </c>
    </row>
    <row r="304" spans="1:42">
      <c r="A304" t="s">
        <v>991</v>
      </c>
      <c r="B304" t="s">
        <v>2377</v>
      </c>
      <c r="C304" t="s">
        <v>2378</v>
      </c>
      <c r="D304" t="s">
        <v>2379</v>
      </c>
      <c r="E304" t="s">
        <v>28</v>
      </c>
      <c r="F304" t="s">
        <v>2402</v>
      </c>
      <c r="G304" t="s">
        <v>28</v>
      </c>
      <c r="H304" t="b">
        <v>1</v>
      </c>
      <c r="I304" s="8">
        <v>45951.518368055556</v>
      </c>
      <c r="J304" t="s">
        <v>2380</v>
      </c>
      <c r="L304">
        <v>609797</v>
      </c>
      <c r="M304" t="s">
        <v>2381</v>
      </c>
      <c r="N304">
        <v>15</v>
      </c>
      <c r="P304" t="s">
        <v>2704</v>
      </c>
      <c r="Q304" t="s">
        <v>2383</v>
      </c>
      <c r="R304">
        <v>1</v>
      </c>
      <c r="S304" t="s">
        <v>2380</v>
      </c>
      <c r="T304" t="s">
        <v>2383</v>
      </c>
      <c r="U304" s="8">
        <v>45946.50886574074</v>
      </c>
      <c r="V304" s="8">
        <v>45951.958333333336</v>
      </c>
      <c r="W304">
        <v>1</v>
      </c>
      <c r="X304">
        <v>3.0095023150000002</v>
      </c>
      <c r="Y304" t="s">
        <v>2403</v>
      </c>
      <c r="Z304" t="s">
        <v>5462</v>
      </c>
      <c r="AA304" t="s">
        <v>5463</v>
      </c>
      <c r="AB304" t="s">
        <v>1278</v>
      </c>
      <c r="AC304" t="s">
        <v>4546</v>
      </c>
      <c r="AD304" t="s">
        <v>2708</v>
      </c>
      <c r="AE304">
        <v>1</v>
      </c>
      <c r="AO304" t="s">
        <v>2408</v>
      </c>
      <c r="AP304" t="s">
        <v>2401</v>
      </c>
    </row>
    <row r="305" spans="1:42">
      <c r="A305" t="s">
        <v>1391</v>
      </c>
      <c r="B305" t="s">
        <v>2389</v>
      </c>
      <c r="C305" t="s">
        <v>2390</v>
      </c>
      <c r="D305" t="s">
        <v>2379</v>
      </c>
      <c r="E305" t="s">
        <v>25</v>
      </c>
      <c r="F305" t="s">
        <v>3747</v>
      </c>
      <c r="G305" t="s">
        <v>25</v>
      </c>
      <c r="H305" t="b">
        <v>1</v>
      </c>
      <c r="I305" s="8">
        <v>45950.576898148145</v>
      </c>
      <c r="J305" t="s">
        <v>2380</v>
      </c>
      <c r="K305">
        <v>1203615</v>
      </c>
      <c r="L305">
        <v>606793</v>
      </c>
      <c r="M305" t="s">
        <v>2381</v>
      </c>
      <c r="N305">
        <v>5</v>
      </c>
      <c r="P305" t="s">
        <v>4883</v>
      </c>
      <c r="Q305" t="s">
        <v>2383</v>
      </c>
      <c r="R305">
        <v>1</v>
      </c>
      <c r="S305" t="s">
        <v>2380</v>
      </c>
      <c r="T305" t="s">
        <v>2383</v>
      </c>
      <c r="U305" s="8">
        <v>45946.529895833337</v>
      </c>
      <c r="V305" s="8">
        <v>45951.958333333336</v>
      </c>
      <c r="W305">
        <v>1</v>
      </c>
      <c r="X305">
        <v>2.0470023149999999</v>
      </c>
      <c r="Y305" t="s">
        <v>3748</v>
      </c>
      <c r="Z305" t="s">
        <v>4884</v>
      </c>
      <c r="AA305" t="s">
        <v>4885</v>
      </c>
      <c r="AB305" t="s">
        <v>1278</v>
      </c>
      <c r="AC305" t="s">
        <v>4886</v>
      </c>
      <c r="AD305" t="s">
        <v>2708</v>
      </c>
      <c r="AE305">
        <v>1</v>
      </c>
      <c r="AO305" t="s">
        <v>2712</v>
      </c>
      <c r="AP305" t="s">
        <v>2401</v>
      </c>
    </row>
    <row r="306" spans="1:42">
      <c r="A306" t="s">
        <v>1392</v>
      </c>
      <c r="B306" t="s">
        <v>2389</v>
      </c>
      <c r="C306" t="s">
        <v>2390</v>
      </c>
      <c r="D306" t="s">
        <v>2379</v>
      </c>
      <c r="E306" t="s">
        <v>25</v>
      </c>
      <c r="F306" t="s">
        <v>3747</v>
      </c>
      <c r="G306" t="s">
        <v>25</v>
      </c>
      <c r="H306" t="b">
        <v>1</v>
      </c>
      <c r="I306" s="8">
        <v>45950.579016203701</v>
      </c>
      <c r="J306" t="s">
        <v>2380</v>
      </c>
      <c r="K306">
        <v>1203621</v>
      </c>
      <c r="L306">
        <v>606793</v>
      </c>
      <c r="M306" t="s">
        <v>2381</v>
      </c>
      <c r="N306">
        <v>5</v>
      </c>
      <c r="P306" t="s">
        <v>4883</v>
      </c>
      <c r="Q306" t="s">
        <v>2383</v>
      </c>
      <c r="R306">
        <v>1</v>
      </c>
      <c r="S306" t="s">
        <v>2380</v>
      </c>
      <c r="T306" t="s">
        <v>2383</v>
      </c>
      <c r="U306" s="8">
        <v>45946.532476851855</v>
      </c>
      <c r="V306" s="8">
        <v>45951.958333333336</v>
      </c>
      <c r="W306">
        <v>1</v>
      </c>
      <c r="X306">
        <v>2.0465393519999999</v>
      </c>
      <c r="Y306" t="s">
        <v>3748</v>
      </c>
      <c r="Z306" t="s">
        <v>4887</v>
      </c>
      <c r="AA306" t="s">
        <v>4885</v>
      </c>
      <c r="AB306" t="s">
        <v>1278</v>
      </c>
      <c r="AC306" t="s">
        <v>4886</v>
      </c>
      <c r="AD306" t="s">
        <v>2708</v>
      </c>
      <c r="AE306">
        <v>1</v>
      </c>
      <c r="AO306" t="s">
        <v>2712</v>
      </c>
      <c r="AP306" t="s">
        <v>2401</v>
      </c>
    </row>
    <row r="307" spans="1:42">
      <c r="A307" t="s">
        <v>1390</v>
      </c>
      <c r="B307" t="s">
        <v>2389</v>
      </c>
      <c r="C307" t="s">
        <v>2390</v>
      </c>
      <c r="D307" t="s">
        <v>2379</v>
      </c>
      <c r="E307" t="s">
        <v>33</v>
      </c>
      <c r="F307" t="s">
        <v>2431</v>
      </c>
      <c r="G307" t="s">
        <v>33</v>
      </c>
      <c r="H307" t="b">
        <v>1</v>
      </c>
      <c r="I307" s="8">
        <v>45951.378194444442</v>
      </c>
      <c r="J307" t="s">
        <v>2380</v>
      </c>
      <c r="K307">
        <v>4005563</v>
      </c>
      <c r="L307">
        <v>602631</v>
      </c>
      <c r="M307" t="s">
        <v>2381</v>
      </c>
      <c r="P307" t="s">
        <v>3740</v>
      </c>
      <c r="Q307" t="s">
        <v>2383</v>
      </c>
      <c r="R307">
        <v>1</v>
      </c>
      <c r="S307" t="s">
        <v>2380</v>
      </c>
      <c r="T307" t="s">
        <v>2383</v>
      </c>
      <c r="U307" s="8">
        <v>45946.541250000002</v>
      </c>
      <c r="V307" s="8">
        <v>45951.958333333336</v>
      </c>
      <c r="W307">
        <v>1</v>
      </c>
      <c r="X307">
        <v>2.8369444439999998</v>
      </c>
      <c r="Y307" t="s">
        <v>2433</v>
      </c>
      <c r="Z307" t="s">
        <v>3966</v>
      </c>
      <c r="AA307" t="s">
        <v>1300</v>
      </c>
      <c r="AB307" t="s">
        <v>1278</v>
      </c>
      <c r="AC307" t="s">
        <v>3967</v>
      </c>
      <c r="AD307" t="s">
        <v>2708</v>
      </c>
      <c r="AE307">
        <v>1</v>
      </c>
      <c r="AO307" t="s">
        <v>2720</v>
      </c>
      <c r="AP307" t="s">
        <v>2401</v>
      </c>
    </row>
    <row r="308" spans="1:42">
      <c r="A308" t="s">
        <v>1376</v>
      </c>
      <c r="B308" t="s">
        <v>2389</v>
      </c>
      <c r="C308" t="s">
        <v>2415</v>
      </c>
      <c r="D308" t="s">
        <v>2379</v>
      </c>
      <c r="E308" t="s">
        <v>33</v>
      </c>
      <c r="F308" t="s">
        <v>2578</v>
      </c>
      <c r="G308" t="s">
        <v>33</v>
      </c>
      <c r="H308" t="b">
        <v>1</v>
      </c>
      <c r="I308" s="8">
        <v>45949.597546296296</v>
      </c>
      <c r="J308" t="s">
        <v>2380</v>
      </c>
      <c r="K308">
        <v>1203423</v>
      </c>
      <c r="L308">
        <v>602166</v>
      </c>
      <c r="M308" t="s">
        <v>2381</v>
      </c>
      <c r="P308" t="s">
        <v>3954</v>
      </c>
      <c r="Q308" t="s">
        <v>2383</v>
      </c>
      <c r="R308">
        <v>1</v>
      </c>
      <c r="S308" t="s">
        <v>2380</v>
      </c>
      <c r="T308" t="s">
        <v>2383</v>
      </c>
      <c r="U308" s="8">
        <v>45946.576215277775</v>
      </c>
      <c r="V308" s="8">
        <v>45951.958333333336</v>
      </c>
      <c r="W308">
        <v>1</v>
      </c>
      <c r="X308">
        <v>1.021331019</v>
      </c>
      <c r="Y308" t="s">
        <v>2579</v>
      </c>
      <c r="Z308" t="s">
        <v>3968</v>
      </c>
      <c r="AA308" t="s">
        <v>3956</v>
      </c>
      <c r="AB308" t="s">
        <v>1278</v>
      </c>
      <c r="AC308" t="s">
        <v>3969</v>
      </c>
      <c r="AD308" t="s">
        <v>2708</v>
      </c>
      <c r="AE308">
        <v>1</v>
      </c>
      <c r="AO308" t="s">
        <v>2720</v>
      </c>
      <c r="AP308" t="s">
        <v>2401</v>
      </c>
    </row>
    <row r="309" spans="1:42">
      <c r="A309" t="s">
        <v>1374</v>
      </c>
      <c r="B309" t="s">
        <v>2389</v>
      </c>
      <c r="C309" t="s">
        <v>2390</v>
      </c>
      <c r="D309" t="s">
        <v>2379</v>
      </c>
      <c r="E309" t="s">
        <v>2416</v>
      </c>
      <c r="F309">
        <v>4056</v>
      </c>
      <c r="G309" t="s">
        <v>2416</v>
      </c>
      <c r="H309" t="b">
        <v>1</v>
      </c>
      <c r="I309" s="8">
        <v>45951.549340277779</v>
      </c>
      <c r="J309" t="s">
        <v>2380</v>
      </c>
      <c r="K309">
        <v>1203809</v>
      </c>
      <c r="L309">
        <v>603776</v>
      </c>
      <c r="M309" t="s">
        <v>2381</v>
      </c>
      <c r="P309" t="s">
        <v>4525</v>
      </c>
      <c r="Q309" t="s">
        <v>2383</v>
      </c>
      <c r="R309">
        <v>1</v>
      </c>
      <c r="S309" t="s">
        <v>2380</v>
      </c>
      <c r="T309" t="s">
        <v>2383</v>
      </c>
      <c r="U309" s="8">
        <v>45946.579594907409</v>
      </c>
      <c r="V309" s="8">
        <v>45951.958333333336</v>
      </c>
      <c r="W309">
        <v>1</v>
      </c>
      <c r="X309">
        <v>2.9697453700000001</v>
      </c>
      <c r="Y309" t="s">
        <v>3379</v>
      </c>
      <c r="Z309" t="s">
        <v>7148</v>
      </c>
      <c r="AA309" t="s">
        <v>1373</v>
      </c>
      <c r="AB309" t="s">
        <v>1278</v>
      </c>
      <c r="AC309" t="s">
        <v>7149</v>
      </c>
      <c r="AD309" t="s">
        <v>2708</v>
      </c>
      <c r="AE309">
        <v>1</v>
      </c>
      <c r="AO309" t="s">
        <v>2388</v>
      </c>
      <c r="AP309" t="s">
        <v>2401</v>
      </c>
    </row>
    <row r="310" spans="1:42">
      <c r="A310" t="s">
        <v>1370</v>
      </c>
      <c r="B310" t="s">
        <v>2377</v>
      </c>
      <c r="C310" t="s">
        <v>2378</v>
      </c>
      <c r="D310" t="s">
        <v>2379</v>
      </c>
      <c r="E310" t="s">
        <v>2416</v>
      </c>
      <c r="F310" t="s">
        <v>2627</v>
      </c>
      <c r="G310" t="s">
        <v>2416</v>
      </c>
      <c r="H310" t="b">
        <v>1</v>
      </c>
      <c r="I310" s="8">
        <v>45951.681770833333</v>
      </c>
      <c r="J310" t="s">
        <v>2380</v>
      </c>
      <c r="L310">
        <v>609751</v>
      </c>
      <c r="M310" t="s">
        <v>2381</v>
      </c>
      <c r="P310" t="s">
        <v>7437</v>
      </c>
      <c r="Q310" t="s">
        <v>2383</v>
      </c>
      <c r="R310">
        <v>1</v>
      </c>
      <c r="S310" t="s">
        <v>2380</v>
      </c>
      <c r="T310" t="s">
        <v>2383</v>
      </c>
      <c r="U310" s="8">
        <v>45946.581134259257</v>
      </c>
      <c r="V310" s="8">
        <v>45954.958333333336</v>
      </c>
      <c r="W310">
        <v>1</v>
      </c>
      <c r="X310">
        <v>3.1006365740000001</v>
      </c>
      <c r="Y310" t="s">
        <v>2628</v>
      </c>
      <c r="Z310" t="s">
        <v>7489</v>
      </c>
      <c r="AA310" t="s">
        <v>1369</v>
      </c>
      <c r="AB310" t="s">
        <v>1278</v>
      </c>
      <c r="AC310" t="s">
        <v>7490</v>
      </c>
      <c r="AD310" t="s">
        <v>2708</v>
      </c>
      <c r="AE310">
        <v>1</v>
      </c>
      <c r="AO310" t="s">
        <v>2957</v>
      </c>
      <c r="AP310" t="s">
        <v>2401</v>
      </c>
    </row>
    <row r="311" spans="1:42">
      <c r="A311" t="s">
        <v>856</v>
      </c>
      <c r="B311" t="s">
        <v>2377</v>
      </c>
      <c r="C311" t="s">
        <v>2390</v>
      </c>
      <c r="D311" t="s">
        <v>2379</v>
      </c>
      <c r="E311" t="s">
        <v>28</v>
      </c>
      <c r="F311" t="s">
        <v>3891</v>
      </c>
      <c r="G311" t="s">
        <v>28</v>
      </c>
      <c r="H311" t="b">
        <v>1</v>
      </c>
      <c r="I311" s="8">
        <v>45951.406689814816</v>
      </c>
      <c r="J311" t="s">
        <v>2380</v>
      </c>
      <c r="L311">
        <v>602808</v>
      </c>
      <c r="M311" t="s">
        <v>2381</v>
      </c>
      <c r="N311">
        <v>15</v>
      </c>
      <c r="P311" t="s">
        <v>3896</v>
      </c>
      <c r="Q311" t="s">
        <v>2383</v>
      </c>
      <c r="R311">
        <v>1</v>
      </c>
      <c r="S311" t="s">
        <v>2380</v>
      </c>
      <c r="T311" t="s">
        <v>2383</v>
      </c>
      <c r="U311" s="8">
        <v>45946.587326388886</v>
      </c>
      <c r="V311" s="8">
        <v>45951.958333333336</v>
      </c>
      <c r="W311">
        <v>1</v>
      </c>
      <c r="X311">
        <v>2.8193634259999998</v>
      </c>
      <c r="Y311" t="s">
        <v>3892</v>
      </c>
      <c r="Z311" t="s">
        <v>5049</v>
      </c>
      <c r="AA311" t="s">
        <v>5050</v>
      </c>
      <c r="AB311" t="s">
        <v>1278</v>
      </c>
      <c r="AC311" t="s">
        <v>3076</v>
      </c>
      <c r="AD311" t="s">
        <v>2708</v>
      </c>
      <c r="AE311">
        <v>1</v>
      </c>
      <c r="AO311" t="s">
        <v>2715</v>
      </c>
      <c r="AP311" t="s">
        <v>2401</v>
      </c>
    </row>
    <row r="312" spans="1:42">
      <c r="A312" t="s">
        <v>1363</v>
      </c>
      <c r="B312" t="s">
        <v>2389</v>
      </c>
      <c r="C312" t="s">
        <v>2390</v>
      </c>
      <c r="D312" t="s">
        <v>2379</v>
      </c>
      <c r="E312" t="s">
        <v>2452</v>
      </c>
      <c r="F312" t="s">
        <v>2417</v>
      </c>
      <c r="G312" t="s">
        <v>2452</v>
      </c>
      <c r="H312" t="b">
        <v>1</v>
      </c>
      <c r="I312" s="8">
        <v>45951.360960648148</v>
      </c>
      <c r="J312" t="s">
        <v>2380</v>
      </c>
      <c r="K312">
        <v>1203699</v>
      </c>
      <c r="L312">
        <v>602712</v>
      </c>
      <c r="M312" t="s">
        <v>2381</v>
      </c>
      <c r="P312" t="s">
        <v>3096</v>
      </c>
      <c r="Q312" t="s">
        <v>2383</v>
      </c>
      <c r="R312">
        <v>1</v>
      </c>
      <c r="S312" t="s">
        <v>2380</v>
      </c>
      <c r="T312" t="s">
        <v>2383</v>
      </c>
      <c r="U312" s="8">
        <v>45946.592800925922</v>
      </c>
      <c r="V312" s="8">
        <v>45951.958333333336</v>
      </c>
      <c r="W312">
        <v>1</v>
      </c>
      <c r="X312">
        <v>2.768159722</v>
      </c>
      <c r="Y312" t="s">
        <v>2418</v>
      </c>
      <c r="Z312" t="s">
        <v>5609</v>
      </c>
      <c r="AA312" t="s">
        <v>3099</v>
      </c>
      <c r="AB312" t="s">
        <v>1278</v>
      </c>
      <c r="AC312" t="s">
        <v>5610</v>
      </c>
      <c r="AD312" t="s">
        <v>2708</v>
      </c>
      <c r="AE312">
        <v>1</v>
      </c>
      <c r="AO312" t="s">
        <v>2540</v>
      </c>
      <c r="AP312" t="s">
        <v>2401</v>
      </c>
    </row>
    <row r="313" spans="1:42">
      <c r="A313" t="s">
        <v>1108</v>
      </c>
      <c r="B313" t="s">
        <v>2377</v>
      </c>
      <c r="C313" t="s">
        <v>2415</v>
      </c>
      <c r="D313" t="s">
        <v>2379</v>
      </c>
      <c r="E313" t="s">
        <v>33</v>
      </c>
      <c r="F313" t="s">
        <v>2588</v>
      </c>
      <c r="G313" t="s">
        <v>33</v>
      </c>
      <c r="H313" t="b">
        <v>1</v>
      </c>
      <c r="I313" s="8">
        <v>45950.496620370373</v>
      </c>
      <c r="J313" t="s">
        <v>2380</v>
      </c>
      <c r="L313">
        <v>603616</v>
      </c>
      <c r="M313" t="s">
        <v>2381</v>
      </c>
      <c r="P313" t="s">
        <v>2704</v>
      </c>
      <c r="Q313" t="s">
        <v>2383</v>
      </c>
      <c r="R313">
        <v>1</v>
      </c>
      <c r="S313" t="s">
        <v>2380</v>
      </c>
      <c r="T313" t="s">
        <v>2383</v>
      </c>
      <c r="U313" s="8">
        <v>45946.609097222223</v>
      </c>
      <c r="V313" s="8">
        <v>45951.958333333336</v>
      </c>
      <c r="W313">
        <v>1</v>
      </c>
      <c r="X313">
        <v>1.8875231480000001</v>
      </c>
      <c r="Y313" t="s">
        <v>2579</v>
      </c>
      <c r="Z313" t="s">
        <v>9372</v>
      </c>
      <c r="AA313" t="s">
        <v>3643</v>
      </c>
      <c r="AB313" t="s">
        <v>1278</v>
      </c>
      <c r="AC313" t="s">
        <v>2387</v>
      </c>
      <c r="AD313" t="s">
        <v>2708</v>
      </c>
      <c r="AE313">
        <v>1</v>
      </c>
      <c r="AF313">
        <v>5</v>
      </c>
      <c r="AH313" t="s">
        <v>2723</v>
      </c>
      <c r="AI313" s="8">
        <v>45950.494652777779</v>
      </c>
      <c r="AK313" t="s">
        <v>2719</v>
      </c>
      <c r="AL313" t="s">
        <v>2724</v>
      </c>
      <c r="AO313" t="s">
        <v>3644</v>
      </c>
      <c r="AP313" t="s">
        <v>2401</v>
      </c>
    </row>
    <row r="314" spans="1:42">
      <c r="A314" t="s">
        <v>793</v>
      </c>
      <c r="B314" t="s">
        <v>2377</v>
      </c>
      <c r="C314" t="s">
        <v>2691</v>
      </c>
      <c r="D314" t="s">
        <v>2379</v>
      </c>
      <c r="E314" t="s">
        <v>28</v>
      </c>
      <c r="F314" t="s">
        <v>2431</v>
      </c>
      <c r="G314" t="s">
        <v>28</v>
      </c>
      <c r="H314" t="b">
        <v>1</v>
      </c>
      <c r="I314" s="8">
        <v>45954.592361111114</v>
      </c>
      <c r="J314" t="s">
        <v>2380</v>
      </c>
      <c r="L314">
        <v>603299</v>
      </c>
      <c r="M314" t="s">
        <v>2381</v>
      </c>
      <c r="N314">
        <v>25</v>
      </c>
      <c r="P314" t="s">
        <v>2704</v>
      </c>
      <c r="Q314" t="s">
        <v>2383</v>
      </c>
      <c r="R314">
        <v>1</v>
      </c>
      <c r="S314" t="s">
        <v>2380</v>
      </c>
      <c r="T314" t="s">
        <v>2383</v>
      </c>
      <c r="U314" s="8">
        <v>45946.611238425925</v>
      </c>
      <c r="V314" s="8">
        <v>45954.958333333336</v>
      </c>
      <c r="W314">
        <v>1</v>
      </c>
      <c r="X314">
        <v>5.9811226849999999</v>
      </c>
      <c r="Y314" t="s">
        <v>2433</v>
      </c>
      <c r="Z314" t="s">
        <v>3981</v>
      </c>
      <c r="AA314" t="s">
        <v>3726</v>
      </c>
      <c r="AB314" t="s">
        <v>1278</v>
      </c>
      <c r="AC314" t="s">
        <v>3982</v>
      </c>
      <c r="AD314" t="s">
        <v>2708</v>
      </c>
      <c r="AE314">
        <v>1</v>
      </c>
      <c r="AO314" t="s">
        <v>2720</v>
      </c>
      <c r="AP314" t="s">
        <v>2401</v>
      </c>
    </row>
    <row r="315" spans="1:42">
      <c r="A315" t="s">
        <v>1354</v>
      </c>
      <c r="B315" t="s">
        <v>2377</v>
      </c>
      <c r="C315" t="s">
        <v>2415</v>
      </c>
      <c r="D315" t="s">
        <v>2379</v>
      </c>
      <c r="E315" t="s">
        <v>24</v>
      </c>
      <c r="F315" t="s">
        <v>2417</v>
      </c>
      <c r="G315" t="s">
        <v>24</v>
      </c>
      <c r="H315" t="b">
        <v>1</v>
      </c>
      <c r="I315" s="8">
        <v>45948.441435185188</v>
      </c>
      <c r="J315" t="s">
        <v>2380</v>
      </c>
      <c r="L315">
        <v>603965</v>
      </c>
      <c r="M315" t="s">
        <v>2381</v>
      </c>
      <c r="P315" t="s">
        <v>2704</v>
      </c>
      <c r="Q315" t="s">
        <v>2383</v>
      </c>
      <c r="R315">
        <v>1</v>
      </c>
      <c r="S315" t="s">
        <v>2380</v>
      </c>
      <c r="T315" t="s">
        <v>2383</v>
      </c>
      <c r="U315" s="8">
        <v>45946.613275462965</v>
      </c>
      <c r="V315" s="8">
        <v>45951.958333333336</v>
      </c>
      <c r="W315">
        <v>1</v>
      </c>
      <c r="X315">
        <v>1.8281597220000001</v>
      </c>
      <c r="Y315" t="s">
        <v>2418</v>
      </c>
      <c r="Z315" t="s">
        <v>10142</v>
      </c>
      <c r="AA315" t="s">
        <v>1591</v>
      </c>
      <c r="AB315" t="s">
        <v>1278</v>
      </c>
      <c r="AC315" t="s">
        <v>2387</v>
      </c>
      <c r="AE315">
        <v>1</v>
      </c>
      <c r="AO315" t="s">
        <v>4121</v>
      </c>
      <c r="AP315" t="s">
        <v>2401</v>
      </c>
    </row>
    <row r="316" spans="1:42">
      <c r="A316" t="s">
        <v>1353</v>
      </c>
      <c r="B316" t="s">
        <v>2389</v>
      </c>
      <c r="C316" t="s">
        <v>2415</v>
      </c>
      <c r="D316" t="s">
        <v>2379</v>
      </c>
      <c r="E316" t="s">
        <v>25</v>
      </c>
      <c r="F316" t="s">
        <v>2417</v>
      </c>
      <c r="G316" t="s">
        <v>25</v>
      </c>
      <c r="H316" t="b">
        <v>1</v>
      </c>
      <c r="I316" s="8">
        <v>45950.608159722222</v>
      </c>
      <c r="J316" t="s">
        <v>2380</v>
      </c>
      <c r="K316">
        <v>1203639</v>
      </c>
      <c r="L316">
        <v>604444</v>
      </c>
      <c r="M316" t="s">
        <v>2381</v>
      </c>
      <c r="N316">
        <v>5</v>
      </c>
      <c r="P316" t="s">
        <v>9343</v>
      </c>
      <c r="Q316" t="s">
        <v>2395</v>
      </c>
      <c r="R316">
        <v>1</v>
      </c>
      <c r="S316" t="s">
        <v>2380</v>
      </c>
      <c r="T316" t="s">
        <v>2383</v>
      </c>
      <c r="U316" s="8">
        <v>45946.615682870368</v>
      </c>
      <c r="V316" s="8">
        <v>45951.958333333336</v>
      </c>
      <c r="W316">
        <v>1</v>
      </c>
      <c r="X316">
        <v>1.992476852</v>
      </c>
      <c r="Y316" t="s">
        <v>2418</v>
      </c>
      <c r="Z316" t="s">
        <v>9591</v>
      </c>
      <c r="AA316" t="s">
        <v>9569</v>
      </c>
      <c r="AB316" t="s">
        <v>1278</v>
      </c>
      <c r="AC316" t="s">
        <v>9592</v>
      </c>
      <c r="AD316" t="s">
        <v>2708</v>
      </c>
      <c r="AE316">
        <v>1</v>
      </c>
      <c r="AO316" t="s">
        <v>4137</v>
      </c>
      <c r="AP316" t="s">
        <v>2401</v>
      </c>
    </row>
    <row r="317" spans="1:42">
      <c r="A317" t="s">
        <v>1349</v>
      </c>
      <c r="B317" t="s">
        <v>2389</v>
      </c>
      <c r="C317" t="s">
        <v>2415</v>
      </c>
      <c r="D317" t="s">
        <v>2379</v>
      </c>
      <c r="E317" t="s">
        <v>307</v>
      </c>
      <c r="F317" t="s">
        <v>2402</v>
      </c>
      <c r="G317" t="s">
        <v>307</v>
      </c>
      <c r="H317" t="b">
        <v>1</v>
      </c>
      <c r="I317" s="8">
        <v>45948.566608796296</v>
      </c>
      <c r="J317" t="s">
        <v>2380</v>
      </c>
      <c r="K317">
        <v>1203419</v>
      </c>
      <c r="L317">
        <v>609844</v>
      </c>
      <c r="M317" t="s">
        <v>2381</v>
      </c>
      <c r="P317" t="s">
        <v>2486</v>
      </c>
      <c r="Q317" t="s">
        <v>2383</v>
      </c>
      <c r="R317">
        <v>1</v>
      </c>
      <c r="S317" t="s">
        <v>2380</v>
      </c>
      <c r="T317" t="s">
        <v>2383</v>
      </c>
      <c r="U317" s="8">
        <v>45946.626377314817</v>
      </c>
      <c r="V317" s="8">
        <v>45951.958333333336</v>
      </c>
      <c r="W317">
        <v>1</v>
      </c>
      <c r="X317">
        <v>1.9402314810000001</v>
      </c>
      <c r="Y317" t="s">
        <v>2403</v>
      </c>
      <c r="Z317" t="s">
        <v>5259</v>
      </c>
      <c r="AA317" t="s">
        <v>5260</v>
      </c>
      <c r="AB317" t="s">
        <v>1278</v>
      </c>
      <c r="AC317" t="s">
        <v>5261</v>
      </c>
      <c r="AD317" t="s">
        <v>2708</v>
      </c>
      <c r="AE317">
        <v>1</v>
      </c>
      <c r="AO317" t="s">
        <v>2408</v>
      </c>
      <c r="AP317" t="s">
        <v>2401</v>
      </c>
    </row>
    <row r="318" spans="1:42">
      <c r="A318" t="s">
        <v>458</v>
      </c>
      <c r="B318" t="s">
        <v>2377</v>
      </c>
      <c r="C318" t="s">
        <v>2415</v>
      </c>
      <c r="D318" t="s">
        <v>2379</v>
      </c>
      <c r="E318" t="s">
        <v>24</v>
      </c>
      <c r="F318" t="s">
        <v>2417</v>
      </c>
      <c r="G318" t="s">
        <v>24</v>
      </c>
      <c r="H318" t="b">
        <v>1</v>
      </c>
      <c r="I318" s="8">
        <v>45948.552951388891</v>
      </c>
      <c r="J318" t="s">
        <v>2380</v>
      </c>
      <c r="L318">
        <v>605179</v>
      </c>
      <c r="M318" t="s">
        <v>2381</v>
      </c>
      <c r="P318" t="s">
        <v>4153</v>
      </c>
      <c r="Q318" t="s">
        <v>2383</v>
      </c>
      <c r="R318">
        <v>1</v>
      </c>
      <c r="S318" t="s">
        <v>2380</v>
      </c>
      <c r="T318" t="s">
        <v>2383</v>
      </c>
      <c r="U318" s="8">
        <v>45946.627685185187</v>
      </c>
      <c r="V318" s="8">
        <v>45951.958333333336</v>
      </c>
      <c r="W318">
        <v>1</v>
      </c>
      <c r="X318">
        <v>1.9252662039999999</v>
      </c>
      <c r="Y318" t="s">
        <v>2418</v>
      </c>
      <c r="Z318" t="s">
        <v>4154</v>
      </c>
      <c r="AA318" t="s">
        <v>1348</v>
      </c>
      <c r="AB318" t="s">
        <v>1278</v>
      </c>
      <c r="AC318" t="s">
        <v>4155</v>
      </c>
      <c r="AD318" t="s">
        <v>2708</v>
      </c>
      <c r="AE318">
        <v>1</v>
      </c>
      <c r="AO318" t="s">
        <v>2408</v>
      </c>
      <c r="AP318" t="s">
        <v>2401</v>
      </c>
    </row>
    <row r="319" spans="1:42">
      <c r="A319" t="s">
        <v>1346</v>
      </c>
      <c r="B319" t="s">
        <v>2377</v>
      </c>
      <c r="C319" t="s">
        <v>2438</v>
      </c>
      <c r="D319" t="s">
        <v>2379</v>
      </c>
      <c r="E319" t="s">
        <v>33</v>
      </c>
      <c r="F319" t="s">
        <v>2588</v>
      </c>
      <c r="G319" t="s">
        <v>2723</v>
      </c>
      <c r="H319" t="b">
        <v>1</v>
      </c>
      <c r="I319" s="8">
        <v>45947.425659722219</v>
      </c>
      <c r="J319" t="s">
        <v>2380</v>
      </c>
      <c r="L319">
        <v>609697</v>
      </c>
      <c r="M319" t="s">
        <v>2381</v>
      </c>
      <c r="P319" t="s">
        <v>3673</v>
      </c>
      <c r="Q319" t="s">
        <v>2383</v>
      </c>
      <c r="R319">
        <v>1</v>
      </c>
      <c r="S319" t="s">
        <v>2380</v>
      </c>
      <c r="T319" t="s">
        <v>2383</v>
      </c>
      <c r="U319" s="8">
        <v>45946.632199074076</v>
      </c>
      <c r="V319" s="8">
        <v>45951.958333333336</v>
      </c>
      <c r="W319">
        <v>1</v>
      </c>
      <c r="X319">
        <v>0.79346064800000005</v>
      </c>
      <c r="Y319" t="s">
        <v>2579</v>
      </c>
      <c r="Z319" t="s">
        <v>3674</v>
      </c>
      <c r="AA319" t="s">
        <v>3675</v>
      </c>
      <c r="AB319" t="s">
        <v>1278</v>
      </c>
      <c r="AC319" t="s">
        <v>3676</v>
      </c>
      <c r="AE319">
        <v>1</v>
      </c>
      <c r="AO319" t="s">
        <v>3644</v>
      </c>
      <c r="AP319" t="s">
        <v>2401</v>
      </c>
    </row>
    <row r="320" spans="1:42">
      <c r="A320" t="s">
        <v>987</v>
      </c>
      <c r="B320" t="s">
        <v>2377</v>
      </c>
      <c r="C320" t="s">
        <v>2390</v>
      </c>
      <c r="D320" t="s">
        <v>2379</v>
      </c>
      <c r="E320" t="s">
        <v>18</v>
      </c>
      <c r="F320" t="s">
        <v>3500</v>
      </c>
      <c r="G320" t="s">
        <v>2416</v>
      </c>
      <c r="H320" t="b">
        <v>1</v>
      </c>
      <c r="I320" s="8">
        <v>45950.721307870372</v>
      </c>
      <c r="J320" t="s">
        <v>2380</v>
      </c>
      <c r="L320">
        <v>609865</v>
      </c>
      <c r="M320" t="s">
        <v>2381</v>
      </c>
      <c r="P320" t="s">
        <v>4661</v>
      </c>
      <c r="Q320" t="s">
        <v>2383</v>
      </c>
      <c r="R320">
        <v>1</v>
      </c>
      <c r="S320" t="s">
        <v>2380</v>
      </c>
      <c r="T320" t="s">
        <v>2383</v>
      </c>
      <c r="U320" s="8">
        <v>45946.638749999998</v>
      </c>
      <c r="V320" s="8">
        <v>45951.958333333336</v>
      </c>
      <c r="W320">
        <v>1</v>
      </c>
      <c r="X320">
        <v>2.08255787</v>
      </c>
      <c r="Y320" t="s">
        <v>3501</v>
      </c>
      <c r="Z320" t="s">
        <v>7486</v>
      </c>
      <c r="AA320" t="s">
        <v>7487</v>
      </c>
      <c r="AB320" t="s">
        <v>1278</v>
      </c>
      <c r="AC320" t="s">
        <v>7488</v>
      </c>
      <c r="AD320" t="s">
        <v>2708</v>
      </c>
      <c r="AE320">
        <v>1</v>
      </c>
      <c r="AO320" t="s">
        <v>2957</v>
      </c>
      <c r="AP320" t="s">
        <v>2401</v>
      </c>
    </row>
    <row r="321" spans="1:42">
      <c r="A321" t="s">
        <v>460</v>
      </c>
      <c r="B321" t="s">
        <v>2377</v>
      </c>
      <c r="C321" t="s">
        <v>2415</v>
      </c>
      <c r="D321" t="s">
        <v>2379</v>
      </c>
      <c r="E321" t="s">
        <v>24</v>
      </c>
      <c r="F321" t="s">
        <v>2409</v>
      </c>
      <c r="G321" t="s">
        <v>24</v>
      </c>
      <c r="H321" t="b">
        <v>1</v>
      </c>
      <c r="I321" s="8">
        <v>45948.561793981484</v>
      </c>
      <c r="J321" t="s">
        <v>2380</v>
      </c>
      <c r="L321">
        <v>603109</v>
      </c>
      <c r="M321" t="s">
        <v>2381</v>
      </c>
      <c r="P321" t="s">
        <v>4159</v>
      </c>
      <c r="Q321" t="s">
        <v>2383</v>
      </c>
      <c r="R321">
        <v>1</v>
      </c>
      <c r="S321" t="s">
        <v>2380</v>
      </c>
      <c r="T321" t="s">
        <v>2383</v>
      </c>
      <c r="U321" s="8">
        <v>45946.651122685187</v>
      </c>
      <c r="V321" s="8">
        <v>45951.958333333336</v>
      </c>
      <c r="W321">
        <v>1</v>
      </c>
      <c r="X321">
        <v>1.9106712960000001</v>
      </c>
      <c r="Y321" t="s">
        <v>2410</v>
      </c>
      <c r="Z321" t="s">
        <v>4160</v>
      </c>
      <c r="AA321" t="s">
        <v>1305</v>
      </c>
      <c r="AB321" t="s">
        <v>1278</v>
      </c>
      <c r="AC321" t="s">
        <v>4161</v>
      </c>
      <c r="AD321" t="s">
        <v>2708</v>
      </c>
      <c r="AE321">
        <v>1</v>
      </c>
      <c r="AO321" t="s">
        <v>2408</v>
      </c>
      <c r="AP321" t="s">
        <v>2401</v>
      </c>
    </row>
    <row r="322" spans="1:42">
      <c r="A322" t="s">
        <v>456</v>
      </c>
      <c r="B322" t="s">
        <v>2377</v>
      </c>
      <c r="C322" t="s">
        <v>2415</v>
      </c>
      <c r="D322" t="s">
        <v>2379</v>
      </c>
      <c r="E322" t="s">
        <v>24</v>
      </c>
      <c r="F322" t="s">
        <v>3500</v>
      </c>
      <c r="G322" t="s">
        <v>24</v>
      </c>
      <c r="H322" t="b">
        <v>1</v>
      </c>
      <c r="I322" s="8">
        <v>45948.547835648147</v>
      </c>
      <c r="J322" t="s">
        <v>2380</v>
      </c>
      <c r="L322">
        <v>609897</v>
      </c>
      <c r="M322" t="s">
        <v>2381</v>
      </c>
      <c r="P322" t="s">
        <v>4661</v>
      </c>
      <c r="Q322" t="s">
        <v>2383</v>
      </c>
      <c r="R322">
        <v>1</v>
      </c>
      <c r="S322" t="s">
        <v>2380</v>
      </c>
      <c r="T322" t="s">
        <v>2383</v>
      </c>
      <c r="U322" s="8">
        <v>45946.653587962966</v>
      </c>
      <c r="V322" s="8">
        <v>45951.958333333336</v>
      </c>
      <c r="W322">
        <v>1</v>
      </c>
      <c r="X322">
        <v>1.8942476850000001</v>
      </c>
      <c r="Y322" t="s">
        <v>3501</v>
      </c>
      <c r="Z322" t="s">
        <v>7421</v>
      </c>
      <c r="AA322" t="s">
        <v>7422</v>
      </c>
      <c r="AB322" t="s">
        <v>1278</v>
      </c>
      <c r="AC322" t="s">
        <v>7423</v>
      </c>
      <c r="AD322" t="s">
        <v>2708</v>
      </c>
      <c r="AE322">
        <v>1</v>
      </c>
      <c r="AO322" t="s">
        <v>2957</v>
      </c>
      <c r="AP322" t="s">
        <v>2401</v>
      </c>
    </row>
    <row r="323" spans="1:42">
      <c r="A323" t="s">
        <v>1321</v>
      </c>
      <c r="B323" t="s">
        <v>2377</v>
      </c>
      <c r="C323" t="s">
        <v>2390</v>
      </c>
      <c r="D323" t="s">
        <v>2379</v>
      </c>
      <c r="E323" t="s">
        <v>24</v>
      </c>
      <c r="F323" t="s">
        <v>3445</v>
      </c>
      <c r="G323" t="s">
        <v>33</v>
      </c>
      <c r="H323" t="b">
        <v>1</v>
      </c>
      <c r="I323" s="8">
        <v>45951.669803240744</v>
      </c>
      <c r="J323" t="s">
        <v>2380</v>
      </c>
      <c r="L323">
        <v>603970</v>
      </c>
      <c r="M323" t="s">
        <v>2381</v>
      </c>
      <c r="P323" t="s">
        <v>4125</v>
      </c>
      <c r="Q323" t="s">
        <v>2383</v>
      </c>
      <c r="R323">
        <v>1</v>
      </c>
      <c r="S323" t="s">
        <v>2380</v>
      </c>
      <c r="T323" t="s">
        <v>2383</v>
      </c>
      <c r="U323" s="8">
        <v>45946.682314814818</v>
      </c>
      <c r="V323" s="8">
        <v>45951.958333333336</v>
      </c>
      <c r="W323">
        <v>1</v>
      </c>
      <c r="X323">
        <v>2.9874884260000001</v>
      </c>
      <c r="Y323" t="s">
        <v>4126</v>
      </c>
      <c r="Z323" t="s">
        <v>4127</v>
      </c>
      <c r="AA323" t="s">
        <v>2306</v>
      </c>
      <c r="AB323" t="s">
        <v>1278</v>
      </c>
      <c r="AC323" t="s">
        <v>2746</v>
      </c>
      <c r="AE323">
        <v>1</v>
      </c>
      <c r="AF323">
        <v>2</v>
      </c>
      <c r="AH323" t="s">
        <v>2723</v>
      </c>
      <c r="AI323" s="8">
        <v>45951.667118055557</v>
      </c>
      <c r="AK323" t="s">
        <v>2719</v>
      </c>
      <c r="AL323" t="s">
        <v>2724</v>
      </c>
      <c r="AO323" t="s">
        <v>2957</v>
      </c>
      <c r="AP323" t="s">
        <v>2401</v>
      </c>
    </row>
    <row r="324" spans="1:42">
      <c r="A324" t="s">
        <v>1318</v>
      </c>
      <c r="B324" t="s">
        <v>2389</v>
      </c>
      <c r="C324" t="s">
        <v>2438</v>
      </c>
      <c r="D324" t="s">
        <v>2379</v>
      </c>
      <c r="E324" t="s">
        <v>33</v>
      </c>
      <c r="F324" t="s">
        <v>2588</v>
      </c>
      <c r="G324" t="s">
        <v>33</v>
      </c>
      <c r="H324" t="b">
        <v>1</v>
      </c>
      <c r="I324" s="8">
        <v>45949.61923611111</v>
      </c>
      <c r="J324" t="s">
        <v>2380</v>
      </c>
      <c r="K324">
        <v>1203426</v>
      </c>
      <c r="L324">
        <v>609697</v>
      </c>
      <c r="M324" t="s">
        <v>2381</v>
      </c>
      <c r="P324" t="s">
        <v>3673</v>
      </c>
      <c r="Q324" t="s">
        <v>2383</v>
      </c>
      <c r="R324">
        <v>1</v>
      </c>
      <c r="S324" t="s">
        <v>2380</v>
      </c>
      <c r="T324" t="s">
        <v>2383</v>
      </c>
      <c r="U324" s="8">
        <v>45946.692361111112</v>
      </c>
      <c r="V324" s="8">
        <v>45951.958333333336</v>
      </c>
      <c r="W324">
        <v>1</v>
      </c>
      <c r="X324">
        <v>0.926875</v>
      </c>
      <c r="Y324" t="s">
        <v>2579</v>
      </c>
      <c r="Z324" t="s">
        <v>9843</v>
      </c>
      <c r="AA324" t="s">
        <v>3675</v>
      </c>
      <c r="AB324" t="s">
        <v>1278</v>
      </c>
      <c r="AC324" t="s">
        <v>9844</v>
      </c>
      <c r="AD324" t="s">
        <v>2708</v>
      </c>
      <c r="AE324">
        <v>1</v>
      </c>
      <c r="AO324" t="s">
        <v>3644</v>
      </c>
      <c r="AP324" t="s">
        <v>2401</v>
      </c>
    </row>
    <row r="325" spans="1:42">
      <c r="A325" t="s">
        <v>477</v>
      </c>
      <c r="B325" t="s">
        <v>2377</v>
      </c>
      <c r="C325" t="s">
        <v>2390</v>
      </c>
      <c r="D325" t="s">
        <v>2379</v>
      </c>
      <c r="E325" t="s">
        <v>18</v>
      </c>
      <c r="F325" t="s">
        <v>2402</v>
      </c>
      <c r="G325" t="s">
        <v>2416</v>
      </c>
      <c r="H325" t="b">
        <v>1</v>
      </c>
      <c r="I325" s="8">
        <v>45951.461226851854</v>
      </c>
      <c r="J325" t="s">
        <v>2380</v>
      </c>
      <c r="L325">
        <v>606934</v>
      </c>
      <c r="M325" t="s">
        <v>2381</v>
      </c>
      <c r="P325" t="s">
        <v>2966</v>
      </c>
      <c r="Q325" t="s">
        <v>2383</v>
      </c>
      <c r="R325">
        <v>1</v>
      </c>
      <c r="S325" t="s">
        <v>2380</v>
      </c>
      <c r="T325" t="s">
        <v>2383</v>
      </c>
      <c r="U325" s="8">
        <v>45946.703194444446</v>
      </c>
      <c r="V325" s="8">
        <v>45951.958333333336</v>
      </c>
      <c r="W325">
        <v>1</v>
      </c>
      <c r="X325">
        <v>2.758032407</v>
      </c>
      <c r="Y325" t="s">
        <v>2403</v>
      </c>
      <c r="Z325" t="s">
        <v>4175</v>
      </c>
      <c r="AA325" t="s">
        <v>1312</v>
      </c>
      <c r="AB325" t="s">
        <v>1278</v>
      </c>
      <c r="AC325" t="s">
        <v>4176</v>
      </c>
      <c r="AD325" t="s">
        <v>2708</v>
      </c>
      <c r="AE325">
        <v>1</v>
      </c>
      <c r="AO325" t="s">
        <v>2408</v>
      </c>
      <c r="AP325" t="s">
        <v>2401</v>
      </c>
    </row>
    <row r="326" spans="1:42">
      <c r="A326" t="s">
        <v>1311</v>
      </c>
      <c r="B326" t="s">
        <v>2389</v>
      </c>
      <c r="C326" t="s">
        <v>2390</v>
      </c>
      <c r="D326" t="s">
        <v>2379</v>
      </c>
      <c r="E326" t="s">
        <v>2452</v>
      </c>
      <c r="F326" t="s">
        <v>2578</v>
      </c>
      <c r="G326" t="s">
        <v>2452</v>
      </c>
      <c r="H326" t="b">
        <v>1</v>
      </c>
      <c r="I326" s="8">
        <v>45951.365856481483</v>
      </c>
      <c r="J326" t="s">
        <v>2380</v>
      </c>
      <c r="L326">
        <v>609810</v>
      </c>
      <c r="M326" t="s">
        <v>2381</v>
      </c>
      <c r="P326" t="s">
        <v>3423</v>
      </c>
      <c r="Q326" t="s">
        <v>2383</v>
      </c>
      <c r="R326">
        <v>1</v>
      </c>
      <c r="S326" t="s">
        <v>2380</v>
      </c>
      <c r="T326" t="s">
        <v>2383</v>
      </c>
      <c r="U326" s="8">
        <v>45946.726423611108</v>
      </c>
      <c r="V326" s="8">
        <v>45951.958333333336</v>
      </c>
      <c r="W326">
        <v>1</v>
      </c>
      <c r="X326">
        <v>2.6394328699999998</v>
      </c>
      <c r="Y326" t="s">
        <v>2579</v>
      </c>
      <c r="Z326" t="s">
        <v>3424</v>
      </c>
      <c r="AA326" t="s">
        <v>2645</v>
      </c>
      <c r="AB326" t="s">
        <v>1278</v>
      </c>
      <c r="AC326" t="s">
        <v>2646</v>
      </c>
      <c r="AE326">
        <v>1</v>
      </c>
      <c r="AO326" t="s">
        <v>2388</v>
      </c>
      <c r="AP326" t="s">
        <v>2401</v>
      </c>
    </row>
    <row r="327" spans="1:42">
      <c r="A327" t="s">
        <v>1310</v>
      </c>
      <c r="B327" t="s">
        <v>2389</v>
      </c>
      <c r="C327" t="s">
        <v>2415</v>
      </c>
      <c r="D327" t="s">
        <v>2379</v>
      </c>
      <c r="E327" t="s">
        <v>25</v>
      </c>
      <c r="F327" t="s">
        <v>2627</v>
      </c>
      <c r="G327" t="s">
        <v>25</v>
      </c>
      <c r="H327" t="b">
        <v>1</v>
      </c>
      <c r="I327" s="8">
        <v>45950.68072916667</v>
      </c>
      <c r="J327" t="s">
        <v>2380</v>
      </c>
      <c r="K327">
        <v>1203689</v>
      </c>
      <c r="L327">
        <v>609739</v>
      </c>
      <c r="M327" t="s">
        <v>2381</v>
      </c>
      <c r="N327">
        <v>5</v>
      </c>
      <c r="P327" t="s">
        <v>9623</v>
      </c>
      <c r="Q327" t="s">
        <v>2383</v>
      </c>
      <c r="R327">
        <v>1</v>
      </c>
      <c r="S327" t="s">
        <v>2380</v>
      </c>
      <c r="T327" t="s">
        <v>2383</v>
      </c>
      <c r="U327" s="8">
        <v>45946.831666666665</v>
      </c>
      <c r="V327" s="8">
        <v>45951.958333333336</v>
      </c>
      <c r="W327">
        <v>1</v>
      </c>
      <c r="X327">
        <v>1.8490625000000001</v>
      </c>
      <c r="Y327" t="s">
        <v>2628</v>
      </c>
      <c r="Z327" t="s">
        <v>9624</v>
      </c>
      <c r="AA327" t="s">
        <v>8549</v>
      </c>
      <c r="AB327" t="s">
        <v>1278</v>
      </c>
      <c r="AC327" t="s">
        <v>9625</v>
      </c>
      <c r="AD327" t="s">
        <v>2708</v>
      </c>
      <c r="AE327">
        <v>1</v>
      </c>
      <c r="AO327" t="s">
        <v>3586</v>
      </c>
      <c r="AP327" t="s">
        <v>2401</v>
      </c>
    </row>
    <row r="328" spans="1:42">
      <c r="A328" t="s">
        <v>2775</v>
      </c>
      <c r="B328" t="s">
        <v>2389</v>
      </c>
      <c r="C328" t="s">
        <v>2378</v>
      </c>
      <c r="D328" t="s">
        <v>2379</v>
      </c>
      <c r="E328" t="s">
        <v>24</v>
      </c>
      <c r="F328" t="s">
        <v>2417</v>
      </c>
      <c r="G328" t="s">
        <v>24</v>
      </c>
      <c r="H328" t="b">
        <v>1</v>
      </c>
      <c r="I328" s="8">
        <v>45952.591886574075</v>
      </c>
      <c r="J328" t="s">
        <v>2380</v>
      </c>
      <c r="L328">
        <v>603709</v>
      </c>
      <c r="M328" t="s">
        <v>2381</v>
      </c>
      <c r="P328" t="s">
        <v>2774</v>
      </c>
      <c r="Q328" t="s">
        <v>2383</v>
      </c>
      <c r="R328">
        <v>1</v>
      </c>
      <c r="S328" t="s">
        <v>2380</v>
      </c>
      <c r="T328" t="s">
        <v>2383</v>
      </c>
      <c r="U328" s="8">
        <v>45947.349965277775</v>
      </c>
      <c r="V328" s="8">
        <v>45952.958333333336</v>
      </c>
      <c r="W328">
        <v>1</v>
      </c>
      <c r="X328">
        <v>3.2419212960000001</v>
      </c>
      <c r="Y328" t="s">
        <v>2418</v>
      </c>
      <c r="Z328" t="s">
        <v>2776</v>
      </c>
      <c r="AA328" t="s">
        <v>2777</v>
      </c>
      <c r="AB328" t="s">
        <v>1278</v>
      </c>
      <c r="AC328" t="s">
        <v>2778</v>
      </c>
      <c r="AE328">
        <v>1</v>
      </c>
      <c r="AO328" t="s">
        <v>2408</v>
      </c>
      <c r="AP328" t="s">
        <v>2401</v>
      </c>
    </row>
    <row r="329" spans="1:42">
      <c r="A329" t="s">
        <v>716</v>
      </c>
      <c r="B329" t="s">
        <v>2377</v>
      </c>
      <c r="C329" t="s">
        <v>2438</v>
      </c>
      <c r="D329" t="s">
        <v>2379</v>
      </c>
      <c r="E329" t="s">
        <v>25</v>
      </c>
      <c r="F329" t="s">
        <v>3900</v>
      </c>
      <c r="G329" t="s">
        <v>25</v>
      </c>
      <c r="H329" t="b">
        <v>1</v>
      </c>
      <c r="I329" s="8">
        <v>45947.42728009259</v>
      </c>
      <c r="J329" t="s">
        <v>2380</v>
      </c>
      <c r="L329">
        <v>609069</v>
      </c>
      <c r="M329" t="s">
        <v>2381</v>
      </c>
      <c r="N329">
        <v>10</v>
      </c>
      <c r="P329" t="s">
        <v>2704</v>
      </c>
      <c r="Q329" t="s">
        <v>2383</v>
      </c>
      <c r="R329">
        <v>1</v>
      </c>
      <c r="S329" t="s">
        <v>2380</v>
      </c>
      <c r="T329" t="s">
        <v>2383</v>
      </c>
      <c r="U329" s="8">
        <v>45947.369479166664</v>
      </c>
      <c r="V329" s="8">
        <v>45952.958333333336</v>
      </c>
      <c r="W329">
        <v>1</v>
      </c>
      <c r="X329">
        <v>5.7800926000000002E-2</v>
      </c>
      <c r="Y329" t="s">
        <v>3901</v>
      </c>
      <c r="Z329" t="s">
        <v>5027</v>
      </c>
      <c r="AA329" t="s">
        <v>3904</v>
      </c>
      <c r="AB329" t="s">
        <v>1278</v>
      </c>
      <c r="AC329" t="s">
        <v>2387</v>
      </c>
      <c r="AD329" t="s">
        <v>2708</v>
      </c>
      <c r="AE329">
        <v>1</v>
      </c>
      <c r="AO329" t="s">
        <v>2715</v>
      </c>
      <c r="AP329" t="s">
        <v>2401</v>
      </c>
    </row>
    <row r="330" spans="1:42">
      <c r="A330" t="s">
        <v>966</v>
      </c>
      <c r="B330" t="s">
        <v>2377</v>
      </c>
      <c r="C330" t="s">
        <v>2378</v>
      </c>
      <c r="D330" t="s">
        <v>2379</v>
      </c>
      <c r="E330" t="s">
        <v>33</v>
      </c>
      <c r="F330" t="s">
        <v>2402</v>
      </c>
      <c r="G330" t="s">
        <v>33</v>
      </c>
      <c r="H330" t="b">
        <v>1</v>
      </c>
      <c r="I330" s="8">
        <v>45952.413194444445</v>
      </c>
      <c r="J330" t="s">
        <v>2380</v>
      </c>
      <c r="L330">
        <v>606934</v>
      </c>
      <c r="M330" t="s">
        <v>2381</v>
      </c>
      <c r="P330" t="s">
        <v>2966</v>
      </c>
      <c r="Q330" t="s">
        <v>2383</v>
      </c>
      <c r="R330">
        <v>1</v>
      </c>
      <c r="S330" t="s">
        <v>2380</v>
      </c>
      <c r="T330" t="s">
        <v>2383</v>
      </c>
      <c r="U330" s="8">
        <v>45947.371562499997</v>
      </c>
      <c r="V330" s="8">
        <v>45952.958333333336</v>
      </c>
      <c r="W330">
        <v>1</v>
      </c>
      <c r="X330">
        <v>3.0416319440000001</v>
      </c>
      <c r="Y330" t="s">
        <v>2403</v>
      </c>
      <c r="Z330" t="s">
        <v>9306</v>
      </c>
      <c r="AA330" t="s">
        <v>1312</v>
      </c>
      <c r="AB330" t="s">
        <v>1278</v>
      </c>
      <c r="AC330" t="s">
        <v>9307</v>
      </c>
      <c r="AD330" t="s">
        <v>2708</v>
      </c>
      <c r="AE330">
        <v>1</v>
      </c>
      <c r="AF330">
        <v>2</v>
      </c>
      <c r="AH330" t="s">
        <v>2723</v>
      </c>
      <c r="AI330" s="8">
        <v>45952.403807870367</v>
      </c>
      <c r="AK330" t="s">
        <v>2719</v>
      </c>
      <c r="AL330" t="s">
        <v>2724</v>
      </c>
      <c r="AO330" t="s">
        <v>2408</v>
      </c>
      <c r="AP330" t="s">
        <v>2401</v>
      </c>
    </row>
    <row r="331" spans="1:42">
      <c r="A331" t="s">
        <v>444</v>
      </c>
      <c r="B331" t="s">
        <v>2377</v>
      </c>
      <c r="C331" t="s">
        <v>2438</v>
      </c>
      <c r="D331" t="s">
        <v>2379</v>
      </c>
      <c r="E331" t="s">
        <v>25</v>
      </c>
      <c r="F331" t="s">
        <v>3747</v>
      </c>
      <c r="G331" t="s">
        <v>25</v>
      </c>
      <c r="H331" t="b">
        <v>1</v>
      </c>
      <c r="I331" s="8">
        <v>45947.433981481481</v>
      </c>
      <c r="J331" t="s">
        <v>2380</v>
      </c>
      <c r="L331">
        <v>601649</v>
      </c>
      <c r="M331" t="s">
        <v>2381</v>
      </c>
      <c r="N331">
        <v>10</v>
      </c>
      <c r="P331" t="s">
        <v>2704</v>
      </c>
      <c r="Q331" t="s">
        <v>2383</v>
      </c>
      <c r="R331">
        <v>1</v>
      </c>
      <c r="S331" t="s">
        <v>2380</v>
      </c>
      <c r="T331" t="s">
        <v>2383</v>
      </c>
      <c r="U331" s="8">
        <v>45947.372662037036</v>
      </c>
      <c r="V331" s="8">
        <v>45952.958333333336</v>
      </c>
      <c r="W331">
        <v>1</v>
      </c>
      <c r="X331">
        <v>6.1319444000000001E-2</v>
      </c>
      <c r="Y331" t="s">
        <v>3748</v>
      </c>
      <c r="Z331" t="s">
        <v>4103</v>
      </c>
      <c r="AA331" t="s">
        <v>4104</v>
      </c>
      <c r="AB331" t="s">
        <v>1278</v>
      </c>
      <c r="AC331" t="s">
        <v>2387</v>
      </c>
      <c r="AD331" t="s">
        <v>2708</v>
      </c>
      <c r="AE331">
        <v>1</v>
      </c>
      <c r="AO331" t="s">
        <v>2712</v>
      </c>
      <c r="AP331" t="s">
        <v>2401</v>
      </c>
    </row>
    <row r="332" spans="1:42">
      <c r="A332" t="s">
        <v>720</v>
      </c>
      <c r="B332" t="s">
        <v>2377</v>
      </c>
      <c r="C332" t="s">
        <v>2438</v>
      </c>
      <c r="D332" t="s">
        <v>2379</v>
      </c>
      <c r="E332" t="s">
        <v>25</v>
      </c>
      <c r="F332" t="s">
        <v>3301</v>
      </c>
      <c r="G332" t="s">
        <v>25</v>
      </c>
      <c r="H332" t="b">
        <v>1</v>
      </c>
      <c r="I332" s="8">
        <v>45947.446562500001</v>
      </c>
      <c r="J332" t="s">
        <v>2380</v>
      </c>
      <c r="L332">
        <v>606875</v>
      </c>
      <c r="M332" t="s">
        <v>2381</v>
      </c>
      <c r="N332">
        <v>15</v>
      </c>
      <c r="P332" t="s">
        <v>2704</v>
      </c>
      <c r="Q332" t="s">
        <v>2383</v>
      </c>
      <c r="R332">
        <v>1</v>
      </c>
      <c r="S332" t="s">
        <v>2380</v>
      </c>
      <c r="T332" t="s">
        <v>2383</v>
      </c>
      <c r="U332" s="8">
        <v>45947.373472222222</v>
      </c>
      <c r="V332" s="8">
        <v>45952.958333333336</v>
      </c>
      <c r="W332">
        <v>1</v>
      </c>
      <c r="X332">
        <v>7.3090277999999995E-2</v>
      </c>
      <c r="Y332" t="s">
        <v>3302</v>
      </c>
      <c r="Z332" t="s">
        <v>7916</v>
      </c>
      <c r="AA332" t="s">
        <v>3470</v>
      </c>
      <c r="AB332" t="s">
        <v>1278</v>
      </c>
      <c r="AC332" t="s">
        <v>2387</v>
      </c>
      <c r="AD332" t="s">
        <v>2708</v>
      </c>
      <c r="AE332">
        <v>1</v>
      </c>
      <c r="AO332" t="s">
        <v>2957</v>
      </c>
      <c r="AP332" t="s">
        <v>2401</v>
      </c>
    </row>
    <row r="333" spans="1:42">
      <c r="A333" t="s">
        <v>1208</v>
      </c>
      <c r="B333" t="s">
        <v>2377</v>
      </c>
      <c r="C333" t="s">
        <v>2691</v>
      </c>
      <c r="D333" t="s">
        <v>2379</v>
      </c>
      <c r="E333" t="s">
        <v>24</v>
      </c>
      <c r="F333" t="s">
        <v>2477</v>
      </c>
      <c r="G333" t="s">
        <v>24</v>
      </c>
      <c r="H333" t="b">
        <v>1</v>
      </c>
      <c r="I333" s="8">
        <v>45958.491863425923</v>
      </c>
      <c r="J333" t="s">
        <v>2380</v>
      </c>
      <c r="L333">
        <v>603341</v>
      </c>
      <c r="M333" t="s">
        <v>2381</v>
      </c>
      <c r="P333" t="s">
        <v>4162</v>
      </c>
      <c r="Q333" t="s">
        <v>2383</v>
      </c>
      <c r="R333">
        <v>1</v>
      </c>
      <c r="S333" t="s">
        <v>2380</v>
      </c>
      <c r="T333" t="s">
        <v>2383</v>
      </c>
      <c r="U333" s="8">
        <v>45947.377986111111</v>
      </c>
      <c r="V333" s="8">
        <v>45961.958333333336</v>
      </c>
      <c r="W333">
        <v>1</v>
      </c>
      <c r="X333">
        <v>7.1138773149999999</v>
      </c>
      <c r="Y333" t="s">
        <v>2403</v>
      </c>
      <c r="Z333" t="s">
        <v>4163</v>
      </c>
      <c r="AA333" t="s">
        <v>2480</v>
      </c>
      <c r="AB333" t="s">
        <v>1278</v>
      </c>
      <c r="AC333" t="s">
        <v>4164</v>
      </c>
      <c r="AD333" t="s">
        <v>2708</v>
      </c>
      <c r="AE333">
        <v>1</v>
      </c>
      <c r="AO333" t="s">
        <v>2408</v>
      </c>
      <c r="AP333" t="s">
        <v>2401</v>
      </c>
    </row>
    <row r="334" spans="1:42">
      <c r="A334" t="s">
        <v>1139</v>
      </c>
      <c r="B334" t="s">
        <v>2377</v>
      </c>
      <c r="C334" t="s">
        <v>2390</v>
      </c>
      <c r="D334" t="s">
        <v>2379</v>
      </c>
      <c r="E334" t="s">
        <v>25</v>
      </c>
      <c r="F334" t="s">
        <v>4122</v>
      </c>
      <c r="G334" t="s">
        <v>25</v>
      </c>
      <c r="H334" t="b">
        <v>1</v>
      </c>
      <c r="I334" s="8">
        <v>45951.515127314815</v>
      </c>
      <c r="J334" t="s">
        <v>2380</v>
      </c>
      <c r="L334">
        <v>602823</v>
      </c>
      <c r="M334" t="s">
        <v>2381</v>
      </c>
      <c r="N334">
        <v>15</v>
      </c>
      <c r="P334" t="s">
        <v>8091</v>
      </c>
      <c r="Q334" t="s">
        <v>2383</v>
      </c>
      <c r="R334">
        <v>1</v>
      </c>
      <c r="S334" t="s">
        <v>2380</v>
      </c>
      <c r="T334" t="s">
        <v>2383</v>
      </c>
      <c r="U334" s="8">
        <v>45947.383460648147</v>
      </c>
      <c r="V334" s="8">
        <v>45952.958333333336</v>
      </c>
      <c r="W334">
        <v>1</v>
      </c>
      <c r="X334">
        <v>2.1316666670000002</v>
      </c>
      <c r="Y334" t="s">
        <v>1352</v>
      </c>
      <c r="Z334" t="s">
        <v>8092</v>
      </c>
      <c r="AA334" t="s">
        <v>8093</v>
      </c>
      <c r="AB334" t="s">
        <v>1278</v>
      </c>
      <c r="AC334" t="s">
        <v>8094</v>
      </c>
      <c r="AD334" t="s">
        <v>2708</v>
      </c>
      <c r="AE334">
        <v>1</v>
      </c>
      <c r="AO334" t="s">
        <v>4121</v>
      </c>
      <c r="AP334" t="s">
        <v>2401</v>
      </c>
    </row>
    <row r="335" spans="1:42">
      <c r="A335" t="s">
        <v>728</v>
      </c>
      <c r="B335" t="s">
        <v>2377</v>
      </c>
      <c r="C335" t="s">
        <v>2415</v>
      </c>
      <c r="D335" t="s">
        <v>2379</v>
      </c>
      <c r="E335" t="s">
        <v>24</v>
      </c>
      <c r="F335" t="s">
        <v>3500</v>
      </c>
      <c r="G335" t="s">
        <v>24</v>
      </c>
      <c r="H335" t="b">
        <v>1</v>
      </c>
      <c r="I335" s="8">
        <v>45948.505729166667</v>
      </c>
      <c r="J335" t="s">
        <v>2380</v>
      </c>
      <c r="L335">
        <v>609897</v>
      </c>
      <c r="M335" t="s">
        <v>2381</v>
      </c>
      <c r="P335" t="s">
        <v>4661</v>
      </c>
      <c r="Q335" t="s">
        <v>2383</v>
      </c>
      <c r="R335">
        <v>1</v>
      </c>
      <c r="S335" t="s">
        <v>2380</v>
      </c>
      <c r="T335" t="s">
        <v>2383</v>
      </c>
      <c r="U335" s="8">
        <v>45947.408888888887</v>
      </c>
      <c r="V335" s="8">
        <v>45952.958333333336</v>
      </c>
      <c r="W335">
        <v>1</v>
      </c>
      <c r="X335">
        <v>1.0968402779999999</v>
      </c>
      <c r="Y335" t="s">
        <v>3501</v>
      </c>
      <c r="Z335" t="s">
        <v>7424</v>
      </c>
      <c r="AA335" t="s">
        <v>7422</v>
      </c>
      <c r="AB335" t="s">
        <v>1278</v>
      </c>
      <c r="AC335" t="s">
        <v>7423</v>
      </c>
      <c r="AD335" t="s">
        <v>2708</v>
      </c>
      <c r="AE335">
        <v>1</v>
      </c>
      <c r="AO335" t="s">
        <v>2957</v>
      </c>
      <c r="AP335" t="s">
        <v>2401</v>
      </c>
    </row>
    <row r="336" spans="1:42">
      <c r="A336" t="s">
        <v>1141</v>
      </c>
      <c r="B336" t="s">
        <v>2377</v>
      </c>
      <c r="C336" t="s">
        <v>2390</v>
      </c>
      <c r="D336" t="s">
        <v>2379</v>
      </c>
      <c r="E336" t="s">
        <v>25</v>
      </c>
      <c r="F336" t="s">
        <v>2578</v>
      </c>
      <c r="G336" t="s">
        <v>25</v>
      </c>
      <c r="H336" t="b">
        <v>1</v>
      </c>
      <c r="I336" s="8">
        <v>45951.520208333335</v>
      </c>
      <c r="J336" t="s">
        <v>2380</v>
      </c>
      <c r="L336">
        <v>605011</v>
      </c>
      <c r="M336" t="s">
        <v>2381</v>
      </c>
      <c r="N336">
        <v>10</v>
      </c>
      <c r="P336" t="s">
        <v>3415</v>
      </c>
      <c r="Q336" t="s">
        <v>2383</v>
      </c>
      <c r="R336">
        <v>1</v>
      </c>
      <c r="S336" t="s">
        <v>2380</v>
      </c>
      <c r="T336" t="s">
        <v>2383</v>
      </c>
      <c r="U336" s="8">
        <v>45947.409259259257</v>
      </c>
      <c r="V336" s="8">
        <v>45952.958333333336</v>
      </c>
      <c r="W336">
        <v>1</v>
      </c>
      <c r="X336">
        <v>2.1109490740000001</v>
      </c>
      <c r="Y336" t="s">
        <v>2579</v>
      </c>
      <c r="Z336" t="s">
        <v>7187</v>
      </c>
      <c r="AA336" t="s">
        <v>1764</v>
      </c>
      <c r="AB336" t="s">
        <v>1278</v>
      </c>
      <c r="AC336" t="s">
        <v>7188</v>
      </c>
      <c r="AD336" t="s">
        <v>2708</v>
      </c>
      <c r="AE336">
        <v>1</v>
      </c>
      <c r="AO336" t="s">
        <v>2388</v>
      </c>
      <c r="AP336" t="s">
        <v>2401</v>
      </c>
    </row>
    <row r="337" spans="1:42">
      <c r="A337" t="s">
        <v>77</v>
      </c>
      <c r="B337" t="s">
        <v>2377</v>
      </c>
      <c r="C337" t="s">
        <v>2438</v>
      </c>
      <c r="D337" t="s">
        <v>2379</v>
      </c>
      <c r="E337" t="s">
        <v>33</v>
      </c>
      <c r="F337" t="s">
        <v>3891</v>
      </c>
      <c r="G337" t="s">
        <v>33</v>
      </c>
      <c r="H337" t="b">
        <v>1</v>
      </c>
      <c r="I337" s="8">
        <v>45947.637511574074</v>
      </c>
      <c r="J337" t="s">
        <v>2380</v>
      </c>
      <c r="L337">
        <v>603835</v>
      </c>
      <c r="M337" t="s">
        <v>2381</v>
      </c>
      <c r="P337" t="s">
        <v>2704</v>
      </c>
      <c r="Q337" t="s">
        <v>2383</v>
      </c>
      <c r="R337">
        <v>1</v>
      </c>
      <c r="S337" t="s">
        <v>2380</v>
      </c>
      <c r="T337" t="s">
        <v>2383</v>
      </c>
      <c r="U337" s="8">
        <v>45947.417326388888</v>
      </c>
      <c r="V337" s="8">
        <v>45952.958333333336</v>
      </c>
      <c r="W337">
        <v>1</v>
      </c>
      <c r="X337">
        <v>0.22018518500000001</v>
      </c>
      <c r="Y337" t="s">
        <v>3892</v>
      </c>
      <c r="Z337" t="s">
        <v>5185</v>
      </c>
      <c r="AA337" t="s">
        <v>3844</v>
      </c>
      <c r="AB337" t="s">
        <v>1278</v>
      </c>
      <c r="AC337" t="s">
        <v>5186</v>
      </c>
      <c r="AD337" t="s">
        <v>2708</v>
      </c>
      <c r="AE337">
        <v>1</v>
      </c>
      <c r="AH337" t="s">
        <v>24</v>
      </c>
      <c r="AI337" s="8">
        <v>45947.607048611113</v>
      </c>
      <c r="AK337" t="s">
        <v>2719</v>
      </c>
      <c r="AL337" t="s">
        <v>5161</v>
      </c>
      <c r="AM337" t="s">
        <v>5174</v>
      </c>
      <c r="AO337" t="s">
        <v>2715</v>
      </c>
      <c r="AP337" t="s">
        <v>2401</v>
      </c>
    </row>
    <row r="338" spans="1:42">
      <c r="A338" t="s">
        <v>7849</v>
      </c>
      <c r="B338" t="s">
        <v>2389</v>
      </c>
      <c r="C338" t="s">
        <v>2390</v>
      </c>
      <c r="D338" t="s">
        <v>2379</v>
      </c>
      <c r="E338" t="s">
        <v>2452</v>
      </c>
      <c r="F338" t="s">
        <v>3500</v>
      </c>
      <c r="G338" t="s">
        <v>2452</v>
      </c>
      <c r="H338" t="b">
        <v>1</v>
      </c>
      <c r="I338" s="8">
        <v>45951.647314814814</v>
      </c>
      <c r="J338" t="s">
        <v>2380</v>
      </c>
      <c r="K338">
        <v>1203862</v>
      </c>
      <c r="L338">
        <v>609865</v>
      </c>
      <c r="M338" t="s">
        <v>2381</v>
      </c>
      <c r="P338" t="s">
        <v>4661</v>
      </c>
      <c r="Q338" t="s">
        <v>2383</v>
      </c>
      <c r="R338">
        <v>1</v>
      </c>
      <c r="S338" t="s">
        <v>2380</v>
      </c>
      <c r="T338" t="s">
        <v>2383</v>
      </c>
      <c r="U338" s="8">
        <v>45947.431712962964</v>
      </c>
      <c r="V338" s="8">
        <v>45952.958333333336</v>
      </c>
      <c r="W338">
        <v>1</v>
      </c>
      <c r="X338">
        <v>2.2156018519999998</v>
      </c>
      <c r="Y338" t="s">
        <v>3501</v>
      </c>
      <c r="Z338" t="s">
        <v>7850</v>
      </c>
      <c r="AA338" t="s">
        <v>7487</v>
      </c>
      <c r="AB338" t="s">
        <v>1278</v>
      </c>
      <c r="AC338" t="s">
        <v>7851</v>
      </c>
      <c r="AD338" t="s">
        <v>2708</v>
      </c>
      <c r="AE338">
        <v>1</v>
      </c>
      <c r="AO338" t="s">
        <v>2957</v>
      </c>
      <c r="AP338" t="s">
        <v>2401</v>
      </c>
    </row>
    <row r="339" spans="1:42">
      <c r="A339" t="s">
        <v>940</v>
      </c>
      <c r="B339" t="s">
        <v>2377</v>
      </c>
      <c r="C339" t="s">
        <v>2438</v>
      </c>
      <c r="D339" t="s">
        <v>2379</v>
      </c>
      <c r="E339" t="s">
        <v>33</v>
      </c>
      <c r="F339" t="s">
        <v>2588</v>
      </c>
      <c r="G339" t="s">
        <v>33</v>
      </c>
      <c r="H339" t="b">
        <v>1</v>
      </c>
      <c r="I339" s="8">
        <v>45947.610810185186</v>
      </c>
      <c r="J339" t="s">
        <v>2380</v>
      </c>
      <c r="L339">
        <v>609701</v>
      </c>
      <c r="M339" t="s">
        <v>2381</v>
      </c>
      <c r="P339" t="s">
        <v>3677</v>
      </c>
      <c r="Q339" t="s">
        <v>2383</v>
      </c>
      <c r="R339">
        <v>1</v>
      </c>
      <c r="S339" t="s">
        <v>2380</v>
      </c>
      <c r="T339" t="s">
        <v>2383</v>
      </c>
      <c r="U339" s="8">
        <v>45947.444953703707</v>
      </c>
      <c r="V339" s="8">
        <v>45952.958333333336</v>
      </c>
      <c r="W339">
        <v>1</v>
      </c>
      <c r="X339">
        <v>0.165856481</v>
      </c>
      <c r="Y339" t="s">
        <v>2579</v>
      </c>
      <c r="Z339" t="s">
        <v>9357</v>
      </c>
      <c r="AA339" t="s">
        <v>3679</v>
      </c>
      <c r="AB339" t="s">
        <v>1278</v>
      </c>
      <c r="AC339" t="s">
        <v>9358</v>
      </c>
      <c r="AD339" t="s">
        <v>2708</v>
      </c>
      <c r="AE339">
        <v>1</v>
      </c>
      <c r="AF339">
        <v>2</v>
      </c>
      <c r="AH339" t="s">
        <v>2723</v>
      </c>
      <c r="AI339" s="8">
        <v>45947.610162037039</v>
      </c>
      <c r="AK339" t="s">
        <v>2719</v>
      </c>
      <c r="AL339" t="s">
        <v>2724</v>
      </c>
      <c r="AO339" t="s">
        <v>3644</v>
      </c>
      <c r="AP339" t="s">
        <v>2401</v>
      </c>
    </row>
    <row r="340" spans="1:42">
      <c r="A340" t="s">
        <v>117</v>
      </c>
      <c r="B340" t="s">
        <v>2377</v>
      </c>
      <c r="C340" t="s">
        <v>2390</v>
      </c>
      <c r="D340" t="s">
        <v>2379</v>
      </c>
      <c r="E340" t="s">
        <v>25</v>
      </c>
      <c r="F340" t="s">
        <v>2402</v>
      </c>
      <c r="G340" t="s">
        <v>25</v>
      </c>
      <c r="H340" t="b">
        <v>1</v>
      </c>
      <c r="I340" s="8">
        <v>45951.57240740741</v>
      </c>
      <c r="J340" t="s">
        <v>2380</v>
      </c>
      <c r="L340">
        <v>603505</v>
      </c>
      <c r="M340" t="s">
        <v>2381</v>
      </c>
      <c r="N340">
        <v>15</v>
      </c>
      <c r="P340" t="s">
        <v>2704</v>
      </c>
      <c r="Q340" t="s">
        <v>2383</v>
      </c>
      <c r="R340">
        <v>1</v>
      </c>
      <c r="S340" t="s">
        <v>2380</v>
      </c>
      <c r="T340" t="s">
        <v>2383</v>
      </c>
      <c r="U340" s="8">
        <v>45947.446539351855</v>
      </c>
      <c r="V340" s="8">
        <v>45952.958333333336</v>
      </c>
      <c r="W340">
        <v>1</v>
      </c>
      <c r="X340">
        <v>2.1258680559999998</v>
      </c>
      <c r="Y340" t="s">
        <v>2403</v>
      </c>
      <c r="Z340" t="s">
        <v>5470</v>
      </c>
      <c r="AA340" t="s">
        <v>2773</v>
      </c>
      <c r="AB340" t="s">
        <v>1278</v>
      </c>
      <c r="AC340" t="s">
        <v>2387</v>
      </c>
      <c r="AD340" t="s">
        <v>2708</v>
      </c>
      <c r="AE340">
        <v>1</v>
      </c>
      <c r="AO340" t="s">
        <v>2408</v>
      </c>
      <c r="AP340" t="s">
        <v>2401</v>
      </c>
    </row>
    <row r="341" spans="1:42">
      <c r="A341" t="s">
        <v>10424</v>
      </c>
      <c r="B341" t="s">
        <v>2389</v>
      </c>
      <c r="C341" t="s">
        <v>2378</v>
      </c>
      <c r="D341" t="s">
        <v>2379</v>
      </c>
      <c r="E341" t="s">
        <v>2452</v>
      </c>
      <c r="F341" t="s">
        <v>2578</v>
      </c>
      <c r="G341" t="s">
        <v>2452</v>
      </c>
      <c r="H341" t="b">
        <v>1</v>
      </c>
      <c r="I341" s="8">
        <v>45952.58153935185</v>
      </c>
      <c r="J341" t="s">
        <v>2380</v>
      </c>
      <c r="L341">
        <v>602857</v>
      </c>
      <c r="M341" t="s">
        <v>2381</v>
      </c>
      <c r="P341" t="s">
        <v>6132</v>
      </c>
      <c r="Q341" t="s">
        <v>2383</v>
      </c>
      <c r="R341">
        <v>1</v>
      </c>
      <c r="S341" t="s">
        <v>2380</v>
      </c>
      <c r="T341" t="s">
        <v>2383</v>
      </c>
      <c r="U341" s="8">
        <v>45947.457685185182</v>
      </c>
      <c r="V341" s="8">
        <v>45952.958333333336</v>
      </c>
      <c r="W341">
        <v>1</v>
      </c>
      <c r="X341">
        <v>3.1238541670000002</v>
      </c>
      <c r="Y341" t="s">
        <v>2579</v>
      </c>
      <c r="Z341" t="s">
        <v>10425</v>
      </c>
      <c r="AA341" t="s">
        <v>5975</v>
      </c>
      <c r="AB341" t="s">
        <v>1278</v>
      </c>
      <c r="AC341" t="s">
        <v>10426</v>
      </c>
      <c r="AE341">
        <v>1</v>
      </c>
      <c r="AO341" t="s">
        <v>2547</v>
      </c>
      <c r="AP341" t="s">
        <v>2401</v>
      </c>
    </row>
    <row r="342" spans="1:42">
      <c r="A342" t="s">
        <v>10427</v>
      </c>
      <c r="B342" t="s">
        <v>2389</v>
      </c>
      <c r="C342" t="s">
        <v>2378</v>
      </c>
      <c r="D342" t="s">
        <v>2379</v>
      </c>
      <c r="E342" t="s">
        <v>2452</v>
      </c>
      <c r="F342" t="s">
        <v>2578</v>
      </c>
      <c r="G342" t="s">
        <v>2452</v>
      </c>
      <c r="H342" t="b">
        <v>1</v>
      </c>
      <c r="I342" s="8">
        <v>45952.580439814818</v>
      </c>
      <c r="J342" t="s">
        <v>2380</v>
      </c>
      <c r="L342">
        <v>602857</v>
      </c>
      <c r="M342" t="s">
        <v>2381</v>
      </c>
      <c r="P342" t="s">
        <v>6132</v>
      </c>
      <c r="Q342" t="s">
        <v>2383</v>
      </c>
      <c r="R342">
        <v>1</v>
      </c>
      <c r="S342" t="s">
        <v>2380</v>
      </c>
      <c r="T342" t="s">
        <v>2383</v>
      </c>
      <c r="U342" s="8">
        <v>45947.462060185186</v>
      </c>
      <c r="V342" s="8">
        <v>45952.958333333336</v>
      </c>
      <c r="W342">
        <v>1</v>
      </c>
      <c r="X342">
        <v>3.1183796300000002</v>
      </c>
      <c r="Y342" t="s">
        <v>2579</v>
      </c>
      <c r="Z342" t="s">
        <v>10428</v>
      </c>
      <c r="AA342" t="s">
        <v>5975</v>
      </c>
      <c r="AB342" t="s">
        <v>1278</v>
      </c>
      <c r="AC342" t="s">
        <v>10426</v>
      </c>
      <c r="AE342">
        <v>1</v>
      </c>
      <c r="AO342" t="s">
        <v>2547</v>
      </c>
      <c r="AP342" t="s">
        <v>2401</v>
      </c>
    </row>
    <row r="343" spans="1:42">
      <c r="A343" t="s">
        <v>145</v>
      </c>
      <c r="B343" t="s">
        <v>2377</v>
      </c>
      <c r="C343" t="s">
        <v>2378</v>
      </c>
      <c r="D343" t="s">
        <v>2379</v>
      </c>
      <c r="E343" t="s">
        <v>28</v>
      </c>
      <c r="F343" t="s">
        <v>2477</v>
      </c>
      <c r="G343" t="s">
        <v>28</v>
      </c>
      <c r="H343" t="b">
        <v>1</v>
      </c>
      <c r="I343" s="8">
        <v>45952.682118055556</v>
      </c>
      <c r="J343" t="s">
        <v>2380</v>
      </c>
      <c r="L343">
        <v>603574</v>
      </c>
      <c r="M343" t="s">
        <v>2381</v>
      </c>
      <c r="N343">
        <v>15</v>
      </c>
      <c r="P343" t="s">
        <v>5628</v>
      </c>
      <c r="Q343" t="s">
        <v>2383</v>
      </c>
      <c r="R343">
        <v>1</v>
      </c>
      <c r="S343" t="s">
        <v>2380</v>
      </c>
      <c r="T343" t="s">
        <v>2383</v>
      </c>
      <c r="U343" s="8">
        <v>45947.462488425925</v>
      </c>
      <c r="V343" s="8">
        <v>45952.958333333336</v>
      </c>
      <c r="W343">
        <v>1</v>
      </c>
      <c r="X343">
        <v>3.21962963</v>
      </c>
      <c r="Y343" t="s">
        <v>2403</v>
      </c>
      <c r="Z343" t="s">
        <v>5629</v>
      </c>
      <c r="AA343" t="s">
        <v>2304</v>
      </c>
      <c r="AB343" t="s">
        <v>1278</v>
      </c>
      <c r="AC343" t="s">
        <v>4546</v>
      </c>
      <c r="AD343" t="s">
        <v>2708</v>
      </c>
      <c r="AE343">
        <v>1</v>
      </c>
      <c r="AO343" t="s">
        <v>2540</v>
      </c>
      <c r="AP343" t="s">
        <v>2401</v>
      </c>
    </row>
    <row r="344" spans="1:42">
      <c r="A344" t="s">
        <v>5407</v>
      </c>
      <c r="B344" t="s">
        <v>2389</v>
      </c>
      <c r="C344" t="s">
        <v>2378</v>
      </c>
      <c r="D344" t="s">
        <v>2379</v>
      </c>
      <c r="E344" t="s">
        <v>2452</v>
      </c>
      <c r="F344" t="s">
        <v>2417</v>
      </c>
      <c r="G344" t="s">
        <v>2452</v>
      </c>
      <c r="H344" t="b">
        <v>1</v>
      </c>
      <c r="I344" s="8">
        <v>45952.607557870368</v>
      </c>
      <c r="J344" t="s">
        <v>2380</v>
      </c>
      <c r="K344">
        <v>1204024</v>
      </c>
      <c r="L344">
        <v>601991</v>
      </c>
      <c r="M344" t="s">
        <v>2381</v>
      </c>
      <c r="P344" t="s">
        <v>5290</v>
      </c>
      <c r="Q344" t="s">
        <v>2383</v>
      </c>
      <c r="R344">
        <v>1</v>
      </c>
      <c r="S344" t="s">
        <v>2380</v>
      </c>
      <c r="T344" t="s">
        <v>2383</v>
      </c>
      <c r="U344" s="8">
        <v>45947.47115740741</v>
      </c>
      <c r="V344" s="8">
        <v>45952.958333333336</v>
      </c>
      <c r="W344">
        <v>1</v>
      </c>
      <c r="X344">
        <v>3.1364004630000002</v>
      </c>
      <c r="Y344" t="s">
        <v>2418</v>
      </c>
      <c r="Z344" t="s">
        <v>5408</v>
      </c>
      <c r="AA344" t="s">
        <v>5292</v>
      </c>
      <c r="AB344" t="s">
        <v>1278</v>
      </c>
      <c r="AC344" t="s">
        <v>5409</v>
      </c>
      <c r="AD344" t="s">
        <v>2708</v>
      </c>
      <c r="AE344">
        <v>1</v>
      </c>
      <c r="AO344" t="s">
        <v>2408</v>
      </c>
      <c r="AP344" t="s">
        <v>2401</v>
      </c>
    </row>
    <row r="345" spans="1:42">
      <c r="A345" t="s">
        <v>5020</v>
      </c>
      <c r="B345" t="s">
        <v>2389</v>
      </c>
      <c r="C345" t="s">
        <v>2390</v>
      </c>
      <c r="D345" t="s">
        <v>2379</v>
      </c>
      <c r="E345" t="s">
        <v>2416</v>
      </c>
      <c r="F345" t="s">
        <v>3891</v>
      </c>
      <c r="G345" t="s">
        <v>2416</v>
      </c>
      <c r="H345" t="b">
        <v>1</v>
      </c>
      <c r="I345" s="8">
        <v>45951.730069444442</v>
      </c>
      <c r="J345" t="s">
        <v>2380</v>
      </c>
      <c r="K345">
        <v>1203890</v>
      </c>
      <c r="L345">
        <v>602656</v>
      </c>
      <c r="M345" t="s">
        <v>2381</v>
      </c>
      <c r="P345" t="s">
        <v>3896</v>
      </c>
      <c r="Q345" t="s">
        <v>2383</v>
      </c>
      <c r="R345">
        <v>1</v>
      </c>
      <c r="S345" t="s">
        <v>2380</v>
      </c>
      <c r="T345" t="s">
        <v>2383</v>
      </c>
      <c r="U345" s="8">
        <v>45947.48773148148</v>
      </c>
      <c r="V345" s="8">
        <v>45952.958333333336</v>
      </c>
      <c r="W345">
        <v>1</v>
      </c>
      <c r="X345">
        <v>2.2423379630000002</v>
      </c>
      <c r="Y345" t="s">
        <v>3892</v>
      </c>
      <c r="Z345" t="s">
        <v>5021</v>
      </c>
      <c r="AA345" t="s">
        <v>5016</v>
      </c>
      <c r="AB345" t="s">
        <v>1278</v>
      </c>
      <c r="AC345" t="s">
        <v>5022</v>
      </c>
      <c r="AD345" t="s">
        <v>2708</v>
      </c>
      <c r="AE345">
        <v>1</v>
      </c>
      <c r="AO345" t="s">
        <v>2715</v>
      </c>
      <c r="AP345" t="s">
        <v>2401</v>
      </c>
    </row>
    <row r="346" spans="1:42">
      <c r="A346" t="s">
        <v>3970</v>
      </c>
      <c r="B346" t="s">
        <v>2389</v>
      </c>
      <c r="C346" t="s">
        <v>2438</v>
      </c>
      <c r="D346" t="s">
        <v>2379</v>
      </c>
      <c r="E346" t="s">
        <v>33</v>
      </c>
      <c r="F346" t="s">
        <v>2578</v>
      </c>
      <c r="G346" t="s">
        <v>33</v>
      </c>
      <c r="H346" t="b">
        <v>1</v>
      </c>
      <c r="I346" s="8">
        <v>45949.600219907406</v>
      </c>
      <c r="J346" t="s">
        <v>2380</v>
      </c>
      <c r="K346">
        <v>1203424</v>
      </c>
      <c r="L346">
        <v>602166</v>
      </c>
      <c r="M346" t="s">
        <v>2381</v>
      </c>
      <c r="P346" t="s">
        <v>3954</v>
      </c>
      <c r="Q346" t="s">
        <v>2383</v>
      </c>
      <c r="R346">
        <v>1</v>
      </c>
      <c r="S346" t="s">
        <v>2380</v>
      </c>
      <c r="T346" t="s">
        <v>2383</v>
      </c>
      <c r="U346" s="8">
        <v>45947.49322916667</v>
      </c>
      <c r="V346" s="8">
        <v>45952.958333333336</v>
      </c>
      <c r="W346">
        <v>1</v>
      </c>
      <c r="X346">
        <v>0.106990741</v>
      </c>
      <c r="Y346" t="s">
        <v>2579</v>
      </c>
      <c r="Z346" t="s">
        <v>3971</v>
      </c>
      <c r="AA346" t="s">
        <v>3956</v>
      </c>
      <c r="AB346" t="s">
        <v>1278</v>
      </c>
      <c r="AC346" t="s">
        <v>3972</v>
      </c>
      <c r="AD346" t="s">
        <v>2708</v>
      </c>
      <c r="AE346">
        <v>1</v>
      </c>
      <c r="AO346" t="s">
        <v>2720</v>
      </c>
      <c r="AP346" t="s">
        <v>2401</v>
      </c>
    </row>
    <row r="347" spans="1:42">
      <c r="A347" t="s">
        <v>7881</v>
      </c>
      <c r="B347" t="s">
        <v>2389</v>
      </c>
      <c r="C347" t="s">
        <v>2390</v>
      </c>
      <c r="D347" t="s">
        <v>2379</v>
      </c>
      <c r="E347" t="s">
        <v>2416</v>
      </c>
      <c r="F347" t="s">
        <v>7576</v>
      </c>
      <c r="G347" t="s">
        <v>2416</v>
      </c>
      <c r="H347" t="b">
        <v>1</v>
      </c>
      <c r="I347" s="8">
        <v>45952.463263888887</v>
      </c>
      <c r="J347" t="s">
        <v>2380</v>
      </c>
      <c r="K347">
        <v>1203951</v>
      </c>
      <c r="L347">
        <v>602665</v>
      </c>
      <c r="M347" t="s">
        <v>2381</v>
      </c>
      <c r="P347" t="s">
        <v>7577</v>
      </c>
      <c r="Q347" t="s">
        <v>2383</v>
      </c>
      <c r="R347">
        <v>1</v>
      </c>
      <c r="S347" t="s">
        <v>2380</v>
      </c>
      <c r="T347" t="s">
        <v>2383</v>
      </c>
      <c r="U347" s="8">
        <v>45947.500856481478</v>
      </c>
      <c r="V347" s="8">
        <v>45952.958333333336</v>
      </c>
      <c r="W347">
        <v>1</v>
      </c>
      <c r="X347">
        <v>2.9624074070000002</v>
      </c>
      <c r="Y347" t="s">
        <v>7578</v>
      </c>
      <c r="Z347" t="s">
        <v>7882</v>
      </c>
      <c r="AA347" t="s">
        <v>7580</v>
      </c>
      <c r="AB347" t="s">
        <v>1278</v>
      </c>
      <c r="AC347" t="s">
        <v>7883</v>
      </c>
      <c r="AD347" t="s">
        <v>2708</v>
      </c>
      <c r="AE347">
        <v>1</v>
      </c>
      <c r="AO347" t="s">
        <v>2957</v>
      </c>
      <c r="AP347" t="s">
        <v>2401</v>
      </c>
    </row>
    <row r="348" spans="1:42">
      <c r="A348" t="s">
        <v>485</v>
      </c>
      <c r="B348" t="s">
        <v>2377</v>
      </c>
      <c r="C348" t="s">
        <v>2378</v>
      </c>
      <c r="D348" t="s">
        <v>2379</v>
      </c>
      <c r="E348" t="s">
        <v>18</v>
      </c>
      <c r="F348" t="s">
        <v>2402</v>
      </c>
      <c r="G348" t="s">
        <v>2416</v>
      </c>
      <c r="H348" t="b">
        <v>1</v>
      </c>
      <c r="I348" s="8">
        <v>45952.528819444444</v>
      </c>
      <c r="J348" t="s">
        <v>2380</v>
      </c>
      <c r="L348">
        <v>603946</v>
      </c>
      <c r="M348" t="s">
        <v>2381</v>
      </c>
      <c r="P348" t="s">
        <v>4194</v>
      </c>
      <c r="Q348" t="s">
        <v>2383</v>
      </c>
      <c r="R348">
        <v>1</v>
      </c>
      <c r="S348" t="s">
        <v>2380</v>
      </c>
      <c r="T348" t="s">
        <v>2383</v>
      </c>
      <c r="U348" s="8">
        <v>45947.526863425926</v>
      </c>
      <c r="V348" s="8">
        <v>45952.958333333336</v>
      </c>
      <c r="W348">
        <v>1</v>
      </c>
      <c r="X348">
        <v>3.0019560190000001</v>
      </c>
      <c r="Y348" t="s">
        <v>2403</v>
      </c>
      <c r="Z348" t="s">
        <v>4195</v>
      </c>
      <c r="AA348" t="s">
        <v>4196</v>
      </c>
      <c r="AB348" t="s">
        <v>1278</v>
      </c>
      <c r="AC348" t="s">
        <v>4197</v>
      </c>
      <c r="AD348" t="s">
        <v>2708</v>
      </c>
      <c r="AE348">
        <v>1</v>
      </c>
      <c r="AO348" t="s">
        <v>2408</v>
      </c>
      <c r="AP348" t="s">
        <v>2401</v>
      </c>
    </row>
    <row r="349" spans="1:42">
      <c r="A349" t="s">
        <v>7151</v>
      </c>
      <c r="B349" t="s">
        <v>2389</v>
      </c>
      <c r="C349" t="s">
        <v>2390</v>
      </c>
      <c r="D349" t="s">
        <v>2379</v>
      </c>
      <c r="E349" t="s">
        <v>2416</v>
      </c>
      <c r="F349" t="s">
        <v>2588</v>
      </c>
      <c r="G349" t="s">
        <v>2416</v>
      </c>
      <c r="H349" t="b">
        <v>1</v>
      </c>
      <c r="I349" s="8">
        <v>45952.441979166666</v>
      </c>
      <c r="J349" t="s">
        <v>2380</v>
      </c>
      <c r="K349">
        <v>1203944</v>
      </c>
      <c r="L349">
        <v>609305</v>
      </c>
      <c r="M349" t="s">
        <v>2381</v>
      </c>
      <c r="P349" t="s">
        <v>7150</v>
      </c>
      <c r="Q349" t="s">
        <v>2383</v>
      </c>
      <c r="R349">
        <v>1</v>
      </c>
      <c r="S349" t="s">
        <v>2380</v>
      </c>
      <c r="T349" t="s">
        <v>2383</v>
      </c>
      <c r="U349" s="8">
        <v>45947.531377314815</v>
      </c>
      <c r="V349" s="8">
        <v>45952.958333333336</v>
      </c>
      <c r="W349">
        <v>1</v>
      </c>
      <c r="X349">
        <v>2.9106018520000001</v>
      </c>
      <c r="Y349" t="s">
        <v>2579</v>
      </c>
      <c r="Z349" t="s">
        <v>7152</v>
      </c>
      <c r="AA349" t="s">
        <v>7153</v>
      </c>
      <c r="AB349" t="s">
        <v>1278</v>
      </c>
      <c r="AC349" t="s">
        <v>7154</v>
      </c>
      <c r="AD349" t="s">
        <v>2708</v>
      </c>
      <c r="AE349">
        <v>1</v>
      </c>
      <c r="AO349" t="s">
        <v>2388</v>
      </c>
      <c r="AP349" t="s">
        <v>2401</v>
      </c>
    </row>
    <row r="350" spans="1:42">
      <c r="A350" t="s">
        <v>7155</v>
      </c>
      <c r="B350" t="s">
        <v>2389</v>
      </c>
      <c r="C350" t="s">
        <v>2390</v>
      </c>
      <c r="D350" t="s">
        <v>2379</v>
      </c>
      <c r="E350" t="s">
        <v>2416</v>
      </c>
      <c r="F350" t="s">
        <v>2588</v>
      </c>
      <c r="G350" t="s">
        <v>2416</v>
      </c>
      <c r="H350" t="b">
        <v>1</v>
      </c>
      <c r="I350" s="8">
        <v>45952.451377314814</v>
      </c>
      <c r="J350" t="s">
        <v>2380</v>
      </c>
      <c r="K350">
        <v>1203945</v>
      </c>
      <c r="L350">
        <v>609305</v>
      </c>
      <c r="M350" t="s">
        <v>2381</v>
      </c>
      <c r="P350" t="s">
        <v>7150</v>
      </c>
      <c r="Q350" t="s">
        <v>2383</v>
      </c>
      <c r="R350">
        <v>1</v>
      </c>
      <c r="S350" t="s">
        <v>2380</v>
      </c>
      <c r="T350" t="s">
        <v>2383</v>
      </c>
      <c r="U350" s="8">
        <v>45947.532673611109</v>
      </c>
      <c r="V350" s="8">
        <v>45952.958333333336</v>
      </c>
      <c r="W350">
        <v>1</v>
      </c>
      <c r="X350">
        <v>2.9187037039999999</v>
      </c>
      <c r="Y350" t="s">
        <v>2579</v>
      </c>
      <c r="Z350" t="s">
        <v>7156</v>
      </c>
      <c r="AA350" t="s">
        <v>7153</v>
      </c>
      <c r="AB350" t="s">
        <v>1278</v>
      </c>
      <c r="AC350" t="s">
        <v>7157</v>
      </c>
      <c r="AD350" t="s">
        <v>2708</v>
      </c>
      <c r="AE350">
        <v>1</v>
      </c>
      <c r="AO350" t="s">
        <v>2388</v>
      </c>
      <c r="AP350" t="s">
        <v>2401</v>
      </c>
    </row>
    <row r="351" spans="1:42">
      <c r="A351" t="s">
        <v>1102</v>
      </c>
      <c r="B351" t="s">
        <v>2377</v>
      </c>
      <c r="C351" t="s">
        <v>2390</v>
      </c>
      <c r="D351" t="s">
        <v>2379</v>
      </c>
      <c r="E351" t="s">
        <v>33</v>
      </c>
      <c r="F351" t="s">
        <v>2588</v>
      </c>
      <c r="G351" t="s">
        <v>33</v>
      </c>
      <c r="H351" t="b">
        <v>1</v>
      </c>
      <c r="I351" s="8">
        <v>45952.447731481479</v>
      </c>
      <c r="J351" t="s">
        <v>2380</v>
      </c>
      <c r="L351">
        <v>602197</v>
      </c>
      <c r="M351" t="s">
        <v>2381</v>
      </c>
      <c r="P351" t="s">
        <v>8802</v>
      </c>
      <c r="Q351" t="s">
        <v>2383</v>
      </c>
      <c r="R351">
        <v>1</v>
      </c>
      <c r="S351" t="s">
        <v>2380</v>
      </c>
      <c r="T351" t="s">
        <v>2383</v>
      </c>
      <c r="U351" s="8">
        <v>45947.542141203703</v>
      </c>
      <c r="V351" s="8">
        <v>45952.958333333336</v>
      </c>
      <c r="W351">
        <v>1</v>
      </c>
      <c r="X351">
        <v>2.905590278</v>
      </c>
      <c r="Y351" t="s">
        <v>2579</v>
      </c>
      <c r="Z351" t="s">
        <v>9359</v>
      </c>
      <c r="AA351" t="s">
        <v>8804</v>
      </c>
      <c r="AB351" t="s">
        <v>1278</v>
      </c>
      <c r="AC351" t="s">
        <v>2387</v>
      </c>
      <c r="AD351" t="s">
        <v>2708</v>
      </c>
      <c r="AE351">
        <v>1</v>
      </c>
      <c r="AF351">
        <v>2</v>
      </c>
      <c r="AH351" t="s">
        <v>2723</v>
      </c>
      <c r="AI351" s="8">
        <v>45952.402268518519</v>
      </c>
      <c r="AK351" t="s">
        <v>2719</v>
      </c>
      <c r="AL351" t="s">
        <v>2724</v>
      </c>
      <c r="AO351" t="s">
        <v>3644</v>
      </c>
      <c r="AP351" t="s">
        <v>2401</v>
      </c>
    </row>
    <row r="352" spans="1:42">
      <c r="A352" t="s">
        <v>1031</v>
      </c>
      <c r="B352" t="s">
        <v>2377</v>
      </c>
      <c r="C352" t="s">
        <v>2390</v>
      </c>
      <c r="D352" t="s">
        <v>2379</v>
      </c>
      <c r="E352" t="s">
        <v>18</v>
      </c>
      <c r="F352" t="s">
        <v>2588</v>
      </c>
      <c r="G352" t="s">
        <v>2416</v>
      </c>
      <c r="H352" t="b">
        <v>1</v>
      </c>
      <c r="I352" s="8">
        <v>45952.542256944442</v>
      </c>
      <c r="J352" t="s">
        <v>2380</v>
      </c>
      <c r="L352">
        <v>601152</v>
      </c>
      <c r="M352" t="s">
        <v>2381</v>
      </c>
      <c r="P352" t="s">
        <v>6606</v>
      </c>
      <c r="Q352" t="s">
        <v>2383</v>
      </c>
      <c r="R352">
        <v>1</v>
      </c>
      <c r="S352" t="s">
        <v>2380</v>
      </c>
      <c r="T352" t="s">
        <v>2383</v>
      </c>
      <c r="U352" s="8">
        <v>45947.544849537036</v>
      </c>
      <c r="V352" s="8">
        <v>45952.958333333336</v>
      </c>
      <c r="W352">
        <v>1</v>
      </c>
      <c r="X352">
        <v>2.9974074069999999</v>
      </c>
      <c r="Y352" t="s">
        <v>2579</v>
      </c>
      <c r="Z352" t="s">
        <v>6607</v>
      </c>
      <c r="AA352" t="s">
        <v>3353</v>
      </c>
      <c r="AB352" t="s">
        <v>1278</v>
      </c>
      <c r="AC352" t="s">
        <v>6608</v>
      </c>
      <c r="AD352" t="s">
        <v>2708</v>
      </c>
      <c r="AE352">
        <v>1</v>
      </c>
      <c r="AO352" t="s">
        <v>2388</v>
      </c>
      <c r="AP352" t="s">
        <v>2401</v>
      </c>
    </row>
    <row r="353" spans="1:42">
      <c r="A353" t="s">
        <v>81</v>
      </c>
      <c r="B353" t="s">
        <v>2377</v>
      </c>
      <c r="C353" t="s">
        <v>2438</v>
      </c>
      <c r="D353" t="s">
        <v>2379</v>
      </c>
      <c r="E353" t="s">
        <v>25</v>
      </c>
      <c r="F353">
        <v>6280</v>
      </c>
      <c r="G353" t="s">
        <v>25</v>
      </c>
      <c r="H353" t="b">
        <v>1</v>
      </c>
      <c r="I353" s="8">
        <v>45947.629814814813</v>
      </c>
      <c r="J353" t="s">
        <v>2380</v>
      </c>
      <c r="L353">
        <v>602337</v>
      </c>
      <c r="M353" t="s">
        <v>2381</v>
      </c>
      <c r="N353">
        <v>50</v>
      </c>
      <c r="P353" t="s">
        <v>2704</v>
      </c>
      <c r="Q353" t="s">
        <v>2383</v>
      </c>
      <c r="R353">
        <v>1</v>
      </c>
      <c r="S353" t="s">
        <v>2380</v>
      </c>
      <c r="T353" t="s">
        <v>2383</v>
      </c>
      <c r="U353" s="8">
        <v>45947.548715277779</v>
      </c>
      <c r="V353" s="8">
        <v>45952.958333333336</v>
      </c>
      <c r="W353">
        <v>1</v>
      </c>
      <c r="X353">
        <v>8.1099536999999999E-2</v>
      </c>
      <c r="Y353" t="s">
        <v>4555</v>
      </c>
      <c r="Z353" t="s">
        <v>7396</v>
      </c>
      <c r="AA353" t="s">
        <v>6806</v>
      </c>
      <c r="AB353" t="s">
        <v>1278</v>
      </c>
      <c r="AC353" t="s">
        <v>2387</v>
      </c>
      <c r="AD353" t="s">
        <v>2708</v>
      </c>
      <c r="AE353">
        <v>1</v>
      </c>
      <c r="AO353" t="s">
        <v>2388</v>
      </c>
      <c r="AP353" t="s">
        <v>2401</v>
      </c>
    </row>
    <row r="354" spans="1:42">
      <c r="A354" t="s">
        <v>789</v>
      </c>
      <c r="B354" t="s">
        <v>2377</v>
      </c>
      <c r="C354" t="s">
        <v>2438</v>
      </c>
      <c r="D354" t="s">
        <v>2379</v>
      </c>
      <c r="E354" t="s">
        <v>25</v>
      </c>
      <c r="F354">
        <v>6280</v>
      </c>
      <c r="G354" t="s">
        <v>25</v>
      </c>
      <c r="H354" t="b">
        <v>1</v>
      </c>
      <c r="I354" s="8">
        <v>45947.639074074075</v>
      </c>
      <c r="J354" t="s">
        <v>2380</v>
      </c>
      <c r="L354">
        <v>602337</v>
      </c>
      <c r="M354" t="s">
        <v>2381</v>
      </c>
      <c r="N354">
        <v>10</v>
      </c>
      <c r="P354" t="s">
        <v>2704</v>
      </c>
      <c r="Q354" t="s">
        <v>2383</v>
      </c>
      <c r="R354">
        <v>1</v>
      </c>
      <c r="S354" t="s">
        <v>2380</v>
      </c>
      <c r="T354" t="s">
        <v>2383</v>
      </c>
      <c r="U354" s="8">
        <v>45947.55091435185</v>
      </c>
      <c r="V354" s="8">
        <v>45952.958333333336</v>
      </c>
      <c r="W354">
        <v>1</v>
      </c>
      <c r="X354">
        <v>8.8159721999999996E-2</v>
      </c>
      <c r="Y354" t="s">
        <v>4555</v>
      </c>
      <c r="Z354" t="s">
        <v>7186</v>
      </c>
      <c r="AA354" t="s">
        <v>6806</v>
      </c>
      <c r="AB354" t="s">
        <v>1278</v>
      </c>
      <c r="AC354" t="s">
        <v>2387</v>
      </c>
      <c r="AD354" t="s">
        <v>2708</v>
      </c>
      <c r="AE354">
        <v>1</v>
      </c>
      <c r="AO354" t="s">
        <v>2388</v>
      </c>
      <c r="AP354" t="s">
        <v>2401</v>
      </c>
    </row>
    <row r="355" spans="1:42">
      <c r="A355" t="s">
        <v>147</v>
      </c>
      <c r="B355" t="s">
        <v>2377</v>
      </c>
      <c r="C355" t="s">
        <v>2378</v>
      </c>
      <c r="D355" t="s">
        <v>2379</v>
      </c>
      <c r="E355" t="s">
        <v>18</v>
      </c>
      <c r="F355" t="s">
        <v>2417</v>
      </c>
      <c r="G355" t="s">
        <v>2416</v>
      </c>
      <c r="H355" t="b">
        <v>1</v>
      </c>
      <c r="I355" s="8">
        <v>45952.684687499997</v>
      </c>
      <c r="J355" t="s">
        <v>2380</v>
      </c>
      <c r="L355">
        <v>602392</v>
      </c>
      <c r="M355" t="s">
        <v>2381</v>
      </c>
      <c r="P355" t="s">
        <v>8040</v>
      </c>
      <c r="Q355" t="s">
        <v>2383</v>
      </c>
      <c r="R355">
        <v>1</v>
      </c>
      <c r="S355" t="s">
        <v>2380</v>
      </c>
      <c r="T355" t="s">
        <v>2383</v>
      </c>
      <c r="U355" s="8">
        <v>45947.553032407406</v>
      </c>
      <c r="V355" s="8">
        <v>45952.958333333336</v>
      </c>
      <c r="W355">
        <v>1</v>
      </c>
      <c r="X355">
        <v>3.131655093</v>
      </c>
      <c r="Y355" t="s">
        <v>2418</v>
      </c>
      <c r="Z355" t="s">
        <v>8050</v>
      </c>
      <c r="AA355" t="s">
        <v>418</v>
      </c>
      <c r="AB355" t="s">
        <v>1278</v>
      </c>
      <c r="AC355" t="s">
        <v>8051</v>
      </c>
      <c r="AD355" t="s">
        <v>2708</v>
      </c>
      <c r="AE355">
        <v>1</v>
      </c>
      <c r="AO355" t="s">
        <v>4121</v>
      </c>
      <c r="AP355" t="s">
        <v>2401</v>
      </c>
    </row>
    <row r="356" spans="1:42">
      <c r="A356" t="s">
        <v>130</v>
      </c>
      <c r="B356" t="s">
        <v>2377</v>
      </c>
      <c r="C356" t="s">
        <v>2390</v>
      </c>
      <c r="D356" t="s">
        <v>2379</v>
      </c>
      <c r="E356" t="s">
        <v>18</v>
      </c>
      <c r="F356" t="s">
        <v>3261</v>
      </c>
      <c r="G356" t="s">
        <v>2416</v>
      </c>
      <c r="H356" t="b">
        <v>1</v>
      </c>
      <c r="I356" s="8">
        <v>45951.676296296297</v>
      </c>
      <c r="J356" t="s">
        <v>2380</v>
      </c>
      <c r="L356">
        <v>602998</v>
      </c>
      <c r="M356" t="s">
        <v>2381</v>
      </c>
      <c r="P356" t="s">
        <v>6579</v>
      </c>
      <c r="Q356" t="s">
        <v>2383</v>
      </c>
      <c r="R356">
        <v>1</v>
      </c>
      <c r="S356" t="s">
        <v>2380</v>
      </c>
      <c r="T356" t="s">
        <v>2383</v>
      </c>
      <c r="U356" s="8">
        <v>45947.563437500001</v>
      </c>
      <c r="V356" s="8">
        <v>45952.958333333336</v>
      </c>
      <c r="W356">
        <v>1</v>
      </c>
      <c r="X356">
        <v>2.1128587959999998</v>
      </c>
      <c r="Y356" t="s">
        <v>3262</v>
      </c>
      <c r="Z356" t="s">
        <v>6580</v>
      </c>
      <c r="AA356" t="s">
        <v>3265</v>
      </c>
      <c r="AB356" t="s">
        <v>1278</v>
      </c>
      <c r="AC356" t="s">
        <v>6581</v>
      </c>
      <c r="AD356" t="s">
        <v>2708</v>
      </c>
      <c r="AE356">
        <v>1</v>
      </c>
      <c r="AO356" t="s">
        <v>2388</v>
      </c>
      <c r="AP356" t="s">
        <v>2401</v>
      </c>
    </row>
    <row r="357" spans="1:42">
      <c r="A357" t="s">
        <v>7141</v>
      </c>
      <c r="B357" t="s">
        <v>2389</v>
      </c>
      <c r="C357" t="s">
        <v>2378</v>
      </c>
      <c r="D357" t="s">
        <v>2379</v>
      </c>
      <c r="E357" t="s">
        <v>2416</v>
      </c>
      <c r="F357" t="s">
        <v>3339</v>
      </c>
      <c r="G357" t="s">
        <v>2416</v>
      </c>
      <c r="H357" t="b">
        <v>1</v>
      </c>
      <c r="I357" s="8">
        <v>45952.730543981481</v>
      </c>
      <c r="J357" t="s">
        <v>2380</v>
      </c>
      <c r="K357">
        <v>1204094</v>
      </c>
      <c r="L357">
        <v>609809</v>
      </c>
      <c r="M357" t="s">
        <v>2381</v>
      </c>
      <c r="P357" t="s">
        <v>3477</v>
      </c>
      <c r="Q357" t="s">
        <v>2383</v>
      </c>
      <c r="R357">
        <v>1</v>
      </c>
      <c r="S357" t="s">
        <v>2380</v>
      </c>
      <c r="T357" t="s">
        <v>2383</v>
      </c>
      <c r="U357" s="8">
        <v>45947.56753472222</v>
      </c>
      <c r="V357" s="8">
        <v>45958.958333333336</v>
      </c>
      <c r="W357">
        <v>1</v>
      </c>
      <c r="X357">
        <v>3.1630092589999999</v>
      </c>
      <c r="Y357" t="s">
        <v>3340</v>
      </c>
      <c r="Z357" t="s">
        <v>7142</v>
      </c>
      <c r="AA357" t="s">
        <v>3343</v>
      </c>
      <c r="AB357" t="s">
        <v>1278</v>
      </c>
      <c r="AC357" t="s">
        <v>7143</v>
      </c>
      <c r="AD357" t="s">
        <v>2708</v>
      </c>
      <c r="AE357">
        <v>1</v>
      </c>
      <c r="AO357" t="s">
        <v>2388</v>
      </c>
      <c r="AP357" t="s">
        <v>2401</v>
      </c>
    </row>
    <row r="358" spans="1:42">
      <c r="A358" t="s">
        <v>1104</v>
      </c>
      <c r="B358" t="s">
        <v>2377</v>
      </c>
      <c r="C358" t="s">
        <v>2390</v>
      </c>
      <c r="D358" t="s">
        <v>2379</v>
      </c>
      <c r="E358" t="s">
        <v>33</v>
      </c>
      <c r="F358" t="s">
        <v>2578</v>
      </c>
      <c r="G358" t="s">
        <v>33</v>
      </c>
      <c r="H358" t="b">
        <v>1</v>
      </c>
      <c r="I358" s="8">
        <v>45952.413055555553</v>
      </c>
      <c r="J358" t="s">
        <v>2380</v>
      </c>
      <c r="L358">
        <v>605268</v>
      </c>
      <c r="M358" t="s">
        <v>2381</v>
      </c>
      <c r="P358" t="s">
        <v>2716</v>
      </c>
      <c r="Q358" t="s">
        <v>2383</v>
      </c>
      <c r="R358">
        <v>1</v>
      </c>
      <c r="S358" t="s">
        <v>2380</v>
      </c>
      <c r="T358" t="s">
        <v>2383</v>
      </c>
      <c r="U358" s="8">
        <v>45947.570185185185</v>
      </c>
      <c r="V358" s="8">
        <v>45952.958333333336</v>
      </c>
      <c r="W358">
        <v>1</v>
      </c>
      <c r="X358">
        <v>2.84287037</v>
      </c>
      <c r="Y358" t="s">
        <v>2579</v>
      </c>
      <c r="Z358" t="s">
        <v>9360</v>
      </c>
      <c r="AA358" t="s">
        <v>1301</v>
      </c>
      <c r="AB358" t="s">
        <v>1278</v>
      </c>
      <c r="AC358" t="s">
        <v>2746</v>
      </c>
      <c r="AD358" t="s">
        <v>2708</v>
      </c>
      <c r="AE358">
        <v>1</v>
      </c>
      <c r="AF358">
        <v>2</v>
      </c>
      <c r="AH358" t="s">
        <v>2723</v>
      </c>
      <c r="AI358" s="8">
        <v>45952.402881944443</v>
      </c>
      <c r="AK358" t="s">
        <v>2719</v>
      </c>
      <c r="AL358" t="s">
        <v>2724</v>
      </c>
      <c r="AO358" t="s">
        <v>2720</v>
      </c>
      <c r="AP358" t="s">
        <v>2401</v>
      </c>
    </row>
    <row r="359" spans="1:42">
      <c r="A359" t="s">
        <v>7852</v>
      </c>
      <c r="B359" t="s">
        <v>2389</v>
      </c>
      <c r="C359" t="s">
        <v>2390</v>
      </c>
      <c r="D359" t="s">
        <v>2379</v>
      </c>
      <c r="E359" t="s">
        <v>2452</v>
      </c>
      <c r="F359" t="s">
        <v>3500</v>
      </c>
      <c r="G359" t="s">
        <v>2452</v>
      </c>
      <c r="H359" t="b">
        <v>1</v>
      </c>
      <c r="I359" s="8">
        <v>45952.548032407409</v>
      </c>
      <c r="J359" t="s">
        <v>2380</v>
      </c>
      <c r="K359">
        <v>1203991</v>
      </c>
      <c r="L359">
        <v>609865</v>
      </c>
      <c r="M359" t="s">
        <v>2381</v>
      </c>
      <c r="P359" t="s">
        <v>4661</v>
      </c>
      <c r="Q359" t="s">
        <v>2383</v>
      </c>
      <c r="R359">
        <v>1</v>
      </c>
      <c r="S359" t="s">
        <v>2380</v>
      </c>
      <c r="T359" t="s">
        <v>2383</v>
      </c>
      <c r="U359" s="8">
        <v>45947.574884259258</v>
      </c>
      <c r="V359" s="8">
        <v>45952.958333333336</v>
      </c>
      <c r="W359">
        <v>1</v>
      </c>
      <c r="X359">
        <v>2.9731481479999999</v>
      </c>
      <c r="Y359" t="s">
        <v>3501</v>
      </c>
      <c r="Z359" t="s">
        <v>7853</v>
      </c>
      <c r="AA359" t="s">
        <v>7487</v>
      </c>
      <c r="AB359" t="s">
        <v>1278</v>
      </c>
      <c r="AC359" t="s">
        <v>7854</v>
      </c>
      <c r="AD359" t="s">
        <v>2708</v>
      </c>
      <c r="AE359">
        <v>1</v>
      </c>
      <c r="AO359" t="s">
        <v>2957</v>
      </c>
      <c r="AP359" t="s">
        <v>2401</v>
      </c>
    </row>
    <row r="360" spans="1:42">
      <c r="A360" t="s">
        <v>5385</v>
      </c>
      <c r="B360" t="s">
        <v>2389</v>
      </c>
      <c r="C360" t="s">
        <v>2415</v>
      </c>
      <c r="D360" t="s">
        <v>2379</v>
      </c>
      <c r="E360" t="s">
        <v>2452</v>
      </c>
      <c r="F360" t="s">
        <v>2779</v>
      </c>
      <c r="G360" t="s">
        <v>2452</v>
      </c>
      <c r="H360" t="b">
        <v>1</v>
      </c>
      <c r="I360" s="8">
        <v>45951.579942129632</v>
      </c>
      <c r="J360" t="s">
        <v>2380</v>
      </c>
      <c r="K360">
        <v>1203826</v>
      </c>
      <c r="L360">
        <v>602662</v>
      </c>
      <c r="M360" t="s">
        <v>2381</v>
      </c>
      <c r="P360" t="s">
        <v>5384</v>
      </c>
      <c r="Q360" t="s">
        <v>2383</v>
      </c>
      <c r="R360">
        <v>1</v>
      </c>
      <c r="S360" t="s">
        <v>2380</v>
      </c>
      <c r="T360" t="s">
        <v>2383</v>
      </c>
      <c r="U360" s="8">
        <v>45947.583194444444</v>
      </c>
      <c r="V360" s="8">
        <v>45952.958333333336</v>
      </c>
      <c r="W360">
        <v>1</v>
      </c>
      <c r="X360">
        <v>1.9967476850000001</v>
      </c>
      <c r="Y360" t="s">
        <v>1352</v>
      </c>
      <c r="Z360" t="s">
        <v>5386</v>
      </c>
      <c r="AA360" t="s">
        <v>5360</v>
      </c>
      <c r="AB360" t="s">
        <v>1278</v>
      </c>
      <c r="AC360" t="s">
        <v>5387</v>
      </c>
      <c r="AD360" t="s">
        <v>2708</v>
      </c>
      <c r="AE360">
        <v>1</v>
      </c>
      <c r="AO360" t="s">
        <v>2408</v>
      </c>
      <c r="AP360" t="s">
        <v>2401</v>
      </c>
    </row>
    <row r="361" spans="1:42">
      <c r="A361" t="s">
        <v>1147</v>
      </c>
      <c r="B361" t="s">
        <v>2377</v>
      </c>
      <c r="C361" t="s">
        <v>2378</v>
      </c>
      <c r="D361" t="s">
        <v>2379</v>
      </c>
      <c r="E361" t="s">
        <v>18</v>
      </c>
      <c r="F361" t="s">
        <v>2627</v>
      </c>
      <c r="G361" t="s">
        <v>2416</v>
      </c>
      <c r="H361" t="b">
        <v>1</v>
      </c>
      <c r="I361" s="8">
        <v>45952.663668981484</v>
      </c>
      <c r="J361" t="s">
        <v>2380</v>
      </c>
      <c r="L361">
        <v>609751</v>
      </c>
      <c r="M361" t="s">
        <v>2381</v>
      </c>
      <c r="P361" t="s">
        <v>7437</v>
      </c>
      <c r="Q361" t="s">
        <v>2383</v>
      </c>
      <c r="R361">
        <v>1</v>
      </c>
      <c r="S361" t="s">
        <v>2380</v>
      </c>
      <c r="T361" t="s">
        <v>2383</v>
      </c>
      <c r="U361" s="8">
        <v>45947.598680555559</v>
      </c>
      <c r="V361" s="8">
        <v>45952.958333333336</v>
      </c>
      <c r="W361">
        <v>1</v>
      </c>
      <c r="X361">
        <v>3.0649884260000002</v>
      </c>
      <c r="Y361" t="s">
        <v>2628</v>
      </c>
      <c r="Z361" t="s">
        <v>7438</v>
      </c>
      <c r="AA361" t="s">
        <v>1369</v>
      </c>
      <c r="AB361" t="s">
        <v>1278</v>
      </c>
      <c r="AC361" t="s">
        <v>7439</v>
      </c>
      <c r="AD361" t="s">
        <v>2708</v>
      </c>
      <c r="AE361">
        <v>1</v>
      </c>
      <c r="AO361" t="s">
        <v>2957</v>
      </c>
      <c r="AP361" t="s">
        <v>2401</v>
      </c>
    </row>
    <row r="362" spans="1:42">
      <c r="A362" t="s">
        <v>1169</v>
      </c>
      <c r="B362" t="s">
        <v>2377</v>
      </c>
      <c r="C362" t="s">
        <v>2447</v>
      </c>
      <c r="D362" t="s">
        <v>2379</v>
      </c>
      <c r="E362" t="s">
        <v>28</v>
      </c>
      <c r="F362" t="s">
        <v>2402</v>
      </c>
      <c r="G362" t="s">
        <v>28</v>
      </c>
      <c r="H362" t="b">
        <v>1</v>
      </c>
      <c r="I362" s="8">
        <v>45954.596759259257</v>
      </c>
      <c r="J362" t="s">
        <v>2380</v>
      </c>
      <c r="L362">
        <v>602645</v>
      </c>
      <c r="M362" t="s">
        <v>2381</v>
      </c>
      <c r="N362">
        <v>15</v>
      </c>
      <c r="P362" t="s">
        <v>2704</v>
      </c>
      <c r="Q362" t="s">
        <v>2383</v>
      </c>
      <c r="R362">
        <v>1</v>
      </c>
      <c r="S362" t="s">
        <v>2380</v>
      </c>
      <c r="T362" t="s">
        <v>2383</v>
      </c>
      <c r="U362" s="8">
        <v>45947.600844907407</v>
      </c>
      <c r="V362" s="8">
        <v>45954.958333333336</v>
      </c>
      <c r="W362">
        <v>1</v>
      </c>
      <c r="X362">
        <v>4.9959143519999998</v>
      </c>
      <c r="Y362" t="s">
        <v>2403</v>
      </c>
      <c r="Z362" t="s">
        <v>5464</v>
      </c>
      <c r="AA362" t="s">
        <v>2475</v>
      </c>
      <c r="AB362" t="s">
        <v>1278</v>
      </c>
      <c r="AC362" t="s">
        <v>4542</v>
      </c>
      <c r="AD362" t="s">
        <v>2708</v>
      </c>
      <c r="AE362">
        <v>1</v>
      </c>
      <c r="AO362" t="s">
        <v>2408</v>
      </c>
      <c r="AP362" t="s">
        <v>2401</v>
      </c>
    </row>
    <row r="363" spans="1:42">
      <c r="A363" t="s">
        <v>454</v>
      </c>
      <c r="B363" t="s">
        <v>2377</v>
      </c>
      <c r="C363" t="s">
        <v>2438</v>
      </c>
      <c r="D363" t="s">
        <v>2379</v>
      </c>
      <c r="E363" t="s">
        <v>24</v>
      </c>
      <c r="F363" t="s">
        <v>4122</v>
      </c>
      <c r="G363" t="s">
        <v>24</v>
      </c>
      <c r="H363" t="b">
        <v>1</v>
      </c>
      <c r="I363" s="8">
        <v>45948.491388888891</v>
      </c>
      <c r="J363" t="s">
        <v>2380</v>
      </c>
      <c r="L363">
        <v>602467</v>
      </c>
      <c r="M363" t="s">
        <v>2381</v>
      </c>
      <c r="P363" t="s">
        <v>8034</v>
      </c>
      <c r="Q363" t="s">
        <v>2383</v>
      </c>
      <c r="R363">
        <v>1</v>
      </c>
      <c r="S363" t="s">
        <v>2380</v>
      </c>
      <c r="T363" t="s">
        <v>2383</v>
      </c>
      <c r="U363" s="8">
        <v>45947.624120370368</v>
      </c>
      <c r="V363" s="8">
        <v>45952.958333333336</v>
      </c>
      <c r="W363">
        <v>1</v>
      </c>
      <c r="X363">
        <v>0.86726851900000002</v>
      </c>
      <c r="Y363" t="s">
        <v>1352</v>
      </c>
      <c r="Z363" t="s">
        <v>8035</v>
      </c>
      <c r="AA363" t="s">
        <v>8036</v>
      </c>
      <c r="AB363" t="s">
        <v>1278</v>
      </c>
      <c r="AC363" t="s">
        <v>2746</v>
      </c>
      <c r="AD363" t="s">
        <v>2708</v>
      </c>
      <c r="AE363">
        <v>1</v>
      </c>
      <c r="AO363" t="s">
        <v>4121</v>
      </c>
      <c r="AP363" t="s">
        <v>2401</v>
      </c>
    </row>
    <row r="364" spans="1:42">
      <c r="A364" t="s">
        <v>3973</v>
      </c>
      <c r="B364" t="s">
        <v>2389</v>
      </c>
      <c r="C364" t="s">
        <v>2438</v>
      </c>
      <c r="D364" t="s">
        <v>2379</v>
      </c>
      <c r="E364" t="s">
        <v>33</v>
      </c>
      <c r="F364" t="s">
        <v>2578</v>
      </c>
      <c r="G364" t="s">
        <v>33</v>
      </c>
      <c r="H364" t="b">
        <v>1</v>
      </c>
      <c r="I364" s="8">
        <v>45949.601620370369</v>
      </c>
      <c r="J364" t="s">
        <v>2380</v>
      </c>
      <c r="K364">
        <v>1203425</v>
      </c>
      <c r="L364">
        <v>602166</v>
      </c>
      <c r="M364" t="s">
        <v>2381</v>
      </c>
      <c r="P364" t="s">
        <v>3954</v>
      </c>
      <c r="Q364" t="s">
        <v>2383</v>
      </c>
      <c r="R364">
        <v>1</v>
      </c>
      <c r="S364" t="s">
        <v>2380</v>
      </c>
      <c r="T364" t="s">
        <v>2383</v>
      </c>
      <c r="U364" s="8">
        <v>45947.626574074071</v>
      </c>
      <c r="V364" s="8">
        <v>45952.958333333336</v>
      </c>
      <c r="W364">
        <v>1</v>
      </c>
      <c r="X364">
        <v>-2.4953704E-2</v>
      </c>
      <c r="Y364" t="s">
        <v>2579</v>
      </c>
      <c r="Z364" t="s">
        <v>3974</v>
      </c>
      <c r="AA364" t="s">
        <v>3956</v>
      </c>
      <c r="AB364" t="s">
        <v>1278</v>
      </c>
      <c r="AC364" t="s">
        <v>3975</v>
      </c>
      <c r="AD364" t="s">
        <v>2708</v>
      </c>
      <c r="AE364">
        <v>1</v>
      </c>
      <c r="AO364" t="s">
        <v>2720</v>
      </c>
      <c r="AP364" t="s">
        <v>2401</v>
      </c>
    </row>
    <row r="365" spans="1:42">
      <c r="A365" t="s">
        <v>4321</v>
      </c>
      <c r="B365" t="s">
        <v>2389</v>
      </c>
      <c r="C365" t="s">
        <v>2415</v>
      </c>
      <c r="D365" t="s">
        <v>2379</v>
      </c>
      <c r="E365" t="s">
        <v>33</v>
      </c>
      <c r="F365" t="s">
        <v>2417</v>
      </c>
      <c r="G365" t="s">
        <v>33</v>
      </c>
      <c r="H365" t="b">
        <v>1</v>
      </c>
      <c r="I365" s="8">
        <v>45951.442118055558</v>
      </c>
      <c r="J365" t="s">
        <v>2380</v>
      </c>
      <c r="K365">
        <v>1203731</v>
      </c>
      <c r="L365">
        <v>602557</v>
      </c>
      <c r="M365" t="s">
        <v>2381</v>
      </c>
      <c r="P365" t="s">
        <v>4320</v>
      </c>
      <c r="Q365" t="s">
        <v>2383</v>
      </c>
      <c r="R365">
        <v>1</v>
      </c>
      <c r="S365" t="s">
        <v>2380</v>
      </c>
      <c r="T365" t="s">
        <v>2383</v>
      </c>
      <c r="U365" s="8">
        <v>45947.632256944446</v>
      </c>
      <c r="V365" s="8">
        <v>45952.958333333336</v>
      </c>
      <c r="W365">
        <v>1</v>
      </c>
      <c r="X365">
        <v>1.809861111</v>
      </c>
      <c r="Y365" t="s">
        <v>2418</v>
      </c>
      <c r="Z365" t="s">
        <v>4322</v>
      </c>
      <c r="AA365" t="s">
        <v>1954</v>
      </c>
      <c r="AB365" t="s">
        <v>1278</v>
      </c>
      <c r="AC365" t="s">
        <v>4323</v>
      </c>
      <c r="AD365" t="s">
        <v>2708</v>
      </c>
      <c r="AE365">
        <v>1</v>
      </c>
      <c r="AO365" t="s">
        <v>2408</v>
      </c>
      <c r="AP365" t="s">
        <v>2401</v>
      </c>
    </row>
    <row r="366" spans="1:42">
      <c r="A366" t="s">
        <v>90</v>
      </c>
      <c r="B366" t="s">
        <v>2377</v>
      </c>
      <c r="C366" t="s">
        <v>2390</v>
      </c>
      <c r="D366" t="s">
        <v>2379</v>
      </c>
      <c r="E366" t="s">
        <v>33</v>
      </c>
      <c r="F366" t="s">
        <v>2409</v>
      </c>
      <c r="G366" t="s">
        <v>33</v>
      </c>
      <c r="H366" t="b">
        <v>1</v>
      </c>
      <c r="I366" s="8">
        <v>45951.671655092592</v>
      </c>
      <c r="J366" t="s">
        <v>2380</v>
      </c>
      <c r="L366">
        <v>608028</v>
      </c>
      <c r="M366" t="s">
        <v>2381</v>
      </c>
      <c r="P366" t="s">
        <v>2704</v>
      </c>
      <c r="Q366" t="s">
        <v>2383</v>
      </c>
      <c r="R366">
        <v>1</v>
      </c>
      <c r="S366" t="s">
        <v>2380</v>
      </c>
      <c r="T366" t="s">
        <v>2383</v>
      </c>
      <c r="U366" s="8">
        <v>45947.64398148148</v>
      </c>
      <c r="V366" s="8">
        <v>45952.958333333336</v>
      </c>
      <c r="W366">
        <v>1</v>
      </c>
      <c r="X366">
        <v>2.027673611</v>
      </c>
      <c r="Y366" t="s">
        <v>2410</v>
      </c>
      <c r="Z366" t="s">
        <v>9368</v>
      </c>
      <c r="AA366" t="s">
        <v>8806</v>
      </c>
      <c r="AB366" t="s">
        <v>1278</v>
      </c>
      <c r="AC366" t="s">
        <v>9369</v>
      </c>
      <c r="AD366" t="s">
        <v>2708</v>
      </c>
      <c r="AE366">
        <v>1</v>
      </c>
      <c r="AF366">
        <v>5</v>
      </c>
      <c r="AH366" t="s">
        <v>2723</v>
      </c>
      <c r="AI366" s="8">
        <v>45950.498425925929</v>
      </c>
      <c r="AK366" t="s">
        <v>2719</v>
      </c>
      <c r="AL366" t="s">
        <v>2724</v>
      </c>
      <c r="AO366" t="s">
        <v>3644</v>
      </c>
      <c r="AP366" t="s">
        <v>2401</v>
      </c>
    </row>
    <row r="367" spans="1:42">
      <c r="A367" t="s">
        <v>487</v>
      </c>
      <c r="B367" t="s">
        <v>2377</v>
      </c>
      <c r="C367" t="s">
        <v>2390</v>
      </c>
      <c r="D367" t="s">
        <v>2379</v>
      </c>
      <c r="E367" t="s">
        <v>24</v>
      </c>
      <c r="F367" t="s">
        <v>8940</v>
      </c>
      <c r="G367" t="s">
        <v>24</v>
      </c>
      <c r="H367" t="b">
        <v>1</v>
      </c>
      <c r="I367" s="8">
        <v>45952.57739583333</v>
      </c>
      <c r="J367" t="s">
        <v>2380</v>
      </c>
      <c r="L367">
        <v>605564</v>
      </c>
      <c r="M367" t="s">
        <v>2381</v>
      </c>
      <c r="P367" t="s">
        <v>2704</v>
      </c>
      <c r="Q367" t="s">
        <v>2383</v>
      </c>
      <c r="R367">
        <v>1</v>
      </c>
      <c r="S367" t="s">
        <v>2380</v>
      </c>
      <c r="T367" t="s">
        <v>2383</v>
      </c>
      <c r="U367" s="8">
        <v>45947.650925925926</v>
      </c>
      <c r="V367" s="8">
        <v>45952.958333333336</v>
      </c>
      <c r="W367">
        <v>1</v>
      </c>
      <c r="X367">
        <v>2.926469907</v>
      </c>
      <c r="Y367" t="s">
        <v>8941</v>
      </c>
      <c r="Z367" t="s">
        <v>9499</v>
      </c>
      <c r="AA367" t="s">
        <v>8943</v>
      </c>
      <c r="AB367" t="s">
        <v>1278</v>
      </c>
      <c r="AC367" t="s">
        <v>2387</v>
      </c>
      <c r="AD367" t="s">
        <v>2708</v>
      </c>
      <c r="AE367">
        <v>1</v>
      </c>
      <c r="AO367" t="s">
        <v>2715</v>
      </c>
      <c r="AP367" t="s">
        <v>8931</v>
      </c>
    </row>
    <row r="368" spans="1:42">
      <c r="A368" t="s">
        <v>1033</v>
      </c>
      <c r="B368" t="s">
        <v>2377</v>
      </c>
      <c r="C368" t="s">
        <v>2378</v>
      </c>
      <c r="D368" t="s">
        <v>2379</v>
      </c>
      <c r="E368" t="s">
        <v>28</v>
      </c>
      <c r="F368" t="s">
        <v>4665</v>
      </c>
      <c r="G368" t="s">
        <v>28</v>
      </c>
      <c r="H368" t="b">
        <v>1</v>
      </c>
      <c r="I368" s="8">
        <v>45952.673877314817</v>
      </c>
      <c r="J368" t="s">
        <v>2380</v>
      </c>
      <c r="L368">
        <v>601368</v>
      </c>
      <c r="M368" t="s">
        <v>2381</v>
      </c>
      <c r="N368">
        <v>15</v>
      </c>
      <c r="P368" t="s">
        <v>5290</v>
      </c>
      <c r="Q368" t="s">
        <v>2383</v>
      </c>
      <c r="R368">
        <v>1</v>
      </c>
      <c r="S368" t="s">
        <v>2380</v>
      </c>
      <c r="T368" t="s">
        <v>2383</v>
      </c>
      <c r="U368" s="8">
        <v>45947.653449074074</v>
      </c>
      <c r="V368" s="8">
        <v>45952.958333333336</v>
      </c>
      <c r="W368">
        <v>1</v>
      </c>
      <c r="X368">
        <v>3.0204282409999998</v>
      </c>
      <c r="Y368" t="s">
        <v>3441</v>
      </c>
      <c r="Z368" t="s">
        <v>7911</v>
      </c>
      <c r="AA368" t="s">
        <v>7912</v>
      </c>
      <c r="AB368" t="s">
        <v>1278</v>
      </c>
      <c r="AC368" t="s">
        <v>4542</v>
      </c>
      <c r="AD368" t="s">
        <v>2708</v>
      </c>
      <c r="AE368">
        <v>1</v>
      </c>
      <c r="AO368" t="s">
        <v>2957</v>
      </c>
      <c r="AP368" t="s">
        <v>2401</v>
      </c>
    </row>
    <row r="369" spans="1:42">
      <c r="A369" t="s">
        <v>6133</v>
      </c>
      <c r="B369" t="s">
        <v>2389</v>
      </c>
      <c r="C369" t="s">
        <v>2447</v>
      </c>
      <c r="D369" t="s">
        <v>2379</v>
      </c>
      <c r="E369" t="s">
        <v>2452</v>
      </c>
      <c r="F369" t="s">
        <v>2578</v>
      </c>
      <c r="G369" t="s">
        <v>2452</v>
      </c>
      <c r="H369" t="b">
        <v>1</v>
      </c>
      <c r="I369" s="8">
        <v>45954.487442129626</v>
      </c>
      <c r="J369" t="s">
        <v>2380</v>
      </c>
      <c r="K369">
        <v>1204429</v>
      </c>
      <c r="L369">
        <v>602857</v>
      </c>
      <c r="M369" t="s">
        <v>2381</v>
      </c>
      <c r="P369" t="s">
        <v>6132</v>
      </c>
      <c r="Q369" t="s">
        <v>2383</v>
      </c>
      <c r="R369">
        <v>1</v>
      </c>
      <c r="S369" t="s">
        <v>2380</v>
      </c>
      <c r="T369" t="s">
        <v>2383</v>
      </c>
      <c r="U369" s="8">
        <v>45947.655081018522</v>
      </c>
      <c r="V369" s="8">
        <v>45960.958333333336</v>
      </c>
      <c r="W369">
        <v>1</v>
      </c>
      <c r="X369">
        <v>4.832361111</v>
      </c>
      <c r="Y369" t="s">
        <v>2579</v>
      </c>
      <c r="Z369" t="s">
        <v>6134</v>
      </c>
      <c r="AA369" t="s">
        <v>5975</v>
      </c>
      <c r="AB369" t="s">
        <v>1278</v>
      </c>
      <c r="AC369" t="s">
        <v>6135</v>
      </c>
      <c r="AD369" t="s">
        <v>2708</v>
      </c>
      <c r="AE369">
        <v>1</v>
      </c>
      <c r="AO369" t="s">
        <v>2547</v>
      </c>
      <c r="AP369" t="s">
        <v>2401</v>
      </c>
    </row>
    <row r="370" spans="1:42">
      <c r="A370" t="s">
        <v>489</v>
      </c>
      <c r="B370" t="s">
        <v>2377</v>
      </c>
      <c r="C370" t="s">
        <v>2390</v>
      </c>
      <c r="D370" t="s">
        <v>2379</v>
      </c>
      <c r="E370" t="s">
        <v>24</v>
      </c>
      <c r="F370" t="s">
        <v>2578</v>
      </c>
      <c r="G370" t="s">
        <v>24</v>
      </c>
      <c r="H370" t="b">
        <v>1</v>
      </c>
      <c r="I370" s="8">
        <v>45952.59107638889</v>
      </c>
      <c r="J370" t="s">
        <v>2380</v>
      </c>
      <c r="L370">
        <v>602833</v>
      </c>
      <c r="M370" t="s">
        <v>2381</v>
      </c>
      <c r="P370" t="s">
        <v>6557</v>
      </c>
      <c r="Q370" t="s">
        <v>2383</v>
      </c>
      <c r="R370">
        <v>1</v>
      </c>
      <c r="S370" t="s">
        <v>2380</v>
      </c>
      <c r="T370" t="s">
        <v>2383</v>
      </c>
      <c r="U370" s="8">
        <v>45947.707743055558</v>
      </c>
      <c r="V370" s="8">
        <v>45952.958333333336</v>
      </c>
      <c r="W370">
        <v>1</v>
      </c>
      <c r="X370">
        <v>2.8833333329999999</v>
      </c>
      <c r="Y370" t="s">
        <v>2579</v>
      </c>
      <c r="Z370" t="s">
        <v>6558</v>
      </c>
      <c r="AA370" t="s">
        <v>6559</v>
      </c>
      <c r="AB370" t="s">
        <v>1278</v>
      </c>
      <c r="AC370" t="s">
        <v>6560</v>
      </c>
      <c r="AD370" t="s">
        <v>2708</v>
      </c>
      <c r="AE370">
        <v>1</v>
      </c>
      <c r="AO370" t="s">
        <v>2388</v>
      </c>
      <c r="AP370" t="s">
        <v>2401</v>
      </c>
    </row>
    <row r="371" spans="1:42">
      <c r="A371" t="s">
        <v>726</v>
      </c>
      <c r="B371" t="s">
        <v>2377</v>
      </c>
      <c r="C371" t="s">
        <v>2438</v>
      </c>
      <c r="D371" t="s">
        <v>2379</v>
      </c>
      <c r="E371" t="s">
        <v>24</v>
      </c>
      <c r="F371" t="s">
        <v>3445</v>
      </c>
      <c r="G371" t="s">
        <v>24</v>
      </c>
      <c r="H371" t="b">
        <v>1</v>
      </c>
      <c r="I371" s="8">
        <v>45948.485208333332</v>
      </c>
      <c r="J371" t="s">
        <v>2380</v>
      </c>
      <c r="L371">
        <v>603970</v>
      </c>
      <c r="M371" t="s">
        <v>2381</v>
      </c>
      <c r="P371" t="s">
        <v>4125</v>
      </c>
      <c r="Q371" t="s">
        <v>2383</v>
      </c>
      <c r="R371">
        <v>1</v>
      </c>
      <c r="S371" t="s">
        <v>2380</v>
      </c>
      <c r="T371" t="s">
        <v>2383</v>
      </c>
      <c r="U371" s="8">
        <v>45947.708402777775</v>
      </c>
      <c r="V371" s="8">
        <v>45952.958333333336</v>
      </c>
      <c r="W371">
        <v>1</v>
      </c>
      <c r="X371">
        <v>0.77680555600000001</v>
      </c>
      <c r="Y371" t="s">
        <v>4126</v>
      </c>
      <c r="Z371" t="s">
        <v>7405</v>
      </c>
      <c r="AA371" t="s">
        <v>2306</v>
      </c>
      <c r="AB371" t="s">
        <v>1278</v>
      </c>
      <c r="AC371" t="s">
        <v>2746</v>
      </c>
      <c r="AD371" t="s">
        <v>2708</v>
      </c>
      <c r="AE371">
        <v>1</v>
      </c>
      <c r="AO371" t="s">
        <v>2957</v>
      </c>
      <c r="AP371" t="s">
        <v>2401</v>
      </c>
    </row>
    <row r="372" spans="1:42">
      <c r="A372" t="s">
        <v>123</v>
      </c>
      <c r="B372" t="s">
        <v>2377</v>
      </c>
      <c r="C372" t="s">
        <v>2415</v>
      </c>
      <c r="D372" t="s">
        <v>2379</v>
      </c>
      <c r="E372" t="s">
        <v>25</v>
      </c>
      <c r="F372" t="s">
        <v>9487</v>
      </c>
      <c r="G372" t="s">
        <v>25</v>
      </c>
      <c r="H372" t="b">
        <v>1</v>
      </c>
      <c r="I372" s="8">
        <v>45951.638472222221</v>
      </c>
      <c r="J372" t="s">
        <v>2380</v>
      </c>
      <c r="L372">
        <v>605834</v>
      </c>
      <c r="M372" t="s">
        <v>2381</v>
      </c>
      <c r="N372">
        <v>10</v>
      </c>
      <c r="P372" t="s">
        <v>4661</v>
      </c>
      <c r="Q372" t="s">
        <v>2383</v>
      </c>
      <c r="R372">
        <v>1</v>
      </c>
      <c r="S372" t="s">
        <v>2380</v>
      </c>
      <c r="T372" t="s">
        <v>2383</v>
      </c>
      <c r="U372" s="8">
        <v>45947.713587962964</v>
      </c>
      <c r="V372" s="8">
        <v>45952.958333333336</v>
      </c>
      <c r="W372">
        <v>1</v>
      </c>
      <c r="X372">
        <v>1.9248842589999999</v>
      </c>
      <c r="Y372" t="s">
        <v>1333</v>
      </c>
      <c r="Z372" t="s">
        <v>9488</v>
      </c>
      <c r="AA372" t="s">
        <v>9489</v>
      </c>
      <c r="AB372" t="s">
        <v>1278</v>
      </c>
      <c r="AC372" t="s">
        <v>9490</v>
      </c>
      <c r="AD372" t="s">
        <v>2708</v>
      </c>
      <c r="AE372">
        <v>1</v>
      </c>
      <c r="AO372" t="s">
        <v>3608</v>
      </c>
      <c r="AP372" t="s">
        <v>8931</v>
      </c>
    </row>
    <row r="373" spans="1:42">
      <c r="A373" t="s">
        <v>462</v>
      </c>
      <c r="B373" t="s">
        <v>2377</v>
      </c>
      <c r="C373" t="s">
        <v>2438</v>
      </c>
      <c r="D373" t="s">
        <v>2379</v>
      </c>
      <c r="E373" t="s">
        <v>18</v>
      </c>
      <c r="F373" t="s">
        <v>3891</v>
      </c>
      <c r="G373" t="s">
        <v>2416</v>
      </c>
      <c r="H373" t="b">
        <v>1</v>
      </c>
      <c r="I373" s="8">
        <v>45950.422395833331</v>
      </c>
      <c r="J373" t="s">
        <v>2380</v>
      </c>
      <c r="L373">
        <v>608002</v>
      </c>
      <c r="M373" t="s">
        <v>2381</v>
      </c>
      <c r="P373" t="s">
        <v>2704</v>
      </c>
      <c r="Q373" t="s">
        <v>2383</v>
      </c>
      <c r="R373">
        <v>1</v>
      </c>
      <c r="S373" t="s">
        <v>2380</v>
      </c>
      <c r="T373" t="s">
        <v>2383</v>
      </c>
      <c r="U373" s="8">
        <v>45947.734490740739</v>
      </c>
      <c r="V373" s="8">
        <v>45952.958333333336</v>
      </c>
      <c r="W373">
        <v>1</v>
      </c>
      <c r="X373">
        <v>0.68790509300000002</v>
      </c>
      <c r="Y373" t="s">
        <v>3892</v>
      </c>
      <c r="Z373" t="s">
        <v>4933</v>
      </c>
      <c r="AA373" t="s">
        <v>461</v>
      </c>
      <c r="AB373" t="s">
        <v>1278</v>
      </c>
      <c r="AC373" t="s">
        <v>4934</v>
      </c>
      <c r="AD373" t="s">
        <v>2708</v>
      </c>
      <c r="AE373">
        <v>1</v>
      </c>
      <c r="AO373" t="s">
        <v>2715</v>
      </c>
      <c r="AP373" t="s">
        <v>2401</v>
      </c>
    </row>
    <row r="374" spans="1:42">
      <c r="A374" t="s">
        <v>1098</v>
      </c>
      <c r="B374" t="s">
        <v>2377</v>
      </c>
      <c r="C374" t="s">
        <v>2438</v>
      </c>
      <c r="D374" t="s">
        <v>2379</v>
      </c>
      <c r="E374" t="s">
        <v>25</v>
      </c>
      <c r="F374">
        <v>6280</v>
      </c>
      <c r="G374" t="s">
        <v>25</v>
      </c>
      <c r="H374" t="b">
        <v>1</v>
      </c>
      <c r="I374" s="8">
        <v>45948.444976851853</v>
      </c>
      <c r="J374" t="s">
        <v>2380</v>
      </c>
      <c r="L374">
        <v>602337</v>
      </c>
      <c r="M374" t="s">
        <v>2381</v>
      </c>
      <c r="N374">
        <v>8</v>
      </c>
      <c r="P374" t="s">
        <v>2704</v>
      </c>
      <c r="Q374" t="s">
        <v>2383</v>
      </c>
      <c r="R374">
        <v>1</v>
      </c>
      <c r="S374" t="s">
        <v>2380</v>
      </c>
      <c r="T374" t="s">
        <v>2383</v>
      </c>
      <c r="U374" s="8">
        <v>45948.341006944444</v>
      </c>
      <c r="V374" s="8">
        <v>45952.958333333336</v>
      </c>
      <c r="W374">
        <v>1</v>
      </c>
      <c r="X374">
        <v>0.103969907</v>
      </c>
      <c r="Y374" t="s">
        <v>4555</v>
      </c>
      <c r="Z374" t="s">
        <v>7399</v>
      </c>
      <c r="AA374" t="s">
        <v>6806</v>
      </c>
      <c r="AB374" t="s">
        <v>1278</v>
      </c>
      <c r="AC374" t="s">
        <v>2387</v>
      </c>
      <c r="AD374" t="s">
        <v>2708</v>
      </c>
      <c r="AE374">
        <v>1</v>
      </c>
      <c r="AO374" t="s">
        <v>2388</v>
      </c>
      <c r="AP374" t="s">
        <v>2401</v>
      </c>
    </row>
    <row r="375" spans="1:42">
      <c r="A375" t="s">
        <v>1100</v>
      </c>
      <c r="B375" t="s">
        <v>2377</v>
      </c>
      <c r="C375" t="s">
        <v>2438</v>
      </c>
      <c r="D375" t="s">
        <v>2379</v>
      </c>
      <c r="E375" t="s">
        <v>25</v>
      </c>
      <c r="F375" t="s">
        <v>3747</v>
      </c>
      <c r="G375" t="s">
        <v>25</v>
      </c>
      <c r="H375" t="b">
        <v>1</v>
      </c>
      <c r="I375" s="8">
        <v>45948.450509259259</v>
      </c>
      <c r="J375" t="s">
        <v>2380</v>
      </c>
      <c r="L375">
        <v>609921</v>
      </c>
      <c r="M375" t="s">
        <v>2381</v>
      </c>
      <c r="N375">
        <v>8</v>
      </c>
      <c r="P375" t="s">
        <v>2704</v>
      </c>
      <c r="Q375" t="s">
        <v>2383</v>
      </c>
      <c r="R375">
        <v>1</v>
      </c>
      <c r="S375" t="s">
        <v>2380</v>
      </c>
      <c r="T375" t="s">
        <v>2383</v>
      </c>
      <c r="U375" s="8">
        <v>45948.342881944445</v>
      </c>
      <c r="V375" s="8">
        <v>45952.958333333336</v>
      </c>
      <c r="W375">
        <v>1</v>
      </c>
      <c r="X375">
        <v>0.107627315</v>
      </c>
      <c r="Y375" t="s">
        <v>3748</v>
      </c>
      <c r="Z375" t="s">
        <v>4891</v>
      </c>
      <c r="AA375" t="s">
        <v>4892</v>
      </c>
      <c r="AB375" t="s">
        <v>1278</v>
      </c>
      <c r="AC375" t="s">
        <v>2387</v>
      </c>
      <c r="AD375" t="s">
        <v>2708</v>
      </c>
      <c r="AE375">
        <v>1</v>
      </c>
      <c r="AO375" t="s">
        <v>2712</v>
      </c>
      <c r="AP375" t="s">
        <v>2401</v>
      </c>
    </row>
    <row r="376" spans="1:42">
      <c r="A376" t="s">
        <v>722</v>
      </c>
      <c r="B376" t="s">
        <v>2377</v>
      </c>
      <c r="C376" t="s">
        <v>2438</v>
      </c>
      <c r="D376" t="s">
        <v>2379</v>
      </c>
      <c r="E376" t="s">
        <v>25</v>
      </c>
      <c r="F376" t="s">
        <v>2402</v>
      </c>
      <c r="G376" t="s">
        <v>25</v>
      </c>
      <c r="H376" t="b">
        <v>1</v>
      </c>
      <c r="I376" s="8">
        <v>45948.464641203704</v>
      </c>
      <c r="J376" t="s">
        <v>2380</v>
      </c>
      <c r="L376">
        <v>603630</v>
      </c>
      <c r="M376" t="s">
        <v>2381</v>
      </c>
      <c r="P376" t="s">
        <v>2704</v>
      </c>
      <c r="Q376" t="s">
        <v>2383</v>
      </c>
      <c r="R376">
        <v>1</v>
      </c>
      <c r="S376" t="s">
        <v>2380</v>
      </c>
      <c r="T376" t="s">
        <v>2383</v>
      </c>
      <c r="U376" s="8">
        <v>45948.344502314816</v>
      </c>
      <c r="V376" s="8">
        <v>45952.958333333336</v>
      </c>
      <c r="W376">
        <v>1</v>
      </c>
      <c r="X376">
        <v>0.120138889</v>
      </c>
      <c r="Y376" t="s">
        <v>2403</v>
      </c>
      <c r="Z376" t="s">
        <v>9598</v>
      </c>
      <c r="AA376" t="s">
        <v>3592</v>
      </c>
      <c r="AB376" t="s">
        <v>1278</v>
      </c>
      <c r="AC376" t="s">
        <v>2387</v>
      </c>
      <c r="AD376" t="s">
        <v>2708</v>
      </c>
      <c r="AE376">
        <v>1</v>
      </c>
      <c r="AO376" t="s">
        <v>3586</v>
      </c>
      <c r="AP376" t="s">
        <v>2401</v>
      </c>
    </row>
    <row r="377" spans="1:42">
      <c r="A377" t="s">
        <v>724</v>
      </c>
      <c r="B377" t="s">
        <v>2377</v>
      </c>
      <c r="C377" t="s">
        <v>2438</v>
      </c>
      <c r="D377" t="s">
        <v>2379</v>
      </c>
      <c r="E377" t="s">
        <v>25</v>
      </c>
      <c r="F377" t="s">
        <v>3891</v>
      </c>
      <c r="G377" t="s">
        <v>25</v>
      </c>
      <c r="H377" t="b">
        <v>1</v>
      </c>
      <c r="I377" s="8">
        <v>45948.478379629632</v>
      </c>
      <c r="J377" t="s">
        <v>2380</v>
      </c>
      <c r="L377">
        <v>603381</v>
      </c>
      <c r="M377" t="s">
        <v>2381</v>
      </c>
      <c r="N377">
        <v>5</v>
      </c>
      <c r="P377" t="s">
        <v>2704</v>
      </c>
      <c r="Q377" t="s">
        <v>2383</v>
      </c>
      <c r="R377">
        <v>1</v>
      </c>
      <c r="S377" t="s">
        <v>2380</v>
      </c>
      <c r="T377" t="s">
        <v>2383</v>
      </c>
      <c r="U377" s="8">
        <v>45948.354398148149</v>
      </c>
      <c r="V377" s="8">
        <v>45952.958333333336</v>
      </c>
      <c r="W377">
        <v>1</v>
      </c>
      <c r="X377">
        <v>0.123981481</v>
      </c>
      <c r="Y377" t="s">
        <v>3892</v>
      </c>
      <c r="Z377" t="s">
        <v>5065</v>
      </c>
      <c r="AA377" t="s">
        <v>2714</v>
      </c>
      <c r="AB377" t="s">
        <v>1278</v>
      </c>
      <c r="AC377" t="s">
        <v>2387</v>
      </c>
      <c r="AD377" t="s">
        <v>2708</v>
      </c>
      <c r="AE377">
        <v>1</v>
      </c>
      <c r="AO377" t="s">
        <v>2715</v>
      </c>
      <c r="AP377" t="s">
        <v>2401</v>
      </c>
    </row>
    <row r="378" spans="1:42">
      <c r="A378" t="s">
        <v>4118</v>
      </c>
      <c r="B378" t="s">
        <v>2377</v>
      </c>
      <c r="C378" t="s">
        <v>2378</v>
      </c>
      <c r="D378" t="s">
        <v>2379</v>
      </c>
      <c r="E378" t="s">
        <v>24</v>
      </c>
      <c r="F378" t="s">
        <v>2402</v>
      </c>
      <c r="G378" t="s">
        <v>24</v>
      </c>
      <c r="H378" t="b">
        <v>1</v>
      </c>
      <c r="I378" s="8">
        <v>45952.681944444441</v>
      </c>
      <c r="J378" t="s">
        <v>2380</v>
      </c>
      <c r="L378">
        <v>602471</v>
      </c>
      <c r="M378" t="s">
        <v>2381</v>
      </c>
      <c r="P378" t="s">
        <v>4117</v>
      </c>
      <c r="Q378" t="s">
        <v>2383</v>
      </c>
      <c r="R378">
        <v>1</v>
      </c>
      <c r="S378" t="s">
        <v>2380</v>
      </c>
      <c r="T378" t="s">
        <v>2383</v>
      </c>
      <c r="U378" s="8">
        <v>45949.498831018522</v>
      </c>
      <c r="V378" s="8">
        <v>45952.958333333336</v>
      </c>
      <c r="W378">
        <v>1</v>
      </c>
      <c r="X378">
        <v>3.1831134259999998</v>
      </c>
      <c r="Y378" t="s">
        <v>2403</v>
      </c>
      <c r="Z378" t="s">
        <v>4119</v>
      </c>
      <c r="AA378" t="s">
        <v>4120</v>
      </c>
      <c r="AB378" t="s">
        <v>1278</v>
      </c>
      <c r="AC378" t="s">
        <v>2387</v>
      </c>
      <c r="AE378">
        <v>1</v>
      </c>
      <c r="AH378" t="s">
        <v>2723</v>
      </c>
      <c r="AI378" s="8">
        <v>45952.633750000001</v>
      </c>
      <c r="AK378" t="s">
        <v>2719</v>
      </c>
      <c r="AL378" t="s">
        <v>2724</v>
      </c>
      <c r="AO378" t="s">
        <v>4121</v>
      </c>
      <c r="AP378" t="s">
        <v>2401</v>
      </c>
    </row>
    <row r="379" spans="1:42">
      <c r="A379" t="s">
        <v>483</v>
      </c>
      <c r="B379" t="s">
        <v>2377</v>
      </c>
      <c r="C379" t="s">
        <v>2378</v>
      </c>
      <c r="D379" t="s">
        <v>2379</v>
      </c>
      <c r="E379" t="s">
        <v>24</v>
      </c>
      <c r="F379" t="s">
        <v>2402</v>
      </c>
      <c r="G379" t="s">
        <v>24</v>
      </c>
      <c r="H379" t="b">
        <v>1</v>
      </c>
      <c r="I379" s="8">
        <v>45952.520925925928</v>
      </c>
      <c r="J379" t="s">
        <v>2380</v>
      </c>
      <c r="L379">
        <v>602471</v>
      </c>
      <c r="M379" t="s">
        <v>2381</v>
      </c>
      <c r="P379" t="s">
        <v>4117</v>
      </c>
      <c r="Q379" t="s">
        <v>2383</v>
      </c>
      <c r="R379">
        <v>1</v>
      </c>
      <c r="S379" t="s">
        <v>2380</v>
      </c>
      <c r="T379" t="s">
        <v>2383</v>
      </c>
      <c r="U379" s="8">
        <v>45949.499236111114</v>
      </c>
      <c r="V379" s="8">
        <v>45952.958333333336</v>
      </c>
      <c r="W379">
        <v>1</v>
      </c>
      <c r="X379">
        <v>3.0216898149999998</v>
      </c>
      <c r="Y379" t="s">
        <v>2403</v>
      </c>
      <c r="Z379" t="s">
        <v>8037</v>
      </c>
      <c r="AA379" t="s">
        <v>4120</v>
      </c>
      <c r="AB379" t="s">
        <v>1278</v>
      </c>
      <c r="AC379" t="s">
        <v>2387</v>
      </c>
      <c r="AD379" t="s">
        <v>2708</v>
      </c>
      <c r="AE379">
        <v>1</v>
      </c>
      <c r="AO379" t="s">
        <v>4121</v>
      </c>
      <c r="AP379" t="s">
        <v>2401</v>
      </c>
    </row>
    <row r="380" spans="1:42">
      <c r="A380" t="s">
        <v>7085</v>
      </c>
      <c r="B380" t="s">
        <v>2389</v>
      </c>
      <c r="C380" t="s">
        <v>2378</v>
      </c>
      <c r="D380" t="s">
        <v>2379</v>
      </c>
      <c r="E380" t="s">
        <v>2452</v>
      </c>
      <c r="F380" t="s">
        <v>2578</v>
      </c>
      <c r="G380" t="s">
        <v>2452</v>
      </c>
      <c r="H380" t="b">
        <v>1</v>
      </c>
      <c r="I380" s="8">
        <v>45953.477222222224</v>
      </c>
      <c r="J380" t="s">
        <v>2380</v>
      </c>
      <c r="K380">
        <v>1204161</v>
      </c>
      <c r="L380">
        <v>601173</v>
      </c>
      <c r="M380" t="s">
        <v>2381</v>
      </c>
      <c r="P380" t="s">
        <v>7084</v>
      </c>
      <c r="Q380" t="s">
        <v>2383</v>
      </c>
      <c r="R380">
        <v>1</v>
      </c>
      <c r="S380" t="s">
        <v>2380</v>
      </c>
      <c r="T380" t="s">
        <v>2383</v>
      </c>
      <c r="U380" s="8">
        <v>45950.360555555555</v>
      </c>
      <c r="V380" s="8">
        <v>45953.958333333336</v>
      </c>
      <c r="W380">
        <v>1</v>
      </c>
      <c r="X380">
        <v>3.1166666670000001</v>
      </c>
      <c r="Y380" t="s">
        <v>2579</v>
      </c>
      <c r="Z380" t="s">
        <v>7086</v>
      </c>
      <c r="AA380" t="s">
        <v>7087</v>
      </c>
      <c r="AB380" t="s">
        <v>1278</v>
      </c>
      <c r="AC380" t="s">
        <v>7088</v>
      </c>
      <c r="AD380" t="s">
        <v>2708</v>
      </c>
      <c r="AE380">
        <v>1</v>
      </c>
      <c r="AO380" t="s">
        <v>2388</v>
      </c>
      <c r="AP380" t="s">
        <v>2401</v>
      </c>
    </row>
    <row r="381" spans="1:42">
      <c r="A381" t="s">
        <v>5615</v>
      </c>
      <c r="B381" t="s">
        <v>2389</v>
      </c>
      <c r="C381" t="s">
        <v>2378</v>
      </c>
      <c r="D381" t="s">
        <v>2379</v>
      </c>
      <c r="E381" t="s">
        <v>2452</v>
      </c>
      <c r="F381" t="s">
        <v>2417</v>
      </c>
      <c r="G381" t="s">
        <v>2452</v>
      </c>
      <c r="H381" t="b">
        <v>1</v>
      </c>
      <c r="I381" s="8">
        <v>45953.621018518519</v>
      </c>
      <c r="J381" t="s">
        <v>2380</v>
      </c>
      <c r="K381">
        <v>1204301</v>
      </c>
      <c r="L381">
        <v>602876</v>
      </c>
      <c r="M381" t="s">
        <v>2381</v>
      </c>
      <c r="P381" t="s">
        <v>5595</v>
      </c>
      <c r="Q381" t="s">
        <v>2383</v>
      </c>
      <c r="R381">
        <v>1</v>
      </c>
      <c r="S381" t="s">
        <v>2380</v>
      </c>
      <c r="T381" t="s">
        <v>2383</v>
      </c>
      <c r="U381" s="8">
        <v>45950.378159722219</v>
      </c>
      <c r="V381" s="8">
        <v>45953.958333333336</v>
      </c>
      <c r="W381">
        <v>1</v>
      </c>
      <c r="X381">
        <v>3.2428587960000002</v>
      </c>
      <c r="Y381" t="s">
        <v>2418</v>
      </c>
      <c r="Z381" t="s">
        <v>5616</v>
      </c>
      <c r="AA381" t="s">
        <v>1307</v>
      </c>
      <c r="AB381" t="s">
        <v>1278</v>
      </c>
      <c r="AC381" t="s">
        <v>5617</v>
      </c>
      <c r="AD381" t="s">
        <v>2708</v>
      </c>
      <c r="AE381">
        <v>1</v>
      </c>
      <c r="AO381" t="s">
        <v>2540</v>
      </c>
      <c r="AP381" t="s">
        <v>2401</v>
      </c>
    </row>
    <row r="382" spans="1:42">
      <c r="A382" t="s">
        <v>3741</v>
      </c>
      <c r="B382" t="s">
        <v>2389</v>
      </c>
      <c r="C382" t="s">
        <v>2390</v>
      </c>
      <c r="D382" t="s">
        <v>2379</v>
      </c>
      <c r="E382" t="s">
        <v>33</v>
      </c>
      <c r="F382" t="s">
        <v>2431</v>
      </c>
      <c r="G382" t="s">
        <v>33</v>
      </c>
      <c r="H382" t="b">
        <v>1</v>
      </c>
      <c r="I382" s="8">
        <v>45952.402696759258</v>
      </c>
      <c r="J382" t="s">
        <v>2380</v>
      </c>
      <c r="L382">
        <v>602631</v>
      </c>
      <c r="M382" t="s">
        <v>2381</v>
      </c>
      <c r="P382" t="s">
        <v>3740</v>
      </c>
      <c r="Q382" t="s">
        <v>2383</v>
      </c>
      <c r="R382">
        <v>1</v>
      </c>
      <c r="S382" t="s">
        <v>2380</v>
      </c>
      <c r="T382" t="s">
        <v>2383</v>
      </c>
      <c r="U382" s="8">
        <v>45950.396041666667</v>
      </c>
      <c r="V382" s="8">
        <v>45953.958333333336</v>
      </c>
      <c r="W382">
        <v>1</v>
      </c>
      <c r="X382">
        <v>2.006655093</v>
      </c>
      <c r="Y382" t="s">
        <v>2433</v>
      </c>
      <c r="Z382" t="s">
        <v>3742</v>
      </c>
      <c r="AA382" t="s">
        <v>1300</v>
      </c>
      <c r="AB382" t="s">
        <v>1278</v>
      </c>
      <c r="AC382" t="s">
        <v>3743</v>
      </c>
      <c r="AE382">
        <v>1</v>
      </c>
      <c r="AO382" t="s">
        <v>2720</v>
      </c>
      <c r="AP382" t="s">
        <v>2401</v>
      </c>
    </row>
    <row r="383" spans="1:42">
      <c r="A383" t="s">
        <v>848</v>
      </c>
      <c r="B383" t="s">
        <v>2377</v>
      </c>
      <c r="C383" t="s">
        <v>2438</v>
      </c>
      <c r="D383" t="s">
        <v>2379</v>
      </c>
      <c r="E383" t="s">
        <v>18</v>
      </c>
      <c r="F383" t="s">
        <v>2402</v>
      </c>
      <c r="G383" t="s">
        <v>2416</v>
      </c>
      <c r="H383" t="b">
        <v>1</v>
      </c>
      <c r="I383" s="8">
        <v>45950.452118055553</v>
      </c>
      <c r="J383" t="s">
        <v>2380</v>
      </c>
      <c r="L383">
        <v>605125</v>
      </c>
      <c r="M383" t="s">
        <v>2381</v>
      </c>
      <c r="P383" t="s">
        <v>2704</v>
      </c>
      <c r="Q383" t="s">
        <v>2383</v>
      </c>
      <c r="R383">
        <v>1</v>
      </c>
      <c r="S383" t="s">
        <v>2380</v>
      </c>
      <c r="T383" t="s">
        <v>2383</v>
      </c>
      <c r="U383" s="8">
        <v>45950.402569444443</v>
      </c>
      <c r="V383" s="8">
        <v>45953.958333333336</v>
      </c>
      <c r="W383">
        <v>1</v>
      </c>
      <c r="X383">
        <v>4.9548610999999999E-2</v>
      </c>
      <c r="Y383" t="s">
        <v>2403</v>
      </c>
      <c r="Z383" t="s">
        <v>4188</v>
      </c>
      <c r="AA383" t="s">
        <v>2463</v>
      </c>
      <c r="AB383" t="s">
        <v>1278</v>
      </c>
      <c r="AC383" t="s">
        <v>4189</v>
      </c>
      <c r="AD383" t="s">
        <v>2708</v>
      </c>
      <c r="AE383">
        <v>1</v>
      </c>
      <c r="AO383" t="s">
        <v>2408</v>
      </c>
      <c r="AP383" t="s">
        <v>2401</v>
      </c>
    </row>
    <row r="384" spans="1:42">
      <c r="A384" t="s">
        <v>3412</v>
      </c>
      <c r="B384" t="s">
        <v>2389</v>
      </c>
      <c r="C384" t="s">
        <v>2378</v>
      </c>
      <c r="D384" t="s">
        <v>2379</v>
      </c>
      <c r="E384" t="s">
        <v>2452</v>
      </c>
      <c r="F384" t="s">
        <v>2578</v>
      </c>
      <c r="G384" t="s">
        <v>2452</v>
      </c>
      <c r="H384" t="b">
        <v>1</v>
      </c>
      <c r="I384" s="8">
        <v>45953.496886574074</v>
      </c>
      <c r="J384" t="s">
        <v>2380</v>
      </c>
      <c r="L384">
        <v>601054</v>
      </c>
      <c r="M384" t="s">
        <v>2381</v>
      </c>
      <c r="P384" t="s">
        <v>3411</v>
      </c>
      <c r="Q384" t="s">
        <v>2383</v>
      </c>
      <c r="R384">
        <v>1</v>
      </c>
      <c r="S384" t="s">
        <v>2380</v>
      </c>
      <c r="T384" t="s">
        <v>2383</v>
      </c>
      <c r="U384" s="8">
        <v>45950.421273148146</v>
      </c>
      <c r="V384" s="8">
        <v>45953.958333333336</v>
      </c>
      <c r="W384">
        <v>1</v>
      </c>
      <c r="X384">
        <v>3.0756134259999999</v>
      </c>
      <c r="Y384" t="s">
        <v>2579</v>
      </c>
      <c r="Z384" t="s">
        <v>3413</v>
      </c>
      <c r="AA384" t="s">
        <v>1815</v>
      </c>
      <c r="AB384" t="s">
        <v>1278</v>
      </c>
      <c r="AC384" t="s">
        <v>3414</v>
      </c>
      <c r="AE384">
        <v>1</v>
      </c>
      <c r="AO384" t="s">
        <v>2388</v>
      </c>
      <c r="AP384" t="s">
        <v>2401</v>
      </c>
    </row>
    <row r="385" spans="1:42">
      <c r="A385" t="s">
        <v>1111</v>
      </c>
      <c r="B385" t="s">
        <v>2377</v>
      </c>
      <c r="C385" t="s">
        <v>2438</v>
      </c>
      <c r="D385" t="s">
        <v>2379</v>
      </c>
      <c r="E385" t="s">
        <v>25</v>
      </c>
      <c r="F385" t="s">
        <v>3747</v>
      </c>
      <c r="G385" t="s">
        <v>25</v>
      </c>
      <c r="H385" t="b">
        <v>1</v>
      </c>
      <c r="I385" s="8">
        <v>45950.490763888891</v>
      </c>
      <c r="J385" t="s">
        <v>2380</v>
      </c>
      <c r="L385">
        <v>606829</v>
      </c>
      <c r="M385" t="s">
        <v>2381</v>
      </c>
      <c r="N385">
        <v>8</v>
      </c>
      <c r="P385" t="s">
        <v>2704</v>
      </c>
      <c r="Q385" t="s">
        <v>2383</v>
      </c>
      <c r="R385">
        <v>1</v>
      </c>
      <c r="S385" t="s">
        <v>2380</v>
      </c>
      <c r="T385" t="s">
        <v>2383</v>
      </c>
      <c r="U385" s="8">
        <v>45950.429664351854</v>
      </c>
      <c r="V385" s="8">
        <v>45953.958333333336</v>
      </c>
      <c r="W385">
        <v>1</v>
      </c>
      <c r="X385">
        <v>6.1099537000000002E-2</v>
      </c>
      <c r="Y385" t="s">
        <v>3748</v>
      </c>
      <c r="Z385" t="s">
        <v>4893</v>
      </c>
      <c r="AA385" t="s">
        <v>4894</v>
      </c>
      <c r="AB385" t="s">
        <v>1278</v>
      </c>
      <c r="AC385" t="s">
        <v>2387</v>
      </c>
      <c r="AD385" t="s">
        <v>2708</v>
      </c>
      <c r="AE385">
        <v>1</v>
      </c>
      <c r="AO385" t="s">
        <v>2712</v>
      </c>
      <c r="AP385" t="s">
        <v>2401</v>
      </c>
    </row>
    <row r="386" spans="1:42">
      <c r="A386" t="s">
        <v>1115</v>
      </c>
      <c r="B386" t="s">
        <v>2377</v>
      </c>
      <c r="C386" t="s">
        <v>2390</v>
      </c>
      <c r="D386" t="s">
        <v>2379</v>
      </c>
      <c r="E386" t="s">
        <v>18</v>
      </c>
      <c r="F386" t="s">
        <v>8583</v>
      </c>
      <c r="G386" t="s">
        <v>2416</v>
      </c>
      <c r="H386" t="b">
        <v>1</v>
      </c>
      <c r="I386" s="8">
        <v>45953.401504629626</v>
      </c>
      <c r="J386" t="s">
        <v>2380</v>
      </c>
      <c r="L386">
        <v>601479</v>
      </c>
      <c r="M386" t="s">
        <v>2381</v>
      </c>
      <c r="P386" t="s">
        <v>8584</v>
      </c>
      <c r="Q386" t="s">
        <v>2383</v>
      </c>
      <c r="R386">
        <v>1</v>
      </c>
      <c r="S386" t="s">
        <v>2380</v>
      </c>
      <c r="T386" t="s">
        <v>2383</v>
      </c>
      <c r="U386" s="8">
        <v>45950.44090277778</v>
      </c>
      <c r="V386" s="8">
        <v>45953.958333333336</v>
      </c>
      <c r="W386">
        <v>1</v>
      </c>
      <c r="X386">
        <v>2.9606018519999999</v>
      </c>
      <c r="Y386" t="s">
        <v>1588</v>
      </c>
      <c r="Z386" t="s">
        <v>9629</v>
      </c>
      <c r="AA386" t="s">
        <v>9630</v>
      </c>
      <c r="AB386" t="s">
        <v>1278</v>
      </c>
      <c r="AC386" t="s">
        <v>9631</v>
      </c>
      <c r="AD386" t="s">
        <v>2708</v>
      </c>
      <c r="AE386">
        <v>1</v>
      </c>
      <c r="AO386" t="s">
        <v>3608</v>
      </c>
      <c r="AP386" t="s">
        <v>2401</v>
      </c>
    </row>
    <row r="387" spans="1:42">
      <c r="A387" t="s">
        <v>9701</v>
      </c>
      <c r="B387" t="s">
        <v>2389</v>
      </c>
      <c r="C387" t="s">
        <v>2691</v>
      </c>
      <c r="D387" t="s">
        <v>2379</v>
      </c>
      <c r="E387" t="s">
        <v>2452</v>
      </c>
      <c r="F387" t="s">
        <v>8583</v>
      </c>
      <c r="G387" t="s">
        <v>2452</v>
      </c>
      <c r="H387" t="b">
        <v>1</v>
      </c>
      <c r="I387" s="8">
        <v>45960.433136574073</v>
      </c>
      <c r="J387" t="s">
        <v>2380</v>
      </c>
      <c r="K387">
        <v>1205766</v>
      </c>
      <c r="L387">
        <v>601479</v>
      </c>
      <c r="M387" t="s">
        <v>2381</v>
      </c>
      <c r="P387" t="s">
        <v>8584</v>
      </c>
      <c r="Q387" t="s">
        <v>2383</v>
      </c>
      <c r="R387">
        <v>1</v>
      </c>
      <c r="S387" t="s">
        <v>2380</v>
      </c>
      <c r="T387" t="s">
        <v>2383</v>
      </c>
      <c r="U387" s="8">
        <v>45950.446539351855</v>
      </c>
      <c r="V387" s="8">
        <v>45965.958333333336</v>
      </c>
      <c r="W387">
        <v>1</v>
      </c>
      <c r="X387">
        <v>7.9865972220000003</v>
      </c>
      <c r="Y387" t="s">
        <v>1588</v>
      </c>
      <c r="Z387" t="s">
        <v>9702</v>
      </c>
      <c r="AA387" t="s">
        <v>9630</v>
      </c>
      <c r="AB387" t="s">
        <v>1278</v>
      </c>
      <c r="AC387" t="s">
        <v>9703</v>
      </c>
      <c r="AD387" t="s">
        <v>2708</v>
      </c>
      <c r="AE387">
        <v>1</v>
      </c>
      <c r="AO387" t="s">
        <v>3608</v>
      </c>
      <c r="AP387" t="s">
        <v>2401</v>
      </c>
    </row>
    <row r="388" spans="1:42">
      <c r="A388" t="s">
        <v>862</v>
      </c>
      <c r="B388" t="s">
        <v>2377</v>
      </c>
      <c r="C388" t="s">
        <v>2378</v>
      </c>
      <c r="D388" t="s">
        <v>2379</v>
      </c>
      <c r="E388" t="s">
        <v>28</v>
      </c>
      <c r="F388" t="s">
        <v>2588</v>
      </c>
      <c r="G388" t="s">
        <v>28</v>
      </c>
      <c r="H388" t="b">
        <v>1</v>
      </c>
      <c r="I388" s="8">
        <v>45953.462905092594</v>
      </c>
      <c r="J388" t="s">
        <v>2380</v>
      </c>
      <c r="L388">
        <v>603959</v>
      </c>
      <c r="M388" t="s">
        <v>2381</v>
      </c>
      <c r="N388">
        <v>15</v>
      </c>
      <c r="P388" t="s">
        <v>2589</v>
      </c>
      <c r="Q388" t="s">
        <v>2383</v>
      </c>
      <c r="R388">
        <v>1</v>
      </c>
      <c r="S388" t="s">
        <v>2380</v>
      </c>
      <c r="T388" t="s">
        <v>2383</v>
      </c>
      <c r="U388" s="8">
        <v>45950.446539351855</v>
      </c>
      <c r="V388" s="8">
        <v>45953.958333333336</v>
      </c>
      <c r="W388">
        <v>1</v>
      </c>
      <c r="X388">
        <v>3.016365741</v>
      </c>
      <c r="Y388" t="s">
        <v>2579</v>
      </c>
      <c r="Z388" t="s">
        <v>7204</v>
      </c>
      <c r="AA388" t="s">
        <v>2592</v>
      </c>
      <c r="AB388" t="s">
        <v>1278</v>
      </c>
      <c r="AC388" t="s">
        <v>3066</v>
      </c>
      <c r="AD388" t="s">
        <v>2708</v>
      </c>
      <c r="AE388">
        <v>1</v>
      </c>
      <c r="AO388" t="s">
        <v>2388</v>
      </c>
      <c r="AP388" t="s">
        <v>2401</v>
      </c>
    </row>
    <row r="389" spans="1:42">
      <c r="A389" t="s">
        <v>498</v>
      </c>
      <c r="B389" t="s">
        <v>2377</v>
      </c>
      <c r="C389" t="s">
        <v>2390</v>
      </c>
      <c r="D389" t="s">
        <v>2379</v>
      </c>
      <c r="E389" t="s">
        <v>28</v>
      </c>
      <c r="F389" t="s">
        <v>2588</v>
      </c>
      <c r="G389" t="s">
        <v>28</v>
      </c>
      <c r="H389" t="b">
        <v>1</v>
      </c>
      <c r="I389" s="8">
        <v>45953.434918981482</v>
      </c>
      <c r="J389" t="s">
        <v>2380</v>
      </c>
      <c r="L389">
        <v>603959</v>
      </c>
      <c r="M389" t="s">
        <v>2381</v>
      </c>
      <c r="N389">
        <v>15</v>
      </c>
      <c r="P389" t="s">
        <v>2589</v>
      </c>
      <c r="Q389" t="s">
        <v>2383</v>
      </c>
      <c r="R389">
        <v>1</v>
      </c>
      <c r="S389" t="s">
        <v>2380</v>
      </c>
      <c r="T389" t="s">
        <v>2383</v>
      </c>
      <c r="U389" s="8">
        <v>45950.446863425925</v>
      </c>
      <c r="V389" s="8">
        <v>45953.958333333336</v>
      </c>
      <c r="W389">
        <v>1</v>
      </c>
      <c r="X389">
        <v>2.9880555559999999</v>
      </c>
      <c r="Y389" t="s">
        <v>2579</v>
      </c>
      <c r="Z389" t="s">
        <v>7205</v>
      </c>
      <c r="AA389" t="s">
        <v>2592</v>
      </c>
      <c r="AB389" t="s">
        <v>1278</v>
      </c>
      <c r="AC389" t="s">
        <v>3066</v>
      </c>
      <c r="AD389" t="s">
        <v>2708</v>
      </c>
      <c r="AE389">
        <v>1</v>
      </c>
      <c r="AO389" t="s">
        <v>2388</v>
      </c>
      <c r="AP389" t="s">
        <v>2401</v>
      </c>
    </row>
    <row r="390" spans="1:42">
      <c r="A390" t="s">
        <v>9953</v>
      </c>
      <c r="B390" t="s">
        <v>2377</v>
      </c>
      <c r="C390" t="s">
        <v>2378</v>
      </c>
      <c r="D390" t="s">
        <v>2379</v>
      </c>
      <c r="E390" t="s">
        <v>24</v>
      </c>
      <c r="F390" t="s">
        <v>2578</v>
      </c>
      <c r="G390" t="s">
        <v>24</v>
      </c>
      <c r="H390" t="b">
        <v>1</v>
      </c>
      <c r="I390" s="8">
        <v>45953.480902777781</v>
      </c>
      <c r="J390" t="s">
        <v>2380</v>
      </c>
      <c r="L390">
        <v>603297</v>
      </c>
      <c r="M390" t="s">
        <v>2381</v>
      </c>
      <c r="P390" t="s">
        <v>2704</v>
      </c>
      <c r="Q390" t="s">
        <v>2383</v>
      </c>
      <c r="R390">
        <v>1</v>
      </c>
      <c r="S390" t="s">
        <v>2380</v>
      </c>
      <c r="T390" t="s">
        <v>2383</v>
      </c>
      <c r="U390" s="8">
        <v>45950.448518518519</v>
      </c>
      <c r="V390" s="8">
        <v>45953.958333333336</v>
      </c>
      <c r="W390">
        <v>1</v>
      </c>
      <c r="X390">
        <v>3.0323842590000001</v>
      </c>
      <c r="Y390" t="s">
        <v>2579</v>
      </c>
      <c r="Z390" t="s">
        <v>9954</v>
      </c>
      <c r="AA390" t="s">
        <v>3452</v>
      </c>
      <c r="AB390" t="s">
        <v>1278</v>
      </c>
      <c r="AC390" t="s">
        <v>2437</v>
      </c>
      <c r="AE390">
        <v>1</v>
      </c>
      <c r="AO390" t="s">
        <v>2957</v>
      </c>
      <c r="AP390" t="s">
        <v>2401</v>
      </c>
    </row>
    <row r="391" spans="1:42">
      <c r="A391" t="s">
        <v>972</v>
      </c>
      <c r="B391" t="s">
        <v>2377</v>
      </c>
      <c r="C391" t="s">
        <v>2438</v>
      </c>
      <c r="D391" t="s">
        <v>2379</v>
      </c>
      <c r="E391" t="s">
        <v>24</v>
      </c>
      <c r="F391" t="s">
        <v>4141</v>
      </c>
      <c r="G391" t="s">
        <v>24</v>
      </c>
      <c r="H391" t="b">
        <v>1</v>
      </c>
      <c r="I391" s="8">
        <v>45950.575069444443</v>
      </c>
      <c r="J391" t="s">
        <v>2380</v>
      </c>
      <c r="L391">
        <v>605054</v>
      </c>
      <c r="M391" t="s">
        <v>2381</v>
      </c>
      <c r="P391" t="s">
        <v>2704</v>
      </c>
      <c r="Q391" t="s">
        <v>2383</v>
      </c>
      <c r="R391">
        <v>1</v>
      </c>
      <c r="S391" t="s">
        <v>2380</v>
      </c>
      <c r="T391" t="s">
        <v>2383</v>
      </c>
      <c r="U391" s="8">
        <v>45950.450624999998</v>
      </c>
      <c r="V391" s="8">
        <v>45953.958333333336</v>
      </c>
      <c r="W391">
        <v>1</v>
      </c>
      <c r="X391">
        <v>0.124444444</v>
      </c>
      <c r="Y391" t="s">
        <v>4142</v>
      </c>
      <c r="Z391" t="s">
        <v>7415</v>
      </c>
      <c r="AA391" t="s">
        <v>7416</v>
      </c>
      <c r="AB391" t="s">
        <v>1278</v>
      </c>
      <c r="AC391" t="s">
        <v>2746</v>
      </c>
      <c r="AD391" t="s">
        <v>2708</v>
      </c>
      <c r="AE391">
        <v>1</v>
      </c>
      <c r="AO391" t="s">
        <v>2957</v>
      </c>
      <c r="AP391" t="s">
        <v>2401</v>
      </c>
    </row>
    <row r="392" spans="1:42">
      <c r="A392" t="s">
        <v>472</v>
      </c>
      <c r="B392" t="s">
        <v>2377</v>
      </c>
      <c r="C392" t="s">
        <v>2415</v>
      </c>
      <c r="D392" t="s">
        <v>2379</v>
      </c>
      <c r="E392" t="s">
        <v>24</v>
      </c>
      <c r="F392" t="s">
        <v>4141</v>
      </c>
      <c r="G392" t="s">
        <v>24</v>
      </c>
      <c r="H392" t="b">
        <v>1</v>
      </c>
      <c r="I392" s="8">
        <v>45952.396828703706</v>
      </c>
      <c r="J392" t="s">
        <v>2380</v>
      </c>
      <c r="L392">
        <v>605256</v>
      </c>
      <c r="M392" t="s">
        <v>2381</v>
      </c>
      <c r="P392" t="s">
        <v>2704</v>
      </c>
      <c r="Q392" t="s">
        <v>2383</v>
      </c>
      <c r="R392">
        <v>1</v>
      </c>
      <c r="S392" t="s">
        <v>2380</v>
      </c>
      <c r="T392" t="s">
        <v>2383</v>
      </c>
      <c r="U392" s="8">
        <v>45950.451701388891</v>
      </c>
      <c r="V392" s="8">
        <v>45953.958333333336</v>
      </c>
      <c r="W392">
        <v>1</v>
      </c>
      <c r="X392">
        <v>1.9451273149999999</v>
      </c>
      <c r="Y392" t="s">
        <v>4142</v>
      </c>
      <c r="Z392" t="s">
        <v>9077</v>
      </c>
      <c r="AA392" t="s">
        <v>9078</v>
      </c>
      <c r="AB392" t="s">
        <v>1278</v>
      </c>
      <c r="AC392" t="s">
        <v>2746</v>
      </c>
      <c r="AD392" t="s">
        <v>2708</v>
      </c>
      <c r="AE392">
        <v>1</v>
      </c>
      <c r="AH392" t="s">
        <v>33</v>
      </c>
      <c r="AI392" s="8">
        <v>45951.669166666667</v>
      </c>
      <c r="AK392" t="s">
        <v>2719</v>
      </c>
      <c r="AL392" t="s">
        <v>2719</v>
      </c>
      <c r="AO392" t="s">
        <v>2957</v>
      </c>
      <c r="AP392" t="s">
        <v>2401</v>
      </c>
    </row>
    <row r="393" spans="1:42">
      <c r="A393" t="s">
        <v>103</v>
      </c>
      <c r="B393" t="s">
        <v>2377</v>
      </c>
      <c r="C393" t="s">
        <v>2438</v>
      </c>
      <c r="D393" t="s">
        <v>2379</v>
      </c>
      <c r="E393" t="s">
        <v>24</v>
      </c>
      <c r="F393" t="s">
        <v>4141</v>
      </c>
      <c r="G393" t="s">
        <v>24</v>
      </c>
      <c r="H393" t="b">
        <v>1</v>
      </c>
      <c r="I393" s="8">
        <v>45950.580775462964</v>
      </c>
      <c r="J393" t="s">
        <v>2380</v>
      </c>
      <c r="L393">
        <v>605033</v>
      </c>
      <c r="M393" t="s">
        <v>2381</v>
      </c>
      <c r="P393" t="s">
        <v>2704</v>
      </c>
      <c r="Q393" t="s">
        <v>2383</v>
      </c>
      <c r="R393">
        <v>1</v>
      </c>
      <c r="S393" t="s">
        <v>2380</v>
      </c>
      <c r="T393" t="s">
        <v>2383</v>
      </c>
      <c r="U393" s="8">
        <v>45950.452997685185</v>
      </c>
      <c r="V393" s="8">
        <v>45953.958333333336</v>
      </c>
      <c r="W393">
        <v>1</v>
      </c>
      <c r="X393">
        <v>0.12777777800000001</v>
      </c>
      <c r="Y393" t="s">
        <v>4142</v>
      </c>
      <c r="Z393" t="s">
        <v>7412</v>
      </c>
      <c r="AA393" t="s">
        <v>7413</v>
      </c>
      <c r="AB393" t="s">
        <v>1278</v>
      </c>
      <c r="AC393" t="s">
        <v>7414</v>
      </c>
      <c r="AD393" t="s">
        <v>2708</v>
      </c>
      <c r="AE393">
        <v>1</v>
      </c>
      <c r="AO393" t="s">
        <v>2957</v>
      </c>
      <c r="AP393" t="s">
        <v>2401</v>
      </c>
    </row>
    <row r="394" spans="1:42">
      <c r="A394" t="s">
        <v>470</v>
      </c>
      <c r="B394" t="s">
        <v>2377</v>
      </c>
      <c r="C394" t="s">
        <v>2438</v>
      </c>
      <c r="D394" t="s">
        <v>2379</v>
      </c>
      <c r="E394" t="s">
        <v>24</v>
      </c>
      <c r="F394" t="s">
        <v>4141</v>
      </c>
      <c r="G394" t="s">
        <v>24</v>
      </c>
      <c r="H394" t="b">
        <v>1</v>
      </c>
      <c r="I394" s="8">
        <v>45950.566770833335</v>
      </c>
      <c r="J394" t="s">
        <v>2380</v>
      </c>
      <c r="L394">
        <v>609881</v>
      </c>
      <c r="M394" t="s">
        <v>2381</v>
      </c>
      <c r="P394" t="s">
        <v>2704</v>
      </c>
      <c r="Q394" t="s">
        <v>2383</v>
      </c>
      <c r="R394">
        <v>1</v>
      </c>
      <c r="S394" t="s">
        <v>2380</v>
      </c>
      <c r="T394" t="s">
        <v>2383</v>
      </c>
      <c r="U394" s="8">
        <v>45950.453923611109</v>
      </c>
      <c r="V394" s="8">
        <v>45953.958333333336</v>
      </c>
      <c r="W394">
        <v>1</v>
      </c>
      <c r="X394">
        <v>0.112847222</v>
      </c>
      <c r="Y394" t="s">
        <v>4142</v>
      </c>
      <c r="Z394" t="s">
        <v>7410</v>
      </c>
      <c r="AA394" t="s">
        <v>7411</v>
      </c>
      <c r="AB394" t="s">
        <v>1278</v>
      </c>
      <c r="AC394" t="s">
        <v>2746</v>
      </c>
      <c r="AD394" t="s">
        <v>2708</v>
      </c>
      <c r="AE394">
        <v>1</v>
      </c>
      <c r="AO394" t="s">
        <v>2957</v>
      </c>
      <c r="AP394" t="s">
        <v>2401</v>
      </c>
    </row>
    <row r="395" spans="1:42">
      <c r="A395" t="s">
        <v>976</v>
      </c>
      <c r="B395" t="s">
        <v>2377</v>
      </c>
      <c r="C395" t="s">
        <v>2438</v>
      </c>
      <c r="D395" t="s">
        <v>2379</v>
      </c>
      <c r="E395" t="s">
        <v>24</v>
      </c>
      <c r="F395" t="s">
        <v>3900</v>
      </c>
      <c r="G395" t="s">
        <v>24</v>
      </c>
      <c r="H395" t="b">
        <v>1</v>
      </c>
      <c r="I395" s="8">
        <v>45950.594942129632</v>
      </c>
      <c r="J395" t="s">
        <v>2380</v>
      </c>
      <c r="L395">
        <v>609069</v>
      </c>
      <c r="M395" t="s">
        <v>2381</v>
      </c>
      <c r="P395" t="s">
        <v>2704</v>
      </c>
      <c r="Q395" t="s">
        <v>2383</v>
      </c>
      <c r="R395">
        <v>1</v>
      </c>
      <c r="S395" t="s">
        <v>2380</v>
      </c>
      <c r="T395" t="s">
        <v>2383</v>
      </c>
      <c r="U395" s="8">
        <v>45950.45484953704</v>
      </c>
      <c r="V395" s="8">
        <v>45953.958333333336</v>
      </c>
      <c r="W395">
        <v>1</v>
      </c>
      <c r="X395">
        <v>0.14009259299999999</v>
      </c>
      <c r="Y395" t="s">
        <v>3901</v>
      </c>
      <c r="Z395" t="s">
        <v>4902</v>
      </c>
      <c r="AA395" t="s">
        <v>3904</v>
      </c>
      <c r="AB395" t="s">
        <v>1278</v>
      </c>
      <c r="AC395" t="s">
        <v>4903</v>
      </c>
      <c r="AD395" t="s">
        <v>2708</v>
      </c>
      <c r="AE395">
        <v>1</v>
      </c>
      <c r="AO395" t="s">
        <v>2715</v>
      </c>
      <c r="AP395" t="s">
        <v>2401</v>
      </c>
    </row>
    <row r="396" spans="1:42">
      <c r="A396" t="s">
        <v>2753</v>
      </c>
      <c r="B396" t="s">
        <v>2377</v>
      </c>
      <c r="C396" t="s">
        <v>2443</v>
      </c>
      <c r="D396" t="s">
        <v>2443</v>
      </c>
      <c r="E396" t="s">
        <v>25</v>
      </c>
      <c r="F396" t="s">
        <v>2402</v>
      </c>
      <c r="G396" t="s">
        <v>25</v>
      </c>
      <c r="H396" t="b">
        <v>1</v>
      </c>
      <c r="I396" s="8">
        <v>45954.380069444444</v>
      </c>
      <c r="J396" t="s">
        <v>2380</v>
      </c>
      <c r="L396">
        <v>602549</v>
      </c>
      <c r="M396" t="s">
        <v>2381</v>
      </c>
      <c r="P396" t="s">
        <v>2704</v>
      </c>
      <c r="Q396" t="s">
        <v>2383</v>
      </c>
      <c r="R396">
        <v>1</v>
      </c>
      <c r="S396" t="s">
        <v>2380</v>
      </c>
      <c r="T396" t="s">
        <v>2383</v>
      </c>
      <c r="U396" s="8">
        <v>45950.457141203704</v>
      </c>
      <c r="V396" s="8">
        <v>45953.958333333336</v>
      </c>
      <c r="W396">
        <v>1</v>
      </c>
      <c r="X396">
        <v>3.9229282410000001</v>
      </c>
      <c r="Y396" t="s">
        <v>2403</v>
      </c>
      <c r="Z396" t="s">
        <v>2754</v>
      </c>
      <c r="AA396" t="s">
        <v>1460</v>
      </c>
      <c r="AB396" t="s">
        <v>1278</v>
      </c>
      <c r="AC396" t="s">
        <v>2755</v>
      </c>
      <c r="AE396">
        <v>1</v>
      </c>
      <c r="AO396" t="s">
        <v>2408</v>
      </c>
      <c r="AP396" t="s">
        <v>2401</v>
      </c>
    </row>
    <row r="397" spans="1:42">
      <c r="A397" t="s">
        <v>736</v>
      </c>
      <c r="B397" t="s">
        <v>2377</v>
      </c>
      <c r="C397" t="s">
        <v>2390</v>
      </c>
      <c r="D397" t="s">
        <v>2379</v>
      </c>
      <c r="E397" t="s">
        <v>33</v>
      </c>
      <c r="F397" t="s">
        <v>3339</v>
      </c>
      <c r="G397" t="s">
        <v>33</v>
      </c>
      <c r="H397" t="b">
        <v>1</v>
      </c>
      <c r="I397" s="8">
        <v>45953.386446759258</v>
      </c>
      <c r="J397" t="s">
        <v>2380</v>
      </c>
      <c r="L397">
        <v>606897</v>
      </c>
      <c r="M397" t="s">
        <v>2381</v>
      </c>
      <c r="P397" t="s">
        <v>2704</v>
      </c>
      <c r="Q397" t="s">
        <v>2383</v>
      </c>
      <c r="R397">
        <v>1</v>
      </c>
      <c r="S397" t="s">
        <v>2380</v>
      </c>
      <c r="T397" t="s">
        <v>2383</v>
      </c>
      <c r="U397" s="8">
        <v>45950.458194444444</v>
      </c>
      <c r="V397" s="8">
        <v>45953.958333333336</v>
      </c>
      <c r="W397">
        <v>1</v>
      </c>
      <c r="X397">
        <v>2.9282523149999999</v>
      </c>
      <c r="Y397" t="s">
        <v>3340</v>
      </c>
      <c r="Z397" t="s">
        <v>9073</v>
      </c>
      <c r="AA397" t="s">
        <v>9074</v>
      </c>
      <c r="AB397" t="s">
        <v>1278</v>
      </c>
      <c r="AC397" t="s">
        <v>3064</v>
      </c>
      <c r="AD397" t="s">
        <v>2708</v>
      </c>
      <c r="AE397">
        <v>1</v>
      </c>
      <c r="AH397" t="s">
        <v>24</v>
      </c>
      <c r="AI397" s="8">
        <v>45952.680821759262</v>
      </c>
      <c r="AK397" t="s">
        <v>2719</v>
      </c>
      <c r="AL397" t="s">
        <v>2719</v>
      </c>
      <c r="AO397" t="s">
        <v>2957</v>
      </c>
      <c r="AP397" t="s">
        <v>2401</v>
      </c>
    </row>
    <row r="398" spans="1:42">
      <c r="A398" t="s">
        <v>141</v>
      </c>
      <c r="B398" t="s">
        <v>2377</v>
      </c>
      <c r="C398" t="s">
        <v>2390</v>
      </c>
      <c r="D398" t="s">
        <v>2379</v>
      </c>
      <c r="E398" t="s">
        <v>33</v>
      </c>
      <c r="F398" t="s">
        <v>2588</v>
      </c>
      <c r="G398" t="s">
        <v>33</v>
      </c>
      <c r="H398" t="b">
        <v>1</v>
      </c>
      <c r="I398" s="8">
        <v>45953.432557870372</v>
      </c>
      <c r="J398" t="s">
        <v>2380</v>
      </c>
      <c r="L398">
        <v>603756</v>
      </c>
      <c r="M398" t="s">
        <v>2381</v>
      </c>
      <c r="P398" t="s">
        <v>8955</v>
      </c>
      <c r="Q398" t="s">
        <v>2383</v>
      </c>
      <c r="R398">
        <v>1</v>
      </c>
      <c r="S398" t="s">
        <v>2380</v>
      </c>
      <c r="T398" t="s">
        <v>2383</v>
      </c>
      <c r="U398" s="8">
        <v>45950.461689814816</v>
      </c>
      <c r="V398" s="8">
        <v>45953.958333333336</v>
      </c>
      <c r="W398">
        <v>1</v>
      </c>
      <c r="X398">
        <v>2.970868056</v>
      </c>
      <c r="Y398" t="s">
        <v>2579</v>
      </c>
      <c r="Z398" t="s">
        <v>9523</v>
      </c>
      <c r="AA398" t="s">
        <v>1290</v>
      </c>
      <c r="AB398" t="s">
        <v>1278</v>
      </c>
      <c r="AC398" t="s">
        <v>9524</v>
      </c>
      <c r="AD398" t="s">
        <v>2708</v>
      </c>
      <c r="AE398">
        <v>1</v>
      </c>
      <c r="AH398" t="s">
        <v>2723</v>
      </c>
      <c r="AI398" s="8">
        <v>45953.379884259259</v>
      </c>
      <c r="AK398" t="s">
        <v>2719</v>
      </c>
      <c r="AL398" t="s">
        <v>2724</v>
      </c>
      <c r="AO398" t="s">
        <v>3644</v>
      </c>
      <c r="AP398" t="s">
        <v>8931</v>
      </c>
    </row>
    <row r="399" spans="1:42">
      <c r="A399" t="s">
        <v>1079</v>
      </c>
      <c r="B399" t="s">
        <v>2377</v>
      </c>
      <c r="C399" t="s">
        <v>2447</v>
      </c>
      <c r="D399" t="s">
        <v>2379</v>
      </c>
      <c r="E399" t="s">
        <v>2416</v>
      </c>
      <c r="F399" t="s">
        <v>3891</v>
      </c>
      <c r="G399" t="s">
        <v>2416</v>
      </c>
      <c r="H399" t="b">
        <v>1</v>
      </c>
      <c r="I399" s="8">
        <v>45954.716828703706</v>
      </c>
      <c r="J399" t="s">
        <v>2380</v>
      </c>
      <c r="L399">
        <v>603825</v>
      </c>
      <c r="M399" t="s">
        <v>2381</v>
      </c>
      <c r="P399" t="s">
        <v>4951</v>
      </c>
      <c r="Q399" t="s">
        <v>2383</v>
      </c>
      <c r="R399">
        <v>1</v>
      </c>
      <c r="S399" t="s">
        <v>2380</v>
      </c>
      <c r="T399" t="s">
        <v>2383</v>
      </c>
      <c r="U399" s="8">
        <v>45950.466527777775</v>
      </c>
      <c r="V399" s="8">
        <v>45960.958333333336</v>
      </c>
      <c r="W399">
        <v>1</v>
      </c>
      <c r="X399">
        <v>4.2503009260000004</v>
      </c>
      <c r="Y399" t="s">
        <v>3892</v>
      </c>
      <c r="Z399" t="s">
        <v>4952</v>
      </c>
      <c r="AA399" t="s">
        <v>4953</v>
      </c>
      <c r="AB399" t="s">
        <v>1278</v>
      </c>
      <c r="AC399" t="s">
        <v>4954</v>
      </c>
      <c r="AD399" t="s">
        <v>2708</v>
      </c>
      <c r="AE399">
        <v>1</v>
      </c>
      <c r="AO399" t="s">
        <v>2715</v>
      </c>
      <c r="AP399" t="s">
        <v>2401</v>
      </c>
    </row>
    <row r="400" spans="1:42">
      <c r="A400" t="s">
        <v>967</v>
      </c>
      <c r="B400" t="s">
        <v>2377</v>
      </c>
      <c r="C400" t="s">
        <v>2438</v>
      </c>
      <c r="D400" t="s">
        <v>2379</v>
      </c>
      <c r="E400" t="s">
        <v>18</v>
      </c>
      <c r="F400" t="s">
        <v>8940</v>
      </c>
      <c r="G400" t="s">
        <v>2416</v>
      </c>
      <c r="H400" t="b">
        <v>1</v>
      </c>
      <c r="I400" s="8">
        <v>45950.496504629627</v>
      </c>
      <c r="J400" t="s">
        <v>2380</v>
      </c>
      <c r="L400">
        <v>605564</v>
      </c>
      <c r="M400" t="s">
        <v>2381</v>
      </c>
      <c r="P400" t="s">
        <v>2704</v>
      </c>
      <c r="Q400" t="s">
        <v>2383</v>
      </c>
      <c r="R400">
        <v>1</v>
      </c>
      <c r="S400" t="s">
        <v>2380</v>
      </c>
      <c r="T400" t="s">
        <v>2383</v>
      </c>
      <c r="U400" s="8">
        <v>45950.467199074075</v>
      </c>
      <c r="V400" s="8">
        <v>45953.958333333336</v>
      </c>
      <c r="W400">
        <v>1</v>
      </c>
      <c r="X400">
        <v>2.9305556E-2</v>
      </c>
      <c r="Y400" t="s">
        <v>8941</v>
      </c>
      <c r="Z400" t="s">
        <v>9500</v>
      </c>
      <c r="AA400" t="s">
        <v>8943</v>
      </c>
      <c r="AB400" t="s">
        <v>1278</v>
      </c>
      <c r="AC400" t="s">
        <v>9501</v>
      </c>
      <c r="AD400" t="s">
        <v>2708</v>
      </c>
      <c r="AE400">
        <v>1</v>
      </c>
      <c r="AO400" t="s">
        <v>2715</v>
      </c>
      <c r="AP400" t="s">
        <v>8931</v>
      </c>
    </row>
    <row r="401" spans="1:42">
      <c r="A401" t="s">
        <v>5623</v>
      </c>
      <c r="B401" t="s">
        <v>2389</v>
      </c>
      <c r="C401" t="s">
        <v>2378</v>
      </c>
      <c r="D401" t="s">
        <v>2379</v>
      </c>
      <c r="E401" t="s">
        <v>2416</v>
      </c>
      <c r="F401" t="s">
        <v>2417</v>
      </c>
      <c r="G401" t="s">
        <v>2416</v>
      </c>
      <c r="H401" t="b">
        <v>1</v>
      </c>
      <c r="I401" s="8">
        <v>45953.623715277776</v>
      </c>
      <c r="J401" t="s">
        <v>2380</v>
      </c>
      <c r="K401">
        <v>1204304</v>
      </c>
      <c r="L401">
        <v>601397</v>
      </c>
      <c r="M401" t="s">
        <v>2381</v>
      </c>
      <c r="P401" t="s">
        <v>3101</v>
      </c>
      <c r="Q401" t="s">
        <v>2383</v>
      </c>
      <c r="R401">
        <v>1</v>
      </c>
      <c r="S401" t="s">
        <v>2380</v>
      </c>
      <c r="T401" t="s">
        <v>2383</v>
      </c>
      <c r="U401" s="8">
        <v>45950.468969907408</v>
      </c>
      <c r="V401" s="8">
        <v>45953.958333333336</v>
      </c>
      <c r="W401">
        <v>1</v>
      </c>
      <c r="X401">
        <v>3.1547453700000001</v>
      </c>
      <c r="Y401" t="s">
        <v>2418</v>
      </c>
      <c r="Z401" t="s">
        <v>5624</v>
      </c>
      <c r="AA401" t="s">
        <v>1418</v>
      </c>
      <c r="AB401" t="s">
        <v>1278</v>
      </c>
      <c r="AC401" t="s">
        <v>5625</v>
      </c>
      <c r="AD401" t="s">
        <v>2708</v>
      </c>
      <c r="AE401">
        <v>1</v>
      </c>
      <c r="AO401" t="s">
        <v>2540</v>
      </c>
      <c r="AP401" t="s">
        <v>2401</v>
      </c>
    </row>
    <row r="402" spans="1:42">
      <c r="A402" t="s">
        <v>496</v>
      </c>
      <c r="B402" t="s">
        <v>2377</v>
      </c>
      <c r="C402" t="s">
        <v>2390</v>
      </c>
      <c r="D402" t="s">
        <v>2379</v>
      </c>
      <c r="E402" t="s">
        <v>25</v>
      </c>
      <c r="F402" t="s">
        <v>3570</v>
      </c>
      <c r="G402" t="s">
        <v>25</v>
      </c>
      <c r="H402" t="b">
        <v>1</v>
      </c>
      <c r="I402" s="8">
        <v>45953.408819444441</v>
      </c>
      <c r="J402" t="s">
        <v>2380</v>
      </c>
      <c r="L402">
        <v>608353</v>
      </c>
      <c r="M402" t="s">
        <v>2381</v>
      </c>
      <c r="N402">
        <v>5</v>
      </c>
      <c r="P402" t="s">
        <v>7972</v>
      </c>
      <c r="Q402" t="s">
        <v>2383</v>
      </c>
      <c r="R402">
        <v>1</v>
      </c>
      <c r="S402" t="s">
        <v>2380</v>
      </c>
      <c r="T402" t="s">
        <v>2383</v>
      </c>
      <c r="U402" s="8">
        <v>45950.468981481485</v>
      </c>
      <c r="V402" s="8">
        <v>45953.958333333336</v>
      </c>
      <c r="W402">
        <v>1</v>
      </c>
      <c r="X402">
        <v>2.939837963</v>
      </c>
      <c r="Y402" t="s">
        <v>3572</v>
      </c>
      <c r="Z402" t="s">
        <v>7973</v>
      </c>
      <c r="AA402" t="s">
        <v>7675</v>
      </c>
      <c r="AB402" t="s">
        <v>1278</v>
      </c>
      <c r="AC402" t="s">
        <v>7974</v>
      </c>
      <c r="AD402" t="s">
        <v>2708</v>
      </c>
      <c r="AE402">
        <v>1</v>
      </c>
      <c r="AO402" t="s">
        <v>2957</v>
      </c>
      <c r="AP402" t="s">
        <v>2401</v>
      </c>
    </row>
    <row r="403" spans="1:42">
      <c r="A403" t="s">
        <v>968</v>
      </c>
      <c r="B403" t="s">
        <v>2377</v>
      </c>
      <c r="C403" t="s">
        <v>2438</v>
      </c>
      <c r="D403" t="s">
        <v>2379</v>
      </c>
      <c r="E403" t="s">
        <v>18</v>
      </c>
      <c r="F403" t="s">
        <v>8940</v>
      </c>
      <c r="G403" t="s">
        <v>2416</v>
      </c>
      <c r="H403" t="b">
        <v>1</v>
      </c>
      <c r="I403" s="8">
        <v>45950.516562500001</v>
      </c>
      <c r="J403" t="s">
        <v>2380</v>
      </c>
      <c r="L403">
        <v>605564</v>
      </c>
      <c r="M403" t="s">
        <v>2381</v>
      </c>
      <c r="P403" t="s">
        <v>2704</v>
      </c>
      <c r="Q403" t="s">
        <v>2383</v>
      </c>
      <c r="R403">
        <v>1</v>
      </c>
      <c r="S403" t="s">
        <v>2380</v>
      </c>
      <c r="T403" t="s">
        <v>2383</v>
      </c>
      <c r="U403" s="8">
        <v>45950.473171296297</v>
      </c>
      <c r="V403" s="8">
        <v>45953.958333333336</v>
      </c>
      <c r="W403">
        <v>1</v>
      </c>
      <c r="X403">
        <v>4.3391204000000003E-2</v>
      </c>
      <c r="Y403" t="s">
        <v>8941</v>
      </c>
      <c r="Z403" t="s">
        <v>9502</v>
      </c>
      <c r="AA403" t="s">
        <v>8943</v>
      </c>
      <c r="AB403" t="s">
        <v>1278</v>
      </c>
      <c r="AC403" t="s">
        <v>9503</v>
      </c>
      <c r="AD403" t="s">
        <v>2708</v>
      </c>
      <c r="AE403">
        <v>1</v>
      </c>
      <c r="AO403" t="s">
        <v>2715</v>
      </c>
      <c r="AP403" t="s">
        <v>8931</v>
      </c>
    </row>
    <row r="404" spans="1:42">
      <c r="A404" t="s">
        <v>859</v>
      </c>
      <c r="B404" t="s">
        <v>2377</v>
      </c>
      <c r="C404" t="s">
        <v>2390</v>
      </c>
      <c r="D404" t="s">
        <v>2379</v>
      </c>
      <c r="E404" t="s">
        <v>33</v>
      </c>
      <c r="F404" t="s">
        <v>2578</v>
      </c>
      <c r="G404" t="s">
        <v>33</v>
      </c>
      <c r="H404" t="b">
        <v>1</v>
      </c>
      <c r="I404" s="8">
        <v>45953.386203703703</v>
      </c>
      <c r="J404" t="s">
        <v>2380</v>
      </c>
      <c r="L404">
        <v>603471</v>
      </c>
      <c r="M404" t="s">
        <v>2381</v>
      </c>
      <c r="P404" t="s">
        <v>6611</v>
      </c>
      <c r="Q404" t="s">
        <v>2383</v>
      </c>
      <c r="R404">
        <v>1</v>
      </c>
      <c r="S404" t="s">
        <v>2380</v>
      </c>
      <c r="T404" t="s">
        <v>2383</v>
      </c>
      <c r="U404" s="8">
        <v>45950.476238425923</v>
      </c>
      <c r="V404" s="8">
        <v>45953.958333333336</v>
      </c>
      <c r="W404">
        <v>1</v>
      </c>
      <c r="X404">
        <v>2.909965278</v>
      </c>
      <c r="Y404" t="s">
        <v>2579</v>
      </c>
      <c r="Z404" t="s">
        <v>9048</v>
      </c>
      <c r="AA404" t="s">
        <v>1527</v>
      </c>
      <c r="AB404" t="s">
        <v>1278</v>
      </c>
      <c r="AC404" t="s">
        <v>2746</v>
      </c>
      <c r="AD404" t="s">
        <v>2708</v>
      </c>
      <c r="AE404">
        <v>1</v>
      </c>
      <c r="AH404" t="s">
        <v>24</v>
      </c>
      <c r="AI404" s="8">
        <v>45952.679328703707</v>
      </c>
      <c r="AK404" t="s">
        <v>2719</v>
      </c>
      <c r="AL404" t="s">
        <v>2719</v>
      </c>
      <c r="AO404" t="s">
        <v>2388</v>
      </c>
      <c r="AP404" t="s">
        <v>2401</v>
      </c>
    </row>
    <row r="405" spans="1:42">
      <c r="A405" t="s">
        <v>1046</v>
      </c>
      <c r="B405" t="s">
        <v>2377</v>
      </c>
      <c r="C405" t="s">
        <v>2378</v>
      </c>
      <c r="D405" t="s">
        <v>2379</v>
      </c>
      <c r="E405" t="s">
        <v>18</v>
      </c>
      <c r="F405" t="s">
        <v>2627</v>
      </c>
      <c r="G405" t="s">
        <v>2416</v>
      </c>
      <c r="H405" t="b">
        <v>1</v>
      </c>
      <c r="I405" s="8">
        <v>45953.652245370373</v>
      </c>
      <c r="J405" t="s">
        <v>2380</v>
      </c>
      <c r="L405">
        <v>605375</v>
      </c>
      <c r="M405" t="s">
        <v>2381</v>
      </c>
      <c r="P405" t="s">
        <v>9599</v>
      </c>
      <c r="Q405" t="s">
        <v>2383</v>
      </c>
      <c r="R405">
        <v>1</v>
      </c>
      <c r="S405" t="s">
        <v>2380</v>
      </c>
      <c r="T405" t="s">
        <v>2383</v>
      </c>
      <c r="U405" s="8">
        <v>45950.477662037039</v>
      </c>
      <c r="V405" s="8">
        <v>45953.958333333336</v>
      </c>
      <c r="W405">
        <v>1</v>
      </c>
      <c r="X405">
        <v>3.1745833330000002</v>
      </c>
      <c r="Y405" t="s">
        <v>2628</v>
      </c>
      <c r="Z405" t="s">
        <v>9600</v>
      </c>
      <c r="AA405" t="s">
        <v>9601</v>
      </c>
      <c r="AB405" t="s">
        <v>1278</v>
      </c>
      <c r="AC405" t="s">
        <v>9602</v>
      </c>
      <c r="AD405" t="s">
        <v>2708</v>
      </c>
      <c r="AE405">
        <v>1</v>
      </c>
      <c r="AO405" t="s">
        <v>3586</v>
      </c>
      <c r="AP405" t="s">
        <v>2401</v>
      </c>
    </row>
    <row r="406" spans="1:42">
      <c r="A406" t="s">
        <v>99</v>
      </c>
      <c r="B406" t="s">
        <v>2377</v>
      </c>
      <c r="C406" t="s">
        <v>2438</v>
      </c>
      <c r="D406" t="s">
        <v>2379</v>
      </c>
      <c r="E406" t="s">
        <v>18</v>
      </c>
      <c r="F406" t="s">
        <v>8940</v>
      </c>
      <c r="G406" t="s">
        <v>2416</v>
      </c>
      <c r="H406" t="b">
        <v>1</v>
      </c>
      <c r="I406" s="8">
        <v>45950.530474537038</v>
      </c>
      <c r="J406" t="s">
        <v>2380</v>
      </c>
      <c r="L406">
        <v>605564</v>
      </c>
      <c r="M406" t="s">
        <v>2381</v>
      </c>
      <c r="P406" t="s">
        <v>2704</v>
      </c>
      <c r="Q406" t="s">
        <v>2383</v>
      </c>
      <c r="R406">
        <v>1</v>
      </c>
      <c r="S406" t="s">
        <v>2380</v>
      </c>
      <c r="T406" t="s">
        <v>2383</v>
      </c>
      <c r="U406" s="8">
        <v>45950.478067129632</v>
      </c>
      <c r="V406" s="8">
        <v>45953.958333333336</v>
      </c>
      <c r="W406">
        <v>1</v>
      </c>
      <c r="X406">
        <v>5.2407407000000003E-2</v>
      </c>
      <c r="Y406" t="s">
        <v>8941</v>
      </c>
      <c r="Z406" t="s">
        <v>9504</v>
      </c>
      <c r="AA406" t="s">
        <v>8943</v>
      </c>
      <c r="AB406" t="s">
        <v>1278</v>
      </c>
      <c r="AC406" t="s">
        <v>9505</v>
      </c>
      <c r="AD406" t="s">
        <v>2708</v>
      </c>
      <c r="AE406">
        <v>1</v>
      </c>
      <c r="AO406" t="s">
        <v>2715</v>
      </c>
      <c r="AP406" t="s">
        <v>8931</v>
      </c>
    </row>
    <row r="407" spans="1:42">
      <c r="A407" t="s">
        <v>7855</v>
      </c>
      <c r="B407" t="s">
        <v>2389</v>
      </c>
      <c r="C407" t="s">
        <v>2378</v>
      </c>
      <c r="D407" t="s">
        <v>2379</v>
      </c>
      <c r="E407" t="s">
        <v>2452</v>
      </c>
      <c r="F407" t="s">
        <v>3500</v>
      </c>
      <c r="G407" t="s">
        <v>2452</v>
      </c>
      <c r="H407" t="b">
        <v>1</v>
      </c>
      <c r="I407" s="8">
        <v>45953.487187500003</v>
      </c>
      <c r="J407" t="s">
        <v>2380</v>
      </c>
      <c r="K407">
        <v>1204197</v>
      </c>
      <c r="L407">
        <v>609897</v>
      </c>
      <c r="M407" t="s">
        <v>2381</v>
      </c>
      <c r="P407" t="s">
        <v>4661</v>
      </c>
      <c r="Q407" t="s">
        <v>2383</v>
      </c>
      <c r="R407">
        <v>1</v>
      </c>
      <c r="S407" t="s">
        <v>2380</v>
      </c>
      <c r="T407" t="s">
        <v>2383</v>
      </c>
      <c r="U407" s="8">
        <v>45950.486666666664</v>
      </c>
      <c r="V407" s="8">
        <v>45953.958333333336</v>
      </c>
      <c r="W407">
        <v>1</v>
      </c>
      <c r="X407">
        <v>3.0005208329999999</v>
      </c>
      <c r="Y407" t="s">
        <v>3501</v>
      </c>
      <c r="Z407" t="s">
        <v>7856</v>
      </c>
      <c r="AA407" t="s">
        <v>7422</v>
      </c>
      <c r="AB407" t="s">
        <v>1278</v>
      </c>
      <c r="AC407" t="s">
        <v>7857</v>
      </c>
      <c r="AD407" t="s">
        <v>2708</v>
      </c>
      <c r="AE407">
        <v>1</v>
      </c>
      <c r="AO407" t="s">
        <v>2957</v>
      </c>
      <c r="AP407" t="s">
        <v>2401</v>
      </c>
    </row>
    <row r="408" spans="1:42">
      <c r="A408" t="s">
        <v>464</v>
      </c>
      <c r="B408" t="s">
        <v>2377</v>
      </c>
      <c r="C408" t="s">
        <v>2438</v>
      </c>
      <c r="D408" t="s">
        <v>2379</v>
      </c>
      <c r="E408" t="s">
        <v>25</v>
      </c>
      <c r="F408" t="s">
        <v>8940</v>
      </c>
      <c r="G408" t="s">
        <v>25</v>
      </c>
      <c r="H408" t="b">
        <v>1</v>
      </c>
      <c r="I408" s="8">
        <v>45950.55023148148</v>
      </c>
      <c r="J408" t="s">
        <v>2380</v>
      </c>
      <c r="L408">
        <v>605564</v>
      </c>
      <c r="M408" t="s">
        <v>2381</v>
      </c>
      <c r="N408">
        <v>5</v>
      </c>
      <c r="P408" t="s">
        <v>2704</v>
      </c>
      <c r="Q408" t="s">
        <v>2383</v>
      </c>
      <c r="R408">
        <v>1</v>
      </c>
      <c r="S408" t="s">
        <v>2380</v>
      </c>
      <c r="T408" t="s">
        <v>2383</v>
      </c>
      <c r="U408" s="8">
        <v>45950.4925</v>
      </c>
      <c r="V408" s="8">
        <v>45953.958333333336</v>
      </c>
      <c r="W408">
        <v>1</v>
      </c>
      <c r="X408">
        <v>5.7731481000000001E-2</v>
      </c>
      <c r="Y408" t="s">
        <v>8941</v>
      </c>
      <c r="Z408" t="s">
        <v>9509</v>
      </c>
      <c r="AA408" t="s">
        <v>8943</v>
      </c>
      <c r="AB408" t="s">
        <v>1278</v>
      </c>
      <c r="AC408" t="s">
        <v>2387</v>
      </c>
      <c r="AD408" t="s">
        <v>2708</v>
      </c>
      <c r="AE408">
        <v>1</v>
      </c>
      <c r="AO408" t="s">
        <v>2715</v>
      </c>
      <c r="AP408" t="s">
        <v>8931</v>
      </c>
    </row>
    <row r="409" spans="1:42">
      <c r="A409" t="s">
        <v>466</v>
      </c>
      <c r="B409" t="s">
        <v>2377</v>
      </c>
      <c r="C409" t="s">
        <v>2438</v>
      </c>
      <c r="D409" t="s">
        <v>2379</v>
      </c>
      <c r="E409" t="s">
        <v>25</v>
      </c>
      <c r="F409" t="s">
        <v>8940</v>
      </c>
      <c r="G409" t="s">
        <v>25</v>
      </c>
      <c r="H409" t="b">
        <v>1</v>
      </c>
      <c r="I409" s="8">
        <v>45950.553541666668</v>
      </c>
      <c r="J409" t="s">
        <v>2380</v>
      </c>
      <c r="L409">
        <v>605564</v>
      </c>
      <c r="M409" t="s">
        <v>2381</v>
      </c>
      <c r="N409">
        <v>5</v>
      </c>
      <c r="P409" t="s">
        <v>2704</v>
      </c>
      <c r="Q409" t="s">
        <v>2383</v>
      </c>
      <c r="R409">
        <v>1</v>
      </c>
      <c r="S409" t="s">
        <v>2380</v>
      </c>
      <c r="T409" t="s">
        <v>2383</v>
      </c>
      <c r="U409" s="8">
        <v>45950.493564814817</v>
      </c>
      <c r="V409" s="8">
        <v>45953.958333333336</v>
      </c>
      <c r="W409">
        <v>1</v>
      </c>
      <c r="X409">
        <v>5.9976851999999997E-2</v>
      </c>
      <c r="Y409" t="s">
        <v>8941</v>
      </c>
      <c r="Z409" t="s">
        <v>9510</v>
      </c>
      <c r="AA409" t="s">
        <v>8943</v>
      </c>
      <c r="AB409" t="s">
        <v>1278</v>
      </c>
      <c r="AC409" t="s">
        <v>2387</v>
      </c>
      <c r="AD409" t="s">
        <v>2708</v>
      </c>
      <c r="AE409">
        <v>1</v>
      </c>
      <c r="AO409" t="s">
        <v>2715</v>
      </c>
      <c r="AP409" t="s">
        <v>8931</v>
      </c>
    </row>
    <row r="410" spans="1:42">
      <c r="A410" t="s">
        <v>970</v>
      </c>
      <c r="B410" t="s">
        <v>2377</v>
      </c>
      <c r="C410" t="s">
        <v>2438</v>
      </c>
      <c r="D410" t="s">
        <v>2379</v>
      </c>
      <c r="E410" t="s">
        <v>25</v>
      </c>
      <c r="F410" t="s">
        <v>8940</v>
      </c>
      <c r="G410" t="s">
        <v>25</v>
      </c>
      <c r="H410" t="b">
        <v>1</v>
      </c>
      <c r="I410" s="8">
        <v>45950.56653935185</v>
      </c>
      <c r="J410" t="s">
        <v>2380</v>
      </c>
      <c r="L410">
        <v>605564</v>
      </c>
      <c r="M410" t="s">
        <v>2381</v>
      </c>
      <c r="N410">
        <v>5</v>
      </c>
      <c r="P410" t="s">
        <v>2704</v>
      </c>
      <c r="Q410" t="s">
        <v>2383</v>
      </c>
      <c r="R410">
        <v>1</v>
      </c>
      <c r="S410" t="s">
        <v>2380</v>
      </c>
      <c r="T410" t="s">
        <v>2383</v>
      </c>
      <c r="U410" s="8">
        <v>45950.494641203702</v>
      </c>
      <c r="V410" s="8">
        <v>45953.958333333336</v>
      </c>
      <c r="W410">
        <v>1</v>
      </c>
      <c r="X410">
        <v>7.1898147999999995E-2</v>
      </c>
      <c r="Y410" t="s">
        <v>8941</v>
      </c>
      <c r="Z410" t="s">
        <v>9511</v>
      </c>
      <c r="AA410" t="s">
        <v>8943</v>
      </c>
      <c r="AB410" t="s">
        <v>1278</v>
      </c>
      <c r="AC410" t="s">
        <v>2387</v>
      </c>
      <c r="AD410" t="s">
        <v>2708</v>
      </c>
      <c r="AE410">
        <v>1</v>
      </c>
      <c r="AO410" t="s">
        <v>2715</v>
      </c>
      <c r="AP410" t="s">
        <v>8931</v>
      </c>
    </row>
    <row r="411" spans="1:42">
      <c r="A411" t="s">
        <v>978</v>
      </c>
      <c r="B411" t="s">
        <v>2377</v>
      </c>
      <c r="C411" t="s">
        <v>2415</v>
      </c>
      <c r="D411" t="s">
        <v>2379</v>
      </c>
      <c r="E411" t="s">
        <v>33</v>
      </c>
      <c r="F411" t="s">
        <v>9325</v>
      </c>
      <c r="G411" t="s">
        <v>33</v>
      </c>
      <c r="H411" t="b">
        <v>1</v>
      </c>
      <c r="I411" s="8">
        <v>45952.42292824074</v>
      </c>
      <c r="J411" t="s">
        <v>2380</v>
      </c>
      <c r="L411">
        <v>609795</v>
      </c>
      <c r="M411" t="s">
        <v>2381</v>
      </c>
      <c r="P411" t="s">
        <v>2704</v>
      </c>
      <c r="Q411" t="s">
        <v>2383</v>
      </c>
      <c r="R411">
        <v>1</v>
      </c>
      <c r="S411" t="s">
        <v>2380</v>
      </c>
      <c r="T411" t="s">
        <v>2383</v>
      </c>
      <c r="U411" s="8">
        <v>45950.496331018519</v>
      </c>
      <c r="V411" s="8">
        <v>45953.958333333336</v>
      </c>
      <c r="W411">
        <v>1</v>
      </c>
      <c r="X411">
        <v>1.9265972220000001</v>
      </c>
      <c r="Y411" t="s">
        <v>9326</v>
      </c>
      <c r="Z411" t="s">
        <v>9327</v>
      </c>
      <c r="AA411" t="s">
        <v>9328</v>
      </c>
      <c r="AB411" t="s">
        <v>1278</v>
      </c>
      <c r="AC411" t="s">
        <v>9329</v>
      </c>
      <c r="AD411" t="s">
        <v>2708</v>
      </c>
      <c r="AE411">
        <v>1</v>
      </c>
      <c r="AF411">
        <v>2</v>
      </c>
      <c r="AH411" t="s">
        <v>2723</v>
      </c>
      <c r="AI411" s="8">
        <v>45952.42046296296</v>
      </c>
      <c r="AK411" t="s">
        <v>2719</v>
      </c>
      <c r="AL411" t="s">
        <v>2724</v>
      </c>
      <c r="AO411" t="s">
        <v>2957</v>
      </c>
      <c r="AP411" t="s">
        <v>2401</v>
      </c>
    </row>
    <row r="412" spans="1:42">
      <c r="A412" t="s">
        <v>3281</v>
      </c>
      <c r="B412" t="s">
        <v>2389</v>
      </c>
      <c r="C412" t="s">
        <v>2415</v>
      </c>
      <c r="D412" t="s">
        <v>2379</v>
      </c>
      <c r="E412" t="s">
        <v>33</v>
      </c>
      <c r="F412" t="s">
        <v>2578</v>
      </c>
      <c r="G412" t="s">
        <v>33</v>
      </c>
      <c r="H412" t="b">
        <v>1</v>
      </c>
      <c r="I412" s="8">
        <v>45951.585127314815</v>
      </c>
      <c r="J412" t="s">
        <v>2380</v>
      </c>
      <c r="L412">
        <v>606871</v>
      </c>
      <c r="M412" t="s">
        <v>2381</v>
      </c>
      <c r="P412" t="s">
        <v>3280</v>
      </c>
      <c r="Q412" t="s">
        <v>2383</v>
      </c>
      <c r="R412">
        <v>1</v>
      </c>
      <c r="S412" t="s">
        <v>2380</v>
      </c>
      <c r="T412" t="s">
        <v>2383</v>
      </c>
      <c r="U412" s="8">
        <v>45950.50990740741</v>
      </c>
      <c r="V412" s="8">
        <v>45953.958333333336</v>
      </c>
      <c r="W412">
        <v>1</v>
      </c>
      <c r="X412">
        <v>1.0752199069999999</v>
      </c>
      <c r="Y412" t="s">
        <v>2579</v>
      </c>
      <c r="Z412" t="s">
        <v>3282</v>
      </c>
      <c r="AA412" t="s">
        <v>3283</v>
      </c>
      <c r="AB412" t="s">
        <v>1278</v>
      </c>
      <c r="AC412" t="s">
        <v>3284</v>
      </c>
      <c r="AE412">
        <v>1</v>
      </c>
      <c r="AO412" t="s">
        <v>2388</v>
      </c>
      <c r="AP412" t="s">
        <v>2401</v>
      </c>
    </row>
    <row r="413" spans="1:42">
      <c r="A413" t="s">
        <v>3425</v>
      </c>
      <c r="B413" t="s">
        <v>2389</v>
      </c>
      <c r="C413" t="s">
        <v>2390</v>
      </c>
      <c r="D413" t="s">
        <v>2379</v>
      </c>
      <c r="E413" t="s">
        <v>2452</v>
      </c>
      <c r="F413" t="s">
        <v>2578</v>
      </c>
      <c r="G413" t="s">
        <v>2452</v>
      </c>
      <c r="H413" t="b">
        <v>1</v>
      </c>
      <c r="I413" s="8">
        <v>45953.370127314818</v>
      </c>
      <c r="J413" t="s">
        <v>2380</v>
      </c>
      <c r="L413">
        <v>609810</v>
      </c>
      <c r="M413" t="s">
        <v>2381</v>
      </c>
      <c r="P413" t="s">
        <v>3423</v>
      </c>
      <c r="Q413" t="s">
        <v>2383</v>
      </c>
      <c r="R413">
        <v>1</v>
      </c>
      <c r="S413" t="s">
        <v>2380</v>
      </c>
      <c r="T413" t="s">
        <v>2383</v>
      </c>
      <c r="U413" s="8">
        <v>45950.513206018521</v>
      </c>
      <c r="V413" s="8">
        <v>45953.958333333336</v>
      </c>
      <c r="W413">
        <v>1</v>
      </c>
      <c r="X413">
        <v>2.8569212959999999</v>
      </c>
      <c r="Y413" t="s">
        <v>2579</v>
      </c>
      <c r="Z413" t="s">
        <v>3426</v>
      </c>
      <c r="AA413" t="s">
        <v>2645</v>
      </c>
      <c r="AB413" t="s">
        <v>1278</v>
      </c>
      <c r="AC413" t="s">
        <v>3427</v>
      </c>
      <c r="AE413">
        <v>1</v>
      </c>
      <c r="AO413" t="s">
        <v>2388</v>
      </c>
      <c r="AP413" t="s">
        <v>2401</v>
      </c>
    </row>
    <row r="414" spans="1:42">
      <c r="A414" t="s">
        <v>7102</v>
      </c>
      <c r="B414" t="s">
        <v>2389</v>
      </c>
      <c r="C414" t="s">
        <v>2390</v>
      </c>
      <c r="D414" t="s">
        <v>2379</v>
      </c>
      <c r="E414" t="s">
        <v>2452</v>
      </c>
      <c r="F414" t="s">
        <v>2578</v>
      </c>
      <c r="G414" t="s">
        <v>2452</v>
      </c>
      <c r="H414" t="b">
        <v>1</v>
      </c>
      <c r="I414" s="8">
        <v>45953.423831018517</v>
      </c>
      <c r="J414" t="s">
        <v>2380</v>
      </c>
      <c r="K414">
        <v>1204154</v>
      </c>
      <c r="L414">
        <v>606833</v>
      </c>
      <c r="M414" t="s">
        <v>2381</v>
      </c>
      <c r="P414" t="s">
        <v>7101</v>
      </c>
      <c r="Q414" t="s">
        <v>2383</v>
      </c>
      <c r="R414">
        <v>1</v>
      </c>
      <c r="S414" t="s">
        <v>2380</v>
      </c>
      <c r="T414" t="s">
        <v>2383</v>
      </c>
      <c r="U414" s="8">
        <v>45950.523333333331</v>
      </c>
      <c r="V414" s="8">
        <v>45953.958333333336</v>
      </c>
      <c r="W414">
        <v>1</v>
      </c>
      <c r="X414">
        <v>2.9004976849999999</v>
      </c>
      <c r="Y414" t="s">
        <v>2579</v>
      </c>
      <c r="Z414" t="s">
        <v>7103</v>
      </c>
      <c r="AA414" t="s">
        <v>7104</v>
      </c>
      <c r="AB414" t="s">
        <v>1278</v>
      </c>
      <c r="AC414" t="s">
        <v>7105</v>
      </c>
      <c r="AD414" t="s">
        <v>2708</v>
      </c>
      <c r="AE414">
        <v>1</v>
      </c>
      <c r="AO414" t="s">
        <v>2388</v>
      </c>
      <c r="AP414" t="s">
        <v>2401</v>
      </c>
    </row>
    <row r="415" spans="1:42">
      <c r="A415" t="s">
        <v>9293</v>
      </c>
      <c r="B415" t="s">
        <v>2389</v>
      </c>
      <c r="C415" t="s">
        <v>2390</v>
      </c>
      <c r="D415" t="s">
        <v>2379</v>
      </c>
      <c r="E415" t="s">
        <v>2452</v>
      </c>
      <c r="F415" t="s">
        <v>2578</v>
      </c>
      <c r="G415" t="s">
        <v>2452</v>
      </c>
      <c r="H415" t="b">
        <v>1</v>
      </c>
      <c r="I415" s="8">
        <v>45953.510925925926</v>
      </c>
      <c r="J415" t="s">
        <v>2380</v>
      </c>
      <c r="K415">
        <v>1204103</v>
      </c>
      <c r="L415">
        <v>606833</v>
      </c>
      <c r="M415" t="s">
        <v>2381</v>
      </c>
      <c r="P415" t="s">
        <v>7101</v>
      </c>
      <c r="Q415" t="s">
        <v>2383</v>
      </c>
      <c r="R415">
        <v>1</v>
      </c>
      <c r="S415" t="s">
        <v>2380</v>
      </c>
      <c r="T415" t="s">
        <v>2383</v>
      </c>
      <c r="U415" s="8">
        <v>45950.524224537039</v>
      </c>
      <c r="V415" s="8">
        <v>45953.958333333336</v>
      </c>
      <c r="W415">
        <v>1</v>
      </c>
      <c r="X415">
        <v>2.9867013889999998</v>
      </c>
      <c r="Y415" t="s">
        <v>2579</v>
      </c>
      <c r="Z415" t="s">
        <v>9294</v>
      </c>
      <c r="AA415" t="s">
        <v>7104</v>
      </c>
      <c r="AB415" t="s">
        <v>1278</v>
      </c>
      <c r="AC415" t="s">
        <v>9295</v>
      </c>
      <c r="AD415" t="s">
        <v>2708</v>
      </c>
      <c r="AE415">
        <v>1</v>
      </c>
      <c r="AH415" t="s">
        <v>2723</v>
      </c>
      <c r="AI415" s="8">
        <v>45953.404293981483</v>
      </c>
      <c r="AK415" t="s">
        <v>2719</v>
      </c>
      <c r="AL415" t="s">
        <v>2724</v>
      </c>
      <c r="AO415" t="s">
        <v>2388</v>
      </c>
      <c r="AP415" t="s">
        <v>2401</v>
      </c>
    </row>
    <row r="416" spans="1:42">
      <c r="A416" t="s">
        <v>7106</v>
      </c>
      <c r="B416" t="s">
        <v>2389</v>
      </c>
      <c r="C416" t="s">
        <v>2390</v>
      </c>
      <c r="D416" t="s">
        <v>2379</v>
      </c>
      <c r="E416" t="s">
        <v>2452</v>
      </c>
      <c r="F416" t="s">
        <v>2578</v>
      </c>
      <c r="G416" t="s">
        <v>2452</v>
      </c>
      <c r="H416" t="b">
        <v>1</v>
      </c>
      <c r="I416" s="8">
        <v>45953.417395833334</v>
      </c>
      <c r="J416" t="s">
        <v>2380</v>
      </c>
      <c r="K416">
        <v>1204148</v>
      </c>
      <c r="L416">
        <v>606833</v>
      </c>
      <c r="M416" t="s">
        <v>2381</v>
      </c>
      <c r="P416" t="s">
        <v>7101</v>
      </c>
      <c r="Q416" t="s">
        <v>2383</v>
      </c>
      <c r="R416">
        <v>1</v>
      </c>
      <c r="S416" t="s">
        <v>2380</v>
      </c>
      <c r="T416" t="s">
        <v>2383</v>
      </c>
      <c r="U416" s="8">
        <v>45950.525300925925</v>
      </c>
      <c r="V416" s="8">
        <v>45953.958333333336</v>
      </c>
      <c r="W416">
        <v>1</v>
      </c>
      <c r="X416">
        <v>2.8920949070000002</v>
      </c>
      <c r="Y416" t="s">
        <v>2579</v>
      </c>
      <c r="Z416" t="s">
        <v>7107</v>
      </c>
      <c r="AA416" t="s">
        <v>7104</v>
      </c>
      <c r="AB416" t="s">
        <v>1278</v>
      </c>
      <c r="AC416" t="s">
        <v>7108</v>
      </c>
      <c r="AD416" t="s">
        <v>2708</v>
      </c>
      <c r="AE416">
        <v>1</v>
      </c>
      <c r="AO416" t="s">
        <v>2388</v>
      </c>
      <c r="AP416" t="s">
        <v>2401</v>
      </c>
    </row>
    <row r="417" spans="1:42">
      <c r="A417" t="s">
        <v>474</v>
      </c>
      <c r="B417" t="s">
        <v>2377</v>
      </c>
      <c r="C417" t="s">
        <v>2438</v>
      </c>
      <c r="D417" t="s">
        <v>2379</v>
      </c>
      <c r="E417" t="s">
        <v>25</v>
      </c>
      <c r="F417" t="s">
        <v>4897</v>
      </c>
      <c r="G417" t="s">
        <v>25</v>
      </c>
      <c r="H417" t="b">
        <v>1</v>
      </c>
      <c r="I417" s="8">
        <v>45950.57304398148</v>
      </c>
      <c r="J417" t="s">
        <v>2380</v>
      </c>
      <c r="L417">
        <v>606967</v>
      </c>
      <c r="M417" t="s">
        <v>2381</v>
      </c>
      <c r="N417">
        <v>5</v>
      </c>
      <c r="P417" t="s">
        <v>2704</v>
      </c>
      <c r="Q417" t="s">
        <v>2383</v>
      </c>
      <c r="R417">
        <v>1</v>
      </c>
      <c r="S417" t="s">
        <v>2380</v>
      </c>
      <c r="T417" t="s">
        <v>2383</v>
      </c>
      <c r="U417" s="8">
        <v>45950.536840277775</v>
      </c>
      <c r="V417" s="8">
        <v>45953.958333333336</v>
      </c>
      <c r="W417">
        <v>1</v>
      </c>
      <c r="X417">
        <v>3.6203704000000003E-2</v>
      </c>
      <c r="Y417" t="s">
        <v>4898</v>
      </c>
      <c r="Z417" t="s">
        <v>5068</v>
      </c>
      <c r="AA417" t="s">
        <v>5069</v>
      </c>
      <c r="AB417" t="s">
        <v>1278</v>
      </c>
      <c r="AC417" t="s">
        <v>2387</v>
      </c>
      <c r="AD417" t="s">
        <v>2708</v>
      </c>
      <c r="AE417">
        <v>1</v>
      </c>
      <c r="AO417" t="s">
        <v>2715</v>
      </c>
      <c r="AP417" t="s">
        <v>2401</v>
      </c>
    </row>
    <row r="418" spans="1:42">
      <c r="A418" t="s">
        <v>468</v>
      </c>
      <c r="B418" t="s">
        <v>2377</v>
      </c>
      <c r="C418" t="s">
        <v>2438</v>
      </c>
      <c r="D418" t="s">
        <v>2379</v>
      </c>
      <c r="E418" t="s">
        <v>28</v>
      </c>
      <c r="F418" t="s">
        <v>7055</v>
      </c>
      <c r="G418" t="s">
        <v>28</v>
      </c>
      <c r="H418" t="b">
        <v>1</v>
      </c>
      <c r="I418" s="8">
        <v>45950.558946759258</v>
      </c>
      <c r="J418" t="s">
        <v>2380</v>
      </c>
      <c r="L418">
        <v>603490</v>
      </c>
      <c r="M418" t="s">
        <v>2381</v>
      </c>
      <c r="N418">
        <v>20</v>
      </c>
      <c r="P418" t="s">
        <v>2704</v>
      </c>
      <c r="Q418" t="s">
        <v>2383</v>
      </c>
      <c r="R418">
        <v>1</v>
      </c>
      <c r="S418" t="s">
        <v>2380</v>
      </c>
      <c r="T418" t="s">
        <v>2383</v>
      </c>
      <c r="U418" s="8">
        <v>45950.538900462961</v>
      </c>
      <c r="V418" s="8">
        <v>45953.958333333336</v>
      </c>
      <c r="W418">
        <v>1</v>
      </c>
      <c r="X418">
        <v>2.0046296000000002E-2</v>
      </c>
      <c r="Y418" t="s">
        <v>7056</v>
      </c>
      <c r="Z418" t="s">
        <v>9880</v>
      </c>
      <c r="AA418" t="s">
        <v>9781</v>
      </c>
      <c r="AB418" t="s">
        <v>1278</v>
      </c>
      <c r="AC418" t="s">
        <v>8427</v>
      </c>
      <c r="AD418" t="s">
        <v>2708</v>
      </c>
      <c r="AE418">
        <v>1</v>
      </c>
      <c r="AO418" t="s">
        <v>3644</v>
      </c>
      <c r="AP418" t="s">
        <v>2401</v>
      </c>
    </row>
    <row r="419" spans="1:42">
      <c r="A419" t="s">
        <v>974</v>
      </c>
      <c r="B419" t="s">
        <v>2377</v>
      </c>
      <c r="C419" t="s">
        <v>2438</v>
      </c>
      <c r="D419" t="s">
        <v>2379</v>
      </c>
      <c r="E419" t="s">
        <v>25</v>
      </c>
      <c r="F419" t="s">
        <v>3747</v>
      </c>
      <c r="G419" t="s">
        <v>25</v>
      </c>
      <c r="H419" t="b">
        <v>1</v>
      </c>
      <c r="I419" s="8">
        <v>45950.575856481482</v>
      </c>
      <c r="J419" t="s">
        <v>2380</v>
      </c>
      <c r="L419">
        <v>606812</v>
      </c>
      <c r="M419" t="s">
        <v>2381</v>
      </c>
      <c r="N419">
        <v>5</v>
      </c>
      <c r="P419" t="s">
        <v>2704</v>
      </c>
      <c r="Q419" t="s">
        <v>2383</v>
      </c>
      <c r="R419">
        <v>1</v>
      </c>
      <c r="S419" t="s">
        <v>2380</v>
      </c>
      <c r="T419" t="s">
        <v>2383</v>
      </c>
      <c r="U419" s="8">
        <v>45950.540555555555</v>
      </c>
      <c r="V419" s="8">
        <v>45953.958333333336</v>
      </c>
      <c r="W419">
        <v>1</v>
      </c>
      <c r="X419">
        <v>3.5300926000000003E-2</v>
      </c>
      <c r="Y419" t="s">
        <v>3748</v>
      </c>
      <c r="Z419" t="s">
        <v>4871</v>
      </c>
      <c r="AA419" t="s">
        <v>4872</v>
      </c>
      <c r="AB419" t="s">
        <v>1278</v>
      </c>
      <c r="AC419" t="s">
        <v>2387</v>
      </c>
      <c r="AD419" t="s">
        <v>2708</v>
      </c>
      <c r="AE419">
        <v>1</v>
      </c>
      <c r="AO419" t="s">
        <v>2712</v>
      </c>
      <c r="AP419" t="s">
        <v>2401</v>
      </c>
    </row>
    <row r="420" spans="1:42">
      <c r="A420" t="s">
        <v>137</v>
      </c>
      <c r="B420" t="s">
        <v>2377</v>
      </c>
      <c r="C420" t="s">
        <v>2390</v>
      </c>
      <c r="D420" t="s">
        <v>2379</v>
      </c>
      <c r="E420" t="s">
        <v>33</v>
      </c>
      <c r="F420" t="s">
        <v>3921</v>
      </c>
      <c r="G420" t="s">
        <v>33</v>
      </c>
      <c r="H420" t="b">
        <v>1</v>
      </c>
      <c r="I420" s="8">
        <v>45953.386574074073</v>
      </c>
      <c r="J420" t="s">
        <v>2380</v>
      </c>
      <c r="L420">
        <v>608029</v>
      </c>
      <c r="M420" t="s">
        <v>2381</v>
      </c>
      <c r="P420" t="s">
        <v>3936</v>
      </c>
      <c r="Q420" t="s">
        <v>2383</v>
      </c>
      <c r="R420">
        <v>1</v>
      </c>
      <c r="S420" t="s">
        <v>2380</v>
      </c>
      <c r="T420" t="s">
        <v>2383</v>
      </c>
      <c r="U420" s="8">
        <v>45950.54488425926</v>
      </c>
      <c r="V420" s="8">
        <v>45953.958333333336</v>
      </c>
      <c r="W420">
        <v>1</v>
      </c>
      <c r="X420">
        <v>2.8416898150000001</v>
      </c>
      <c r="Y420" t="s">
        <v>1352</v>
      </c>
      <c r="Z420" t="s">
        <v>9304</v>
      </c>
      <c r="AA420" t="s">
        <v>3923</v>
      </c>
      <c r="AB420" t="s">
        <v>1278</v>
      </c>
      <c r="AC420" t="s">
        <v>9305</v>
      </c>
      <c r="AD420" t="s">
        <v>2708</v>
      </c>
      <c r="AE420">
        <v>1</v>
      </c>
      <c r="AH420" t="s">
        <v>2723</v>
      </c>
      <c r="AI420" s="8">
        <v>45953.377395833333</v>
      </c>
      <c r="AK420" t="s">
        <v>2719</v>
      </c>
      <c r="AL420" t="s">
        <v>2724</v>
      </c>
      <c r="AO420" t="s">
        <v>2720</v>
      </c>
      <c r="AP420" t="s">
        <v>2401</v>
      </c>
    </row>
    <row r="421" spans="1:42">
      <c r="A421" t="s">
        <v>6692</v>
      </c>
      <c r="B421" t="s">
        <v>2389</v>
      </c>
      <c r="C421" t="s">
        <v>2415</v>
      </c>
      <c r="D421" t="s">
        <v>2379</v>
      </c>
      <c r="E421" t="s">
        <v>33</v>
      </c>
      <c r="F421" t="s">
        <v>2578</v>
      </c>
      <c r="G421" t="s">
        <v>33</v>
      </c>
      <c r="H421" t="b">
        <v>1</v>
      </c>
      <c r="I421" s="8">
        <v>45951.58353009259</v>
      </c>
      <c r="J421" t="s">
        <v>2380</v>
      </c>
      <c r="K421">
        <v>1203828</v>
      </c>
      <c r="L421">
        <v>606871</v>
      </c>
      <c r="M421" t="s">
        <v>2381</v>
      </c>
      <c r="P421" t="s">
        <v>3280</v>
      </c>
      <c r="Q421" t="s">
        <v>2383</v>
      </c>
      <c r="R421">
        <v>1</v>
      </c>
      <c r="S421" t="s">
        <v>2380</v>
      </c>
      <c r="T421" t="s">
        <v>2383</v>
      </c>
      <c r="U421" s="8">
        <v>45950.548182870371</v>
      </c>
      <c r="V421" s="8">
        <v>45953.958333333336</v>
      </c>
      <c r="W421">
        <v>1</v>
      </c>
      <c r="X421">
        <v>1.035347222</v>
      </c>
      <c r="Y421" t="s">
        <v>2579</v>
      </c>
      <c r="Z421" t="s">
        <v>6693</v>
      </c>
      <c r="AA421" t="s">
        <v>3283</v>
      </c>
      <c r="AB421" t="s">
        <v>1278</v>
      </c>
      <c r="AC421" t="s">
        <v>2802</v>
      </c>
      <c r="AD421" t="s">
        <v>2708</v>
      </c>
      <c r="AE421">
        <v>1</v>
      </c>
      <c r="AO421" t="s">
        <v>2388</v>
      </c>
      <c r="AP421" t="s">
        <v>2401</v>
      </c>
    </row>
    <row r="422" spans="1:42">
      <c r="A422" t="s">
        <v>1027</v>
      </c>
      <c r="B422" t="s">
        <v>2377</v>
      </c>
      <c r="C422" t="s">
        <v>2390</v>
      </c>
      <c r="D422" t="s">
        <v>2379</v>
      </c>
      <c r="E422" t="s">
        <v>33</v>
      </c>
      <c r="F422" t="s">
        <v>2588</v>
      </c>
      <c r="G422" t="s">
        <v>33</v>
      </c>
      <c r="H422" t="b">
        <v>1</v>
      </c>
      <c r="I422" s="8">
        <v>45953.386574074073</v>
      </c>
      <c r="J422" t="s">
        <v>2380</v>
      </c>
      <c r="L422">
        <v>609694</v>
      </c>
      <c r="M422" t="s">
        <v>2381</v>
      </c>
      <c r="P422" t="s">
        <v>3655</v>
      </c>
      <c r="Q422" t="s">
        <v>2383</v>
      </c>
      <c r="R422">
        <v>1</v>
      </c>
      <c r="S422" t="s">
        <v>2380</v>
      </c>
      <c r="T422" t="s">
        <v>2383</v>
      </c>
      <c r="U422" s="8">
        <v>45950.553530092591</v>
      </c>
      <c r="V422" s="8">
        <v>45953.958333333336</v>
      </c>
      <c r="W422">
        <v>1</v>
      </c>
      <c r="X422">
        <v>2.8330439809999999</v>
      </c>
      <c r="Y422" t="s">
        <v>2579</v>
      </c>
      <c r="Z422" t="s">
        <v>9300</v>
      </c>
      <c r="AA422" t="s">
        <v>3657</v>
      </c>
      <c r="AB422" t="s">
        <v>1278</v>
      </c>
      <c r="AC422" t="s">
        <v>9301</v>
      </c>
      <c r="AD422" t="s">
        <v>2708</v>
      </c>
      <c r="AE422">
        <v>1</v>
      </c>
      <c r="AH422" t="s">
        <v>2723</v>
      </c>
      <c r="AI422" s="8">
        <v>45953.37872685185</v>
      </c>
      <c r="AK422" t="s">
        <v>2719</v>
      </c>
      <c r="AL422" t="s">
        <v>2724</v>
      </c>
      <c r="AO422" t="s">
        <v>3644</v>
      </c>
      <c r="AP422" t="s">
        <v>2401</v>
      </c>
    </row>
    <row r="423" spans="1:42">
      <c r="A423" t="s">
        <v>860</v>
      </c>
      <c r="B423" t="s">
        <v>2377</v>
      </c>
      <c r="C423" t="s">
        <v>2390</v>
      </c>
      <c r="D423" t="s">
        <v>2379</v>
      </c>
      <c r="E423" t="s">
        <v>28</v>
      </c>
      <c r="F423" t="s">
        <v>2588</v>
      </c>
      <c r="G423" t="s">
        <v>28</v>
      </c>
      <c r="H423" t="b">
        <v>1</v>
      </c>
      <c r="I423" s="8">
        <v>45953.428564814814</v>
      </c>
      <c r="J423" t="s">
        <v>2380</v>
      </c>
      <c r="L423">
        <v>603959</v>
      </c>
      <c r="M423" t="s">
        <v>2381</v>
      </c>
      <c r="N423">
        <v>15</v>
      </c>
      <c r="P423" t="s">
        <v>2589</v>
      </c>
      <c r="Q423" t="s">
        <v>2383</v>
      </c>
      <c r="R423">
        <v>1</v>
      </c>
      <c r="S423" t="s">
        <v>2380</v>
      </c>
      <c r="T423" t="s">
        <v>2383</v>
      </c>
      <c r="U423" s="8">
        <v>45950.570532407408</v>
      </c>
      <c r="V423" s="8">
        <v>45953.958333333336</v>
      </c>
      <c r="W423">
        <v>1</v>
      </c>
      <c r="X423">
        <v>2.8580324070000001</v>
      </c>
      <c r="Y423" t="s">
        <v>2579</v>
      </c>
      <c r="Z423" t="s">
        <v>7206</v>
      </c>
      <c r="AA423" t="s">
        <v>2592</v>
      </c>
      <c r="AB423" t="s">
        <v>1278</v>
      </c>
      <c r="AC423" t="s">
        <v>3066</v>
      </c>
      <c r="AD423" t="s">
        <v>2708</v>
      </c>
      <c r="AE423">
        <v>1</v>
      </c>
      <c r="AO423" t="s">
        <v>2388</v>
      </c>
      <c r="AP423" t="s">
        <v>2401</v>
      </c>
    </row>
    <row r="424" spans="1:42">
      <c r="A424" t="s">
        <v>864</v>
      </c>
      <c r="B424" t="s">
        <v>2377</v>
      </c>
      <c r="C424" t="s">
        <v>2390</v>
      </c>
      <c r="D424" t="s">
        <v>2379</v>
      </c>
      <c r="E424" t="s">
        <v>28</v>
      </c>
      <c r="F424" t="s">
        <v>2627</v>
      </c>
      <c r="G424" t="s">
        <v>28</v>
      </c>
      <c r="H424" t="b">
        <v>1</v>
      </c>
      <c r="I424" s="8">
        <v>45953.48641203704</v>
      </c>
      <c r="J424" t="s">
        <v>2380</v>
      </c>
      <c r="L424">
        <v>602854</v>
      </c>
      <c r="M424" t="s">
        <v>2381</v>
      </c>
      <c r="N424">
        <v>15</v>
      </c>
      <c r="P424" t="s">
        <v>7913</v>
      </c>
      <c r="Q424" t="s">
        <v>2383</v>
      </c>
      <c r="R424">
        <v>1</v>
      </c>
      <c r="S424" t="s">
        <v>2380</v>
      </c>
      <c r="T424" t="s">
        <v>2383</v>
      </c>
      <c r="U424" s="8">
        <v>45950.571030092593</v>
      </c>
      <c r="V424" s="8">
        <v>45953.958333333336</v>
      </c>
      <c r="W424">
        <v>1</v>
      </c>
      <c r="X424">
        <v>2.9153819439999999</v>
      </c>
      <c r="Y424" t="s">
        <v>2628</v>
      </c>
      <c r="Z424" t="s">
        <v>7914</v>
      </c>
      <c r="AA424" t="s">
        <v>7915</v>
      </c>
      <c r="AB424" t="s">
        <v>1278</v>
      </c>
      <c r="AC424" t="s">
        <v>7267</v>
      </c>
      <c r="AD424" t="s">
        <v>2708</v>
      </c>
      <c r="AE424">
        <v>1</v>
      </c>
      <c r="AO424" t="s">
        <v>2957</v>
      </c>
      <c r="AP424" t="s">
        <v>2401</v>
      </c>
    </row>
    <row r="425" spans="1:42">
      <c r="A425" t="s">
        <v>850</v>
      </c>
      <c r="B425" t="s">
        <v>2377</v>
      </c>
      <c r="C425" t="s">
        <v>2415</v>
      </c>
      <c r="D425" t="s">
        <v>2379</v>
      </c>
      <c r="E425" t="s">
        <v>33</v>
      </c>
      <c r="F425" t="s">
        <v>3747</v>
      </c>
      <c r="G425" t="s">
        <v>33</v>
      </c>
      <c r="H425" t="b">
        <v>1</v>
      </c>
      <c r="I425" s="8">
        <v>45952.422627314816</v>
      </c>
      <c r="J425" t="s">
        <v>2380</v>
      </c>
      <c r="L425">
        <v>601770</v>
      </c>
      <c r="M425" t="s">
        <v>2381</v>
      </c>
      <c r="P425" t="s">
        <v>2704</v>
      </c>
      <c r="Q425" t="s">
        <v>2383</v>
      </c>
      <c r="R425">
        <v>1</v>
      </c>
      <c r="S425" t="s">
        <v>2380</v>
      </c>
      <c r="T425" t="s">
        <v>2383</v>
      </c>
      <c r="U425" s="8">
        <v>45950.574050925927</v>
      </c>
      <c r="V425" s="8">
        <v>45953.958333333336</v>
      </c>
      <c r="W425">
        <v>1</v>
      </c>
      <c r="X425">
        <v>1.848576389</v>
      </c>
      <c r="Y425" t="s">
        <v>3748</v>
      </c>
      <c r="Z425" t="s">
        <v>9361</v>
      </c>
      <c r="AA425" t="s">
        <v>9362</v>
      </c>
      <c r="AB425" t="s">
        <v>1278</v>
      </c>
      <c r="AC425" t="s">
        <v>9363</v>
      </c>
      <c r="AD425" t="s">
        <v>2708</v>
      </c>
      <c r="AE425">
        <v>1</v>
      </c>
      <c r="AF425">
        <v>2</v>
      </c>
      <c r="AH425" t="s">
        <v>2723</v>
      </c>
      <c r="AI425" s="8">
        <v>45952.421203703707</v>
      </c>
      <c r="AK425" t="s">
        <v>2719</v>
      </c>
      <c r="AL425" t="s">
        <v>2724</v>
      </c>
      <c r="AO425" t="s">
        <v>2712</v>
      </c>
      <c r="AP425" t="s">
        <v>2401</v>
      </c>
    </row>
    <row r="426" spans="1:42">
      <c r="A426" t="s">
        <v>207</v>
      </c>
      <c r="B426" t="s">
        <v>2377</v>
      </c>
      <c r="C426" t="s">
        <v>2390</v>
      </c>
      <c r="D426" t="s">
        <v>2379</v>
      </c>
      <c r="E426" t="s">
        <v>28</v>
      </c>
      <c r="F426" t="s">
        <v>2417</v>
      </c>
      <c r="G426" t="s">
        <v>28</v>
      </c>
      <c r="H426" t="b">
        <v>1</v>
      </c>
      <c r="I426" s="8">
        <v>45953.479108796295</v>
      </c>
      <c r="J426" t="s">
        <v>2380</v>
      </c>
      <c r="L426">
        <v>608233</v>
      </c>
      <c r="M426" t="s">
        <v>2381</v>
      </c>
      <c r="N426">
        <v>15</v>
      </c>
      <c r="P426" t="s">
        <v>7207</v>
      </c>
      <c r="Q426" t="s">
        <v>2383</v>
      </c>
      <c r="R426">
        <v>1</v>
      </c>
      <c r="S426" t="s">
        <v>2380</v>
      </c>
      <c r="T426" t="s">
        <v>2383</v>
      </c>
      <c r="U426" s="8">
        <v>45950.578958333332</v>
      </c>
      <c r="V426" s="8">
        <v>45953.958333333336</v>
      </c>
      <c r="W426">
        <v>1</v>
      </c>
      <c r="X426">
        <v>2.9001504630000001</v>
      </c>
      <c r="Y426" t="s">
        <v>2418</v>
      </c>
      <c r="Z426" t="s">
        <v>7208</v>
      </c>
      <c r="AA426" t="s">
        <v>7209</v>
      </c>
      <c r="AB426" t="s">
        <v>1278</v>
      </c>
      <c r="AC426" t="s">
        <v>4542</v>
      </c>
      <c r="AD426" t="s">
        <v>2708</v>
      </c>
      <c r="AE426">
        <v>1</v>
      </c>
      <c r="AO426" t="s">
        <v>2388</v>
      </c>
      <c r="AP426" t="s">
        <v>2401</v>
      </c>
    </row>
    <row r="427" spans="1:42">
      <c r="A427" t="s">
        <v>981</v>
      </c>
      <c r="B427" t="s">
        <v>2377</v>
      </c>
      <c r="C427" t="s">
        <v>2438</v>
      </c>
      <c r="D427" t="s">
        <v>2379</v>
      </c>
      <c r="E427" t="s">
        <v>25</v>
      </c>
      <c r="F427" t="s">
        <v>3891</v>
      </c>
      <c r="G427" t="s">
        <v>25</v>
      </c>
      <c r="H427" t="b">
        <v>1</v>
      </c>
      <c r="I427" s="8">
        <v>45950.629652777781</v>
      </c>
      <c r="J427" t="s">
        <v>2380</v>
      </c>
      <c r="L427">
        <v>602475</v>
      </c>
      <c r="M427" t="s">
        <v>2381</v>
      </c>
      <c r="N427">
        <v>5</v>
      </c>
      <c r="P427" t="s">
        <v>2704</v>
      </c>
      <c r="Q427" t="s">
        <v>2383</v>
      </c>
      <c r="R427">
        <v>1</v>
      </c>
      <c r="S427" t="s">
        <v>2380</v>
      </c>
      <c r="T427" t="s">
        <v>2383</v>
      </c>
      <c r="U427" s="8">
        <v>45950.580069444448</v>
      </c>
      <c r="V427" s="8">
        <v>45953.958333333336</v>
      </c>
      <c r="W427">
        <v>1</v>
      </c>
      <c r="X427">
        <v>4.9583333E-2</v>
      </c>
      <c r="Y427" t="s">
        <v>3892</v>
      </c>
      <c r="Z427" t="s">
        <v>5066</v>
      </c>
      <c r="AA427" t="s">
        <v>5067</v>
      </c>
      <c r="AB427" t="s">
        <v>1278</v>
      </c>
      <c r="AC427" t="s">
        <v>2387</v>
      </c>
      <c r="AD427" t="s">
        <v>2708</v>
      </c>
      <c r="AE427">
        <v>1</v>
      </c>
      <c r="AO427" t="s">
        <v>2715</v>
      </c>
      <c r="AP427" t="s">
        <v>2401</v>
      </c>
    </row>
    <row r="428" spans="1:42">
      <c r="A428" t="s">
        <v>2848</v>
      </c>
      <c r="B428" t="s">
        <v>2389</v>
      </c>
      <c r="C428" t="s">
        <v>2378</v>
      </c>
      <c r="D428" t="s">
        <v>2379</v>
      </c>
      <c r="E428" t="s">
        <v>2452</v>
      </c>
      <c r="F428" t="s">
        <v>2477</v>
      </c>
      <c r="G428" t="s">
        <v>2452</v>
      </c>
      <c r="H428" t="b">
        <v>1</v>
      </c>
      <c r="I428" s="8">
        <v>45953.604386574072</v>
      </c>
      <c r="J428" t="s">
        <v>2380</v>
      </c>
      <c r="L428">
        <v>603573</v>
      </c>
      <c r="M428" t="s">
        <v>2381</v>
      </c>
      <c r="P428" t="s">
        <v>2486</v>
      </c>
      <c r="Q428" t="s">
        <v>2383</v>
      </c>
      <c r="R428">
        <v>1</v>
      </c>
      <c r="S428" t="s">
        <v>2380</v>
      </c>
      <c r="T428" t="s">
        <v>2383</v>
      </c>
      <c r="U428" s="8">
        <v>45950.580312500002</v>
      </c>
      <c r="V428" s="8">
        <v>45953.958333333336</v>
      </c>
      <c r="W428">
        <v>1</v>
      </c>
      <c r="X428">
        <v>3.0240740740000001</v>
      </c>
      <c r="Y428" t="s">
        <v>2403</v>
      </c>
      <c r="Z428" t="s">
        <v>2849</v>
      </c>
      <c r="AA428" t="s">
        <v>2850</v>
      </c>
      <c r="AB428" t="s">
        <v>1278</v>
      </c>
      <c r="AC428" t="s">
        <v>2851</v>
      </c>
      <c r="AE428">
        <v>1</v>
      </c>
      <c r="AO428" t="s">
        <v>2408</v>
      </c>
      <c r="AP428" t="s">
        <v>2401</v>
      </c>
    </row>
    <row r="429" spans="1:42">
      <c r="A429" t="s">
        <v>983</v>
      </c>
      <c r="B429" t="s">
        <v>2377</v>
      </c>
      <c r="C429" t="s">
        <v>2438</v>
      </c>
      <c r="D429" t="s">
        <v>2379</v>
      </c>
      <c r="E429" t="s">
        <v>25</v>
      </c>
      <c r="F429" t="s">
        <v>2431</v>
      </c>
      <c r="G429" t="s">
        <v>25</v>
      </c>
      <c r="H429" t="b">
        <v>1</v>
      </c>
      <c r="I429" s="8">
        <v>45950.650034722225</v>
      </c>
      <c r="J429" t="s">
        <v>2380</v>
      </c>
      <c r="L429">
        <v>603349</v>
      </c>
      <c r="M429" t="s">
        <v>2381</v>
      </c>
      <c r="N429">
        <v>15</v>
      </c>
      <c r="P429" t="s">
        <v>2704</v>
      </c>
      <c r="Q429" t="s">
        <v>2383</v>
      </c>
      <c r="R429">
        <v>1</v>
      </c>
      <c r="S429" t="s">
        <v>2380</v>
      </c>
      <c r="T429" t="s">
        <v>2383</v>
      </c>
      <c r="U429" s="8">
        <v>45950.583252314813</v>
      </c>
      <c r="V429" s="8">
        <v>45953.958333333336</v>
      </c>
      <c r="W429">
        <v>1</v>
      </c>
      <c r="X429">
        <v>6.6782407000000002E-2</v>
      </c>
      <c r="Y429" t="s">
        <v>2433</v>
      </c>
      <c r="Z429" t="s">
        <v>9620</v>
      </c>
      <c r="AA429" t="s">
        <v>9621</v>
      </c>
      <c r="AB429" t="s">
        <v>1278</v>
      </c>
      <c r="AC429" t="s">
        <v>2387</v>
      </c>
      <c r="AD429" t="s">
        <v>2708</v>
      </c>
      <c r="AE429">
        <v>1</v>
      </c>
      <c r="AO429" t="s">
        <v>3586</v>
      </c>
      <c r="AP429" t="s">
        <v>2401</v>
      </c>
    </row>
    <row r="430" spans="1:42">
      <c r="A430" t="s">
        <v>1044</v>
      </c>
      <c r="B430" t="s">
        <v>2377</v>
      </c>
      <c r="C430" t="s">
        <v>2443</v>
      </c>
      <c r="D430" t="s">
        <v>2443</v>
      </c>
      <c r="E430" t="s">
        <v>25</v>
      </c>
      <c r="F430" t="s">
        <v>2578</v>
      </c>
      <c r="G430" t="s">
        <v>25</v>
      </c>
      <c r="H430" t="b">
        <v>1</v>
      </c>
      <c r="I430" s="8">
        <v>45955.404745370368</v>
      </c>
      <c r="J430" t="s">
        <v>2380</v>
      </c>
      <c r="L430">
        <v>609768</v>
      </c>
      <c r="M430" t="s">
        <v>2381</v>
      </c>
      <c r="N430">
        <v>15</v>
      </c>
      <c r="P430" t="s">
        <v>2382</v>
      </c>
      <c r="Q430" t="s">
        <v>2383</v>
      </c>
      <c r="R430">
        <v>1</v>
      </c>
      <c r="S430" t="s">
        <v>2380</v>
      </c>
      <c r="T430" t="s">
        <v>2383</v>
      </c>
      <c r="U430" s="8">
        <v>45950.588680555556</v>
      </c>
      <c r="V430" s="8">
        <v>45953.958333333336</v>
      </c>
      <c r="W430">
        <v>1</v>
      </c>
      <c r="X430">
        <v>4.8160648149999998</v>
      </c>
      <c r="Y430" t="s">
        <v>2579</v>
      </c>
      <c r="Z430" t="s">
        <v>7212</v>
      </c>
      <c r="AA430" t="s">
        <v>2386</v>
      </c>
      <c r="AB430" t="s">
        <v>1278</v>
      </c>
      <c r="AC430" t="s">
        <v>7213</v>
      </c>
      <c r="AD430" t="s">
        <v>2708</v>
      </c>
      <c r="AE430">
        <v>1</v>
      </c>
      <c r="AO430" t="s">
        <v>2388</v>
      </c>
      <c r="AP430" t="s">
        <v>2401</v>
      </c>
    </row>
    <row r="431" spans="1:42">
      <c r="A431" t="s">
        <v>7828</v>
      </c>
      <c r="B431" t="s">
        <v>2389</v>
      </c>
      <c r="C431" t="s">
        <v>2378</v>
      </c>
      <c r="D431" t="s">
        <v>2379</v>
      </c>
      <c r="E431" t="s">
        <v>2452</v>
      </c>
      <c r="F431" t="s">
        <v>7611</v>
      </c>
      <c r="G431" t="s">
        <v>2452</v>
      </c>
      <c r="H431" t="b">
        <v>1</v>
      </c>
      <c r="I431" s="8">
        <v>45953.644131944442</v>
      </c>
      <c r="J431" t="s">
        <v>2380</v>
      </c>
      <c r="K431">
        <v>1204317</v>
      </c>
      <c r="L431">
        <v>603939</v>
      </c>
      <c r="M431" t="s">
        <v>2381</v>
      </c>
      <c r="P431" t="s">
        <v>2670</v>
      </c>
      <c r="Q431" t="s">
        <v>2383</v>
      </c>
      <c r="R431">
        <v>1</v>
      </c>
      <c r="S431" t="s">
        <v>2380</v>
      </c>
      <c r="T431" t="s">
        <v>2383</v>
      </c>
      <c r="U431" s="8">
        <v>45950.599826388891</v>
      </c>
      <c r="V431" s="8">
        <v>45953.958333333336</v>
      </c>
      <c r="W431">
        <v>1</v>
      </c>
      <c r="X431">
        <v>3.0443055559999999</v>
      </c>
      <c r="Y431" t="s">
        <v>3521</v>
      </c>
      <c r="Z431" t="s">
        <v>7829</v>
      </c>
      <c r="AA431" t="s">
        <v>7830</v>
      </c>
      <c r="AB431" t="s">
        <v>1278</v>
      </c>
      <c r="AC431" t="s">
        <v>7831</v>
      </c>
      <c r="AD431" t="s">
        <v>2708</v>
      </c>
      <c r="AE431">
        <v>1</v>
      </c>
      <c r="AO431" t="s">
        <v>2957</v>
      </c>
      <c r="AP431" t="s">
        <v>2401</v>
      </c>
    </row>
    <row r="432" spans="1:42">
      <c r="A432" t="s">
        <v>854</v>
      </c>
      <c r="B432" t="s">
        <v>2377</v>
      </c>
      <c r="C432" t="s">
        <v>2390</v>
      </c>
      <c r="D432" t="s">
        <v>2379</v>
      </c>
      <c r="E432" t="s">
        <v>33</v>
      </c>
      <c r="F432" t="s">
        <v>3747</v>
      </c>
      <c r="G432" t="s">
        <v>33</v>
      </c>
      <c r="H432" t="b">
        <v>1</v>
      </c>
      <c r="I432" s="8">
        <v>45953.386516203704</v>
      </c>
      <c r="J432" t="s">
        <v>2380</v>
      </c>
      <c r="L432">
        <v>609909</v>
      </c>
      <c r="M432" t="s">
        <v>2381</v>
      </c>
      <c r="P432" t="s">
        <v>2704</v>
      </c>
      <c r="Q432" t="s">
        <v>2383</v>
      </c>
      <c r="R432">
        <v>1</v>
      </c>
      <c r="S432" t="s">
        <v>2380</v>
      </c>
      <c r="T432" t="s">
        <v>2383</v>
      </c>
      <c r="U432" s="8">
        <v>45950.600787037038</v>
      </c>
      <c r="V432" s="8">
        <v>45953.958333333336</v>
      </c>
      <c r="W432">
        <v>1</v>
      </c>
      <c r="X432">
        <v>2.785729167</v>
      </c>
      <c r="Y432" t="s">
        <v>3748</v>
      </c>
      <c r="Z432" t="s">
        <v>9237</v>
      </c>
      <c r="AA432" t="s">
        <v>3790</v>
      </c>
      <c r="AB432" t="s">
        <v>1278</v>
      </c>
      <c r="AC432" t="s">
        <v>9238</v>
      </c>
      <c r="AD432" t="s">
        <v>2708</v>
      </c>
      <c r="AE432">
        <v>1</v>
      </c>
      <c r="AH432" t="s">
        <v>24</v>
      </c>
      <c r="AI432" s="8">
        <v>45952.681620370371</v>
      </c>
      <c r="AK432" t="s">
        <v>2719</v>
      </c>
      <c r="AL432" t="s">
        <v>2719</v>
      </c>
      <c r="AO432" t="s">
        <v>2712</v>
      </c>
      <c r="AP432" t="s">
        <v>2401</v>
      </c>
    </row>
    <row r="433" spans="1:42">
      <c r="A433" t="s">
        <v>979</v>
      </c>
      <c r="B433" t="s">
        <v>2377</v>
      </c>
      <c r="C433" t="s">
        <v>2438</v>
      </c>
      <c r="D433" t="s">
        <v>2379</v>
      </c>
      <c r="E433" t="s">
        <v>28</v>
      </c>
      <c r="F433" t="s">
        <v>4141</v>
      </c>
      <c r="G433" t="s">
        <v>28</v>
      </c>
      <c r="H433" t="b">
        <v>1</v>
      </c>
      <c r="I433" s="8">
        <v>45950.622384259259</v>
      </c>
      <c r="J433" t="s">
        <v>2380</v>
      </c>
      <c r="L433">
        <v>605017</v>
      </c>
      <c r="M433" t="s">
        <v>2381</v>
      </c>
      <c r="N433">
        <v>20</v>
      </c>
      <c r="P433" t="s">
        <v>2704</v>
      </c>
      <c r="Q433" t="s">
        <v>2383</v>
      </c>
      <c r="R433">
        <v>1</v>
      </c>
      <c r="S433" t="s">
        <v>2380</v>
      </c>
      <c r="T433" t="s">
        <v>2383</v>
      </c>
      <c r="U433" s="8">
        <v>45950.606122685182</v>
      </c>
      <c r="V433" s="8">
        <v>45953.958333333336</v>
      </c>
      <c r="W433">
        <v>1</v>
      </c>
      <c r="X433">
        <v>1.6261574000000001E-2</v>
      </c>
      <c r="Y433" t="s">
        <v>4142</v>
      </c>
      <c r="Z433" t="s">
        <v>7957</v>
      </c>
      <c r="AA433" t="s">
        <v>7500</v>
      </c>
      <c r="AB433" t="s">
        <v>1278</v>
      </c>
      <c r="AC433" t="s">
        <v>4825</v>
      </c>
      <c r="AD433" t="s">
        <v>2708</v>
      </c>
      <c r="AE433">
        <v>1</v>
      </c>
      <c r="AO433" t="s">
        <v>2957</v>
      </c>
      <c r="AP433" t="s">
        <v>2401</v>
      </c>
    </row>
    <row r="434" spans="1:42">
      <c r="A434" t="s">
        <v>10303</v>
      </c>
      <c r="B434" t="s">
        <v>2377</v>
      </c>
      <c r="C434" t="s">
        <v>2390</v>
      </c>
      <c r="D434" t="s">
        <v>2379</v>
      </c>
      <c r="E434" t="s">
        <v>24</v>
      </c>
      <c r="F434" t="s">
        <v>3891</v>
      </c>
      <c r="G434" t="s">
        <v>24</v>
      </c>
      <c r="H434" t="b">
        <v>1</v>
      </c>
      <c r="I434" s="8">
        <v>45952.686412037037</v>
      </c>
      <c r="J434" t="s">
        <v>2380</v>
      </c>
      <c r="L434">
        <v>603381</v>
      </c>
      <c r="M434" t="s">
        <v>2381</v>
      </c>
      <c r="P434" t="s">
        <v>2670</v>
      </c>
      <c r="Q434" t="s">
        <v>2383</v>
      </c>
      <c r="R434">
        <v>1</v>
      </c>
      <c r="S434" t="s">
        <v>2380</v>
      </c>
      <c r="T434" t="s">
        <v>2383</v>
      </c>
      <c r="U434" s="8">
        <v>45950.611712962964</v>
      </c>
      <c r="V434" s="8">
        <v>45953.958333333336</v>
      </c>
      <c r="W434">
        <v>1</v>
      </c>
      <c r="X434">
        <v>2.0746990740000002</v>
      </c>
      <c r="Y434" t="s">
        <v>3892</v>
      </c>
      <c r="Z434" t="s">
        <v>10304</v>
      </c>
      <c r="AA434" t="s">
        <v>2714</v>
      </c>
      <c r="AB434" t="s">
        <v>1278</v>
      </c>
      <c r="AC434" t="s">
        <v>3187</v>
      </c>
      <c r="AE434">
        <v>1</v>
      </c>
      <c r="AO434" t="s">
        <v>2715</v>
      </c>
      <c r="AP434" t="s">
        <v>2401</v>
      </c>
    </row>
    <row r="435" spans="1:42">
      <c r="A435" t="s">
        <v>214</v>
      </c>
      <c r="B435" t="s">
        <v>2377</v>
      </c>
      <c r="C435" t="s">
        <v>2390</v>
      </c>
      <c r="D435" t="s">
        <v>2379</v>
      </c>
      <c r="E435" t="s">
        <v>24</v>
      </c>
      <c r="F435" t="s">
        <v>3747</v>
      </c>
      <c r="G435" t="s">
        <v>24</v>
      </c>
      <c r="H435" t="b">
        <v>1</v>
      </c>
      <c r="I435" s="8">
        <v>45953.56040509259</v>
      </c>
      <c r="J435" t="s">
        <v>2380</v>
      </c>
      <c r="L435">
        <v>609904</v>
      </c>
      <c r="M435" t="s">
        <v>2381</v>
      </c>
      <c r="P435" t="s">
        <v>3989</v>
      </c>
      <c r="Q435" t="s">
        <v>2383</v>
      </c>
      <c r="R435">
        <v>1</v>
      </c>
      <c r="S435" t="s">
        <v>2380</v>
      </c>
      <c r="T435" t="s">
        <v>2383</v>
      </c>
      <c r="U435" s="8">
        <v>45950.622187499997</v>
      </c>
      <c r="V435" s="8">
        <v>45953.958333333336</v>
      </c>
      <c r="W435">
        <v>1</v>
      </c>
      <c r="X435">
        <v>2.9382175930000001</v>
      </c>
      <c r="Y435" t="s">
        <v>3748</v>
      </c>
      <c r="Z435" t="s">
        <v>3990</v>
      </c>
      <c r="AA435" t="s">
        <v>1303</v>
      </c>
      <c r="AB435" t="s">
        <v>1278</v>
      </c>
      <c r="AC435" t="s">
        <v>3991</v>
      </c>
      <c r="AD435" t="s">
        <v>2708</v>
      </c>
      <c r="AE435">
        <v>1</v>
      </c>
      <c r="AO435" t="s">
        <v>2712</v>
      </c>
      <c r="AP435" t="s">
        <v>2401</v>
      </c>
    </row>
    <row r="436" spans="1:42">
      <c r="A436" t="s">
        <v>105</v>
      </c>
      <c r="B436" t="s">
        <v>2377</v>
      </c>
      <c r="C436" t="s">
        <v>2438</v>
      </c>
      <c r="D436" t="s">
        <v>2379</v>
      </c>
      <c r="E436" t="s">
        <v>28</v>
      </c>
      <c r="F436" t="s">
        <v>4141</v>
      </c>
      <c r="G436" t="s">
        <v>28</v>
      </c>
      <c r="H436" t="b">
        <v>1</v>
      </c>
      <c r="I436" s="8">
        <v>45950.646874999999</v>
      </c>
      <c r="J436" t="s">
        <v>2380</v>
      </c>
      <c r="L436">
        <v>605232</v>
      </c>
      <c r="M436" t="s">
        <v>2381</v>
      </c>
      <c r="N436">
        <v>20</v>
      </c>
      <c r="P436" t="s">
        <v>2704</v>
      </c>
      <c r="Q436" t="s">
        <v>2383</v>
      </c>
      <c r="R436">
        <v>1</v>
      </c>
      <c r="S436" t="s">
        <v>2380</v>
      </c>
      <c r="T436" t="s">
        <v>2383</v>
      </c>
      <c r="U436" s="8">
        <v>45950.630844907406</v>
      </c>
      <c r="V436" s="8">
        <v>45953.958333333336</v>
      </c>
      <c r="W436">
        <v>1</v>
      </c>
      <c r="X436">
        <v>1.6030092999999999E-2</v>
      </c>
      <c r="Y436" t="s">
        <v>4142</v>
      </c>
      <c r="Z436" t="s">
        <v>7958</v>
      </c>
      <c r="AA436" t="s">
        <v>7959</v>
      </c>
      <c r="AB436" t="s">
        <v>1278</v>
      </c>
      <c r="AC436" t="s">
        <v>4825</v>
      </c>
      <c r="AD436" t="s">
        <v>2708</v>
      </c>
      <c r="AE436">
        <v>1</v>
      </c>
      <c r="AO436" t="s">
        <v>2957</v>
      </c>
      <c r="AP436" t="s">
        <v>2401</v>
      </c>
    </row>
    <row r="437" spans="1:42">
      <c r="A437" t="s">
        <v>212</v>
      </c>
      <c r="B437" t="s">
        <v>2377</v>
      </c>
      <c r="C437" t="s">
        <v>2390</v>
      </c>
      <c r="D437" t="s">
        <v>2379</v>
      </c>
      <c r="E437" t="s">
        <v>18</v>
      </c>
      <c r="F437" t="s">
        <v>2627</v>
      </c>
      <c r="G437" t="s">
        <v>2416</v>
      </c>
      <c r="H437" t="b">
        <v>1</v>
      </c>
      <c r="I437" s="8">
        <v>45953.548819444448</v>
      </c>
      <c r="J437" t="s">
        <v>2380</v>
      </c>
      <c r="L437">
        <v>605375</v>
      </c>
      <c r="M437" t="s">
        <v>2381</v>
      </c>
      <c r="P437" t="s">
        <v>9599</v>
      </c>
      <c r="Q437" t="s">
        <v>2383</v>
      </c>
      <c r="R437">
        <v>1</v>
      </c>
      <c r="S437" t="s">
        <v>2380</v>
      </c>
      <c r="T437" t="s">
        <v>2383</v>
      </c>
      <c r="U437" s="8">
        <v>45950.634594907409</v>
      </c>
      <c r="V437" s="8">
        <v>45953.958333333336</v>
      </c>
      <c r="W437">
        <v>1</v>
      </c>
      <c r="X437">
        <v>2.9142245369999999</v>
      </c>
      <c r="Y437" t="s">
        <v>2628</v>
      </c>
      <c r="Z437" t="s">
        <v>9603</v>
      </c>
      <c r="AA437" t="s">
        <v>9601</v>
      </c>
      <c r="AB437" t="s">
        <v>1278</v>
      </c>
      <c r="AC437" t="s">
        <v>9604</v>
      </c>
      <c r="AD437" t="s">
        <v>2708</v>
      </c>
      <c r="AE437">
        <v>1</v>
      </c>
      <c r="AO437" t="s">
        <v>3586</v>
      </c>
      <c r="AP437" t="s">
        <v>2401</v>
      </c>
    </row>
    <row r="438" spans="1:42">
      <c r="A438" t="s">
        <v>985</v>
      </c>
      <c r="B438" t="s">
        <v>2377</v>
      </c>
      <c r="C438" t="s">
        <v>2415</v>
      </c>
      <c r="D438" t="s">
        <v>2379</v>
      </c>
      <c r="E438" t="s">
        <v>33</v>
      </c>
      <c r="F438" t="s">
        <v>2409</v>
      </c>
      <c r="G438" t="s">
        <v>33</v>
      </c>
      <c r="H438" t="b">
        <v>1</v>
      </c>
      <c r="I438" s="8">
        <v>45951.673298611109</v>
      </c>
      <c r="J438" t="s">
        <v>2380</v>
      </c>
      <c r="L438">
        <v>608028</v>
      </c>
      <c r="M438" t="s">
        <v>2381</v>
      </c>
      <c r="P438" t="s">
        <v>2704</v>
      </c>
      <c r="Q438" t="s">
        <v>2383</v>
      </c>
      <c r="R438">
        <v>1</v>
      </c>
      <c r="S438" t="s">
        <v>2380</v>
      </c>
      <c r="T438" t="s">
        <v>2383</v>
      </c>
      <c r="U438" s="8">
        <v>45950.637025462966</v>
      </c>
      <c r="V438" s="8">
        <v>45953.958333333336</v>
      </c>
      <c r="W438">
        <v>1</v>
      </c>
      <c r="X438">
        <v>1.036273148</v>
      </c>
      <c r="Y438" t="s">
        <v>2410</v>
      </c>
      <c r="Z438" t="s">
        <v>9370</v>
      </c>
      <c r="AA438" t="s">
        <v>8806</v>
      </c>
      <c r="AB438" t="s">
        <v>1278</v>
      </c>
      <c r="AC438" t="s">
        <v>9371</v>
      </c>
      <c r="AD438" t="s">
        <v>2708</v>
      </c>
      <c r="AE438">
        <v>1</v>
      </c>
      <c r="AF438">
        <v>5</v>
      </c>
      <c r="AH438" t="s">
        <v>2723</v>
      </c>
      <c r="AI438" s="8">
        <v>45951.672488425924</v>
      </c>
      <c r="AK438" t="s">
        <v>2719</v>
      </c>
      <c r="AL438" t="s">
        <v>2724</v>
      </c>
      <c r="AO438" t="s">
        <v>3644</v>
      </c>
      <c r="AP438" t="s">
        <v>2401</v>
      </c>
    </row>
    <row r="439" spans="1:42">
      <c r="A439" t="s">
        <v>2739</v>
      </c>
      <c r="B439" t="s">
        <v>2377</v>
      </c>
      <c r="C439" t="s">
        <v>2390</v>
      </c>
      <c r="D439" t="s">
        <v>2379</v>
      </c>
      <c r="E439" t="s">
        <v>24</v>
      </c>
      <c r="F439" t="s">
        <v>2417</v>
      </c>
      <c r="G439" t="s">
        <v>24</v>
      </c>
      <c r="H439" t="b">
        <v>1</v>
      </c>
      <c r="I439" s="8">
        <v>45953.502939814818</v>
      </c>
      <c r="J439" t="s">
        <v>2380</v>
      </c>
      <c r="L439">
        <v>603652</v>
      </c>
      <c r="M439" t="s">
        <v>2381</v>
      </c>
      <c r="P439" t="s">
        <v>2738</v>
      </c>
      <c r="Q439" t="s">
        <v>2383</v>
      </c>
      <c r="R439">
        <v>1</v>
      </c>
      <c r="S439" t="s">
        <v>2380</v>
      </c>
      <c r="T439" t="s">
        <v>2383</v>
      </c>
      <c r="U439" s="8">
        <v>45950.638460648152</v>
      </c>
      <c r="V439" s="8">
        <v>45953.958333333336</v>
      </c>
      <c r="W439">
        <v>1</v>
      </c>
      <c r="X439">
        <v>2.8644791669999998</v>
      </c>
      <c r="Y439" t="s">
        <v>2418</v>
      </c>
      <c r="Z439" t="s">
        <v>2740</v>
      </c>
      <c r="AA439" t="s">
        <v>2741</v>
      </c>
      <c r="AB439" t="s">
        <v>1278</v>
      </c>
      <c r="AC439" t="s">
        <v>2742</v>
      </c>
      <c r="AE439">
        <v>1</v>
      </c>
      <c r="AO439" t="s">
        <v>2408</v>
      </c>
      <c r="AP439" t="s">
        <v>2401</v>
      </c>
    </row>
    <row r="440" spans="1:42">
      <c r="A440" t="s">
        <v>106</v>
      </c>
      <c r="B440" t="s">
        <v>2377</v>
      </c>
      <c r="C440" t="s">
        <v>2438</v>
      </c>
      <c r="D440" t="s">
        <v>2379</v>
      </c>
      <c r="E440" t="s">
        <v>18</v>
      </c>
      <c r="F440" t="s">
        <v>8940</v>
      </c>
      <c r="G440" t="s">
        <v>2416</v>
      </c>
      <c r="H440" t="b">
        <v>1</v>
      </c>
      <c r="I440" s="8">
        <v>45950.664039351854</v>
      </c>
      <c r="J440" t="s">
        <v>2380</v>
      </c>
      <c r="L440">
        <v>605564</v>
      </c>
      <c r="M440" t="s">
        <v>2381</v>
      </c>
      <c r="P440" t="s">
        <v>2704</v>
      </c>
      <c r="Q440" t="s">
        <v>2383</v>
      </c>
      <c r="R440">
        <v>1</v>
      </c>
      <c r="S440" t="s">
        <v>2380</v>
      </c>
      <c r="T440" t="s">
        <v>2383</v>
      </c>
      <c r="U440" s="8">
        <v>45950.646354166667</v>
      </c>
      <c r="V440" s="8">
        <v>45953.958333333336</v>
      </c>
      <c r="W440">
        <v>1</v>
      </c>
      <c r="X440">
        <v>1.7685184999999999E-2</v>
      </c>
      <c r="Y440" t="s">
        <v>8941</v>
      </c>
      <c r="Z440" t="s">
        <v>8942</v>
      </c>
      <c r="AA440" t="s">
        <v>8943</v>
      </c>
      <c r="AB440" t="s">
        <v>1278</v>
      </c>
      <c r="AC440" t="s">
        <v>8944</v>
      </c>
      <c r="AD440" t="s">
        <v>2708</v>
      </c>
      <c r="AE440">
        <v>1</v>
      </c>
      <c r="AO440" t="s">
        <v>2715</v>
      </c>
      <c r="AP440" t="s">
        <v>8931</v>
      </c>
    </row>
    <row r="441" spans="1:42">
      <c r="A441" t="s">
        <v>205</v>
      </c>
      <c r="B441" t="s">
        <v>2377</v>
      </c>
      <c r="C441" t="s">
        <v>2390</v>
      </c>
      <c r="D441" t="s">
        <v>2379</v>
      </c>
      <c r="E441" t="s">
        <v>28</v>
      </c>
      <c r="F441" t="s">
        <v>3747</v>
      </c>
      <c r="G441" t="s">
        <v>28</v>
      </c>
      <c r="H441" t="b">
        <v>1</v>
      </c>
      <c r="I441" s="8">
        <v>45953.423460648148</v>
      </c>
      <c r="J441" t="s">
        <v>2380</v>
      </c>
      <c r="L441">
        <v>602438</v>
      </c>
      <c r="M441" t="s">
        <v>2381</v>
      </c>
      <c r="N441">
        <v>15</v>
      </c>
      <c r="P441" t="s">
        <v>3763</v>
      </c>
      <c r="Q441" t="s">
        <v>2383</v>
      </c>
      <c r="R441">
        <v>1</v>
      </c>
      <c r="S441" t="s">
        <v>2380</v>
      </c>
      <c r="T441" t="s">
        <v>2383</v>
      </c>
      <c r="U441" s="8">
        <v>45950.648553240739</v>
      </c>
      <c r="V441" s="8">
        <v>45953.958333333336</v>
      </c>
      <c r="W441">
        <v>1</v>
      </c>
      <c r="X441">
        <v>2.7749074070000002</v>
      </c>
      <c r="Y441" t="s">
        <v>3748</v>
      </c>
      <c r="Z441" t="s">
        <v>8667</v>
      </c>
      <c r="AA441" t="s">
        <v>1742</v>
      </c>
      <c r="AB441" t="s">
        <v>1278</v>
      </c>
      <c r="AC441" t="s">
        <v>3066</v>
      </c>
      <c r="AD441" t="s">
        <v>2708</v>
      </c>
      <c r="AE441">
        <v>1</v>
      </c>
      <c r="AO441" t="s">
        <v>2712</v>
      </c>
      <c r="AP441" t="s">
        <v>2401</v>
      </c>
    </row>
    <row r="442" spans="1:42">
      <c r="A442" t="s">
        <v>208</v>
      </c>
      <c r="B442" t="s">
        <v>2377</v>
      </c>
      <c r="C442" t="s">
        <v>2390</v>
      </c>
      <c r="D442" t="s">
        <v>2379</v>
      </c>
      <c r="E442" t="s">
        <v>28</v>
      </c>
      <c r="F442" t="s">
        <v>3445</v>
      </c>
      <c r="G442" t="s">
        <v>28</v>
      </c>
      <c r="H442" t="b">
        <v>1</v>
      </c>
      <c r="I442" s="8">
        <v>45953.488657407404</v>
      </c>
      <c r="J442" t="s">
        <v>2380</v>
      </c>
      <c r="L442">
        <v>603909</v>
      </c>
      <c r="M442" t="s">
        <v>2381</v>
      </c>
      <c r="N442">
        <v>15</v>
      </c>
      <c r="P442" t="s">
        <v>4125</v>
      </c>
      <c r="Q442" t="s">
        <v>2383</v>
      </c>
      <c r="R442">
        <v>1</v>
      </c>
      <c r="S442" t="s">
        <v>2380</v>
      </c>
      <c r="T442" t="s">
        <v>2383</v>
      </c>
      <c r="U442" s="8">
        <v>45950.652094907404</v>
      </c>
      <c r="V442" s="8">
        <v>45953.958333333336</v>
      </c>
      <c r="W442">
        <v>1</v>
      </c>
      <c r="X442">
        <v>2.8365624999999999</v>
      </c>
      <c r="Y442" t="s">
        <v>4126</v>
      </c>
      <c r="Z442" t="s">
        <v>4820</v>
      </c>
      <c r="AA442" t="s">
        <v>2315</v>
      </c>
      <c r="AB442" t="s">
        <v>1278</v>
      </c>
      <c r="AC442" t="s">
        <v>3066</v>
      </c>
      <c r="AD442" t="s">
        <v>2708</v>
      </c>
      <c r="AE442">
        <v>1</v>
      </c>
      <c r="AO442" t="s">
        <v>2957</v>
      </c>
      <c r="AP442" t="s">
        <v>2401</v>
      </c>
    </row>
    <row r="443" spans="1:42">
      <c r="A443" t="s">
        <v>107</v>
      </c>
      <c r="B443" t="s">
        <v>2377</v>
      </c>
      <c r="C443" t="s">
        <v>2438</v>
      </c>
      <c r="D443" t="s">
        <v>2379</v>
      </c>
      <c r="E443" t="s">
        <v>18</v>
      </c>
      <c r="F443" t="s">
        <v>8940</v>
      </c>
      <c r="G443" t="s">
        <v>2416</v>
      </c>
      <c r="H443" t="b">
        <v>1</v>
      </c>
      <c r="I443" s="8">
        <v>45950.670636574076</v>
      </c>
      <c r="J443" t="s">
        <v>2380</v>
      </c>
      <c r="L443">
        <v>605564</v>
      </c>
      <c r="M443" t="s">
        <v>2381</v>
      </c>
      <c r="P443" t="s">
        <v>2704</v>
      </c>
      <c r="Q443" t="s">
        <v>2383</v>
      </c>
      <c r="R443">
        <v>1</v>
      </c>
      <c r="S443" t="s">
        <v>2380</v>
      </c>
      <c r="T443" t="s">
        <v>2383</v>
      </c>
      <c r="U443" s="8">
        <v>45950.652372685188</v>
      </c>
      <c r="V443" s="8">
        <v>45953.958333333336</v>
      </c>
      <c r="W443">
        <v>1</v>
      </c>
      <c r="X443">
        <v>1.8263888999999998E-2</v>
      </c>
      <c r="Y443" t="s">
        <v>8941</v>
      </c>
      <c r="Z443" t="s">
        <v>8945</v>
      </c>
      <c r="AA443" t="s">
        <v>8943</v>
      </c>
      <c r="AB443" t="s">
        <v>1278</v>
      </c>
      <c r="AC443" t="s">
        <v>8946</v>
      </c>
      <c r="AD443" t="s">
        <v>2708</v>
      </c>
      <c r="AE443">
        <v>1</v>
      </c>
      <c r="AO443" t="s">
        <v>2715</v>
      </c>
      <c r="AP443" t="s">
        <v>8931</v>
      </c>
    </row>
    <row r="444" spans="1:42">
      <c r="A444" t="s">
        <v>8421</v>
      </c>
      <c r="B444" t="s">
        <v>2389</v>
      </c>
      <c r="C444" t="s">
        <v>2390</v>
      </c>
      <c r="D444" t="s">
        <v>2379</v>
      </c>
      <c r="E444" t="s">
        <v>2452</v>
      </c>
      <c r="F444" t="s">
        <v>2417</v>
      </c>
      <c r="G444" t="s">
        <v>2452</v>
      </c>
      <c r="H444" t="b">
        <v>1</v>
      </c>
      <c r="I444" s="8">
        <v>45953.673437500001</v>
      </c>
      <c r="J444" t="s">
        <v>2380</v>
      </c>
      <c r="K444">
        <v>1204336</v>
      </c>
      <c r="L444">
        <v>601038</v>
      </c>
      <c r="M444" t="s">
        <v>2381</v>
      </c>
      <c r="P444" t="s">
        <v>8420</v>
      </c>
      <c r="Q444" t="s">
        <v>2383</v>
      </c>
      <c r="R444">
        <v>1</v>
      </c>
      <c r="S444" t="s">
        <v>2380</v>
      </c>
      <c r="T444" t="s">
        <v>2383</v>
      </c>
      <c r="U444" s="8">
        <v>45950.679837962962</v>
      </c>
      <c r="V444" s="8">
        <v>45953.958333333336</v>
      </c>
      <c r="W444">
        <v>1</v>
      </c>
      <c r="X444">
        <v>2.9935995370000001</v>
      </c>
      <c r="Y444" t="s">
        <v>2418</v>
      </c>
      <c r="Z444" t="s">
        <v>8422</v>
      </c>
      <c r="AA444" t="s">
        <v>8423</v>
      </c>
      <c r="AB444" t="s">
        <v>1278</v>
      </c>
      <c r="AC444" t="s">
        <v>8424</v>
      </c>
      <c r="AD444" t="s">
        <v>2708</v>
      </c>
      <c r="AE444">
        <v>1</v>
      </c>
      <c r="AO444" t="s">
        <v>4121</v>
      </c>
      <c r="AP444" t="s">
        <v>2401</v>
      </c>
    </row>
    <row r="445" spans="1:42">
      <c r="A445" t="s">
        <v>1039</v>
      </c>
      <c r="B445" t="s">
        <v>2377</v>
      </c>
      <c r="C445" t="s">
        <v>2390</v>
      </c>
      <c r="D445" t="s">
        <v>2379</v>
      </c>
      <c r="E445" t="s">
        <v>24</v>
      </c>
      <c r="F445" t="s">
        <v>3445</v>
      </c>
      <c r="G445" t="s">
        <v>24</v>
      </c>
      <c r="H445" t="b">
        <v>1</v>
      </c>
      <c r="I445" s="8">
        <v>45953.602847222224</v>
      </c>
      <c r="J445" t="s">
        <v>2380</v>
      </c>
      <c r="L445">
        <v>603745</v>
      </c>
      <c r="M445" t="s">
        <v>2381</v>
      </c>
      <c r="P445" t="s">
        <v>4125</v>
      </c>
      <c r="Q445" t="s">
        <v>2383</v>
      </c>
      <c r="R445">
        <v>1</v>
      </c>
      <c r="S445" t="s">
        <v>2380</v>
      </c>
      <c r="T445" t="s">
        <v>2383</v>
      </c>
      <c r="U445" s="8">
        <v>45950.697592592594</v>
      </c>
      <c r="V445" s="8">
        <v>45953.958333333336</v>
      </c>
      <c r="W445">
        <v>1</v>
      </c>
      <c r="X445">
        <v>2.9052546299999999</v>
      </c>
      <c r="Y445" t="s">
        <v>4126</v>
      </c>
      <c r="Z445" t="s">
        <v>4628</v>
      </c>
      <c r="AA445" t="s">
        <v>4629</v>
      </c>
      <c r="AB445" t="s">
        <v>1278</v>
      </c>
      <c r="AC445" t="s">
        <v>4630</v>
      </c>
      <c r="AD445" t="s">
        <v>2708</v>
      </c>
      <c r="AE445">
        <v>1</v>
      </c>
      <c r="AO445" t="s">
        <v>2957</v>
      </c>
      <c r="AP445" t="s">
        <v>2401</v>
      </c>
    </row>
    <row r="446" spans="1:42">
      <c r="A446" t="s">
        <v>111</v>
      </c>
      <c r="B446" t="s">
        <v>2377</v>
      </c>
      <c r="C446" t="s">
        <v>2438</v>
      </c>
      <c r="D446" t="s">
        <v>2379</v>
      </c>
      <c r="E446" t="s">
        <v>18</v>
      </c>
      <c r="F446" t="s">
        <v>8940</v>
      </c>
      <c r="G446" t="s">
        <v>2416</v>
      </c>
      <c r="H446" t="b">
        <v>1</v>
      </c>
      <c r="I446" s="8">
        <v>45951.468518518515</v>
      </c>
      <c r="J446" t="s">
        <v>2380</v>
      </c>
      <c r="L446">
        <v>605564</v>
      </c>
      <c r="M446" t="s">
        <v>2381</v>
      </c>
      <c r="P446" t="s">
        <v>2704</v>
      </c>
      <c r="Q446" t="s">
        <v>2383</v>
      </c>
      <c r="R446">
        <v>1</v>
      </c>
      <c r="S446" t="s">
        <v>2380</v>
      </c>
      <c r="T446" t="s">
        <v>2383</v>
      </c>
      <c r="U446" s="8">
        <v>45950.725729166668</v>
      </c>
      <c r="V446" s="8">
        <v>45953.958333333336</v>
      </c>
      <c r="W446">
        <v>1</v>
      </c>
      <c r="X446">
        <v>0.74278935199999996</v>
      </c>
      <c r="Y446" t="s">
        <v>8941</v>
      </c>
      <c r="Z446" t="s">
        <v>8947</v>
      </c>
      <c r="AA446" t="s">
        <v>8943</v>
      </c>
      <c r="AB446" t="s">
        <v>1278</v>
      </c>
      <c r="AC446" t="s">
        <v>8948</v>
      </c>
      <c r="AD446" t="s">
        <v>2708</v>
      </c>
      <c r="AE446">
        <v>1</v>
      </c>
      <c r="AO446" t="s">
        <v>2715</v>
      </c>
      <c r="AP446" t="s">
        <v>8931</v>
      </c>
    </row>
    <row r="447" spans="1:42">
      <c r="A447" t="s">
        <v>3102</v>
      </c>
      <c r="B447" t="s">
        <v>2389</v>
      </c>
      <c r="C447" t="s">
        <v>2390</v>
      </c>
      <c r="D447" t="s">
        <v>2379</v>
      </c>
      <c r="E447" t="s">
        <v>2416</v>
      </c>
      <c r="F447" t="s">
        <v>2417</v>
      </c>
      <c r="G447" t="s">
        <v>2416</v>
      </c>
      <c r="H447" t="b">
        <v>1</v>
      </c>
      <c r="I447" s="8">
        <v>45953.691851851851</v>
      </c>
      <c r="J447" t="s">
        <v>2380</v>
      </c>
      <c r="K447">
        <v>1204343</v>
      </c>
      <c r="L447">
        <v>601397</v>
      </c>
      <c r="M447" t="s">
        <v>2381</v>
      </c>
      <c r="P447" t="s">
        <v>3101</v>
      </c>
      <c r="Q447" t="s">
        <v>2383</v>
      </c>
      <c r="R447">
        <v>1</v>
      </c>
      <c r="S447" t="s">
        <v>2380</v>
      </c>
      <c r="T447" t="s">
        <v>2383</v>
      </c>
      <c r="U447" s="8">
        <v>45951.374444444446</v>
      </c>
      <c r="V447" s="8">
        <v>45954.958333333336</v>
      </c>
      <c r="W447">
        <v>1</v>
      </c>
      <c r="X447">
        <v>2.3174074070000001</v>
      </c>
      <c r="Y447" t="s">
        <v>2418</v>
      </c>
      <c r="Z447" t="s">
        <v>3103</v>
      </c>
      <c r="AA447" t="s">
        <v>1418</v>
      </c>
      <c r="AB447" t="s">
        <v>1278</v>
      </c>
      <c r="AC447" t="s">
        <v>3104</v>
      </c>
      <c r="AD447" t="s">
        <v>2708</v>
      </c>
      <c r="AE447">
        <v>1</v>
      </c>
      <c r="AO447" t="s">
        <v>2540</v>
      </c>
      <c r="AP447" t="s">
        <v>2401</v>
      </c>
    </row>
    <row r="448" spans="1:42">
      <c r="A448" t="s">
        <v>1077</v>
      </c>
      <c r="B448" t="s">
        <v>2377</v>
      </c>
      <c r="C448" t="s">
        <v>2438</v>
      </c>
      <c r="D448" t="s">
        <v>2379</v>
      </c>
      <c r="E448" t="s">
        <v>25</v>
      </c>
      <c r="F448" t="s">
        <v>2457</v>
      </c>
      <c r="G448" t="s">
        <v>25</v>
      </c>
      <c r="H448" t="b">
        <v>1</v>
      </c>
      <c r="I448" s="8">
        <v>45951.483391203707</v>
      </c>
      <c r="J448" t="s">
        <v>2380</v>
      </c>
      <c r="L448">
        <v>602915</v>
      </c>
      <c r="M448" t="s">
        <v>2381</v>
      </c>
      <c r="N448">
        <v>8</v>
      </c>
      <c r="P448" t="s">
        <v>2704</v>
      </c>
      <c r="Q448" t="s">
        <v>2383</v>
      </c>
      <c r="R448">
        <v>1</v>
      </c>
      <c r="S448" t="s">
        <v>2380</v>
      </c>
      <c r="T448" t="s">
        <v>2383</v>
      </c>
      <c r="U448" s="8">
        <v>45951.396944444445</v>
      </c>
      <c r="V448" s="8">
        <v>45954.958333333336</v>
      </c>
      <c r="W448">
        <v>1</v>
      </c>
      <c r="X448">
        <v>8.6446758999999998E-2</v>
      </c>
      <c r="Y448" t="s">
        <v>2403</v>
      </c>
      <c r="Z448" t="s">
        <v>3094</v>
      </c>
      <c r="AA448" t="s">
        <v>3095</v>
      </c>
      <c r="AB448" t="s">
        <v>1278</v>
      </c>
      <c r="AC448" t="s">
        <v>2387</v>
      </c>
      <c r="AD448" t="s">
        <v>2708</v>
      </c>
      <c r="AE448">
        <v>1</v>
      </c>
      <c r="AO448" t="s">
        <v>2408</v>
      </c>
      <c r="AP448" t="s">
        <v>2401</v>
      </c>
    </row>
    <row r="449" spans="1:42">
      <c r="A449" t="s">
        <v>1029</v>
      </c>
      <c r="B449" t="s">
        <v>2377</v>
      </c>
      <c r="C449" t="s">
        <v>2415</v>
      </c>
      <c r="D449" t="s">
        <v>2379</v>
      </c>
      <c r="E449" t="s">
        <v>33</v>
      </c>
      <c r="F449" t="s">
        <v>2588</v>
      </c>
      <c r="G449" t="s">
        <v>33</v>
      </c>
      <c r="H449" t="b">
        <v>1</v>
      </c>
      <c r="I449" s="8">
        <v>45953.386273148149</v>
      </c>
      <c r="J449" t="s">
        <v>2380</v>
      </c>
      <c r="L449">
        <v>603888</v>
      </c>
      <c r="M449" t="s">
        <v>2381</v>
      </c>
      <c r="P449" t="s">
        <v>4128</v>
      </c>
      <c r="Q449" t="s">
        <v>2383</v>
      </c>
      <c r="R449">
        <v>1</v>
      </c>
      <c r="S449" t="s">
        <v>2380</v>
      </c>
      <c r="T449" t="s">
        <v>2383</v>
      </c>
      <c r="U449" s="8">
        <v>45951.403298611112</v>
      </c>
      <c r="V449" s="8">
        <v>45954.958333333336</v>
      </c>
      <c r="W449">
        <v>1</v>
      </c>
      <c r="X449">
        <v>1.982974537</v>
      </c>
      <c r="Y449" t="s">
        <v>2579</v>
      </c>
      <c r="Z449" t="s">
        <v>8801</v>
      </c>
      <c r="AA449" t="s">
        <v>1573</v>
      </c>
      <c r="AB449" t="s">
        <v>1278</v>
      </c>
      <c r="AC449" t="s">
        <v>2978</v>
      </c>
      <c r="AD449" t="s">
        <v>2708</v>
      </c>
      <c r="AE449">
        <v>1</v>
      </c>
      <c r="AH449" t="s">
        <v>24</v>
      </c>
      <c r="AI449" s="8">
        <v>45952.678726851853</v>
      </c>
      <c r="AK449" t="s">
        <v>2719</v>
      </c>
      <c r="AL449" t="s">
        <v>2719</v>
      </c>
      <c r="AO449" t="s">
        <v>3644</v>
      </c>
      <c r="AP449" t="s">
        <v>2401</v>
      </c>
    </row>
    <row r="450" spans="1:42">
      <c r="A450" t="s">
        <v>491</v>
      </c>
      <c r="B450" t="s">
        <v>2377</v>
      </c>
      <c r="C450" t="s">
        <v>2390</v>
      </c>
      <c r="D450" t="s">
        <v>2379</v>
      </c>
      <c r="E450" t="s">
        <v>33</v>
      </c>
      <c r="F450" t="s">
        <v>3500</v>
      </c>
      <c r="G450" t="s">
        <v>33</v>
      </c>
      <c r="H450" t="b">
        <v>1</v>
      </c>
      <c r="I450" s="8">
        <v>45953.666168981479</v>
      </c>
      <c r="J450" t="s">
        <v>2380</v>
      </c>
      <c r="L450">
        <v>609865</v>
      </c>
      <c r="M450" t="s">
        <v>2381</v>
      </c>
      <c r="P450" t="s">
        <v>4661</v>
      </c>
      <c r="Q450" t="s">
        <v>2383</v>
      </c>
      <c r="R450">
        <v>1</v>
      </c>
      <c r="S450" t="s">
        <v>2380</v>
      </c>
      <c r="T450" t="s">
        <v>2383</v>
      </c>
      <c r="U450" s="8">
        <v>45951.406122685185</v>
      </c>
      <c r="V450" s="8">
        <v>45954.958333333336</v>
      </c>
      <c r="W450">
        <v>1</v>
      </c>
      <c r="X450">
        <v>2.2600462960000001</v>
      </c>
      <c r="Y450" t="s">
        <v>3501</v>
      </c>
      <c r="Z450" t="s">
        <v>8886</v>
      </c>
      <c r="AA450" t="s">
        <v>7487</v>
      </c>
      <c r="AB450" t="s">
        <v>1278</v>
      </c>
      <c r="AC450" t="s">
        <v>8887</v>
      </c>
      <c r="AD450" t="s">
        <v>2708</v>
      </c>
      <c r="AE450">
        <v>1</v>
      </c>
      <c r="AF450">
        <v>2</v>
      </c>
      <c r="AH450" t="s">
        <v>2723</v>
      </c>
      <c r="AI450" s="8">
        <v>45953.664930555555</v>
      </c>
      <c r="AK450" t="s">
        <v>2719</v>
      </c>
      <c r="AL450" t="s">
        <v>2724</v>
      </c>
      <c r="AO450" t="s">
        <v>2957</v>
      </c>
      <c r="AP450" t="s">
        <v>2401</v>
      </c>
    </row>
    <row r="451" spans="1:42">
      <c r="A451" t="s">
        <v>1175</v>
      </c>
      <c r="B451" t="s">
        <v>2377</v>
      </c>
      <c r="C451" t="s">
        <v>2378</v>
      </c>
      <c r="D451" t="s">
        <v>2379</v>
      </c>
      <c r="E451" t="s">
        <v>24</v>
      </c>
      <c r="F451" t="s">
        <v>2578</v>
      </c>
      <c r="G451" t="s">
        <v>24</v>
      </c>
      <c r="H451" t="b">
        <v>1</v>
      </c>
      <c r="I451" s="8">
        <v>45954.677048611113</v>
      </c>
      <c r="J451" t="s">
        <v>2380</v>
      </c>
      <c r="L451">
        <v>603076</v>
      </c>
      <c r="M451" t="s">
        <v>2381</v>
      </c>
      <c r="P451" t="s">
        <v>4409</v>
      </c>
      <c r="Q451" t="s">
        <v>2383</v>
      </c>
      <c r="R451">
        <v>1</v>
      </c>
      <c r="S451" t="s">
        <v>2380</v>
      </c>
      <c r="T451" t="s">
        <v>2383</v>
      </c>
      <c r="U451" s="8">
        <v>45951.412256944444</v>
      </c>
      <c r="V451" s="8">
        <v>45954.958333333336</v>
      </c>
      <c r="W451">
        <v>1</v>
      </c>
      <c r="X451">
        <v>3.2647916669999999</v>
      </c>
      <c r="Y451" t="s">
        <v>2579</v>
      </c>
      <c r="Z451" t="s">
        <v>4410</v>
      </c>
      <c r="AA451" t="s">
        <v>4411</v>
      </c>
      <c r="AB451" t="s">
        <v>1278</v>
      </c>
      <c r="AC451" t="s">
        <v>4412</v>
      </c>
      <c r="AD451" t="s">
        <v>2708</v>
      </c>
      <c r="AE451">
        <v>1</v>
      </c>
      <c r="AO451" t="s">
        <v>2388</v>
      </c>
      <c r="AP451" t="s">
        <v>2401</v>
      </c>
    </row>
    <row r="452" spans="1:42">
      <c r="A452" t="s">
        <v>8585</v>
      </c>
      <c r="B452" t="s">
        <v>2389</v>
      </c>
      <c r="C452" t="s">
        <v>2390</v>
      </c>
      <c r="D452" t="s">
        <v>2379</v>
      </c>
      <c r="E452" t="s">
        <v>2416</v>
      </c>
      <c r="F452" t="s">
        <v>8583</v>
      </c>
      <c r="G452" t="s">
        <v>2416</v>
      </c>
      <c r="H452" t="b">
        <v>1</v>
      </c>
      <c r="I452" s="8">
        <v>45954.384733796294</v>
      </c>
      <c r="J452" t="s">
        <v>2380</v>
      </c>
      <c r="K452">
        <v>1204356</v>
      </c>
      <c r="L452">
        <v>603592</v>
      </c>
      <c r="M452" t="s">
        <v>2381</v>
      </c>
      <c r="P452" t="s">
        <v>8584</v>
      </c>
      <c r="Q452" t="s">
        <v>2383</v>
      </c>
      <c r="R452">
        <v>1</v>
      </c>
      <c r="S452" t="s">
        <v>2380</v>
      </c>
      <c r="T452" t="s">
        <v>2383</v>
      </c>
      <c r="U452" s="8">
        <v>45951.428495370368</v>
      </c>
      <c r="V452" s="8">
        <v>45954.958333333336</v>
      </c>
      <c r="W452">
        <v>1</v>
      </c>
      <c r="X452">
        <v>2.9562384260000001</v>
      </c>
      <c r="Y452" t="s">
        <v>1588</v>
      </c>
      <c r="Z452" t="s">
        <v>8586</v>
      </c>
      <c r="AA452" t="s">
        <v>8587</v>
      </c>
      <c r="AB452" t="s">
        <v>1278</v>
      </c>
      <c r="AC452" t="s">
        <v>8588</v>
      </c>
      <c r="AD452" t="s">
        <v>2708</v>
      </c>
      <c r="AE452">
        <v>1</v>
      </c>
      <c r="AO452" t="s">
        <v>3608</v>
      </c>
      <c r="AP452" t="s">
        <v>2401</v>
      </c>
    </row>
    <row r="453" spans="1:42">
      <c r="A453" t="s">
        <v>1083</v>
      </c>
      <c r="B453" t="s">
        <v>2377</v>
      </c>
      <c r="C453" t="s">
        <v>2378</v>
      </c>
      <c r="D453" t="s">
        <v>2379</v>
      </c>
      <c r="E453" t="s">
        <v>24</v>
      </c>
      <c r="F453" t="s">
        <v>3891</v>
      </c>
      <c r="G453" t="s">
        <v>24</v>
      </c>
      <c r="H453" t="b">
        <v>1</v>
      </c>
      <c r="I453" s="8">
        <v>45954.472870370373</v>
      </c>
      <c r="J453" t="s">
        <v>2380</v>
      </c>
      <c r="L453">
        <v>603640</v>
      </c>
      <c r="M453" t="s">
        <v>2381</v>
      </c>
      <c r="P453" t="s">
        <v>2704</v>
      </c>
      <c r="Q453" t="s">
        <v>2383</v>
      </c>
      <c r="R453">
        <v>1</v>
      </c>
      <c r="S453" t="s">
        <v>2380</v>
      </c>
      <c r="T453" t="s">
        <v>2383</v>
      </c>
      <c r="U453" s="8">
        <v>45951.440023148149</v>
      </c>
      <c r="V453" s="8">
        <v>45954.958333333336</v>
      </c>
      <c r="W453">
        <v>1</v>
      </c>
      <c r="X453">
        <v>3.032847222</v>
      </c>
      <c r="Y453" t="s">
        <v>3892</v>
      </c>
      <c r="Z453" t="s">
        <v>8675</v>
      </c>
      <c r="AA453" t="s">
        <v>4926</v>
      </c>
      <c r="AB453" t="s">
        <v>1278</v>
      </c>
      <c r="AC453" t="s">
        <v>2746</v>
      </c>
      <c r="AD453" t="s">
        <v>2708</v>
      </c>
      <c r="AE453">
        <v>1</v>
      </c>
      <c r="AO453" t="s">
        <v>2715</v>
      </c>
      <c r="AP453" t="s">
        <v>2401</v>
      </c>
    </row>
    <row r="454" spans="1:42">
      <c r="A454" t="s">
        <v>8619</v>
      </c>
      <c r="B454" t="s">
        <v>2389</v>
      </c>
      <c r="C454" t="s">
        <v>2390</v>
      </c>
      <c r="D454" t="s">
        <v>2379</v>
      </c>
      <c r="E454" t="s">
        <v>33</v>
      </c>
      <c r="F454" t="s">
        <v>2578</v>
      </c>
      <c r="G454" t="s">
        <v>33</v>
      </c>
      <c r="H454" t="b">
        <v>1</v>
      </c>
      <c r="I454" s="8">
        <v>45953.496631944443</v>
      </c>
      <c r="J454" t="s">
        <v>2380</v>
      </c>
      <c r="K454">
        <v>1204202</v>
      </c>
      <c r="L454">
        <v>602166</v>
      </c>
      <c r="M454" t="s">
        <v>2381</v>
      </c>
      <c r="P454" t="s">
        <v>3954</v>
      </c>
      <c r="Q454" t="s">
        <v>2383</v>
      </c>
      <c r="R454">
        <v>1</v>
      </c>
      <c r="S454" t="s">
        <v>2380</v>
      </c>
      <c r="T454" t="s">
        <v>2383</v>
      </c>
      <c r="U454" s="8">
        <v>45951.447199074071</v>
      </c>
      <c r="V454" s="8">
        <v>45954.958333333336</v>
      </c>
      <c r="W454">
        <v>1</v>
      </c>
      <c r="X454">
        <v>2.04943287</v>
      </c>
      <c r="Y454" t="s">
        <v>2579</v>
      </c>
      <c r="Z454" t="s">
        <v>8620</v>
      </c>
      <c r="AA454" t="s">
        <v>3956</v>
      </c>
      <c r="AB454" t="s">
        <v>1278</v>
      </c>
      <c r="AC454" t="s">
        <v>8621</v>
      </c>
      <c r="AD454" t="s">
        <v>2708</v>
      </c>
      <c r="AE454">
        <v>1</v>
      </c>
      <c r="AO454" t="s">
        <v>2720</v>
      </c>
      <c r="AP454" t="s">
        <v>2401</v>
      </c>
    </row>
    <row r="455" spans="1:42">
      <c r="A455" t="s">
        <v>8622</v>
      </c>
      <c r="B455" t="s">
        <v>2389</v>
      </c>
      <c r="C455" t="s">
        <v>2415</v>
      </c>
      <c r="D455" t="s">
        <v>2379</v>
      </c>
      <c r="E455" t="s">
        <v>33</v>
      </c>
      <c r="F455" t="s">
        <v>2578</v>
      </c>
      <c r="G455" t="s">
        <v>33</v>
      </c>
      <c r="H455" t="b">
        <v>1</v>
      </c>
      <c r="I455" s="8">
        <v>45952.490347222221</v>
      </c>
      <c r="J455" t="s">
        <v>2380</v>
      </c>
      <c r="K455">
        <v>1203955</v>
      </c>
      <c r="L455">
        <v>602166</v>
      </c>
      <c r="M455" t="s">
        <v>2381</v>
      </c>
      <c r="P455" t="s">
        <v>3954</v>
      </c>
      <c r="Q455" t="s">
        <v>2383</v>
      </c>
      <c r="R455">
        <v>1</v>
      </c>
      <c r="S455" t="s">
        <v>2380</v>
      </c>
      <c r="T455" t="s">
        <v>2383</v>
      </c>
      <c r="U455" s="8">
        <v>45951.448344907411</v>
      </c>
      <c r="V455" s="8">
        <v>45954.958333333336</v>
      </c>
      <c r="W455">
        <v>1</v>
      </c>
      <c r="X455">
        <v>1.042002315</v>
      </c>
      <c r="Y455" t="s">
        <v>2579</v>
      </c>
      <c r="Z455" t="s">
        <v>8623</v>
      </c>
      <c r="AA455" t="s">
        <v>3956</v>
      </c>
      <c r="AB455" t="s">
        <v>1278</v>
      </c>
      <c r="AC455" t="s">
        <v>8624</v>
      </c>
      <c r="AD455" t="s">
        <v>2708</v>
      </c>
      <c r="AE455">
        <v>1</v>
      </c>
      <c r="AO455" t="s">
        <v>2720</v>
      </c>
      <c r="AP455" t="s">
        <v>2401</v>
      </c>
    </row>
    <row r="456" spans="1:42">
      <c r="A456" t="s">
        <v>113</v>
      </c>
      <c r="B456" t="s">
        <v>2377</v>
      </c>
      <c r="C456" t="s">
        <v>2390</v>
      </c>
      <c r="D456" t="s">
        <v>2379</v>
      </c>
      <c r="E456" t="s">
        <v>33</v>
      </c>
      <c r="F456" t="s">
        <v>2402</v>
      </c>
      <c r="G456" t="s">
        <v>33</v>
      </c>
      <c r="H456" t="b">
        <v>1</v>
      </c>
      <c r="I456" s="8">
        <v>45953.666180555556</v>
      </c>
      <c r="J456" t="s">
        <v>2380</v>
      </c>
      <c r="L456">
        <v>605085</v>
      </c>
      <c r="M456" t="s">
        <v>2381</v>
      </c>
      <c r="P456" t="s">
        <v>2704</v>
      </c>
      <c r="Q456" t="s">
        <v>2383</v>
      </c>
      <c r="R456">
        <v>1</v>
      </c>
      <c r="S456" t="s">
        <v>2380</v>
      </c>
      <c r="T456" t="s">
        <v>2383</v>
      </c>
      <c r="U456" s="8">
        <v>45951.448692129627</v>
      </c>
      <c r="V456" s="8">
        <v>45954.958333333336</v>
      </c>
      <c r="W456">
        <v>1</v>
      </c>
      <c r="X456">
        <v>2.2174884260000001</v>
      </c>
      <c r="Y456" t="s">
        <v>2403</v>
      </c>
      <c r="Z456" t="s">
        <v>8859</v>
      </c>
      <c r="AA456" t="s">
        <v>2406</v>
      </c>
      <c r="AB456" t="s">
        <v>1278</v>
      </c>
      <c r="AC456" t="s">
        <v>8860</v>
      </c>
      <c r="AD456" t="s">
        <v>2708</v>
      </c>
      <c r="AE456">
        <v>1</v>
      </c>
      <c r="AH456" t="s">
        <v>2723</v>
      </c>
      <c r="AI456" s="8">
        <v>45953.663611111115</v>
      </c>
      <c r="AK456" t="s">
        <v>2719</v>
      </c>
      <c r="AL456" t="s">
        <v>2724</v>
      </c>
      <c r="AO456" t="s">
        <v>2408</v>
      </c>
      <c r="AP456" t="s">
        <v>2401</v>
      </c>
    </row>
    <row r="457" spans="1:42">
      <c r="A457" t="s">
        <v>3566</v>
      </c>
      <c r="B457" t="s">
        <v>2389</v>
      </c>
      <c r="C457" t="s">
        <v>2378</v>
      </c>
      <c r="D457" t="s">
        <v>2379</v>
      </c>
      <c r="E457" t="s">
        <v>24</v>
      </c>
      <c r="F457" t="s">
        <v>3193</v>
      </c>
      <c r="G457" t="s">
        <v>24</v>
      </c>
      <c r="H457" t="b">
        <v>1</v>
      </c>
      <c r="I457" s="8">
        <v>45954.580474537041</v>
      </c>
      <c r="J457" t="s">
        <v>2380</v>
      </c>
      <c r="L457">
        <v>608018</v>
      </c>
      <c r="M457" t="s">
        <v>2381</v>
      </c>
      <c r="P457" t="s">
        <v>3565</v>
      </c>
      <c r="Q457" t="s">
        <v>2383</v>
      </c>
      <c r="R457">
        <v>1</v>
      </c>
      <c r="S457" t="s">
        <v>2380</v>
      </c>
      <c r="T457" t="s">
        <v>2383</v>
      </c>
      <c r="U457" s="8">
        <v>45951.448935185188</v>
      </c>
      <c r="V457" s="8">
        <v>45954.958333333336</v>
      </c>
      <c r="W457">
        <v>1</v>
      </c>
      <c r="X457">
        <v>3.1315393519999999</v>
      </c>
      <c r="Y457" t="s">
        <v>3194</v>
      </c>
      <c r="Z457" t="s">
        <v>3567</v>
      </c>
      <c r="AA457" t="s">
        <v>3568</v>
      </c>
      <c r="AB457" t="s">
        <v>1278</v>
      </c>
      <c r="AC457" t="s">
        <v>3569</v>
      </c>
      <c r="AE457">
        <v>1</v>
      </c>
      <c r="AO457" t="s">
        <v>2957</v>
      </c>
      <c r="AP457" t="s">
        <v>2401</v>
      </c>
    </row>
    <row r="458" spans="1:42">
      <c r="A458" t="s">
        <v>4804</v>
      </c>
      <c r="B458" t="s">
        <v>2389</v>
      </c>
      <c r="C458" t="s">
        <v>2390</v>
      </c>
      <c r="D458" t="s">
        <v>2379</v>
      </c>
      <c r="E458" t="s">
        <v>2416</v>
      </c>
      <c r="F458" t="s">
        <v>3193</v>
      </c>
      <c r="G458" t="s">
        <v>2416</v>
      </c>
      <c r="H458" t="b">
        <v>1</v>
      </c>
      <c r="I458" s="8">
        <v>45953.733460648145</v>
      </c>
      <c r="J458" t="s">
        <v>2380</v>
      </c>
      <c r="K458">
        <v>1204348</v>
      </c>
      <c r="L458">
        <v>605068</v>
      </c>
      <c r="M458" t="s">
        <v>2381</v>
      </c>
      <c r="P458" t="s">
        <v>3565</v>
      </c>
      <c r="Q458" t="s">
        <v>2383</v>
      </c>
      <c r="R458">
        <v>1</v>
      </c>
      <c r="S458" t="s">
        <v>2380</v>
      </c>
      <c r="T458" t="s">
        <v>2383</v>
      </c>
      <c r="U458" s="8">
        <v>45951.453703703701</v>
      </c>
      <c r="V458" s="8">
        <v>45954.958333333336</v>
      </c>
      <c r="W458">
        <v>1</v>
      </c>
      <c r="X458">
        <v>2.2797569439999998</v>
      </c>
      <c r="Y458" t="s">
        <v>3194</v>
      </c>
      <c r="Z458" t="s">
        <v>4805</v>
      </c>
      <c r="AA458" t="s">
        <v>4806</v>
      </c>
      <c r="AB458" t="s">
        <v>1278</v>
      </c>
      <c r="AC458" t="s">
        <v>4807</v>
      </c>
      <c r="AD458" t="s">
        <v>2708</v>
      </c>
      <c r="AE458">
        <v>1</v>
      </c>
      <c r="AO458" t="s">
        <v>2957</v>
      </c>
      <c r="AP458" t="s">
        <v>2401</v>
      </c>
    </row>
    <row r="459" spans="1:42">
      <c r="A459" t="s">
        <v>4808</v>
      </c>
      <c r="B459" t="s">
        <v>2389</v>
      </c>
      <c r="C459" t="s">
        <v>2390</v>
      </c>
      <c r="D459" t="s">
        <v>2379</v>
      </c>
      <c r="E459" t="s">
        <v>2416</v>
      </c>
      <c r="F459" t="s">
        <v>3193</v>
      </c>
      <c r="G459" t="s">
        <v>2416</v>
      </c>
      <c r="H459" t="b">
        <v>1</v>
      </c>
      <c r="I459" s="8">
        <v>45953.725856481484</v>
      </c>
      <c r="J459" t="s">
        <v>2380</v>
      </c>
      <c r="K459">
        <v>1204347</v>
      </c>
      <c r="L459">
        <v>605068</v>
      </c>
      <c r="M459" t="s">
        <v>2381</v>
      </c>
      <c r="P459" t="s">
        <v>3565</v>
      </c>
      <c r="Q459" t="s">
        <v>2383</v>
      </c>
      <c r="R459">
        <v>1</v>
      </c>
      <c r="S459" t="s">
        <v>2380</v>
      </c>
      <c r="T459" t="s">
        <v>2383</v>
      </c>
      <c r="U459" s="8">
        <v>45951.454305555555</v>
      </c>
      <c r="V459" s="8">
        <v>45954.958333333336</v>
      </c>
      <c r="W459">
        <v>1</v>
      </c>
      <c r="X459">
        <v>2.2715509260000002</v>
      </c>
      <c r="Y459" t="s">
        <v>3194</v>
      </c>
      <c r="Z459" t="s">
        <v>4809</v>
      </c>
      <c r="AA459" t="s">
        <v>4806</v>
      </c>
      <c r="AB459" t="s">
        <v>1278</v>
      </c>
      <c r="AC459" t="s">
        <v>4810</v>
      </c>
      <c r="AD459" t="s">
        <v>2708</v>
      </c>
      <c r="AE459">
        <v>1</v>
      </c>
      <c r="AO459" t="s">
        <v>2957</v>
      </c>
      <c r="AP459" t="s">
        <v>2401</v>
      </c>
    </row>
    <row r="460" spans="1:42">
      <c r="A460" t="s">
        <v>4792</v>
      </c>
      <c r="B460" t="s">
        <v>2389</v>
      </c>
      <c r="C460" t="s">
        <v>2390</v>
      </c>
      <c r="D460" t="s">
        <v>2379</v>
      </c>
      <c r="E460" t="s">
        <v>2452</v>
      </c>
      <c r="F460" t="s">
        <v>3500</v>
      </c>
      <c r="G460" t="s">
        <v>2452</v>
      </c>
      <c r="H460" t="b">
        <v>1</v>
      </c>
      <c r="I460" s="8">
        <v>45954.36010416667</v>
      </c>
      <c r="J460" t="s">
        <v>2380</v>
      </c>
      <c r="K460">
        <v>1204352</v>
      </c>
      <c r="L460">
        <v>609752</v>
      </c>
      <c r="M460" t="s">
        <v>2381</v>
      </c>
      <c r="P460" t="s">
        <v>4661</v>
      </c>
      <c r="Q460" t="s">
        <v>2383</v>
      </c>
      <c r="R460">
        <v>1</v>
      </c>
      <c r="S460" t="s">
        <v>2380</v>
      </c>
      <c r="T460" t="s">
        <v>2383</v>
      </c>
      <c r="U460" s="8">
        <v>45951.460312499999</v>
      </c>
      <c r="V460" s="8">
        <v>45954.958333333336</v>
      </c>
      <c r="W460">
        <v>1</v>
      </c>
      <c r="X460">
        <v>2.8997916670000001</v>
      </c>
      <c r="Y460" t="s">
        <v>3501</v>
      </c>
      <c r="Z460" t="s">
        <v>4793</v>
      </c>
      <c r="AA460" t="s">
        <v>4794</v>
      </c>
      <c r="AB460" t="s">
        <v>1278</v>
      </c>
      <c r="AC460" t="s">
        <v>4795</v>
      </c>
      <c r="AD460" t="s">
        <v>2708</v>
      </c>
      <c r="AE460">
        <v>1</v>
      </c>
      <c r="AO460" t="s">
        <v>2957</v>
      </c>
      <c r="AP460" t="s">
        <v>2401</v>
      </c>
    </row>
    <row r="461" spans="1:42">
      <c r="A461" t="s">
        <v>742</v>
      </c>
      <c r="B461" t="s">
        <v>2377</v>
      </c>
      <c r="C461" t="s">
        <v>2378</v>
      </c>
      <c r="D461" t="s">
        <v>2379</v>
      </c>
      <c r="E461" t="s">
        <v>24</v>
      </c>
      <c r="F461" t="s">
        <v>2417</v>
      </c>
      <c r="G461" t="s">
        <v>24</v>
      </c>
      <c r="H461" t="b">
        <v>1</v>
      </c>
      <c r="I461" s="8">
        <v>45954.538368055553</v>
      </c>
      <c r="J461" t="s">
        <v>2380</v>
      </c>
      <c r="L461">
        <v>603558</v>
      </c>
      <c r="M461" t="s">
        <v>2381</v>
      </c>
      <c r="P461" t="s">
        <v>2987</v>
      </c>
      <c r="Q461" t="s">
        <v>2383</v>
      </c>
      <c r="R461">
        <v>1</v>
      </c>
      <c r="S461" t="s">
        <v>2380</v>
      </c>
      <c r="T461" t="s">
        <v>2383</v>
      </c>
      <c r="U461" s="8">
        <v>45951.478425925925</v>
      </c>
      <c r="V461" s="8">
        <v>45954.958333333336</v>
      </c>
      <c r="W461">
        <v>1</v>
      </c>
      <c r="X461">
        <v>3.05994213</v>
      </c>
      <c r="Y461" t="s">
        <v>2418</v>
      </c>
      <c r="Z461" t="s">
        <v>2988</v>
      </c>
      <c r="AA461" t="s">
        <v>2989</v>
      </c>
      <c r="AB461" t="s">
        <v>1278</v>
      </c>
      <c r="AC461" t="s">
        <v>2990</v>
      </c>
      <c r="AD461" t="s">
        <v>2708</v>
      </c>
      <c r="AE461">
        <v>1</v>
      </c>
      <c r="AO461" t="s">
        <v>2408</v>
      </c>
      <c r="AP461" t="s">
        <v>2401</v>
      </c>
    </row>
    <row r="462" spans="1:42">
      <c r="A462" t="s">
        <v>797</v>
      </c>
      <c r="B462" t="s">
        <v>2377</v>
      </c>
      <c r="C462" t="s">
        <v>2378</v>
      </c>
      <c r="D462" t="s">
        <v>2379</v>
      </c>
      <c r="E462" t="s">
        <v>24</v>
      </c>
      <c r="F462" t="s">
        <v>4644</v>
      </c>
      <c r="G462" t="s">
        <v>24</v>
      </c>
      <c r="H462" t="b">
        <v>1</v>
      </c>
      <c r="I462" s="8">
        <v>45954.644236111111</v>
      </c>
      <c r="J462" t="s">
        <v>2380</v>
      </c>
      <c r="L462">
        <v>603773</v>
      </c>
      <c r="M462" t="s">
        <v>2381</v>
      </c>
      <c r="P462" t="s">
        <v>4645</v>
      </c>
      <c r="Q462" t="s">
        <v>2383</v>
      </c>
      <c r="R462">
        <v>1</v>
      </c>
      <c r="S462" t="s">
        <v>2380</v>
      </c>
      <c r="T462" t="s">
        <v>2383</v>
      </c>
      <c r="U462" s="8">
        <v>45951.485011574077</v>
      </c>
      <c r="V462" s="8">
        <v>45954.958333333336</v>
      </c>
      <c r="W462">
        <v>1</v>
      </c>
      <c r="X462">
        <v>3.1592245370000001</v>
      </c>
      <c r="Y462" t="s">
        <v>3578</v>
      </c>
      <c r="Z462" t="s">
        <v>4646</v>
      </c>
      <c r="AA462" t="s">
        <v>4647</v>
      </c>
      <c r="AB462" t="s">
        <v>1278</v>
      </c>
      <c r="AC462" t="s">
        <v>4648</v>
      </c>
      <c r="AD462" t="s">
        <v>2708</v>
      </c>
      <c r="AE462">
        <v>1</v>
      </c>
      <c r="AO462" t="s">
        <v>2957</v>
      </c>
      <c r="AP462" t="s">
        <v>2401</v>
      </c>
    </row>
    <row r="463" spans="1:42">
      <c r="A463" t="s">
        <v>993</v>
      </c>
      <c r="B463" t="s">
        <v>2377</v>
      </c>
      <c r="C463" t="s">
        <v>2438</v>
      </c>
      <c r="D463" t="s">
        <v>2379</v>
      </c>
      <c r="E463" t="s">
        <v>18</v>
      </c>
      <c r="F463" t="s">
        <v>3747</v>
      </c>
      <c r="G463" t="s">
        <v>2416</v>
      </c>
      <c r="H463" t="b">
        <v>1</v>
      </c>
      <c r="I463" s="8">
        <v>45951.528287037036</v>
      </c>
      <c r="J463" t="s">
        <v>2380</v>
      </c>
      <c r="L463">
        <v>601454</v>
      </c>
      <c r="M463" t="s">
        <v>2381</v>
      </c>
      <c r="P463" t="s">
        <v>2704</v>
      </c>
      <c r="Q463" t="s">
        <v>2383</v>
      </c>
      <c r="R463">
        <v>1</v>
      </c>
      <c r="S463" t="s">
        <v>2380</v>
      </c>
      <c r="T463" t="s">
        <v>2383</v>
      </c>
      <c r="U463" s="8">
        <v>45951.490243055552</v>
      </c>
      <c r="V463" s="8">
        <v>45954.958333333336</v>
      </c>
      <c r="W463">
        <v>1</v>
      </c>
      <c r="X463">
        <v>3.8043980999999998E-2</v>
      </c>
      <c r="Y463" t="s">
        <v>3748</v>
      </c>
      <c r="Z463" t="s">
        <v>8629</v>
      </c>
      <c r="AA463" t="s">
        <v>4083</v>
      </c>
      <c r="AB463" t="s">
        <v>1278</v>
      </c>
      <c r="AC463" t="s">
        <v>8630</v>
      </c>
      <c r="AD463" t="s">
        <v>2708</v>
      </c>
      <c r="AE463">
        <v>1</v>
      </c>
      <c r="AO463" t="s">
        <v>2712</v>
      </c>
      <c r="AP463" t="s">
        <v>2401</v>
      </c>
    </row>
    <row r="464" spans="1:42">
      <c r="A464" t="s">
        <v>4551</v>
      </c>
      <c r="B464" t="s">
        <v>2389</v>
      </c>
      <c r="C464" t="s">
        <v>2378</v>
      </c>
      <c r="D464" t="s">
        <v>2379</v>
      </c>
      <c r="E464" t="s">
        <v>28</v>
      </c>
      <c r="F464">
        <v>4271</v>
      </c>
      <c r="G464" t="s">
        <v>28</v>
      </c>
      <c r="H464" t="b">
        <v>1</v>
      </c>
      <c r="I464" s="8">
        <v>45954.676493055558</v>
      </c>
      <c r="J464" t="s">
        <v>2380</v>
      </c>
      <c r="K464">
        <v>1204593</v>
      </c>
      <c r="L464">
        <v>603200</v>
      </c>
      <c r="M464" t="s">
        <v>2381</v>
      </c>
      <c r="N464">
        <v>15</v>
      </c>
      <c r="P464" t="s">
        <v>2704</v>
      </c>
      <c r="Q464" t="s">
        <v>2383</v>
      </c>
      <c r="R464">
        <v>1</v>
      </c>
      <c r="S464" t="s">
        <v>2380</v>
      </c>
      <c r="T464" t="s">
        <v>2383</v>
      </c>
      <c r="U464" s="8">
        <v>45951.503865740742</v>
      </c>
      <c r="V464" s="8">
        <v>45954.958333333336</v>
      </c>
      <c r="W464">
        <v>1</v>
      </c>
      <c r="X464">
        <v>3.1726273150000002</v>
      </c>
      <c r="Y464" t="s">
        <v>4550</v>
      </c>
      <c r="Z464" t="s">
        <v>4552</v>
      </c>
      <c r="AA464" t="s">
        <v>4553</v>
      </c>
      <c r="AB464" t="s">
        <v>1278</v>
      </c>
      <c r="AC464" t="s">
        <v>4554</v>
      </c>
      <c r="AD464" t="s">
        <v>2708</v>
      </c>
      <c r="AE464">
        <v>1</v>
      </c>
      <c r="AO464" t="s">
        <v>2388</v>
      </c>
      <c r="AP464" t="s">
        <v>2401</v>
      </c>
    </row>
    <row r="465" spans="1:42">
      <c r="A465" t="s">
        <v>119</v>
      </c>
      <c r="B465" t="s">
        <v>2377</v>
      </c>
      <c r="C465" t="s">
        <v>2438</v>
      </c>
      <c r="D465" t="s">
        <v>2379</v>
      </c>
      <c r="E465" t="s">
        <v>25</v>
      </c>
      <c r="F465" t="s">
        <v>2417</v>
      </c>
      <c r="G465" t="s">
        <v>25</v>
      </c>
      <c r="H465" t="b">
        <v>1</v>
      </c>
      <c r="I465" s="8">
        <v>45951.600868055553</v>
      </c>
      <c r="J465" t="s">
        <v>2380</v>
      </c>
      <c r="L465">
        <v>608552</v>
      </c>
      <c r="M465" t="s">
        <v>2381</v>
      </c>
      <c r="N465">
        <v>15</v>
      </c>
      <c r="P465" t="s">
        <v>2704</v>
      </c>
      <c r="Q465" t="s">
        <v>2383</v>
      </c>
      <c r="R465">
        <v>1</v>
      </c>
      <c r="S465" t="s">
        <v>2380</v>
      </c>
      <c r="T465" t="s">
        <v>2383</v>
      </c>
      <c r="U465" s="8">
        <v>45951.506805555553</v>
      </c>
      <c r="V465" s="8">
        <v>45954.958333333336</v>
      </c>
      <c r="W465">
        <v>1</v>
      </c>
      <c r="X465">
        <v>9.4062499999999993E-2</v>
      </c>
      <c r="Y465" t="s">
        <v>2418</v>
      </c>
      <c r="Z465" t="s">
        <v>3070</v>
      </c>
      <c r="AA465" t="s">
        <v>2425</v>
      </c>
      <c r="AB465" t="s">
        <v>1278</v>
      </c>
      <c r="AC465" t="s">
        <v>2387</v>
      </c>
      <c r="AD465" t="s">
        <v>2708</v>
      </c>
      <c r="AE465">
        <v>1</v>
      </c>
      <c r="AO465" t="s">
        <v>2408</v>
      </c>
      <c r="AP465" t="s">
        <v>2401</v>
      </c>
    </row>
    <row r="466" spans="1:42">
      <c r="A466" t="s">
        <v>9913</v>
      </c>
      <c r="B466" t="s">
        <v>2389</v>
      </c>
      <c r="C466" t="s">
        <v>2415</v>
      </c>
      <c r="D466" t="s">
        <v>2379</v>
      </c>
      <c r="E466" t="s">
        <v>33</v>
      </c>
      <c r="F466" t="s">
        <v>2578</v>
      </c>
      <c r="G466" t="s">
        <v>33</v>
      </c>
      <c r="H466" t="b">
        <v>1</v>
      </c>
      <c r="I466" s="8">
        <v>45952.657870370371</v>
      </c>
      <c r="J466" t="s">
        <v>2380</v>
      </c>
      <c r="L466">
        <v>602246</v>
      </c>
      <c r="M466" t="s">
        <v>2381</v>
      </c>
      <c r="P466" t="s">
        <v>9912</v>
      </c>
      <c r="Q466" t="s">
        <v>2383</v>
      </c>
      <c r="R466">
        <v>1</v>
      </c>
      <c r="S466" t="s">
        <v>2380</v>
      </c>
      <c r="T466" t="s">
        <v>2383</v>
      </c>
      <c r="U466" s="8">
        <v>45951.50712962963</v>
      </c>
      <c r="V466" s="8">
        <v>45954.958333333336</v>
      </c>
      <c r="W466">
        <v>1</v>
      </c>
      <c r="X466">
        <v>1.1507407409999999</v>
      </c>
      <c r="Y466" t="s">
        <v>2579</v>
      </c>
      <c r="Z466" t="s">
        <v>9914</v>
      </c>
      <c r="AA466" t="s">
        <v>9915</v>
      </c>
      <c r="AB466" t="s">
        <v>1278</v>
      </c>
      <c r="AC466" t="s">
        <v>9916</v>
      </c>
      <c r="AE466">
        <v>1</v>
      </c>
      <c r="AO466" t="s">
        <v>3644</v>
      </c>
      <c r="AP466" t="s">
        <v>2401</v>
      </c>
    </row>
    <row r="467" spans="1:42">
      <c r="A467" t="s">
        <v>9917</v>
      </c>
      <c r="B467" t="s">
        <v>2389</v>
      </c>
      <c r="C467" t="s">
        <v>2415</v>
      </c>
      <c r="D467" t="s">
        <v>2379</v>
      </c>
      <c r="E467" t="s">
        <v>33</v>
      </c>
      <c r="F467" t="s">
        <v>2578</v>
      </c>
      <c r="G467" t="s">
        <v>33</v>
      </c>
      <c r="H467" t="b">
        <v>1</v>
      </c>
      <c r="I467" s="8">
        <v>45952.656944444447</v>
      </c>
      <c r="J467" t="s">
        <v>2380</v>
      </c>
      <c r="L467">
        <v>602246</v>
      </c>
      <c r="M467" t="s">
        <v>2381</v>
      </c>
      <c r="P467" t="s">
        <v>9912</v>
      </c>
      <c r="Q467" t="s">
        <v>2383</v>
      </c>
      <c r="R467">
        <v>1</v>
      </c>
      <c r="S467" t="s">
        <v>2380</v>
      </c>
      <c r="T467" t="s">
        <v>2383</v>
      </c>
      <c r="U467" s="8">
        <v>45951.50886574074</v>
      </c>
      <c r="V467" s="8">
        <v>45954.958333333336</v>
      </c>
      <c r="W467">
        <v>1</v>
      </c>
      <c r="X467">
        <v>1.148078704</v>
      </c>
      <c r="Y467" t="s">
        <v>2579</v>
      </c>
      <c r="Z467" t="s">
        <v>9918</v>
      </c>
      <c r="AA467" t="s">
        <v>9915</v>
      </c>
      <c r="AB467" t="s">
        <v>1278</v>
      </c>
      <c r="AC467" t="s">
        <v>9919</v>
      </c>
      <c r="AE467">
        <v>1</v>
      </c>
      <c r="AO467" t="s">
        <v>3644</v>
      </c>
      <c r="AP467" t="s">
        <v>2401</v>
      </c>
    </row>
    <row r="468" spans="1:42">
      <c r="A468" t="s">
        <v>3561</v>
      </c>
      <c r="B468" t="s">
        <v>2389</v>
      </c>
      <c r="C468" t="s">
        <v>2390</v>
      </c>
      <c r="D468" t="s">
        <v>2379</v>
      </c>
      <c r="E468" t="s">
        <v>2452</v>
      </c>
      <c r="F468" t="s">
        <v>3558</v>
      </c>
      <c r="G468" t="s">
        <v>2452</v>
      </c>
      <c r="H468" t="b">
        <v>1</v>
      </c>
      <c r="I468" s="8">
        <v>45954.492824074077</v>
      </c>
      <c r="J468" t="s">
        <v>2380</v>
      </c>
      <c r="L468">
        <v>603968</v>
      </c>
      <c r="M468" t="s">
        <v>2381</v>
      </c>
      <c r="P468" t="s">
        <v>3559</v>
      </c>
      <c r="Q468" t="s">
        <v>2383</v>
      </c>
      <c r="R468">
        <v>1</v>
      </c>
      <c r="S468" t="s">
        <v>2380</v>
      </c>
      <c r="T468" t="s">
        <v>2383</v>
      </c>
      <c r="U468" s="8">
        <v>45951.514120370368</v>
      </c>
      <c r="V468" s="8">
        <v>45954.958333333336</v>
      </c>
      <c r="W468">
        <v>1</v>
      </c>
      <c r="X468">
        <v>2.978703704</v>
      </c>
      <c r="Y468" t="s">
        <v>3560</v>
      </c>
      <c r="Z468" t="s">
        <v>3562</v>
      </c>
      <c r="AA468" t="s">
        <v>3563</v>
      </c>
      <c r="AB468" t="s">
        <v>1278</v>
      </c>
      <c r="AC468" t="s">
        <v>3564</v>
      </c>
      <c r="AE468">
        <v>1</v>
      </c>
      <c r="AO468" t="s">
        <v>2957</v>
      </c>
      <c r="AP468" t="s">
        <v>2401</v>
      </c>
    </row>
    <row r="469" spans="1:42">
      <c r="A469" t="s">
        <v>4801</v>
      </c>
      <c r="B469" t="s">
        <v>2389</v>
      </c>
      <c r="C469" t="s">
        <v>2390</v>
      </c>
      <c r="D469" t="s">
        <v>2379</v>
      </c>
      <c r="E469" t="s">
        <v>2452</v>
      </c>
      <c r="F469" t="s">
        <v>3558</v>
      </c>
      <c r="G469" t="s">
        <v>2452</v>
      </c>
      <c r="H469" t="b">
        <v>1</v>
      </c>
      <c r="I469" s="8">
        <v>45954.501273148147</v>
      </c>
      <c r="J469" t="s">
        <v>2380</v>
      </c>
      <c r="K469">
        <v>1204432</v>
      </c>
      <c r="L469">
        <v>603968</v>
      </c>
      <c r="M469" t="s">
        <v>2381</v>
      </c>
      <c r="P469" t="s">
        <v>3559</v>
      </c>
      <c r="Q469" t="s">
        <v>2383</v>
      </c>
      <c r="R469">
        <v>1</v>
      </c>
      <c r="S469" t="s">
        <v>2380</v>
      </c>
      <c r="T469" t="s">
        <v>2383</v>
      </c>
      <c r="U469" s="8">
        <v>45951.514907407407</v>
      </c>
      <c r="V469" s="8">
        <v>45954.958333333336</v>
      </c>
      <c r="W469">
        <v>1</v>
      </c>
      <c r="X469">
        <v>2.9863657410000002</v>
      </c>
      <c r="Y469" t="s">
        <v>3560</v>
      </c>
      <c r="Z469" t="s">
        <v>4802</v>
      </c>
      <c r="AA469" t="s">
        <v>3563</v>
      </c>
      <c r="AB469" t="s">
        <v>1278</v>
      </c>
      <c r="AC469" t="s">
        <v>4803</v>
      </c>
      <c r="AD469" t="s">
        <v>2708</v>
      </c>
      <c r="AE469">
        <v>1</v>
      </c>
      <c r="AO469" t="s">
        <v>2957</v>
      </c>
      <c r="AP469" t="s">
        <v>2401</v>
      </c>
    </row>
    <row r="470" spans="1:42">
      <c r="A470" t="s">
        <v>10197</v>
      </c>
      <c r="B470" t="s">
        <v>2389</v>
      </c>
      <c r="C470" t="s">
        <v>2378</v>
      </c>
      <c r="D470" t="s">
        <v>2379</v>
      </c>
      <c r="E470" t="s">
        <v>2452</v>
      </c>
      <c r="F470" t="s">
        <v>3891</v>
      </c>
      <c r="G470" t="s">
        <v>2452</v>
      </c>
      <c r="H470" t="b">
        <v>1</v>
      </c>
      <c r="I470" s="8">
        <v>45954.657858796294</v>
      </c>
      <c r="J470" t="s">
        <v>2380</v>
      </c>
      <c r="L470">
        <v>603381</v>
      </c>
      <c r="M470" t="s">
        <v>2381</v>
      </c>
      <c r="P470" t="s">
        <v>2670</v>
      </c>
      <c r="Q470" t="s">
        <v>2383</v>
      </c>
      <c r="R470">
        <v>1</v>
      </c>
      <c r="S470" t="s">
        <v>2380</v>
      </c>
      <c r="T470" t="s">
        <v>2383</v>
      </c>
      <c r="U470" s="8">
        <v>45951.515694444446</v>
      </c>
      <c r="V470" s="8">
        <v>45954.958333333336</v>
      </c>
      <c r="W470">
        <v>1</v>
      </c>
      <c r="X470">
        <v>3.142164352</v>
      </c>
      <c r="Y470" t="s">
        <v>3892</v>
      </c>
      <c r="Z470" t="s">
        <v>10198</v>
      </c>
      <c r="AA470" t="s">
        <v>2714</v>
      </c>
      <c r="AB470" t="s">
        <v>1278</v>
      </c>
      <c r="AC470" t="s">
        <v>10199</v>
      </c>
      <c r="AE470">
        <v>1</v>
      </c>
      <c r="AO470" t="s">
        <v>2715</v>
      </c>
      <c r="AP470" t="s">
        <v>2401</v>
      </c>
    </row>
    <row r="471" spans="1:42">
      <c r="A471" t="s">
        <v>4788</v>
      </c>
      <c r="B471" t="s">
        <v>2389</v>
      </c>
      <c r="C471" t="s">
        <v>2378</v>
      </c>
      <c r="D471" t="s">
        <v>2379</v>
      </c>
      <c r="E471" t="s">
        <v>2452</v>
      </c>
      <c r="F471" t="s">
        <v>3261</v>
      </c>
      <c r="G471" t="s">
        <v>2452</v>
      </c>
      <c r="H471" t="b">
        <v>1</v>
      </c>
      <c r="I471" s="8">
        <v>45954.522164351853</v>
      </c>
      <c r="J471" t="s">
        <v>2380</v>
      </c>
      <c r="K471">
        <v>1204444</v>
      </c>
      <c r="L471">
        <v>602226</v>
      </c>
      <c r="M471" t="s">
        <v>2381</v>
      </c>
      <c r="P471" t="s">
        <v>4787</v>
      </c>
      <c r="Q471" t="s">
        <v>2383</v>
      </c>
      <c r="R471">
        <v>1</v>
      </c>
      <c r="S471" t="s">
        <v>2380</v>
      </c>
      <c r="T471" t="s">
        <v>2383</v>
      </c>
      <c r="U471" s="8">
        <v>45951.516168981485</v>
      </c>
      <c r="V471" s="8">
        <v>45954.958333333336</v>
      </c>
      <c r="W471">
        <v>1</v>
      </c>
      <c r="X471">
        <v>3.0059953699999999</v>
      </c>
      <c r="Y471" t="s">
        <v>3262</v>
      </c>
      <c r="Z471" t="s">
        <v>4789</v>
      </c>
      <c r="AA471" t="s">
        <v>4790</v>
      </c>
      <c r="AB471" t="s">
        <v>1278</v>
      </c>
      <c r="AC471" t="s">
        <v>4791</v>
      </c>
      <c r="AD471" t="s">
        <v>2708</v>
      </c>
      <c r="AE471">
        <v>1</v>
      </c>
      <c r="AO471" t="s">
        <v>2957</v>
      </c>
      <c r="AP471" t="s">
        <v>2401</v>
      </c>
    </row>
    <row r="472" spans="1:42">
      <c r="A472" t="s">
        <v>228</v>
      </c>
      <c r="B472" t="s">
        <v>2377</v>
      </c>
      <c r="C472" t="s">
        <v>2390</v>
      </c>
      <c r="D472" t="s">
        <v>2379</v>
      </c>
      <c r="E472" t="s">
        <v>25</v>
      </c>
      <c r="F472" t="s">
        <v>3891</v>
      </c>
      <c r="G472" t="s">
        <v>25</v>
      </c>
      <c r="H472" t="b">
        <v>1</v>
      </c>
      <c r="I472" s="8">
        <v>45954.514456018522</v>
      </c>
      <c r="J472" t="s">
        <v>2380</v>
      </c>
      <c r="L472">
        <v>602637</v>
      </c>
      <c r="M472" t="s">
        <v>2381</v>
      </c>
      <c r="N472">
        <v>10</v>
      </c>
      <c r="P472" t="s">
        <v>3896</v>
      </c>
      <c r="Q472" t="s">
        <v>2383</v>
      </c>
      <c r="R472">
        <v>1</v>
      </c>
      <c r="S472" t="s">
        <v>2380</v>
      </c>
      <c r="T472" t="s">
        <v>2383</v>
      </c>
      <c r="U472" s="8">
        <v>45951.526435185187</v>
      </c>
      <c r="V472" s="8">
        <v>45954.958333333336</v>
      </c>
      <c r="W472">
        <v>1</v>
      </c>
      <c r="X472">
        <v>2.9880208330000002</v>
      </c>
      <c r="Y472" t="s">
        <v>3892</v>
      </c>
      <c r="Z472" t="s">
        <v>8696</v>
      </c>
      <c r="AA472" t="s">
        <v>8697</v>
      </c>
      <c r="AB472" t="s">
        <v>1278</v>
      </c>
      <c r="AC472" t="s">
        <v>8698</v>
      </c>
      <c r="AD472" t="s">
        <v>2708</v>
      </c>
      <c r="AE472">
        <v>1</v>
      </c>
      <c r="AO472" t="s">
        <v>2715</v>
      </c>
      <c r="AP472" t="s">
        <v>2401</v>
      </c>
    </row>
    <row r="473" spans="1:42">
      <c r="A473" t="s">
        <v>135</v>
      </c>
      <c r="B473" t="s">
        <v>2377</v>
      </c>
      <c r="C473" t="s">
        <v>2438</v>
      </c>
      <c r="D473" t="s">
        <v>2379</v>
      </c>
      <c r="E473" t="s">
        <v>24</v>
      </c>
      <c r="F473" t="s">
        <v>2779</v>
      </c>
      <c r="G473" t="s">
        <v>24</v>
      </c>
      <c r="H473" t="b">
        <v>1</v>
      </c>
      <c r="I473" s="8">
        <v>45952.41878472222</v>
      </c>
      <c r="J473" t="s">
        <v>2380</v>
      </c>
      <c r="L473">
        <v>603817</v>
      </c>
      <c r="M473" t="s">
        <v>2381</v>
      </c>
      <c r="P473" t="s">
        <v>2979</v>
      </c>
      <c r="Q473" t="s">
        <v>2383</v>
      </c>
      <c r="R473">
        <v>1</v>
      </c>
      <c r="S473" t="s">
        <v>2380</v>
      </c>
      <c r="T473" t="s">
        <v>2383</v>
      </c>
      <c r="U473" s="8">
        <v>45951.526805555557</v>
      </c>
      <c r="V473" s="8">
        <v>45954.958333333336</v>
      </c>
      <c r="W473">
        <v>1</v>
      </c>
      <c r="X473">
        <v>0.89197916700000002</v>
      </c>
      <c r="Y473" t="s">
        <v>1352</v>
      </c>
      <c r="Z473" t="s">
        <v>2980</v>
      </c>
      <c r="AA473" t="s">
        <v>2981</v>
      </c>
      <c r="AB473" t="s">
        <v>1278</v>
      </c>
      <c r="AC473" t="s">
        <v>2982</v>
      </c>
      <c r="AD473" t="s">
        <v>2708</v>
      </c>
      <c r="AE473">
        <v>1</v>
      </c>
      <c r="AO473" t="s">
        <v>2408</v>
      </c>
      <c r="AP473" t="s">
        <v>2401</v>
      </c>
    </row>
    <row r="474" spans="1:42">
      <c r="A474" t="s">
        <v>224</v>
      </c>
      <c r="B474" t="s">
        <v>2377</v>
      </c>
      <c r="C474" t="s">
        <v>2390</v>
      </c>
      <c r="D474" t="s">
        <v>2379</v>
      </c>
      <c r="E474" t="s">
        <v>18</v>
      </c>
      <c r="F474" t="s">
        <v>2402</v>
      </c>
      <c r="G474" t="s">
        <v>2416</v>
      </c>
      <c r="H474" t="b">
        <v>1</v>
      </c>
      <c r="I474" s="8">
        <v>45954.41101851852</v>
      </c>
      <c r="J474" t="s">
        <v>2380</v>
      </c>
      <c r="L474">
        <v>606934</v>
      </c>
      <c r="M474" t="s">
        <v>2381</v>
      </c>
      <c r="P474" t="s">
        <v>2966</v>
      </c>
      <c r="Q474" t="s">
        <v>2383</v>
      </c>
      <c r="R474">
        <v>1</v>
      </c>
      <c r="S474" t="s">
        <v>2380</v>
      </c>
      <c r="T474" t="s">
        <v>2383</v>
      </c>
      <c r="U474" s="8">
        <v>45951.528692129628</v>
      </c>
      <c r="V474" s="8">
        <v>45954.958333333336</v>
      </c>
      <c r="W474">
        <v>1</v>
      </c>
      <c r="X474">
        <v>2.8823263890000002</v>
      </c>
      <c r="Y474" t="s">
        <v>2403</v>
      </c>
      <c r="Z474" t="s">
        <v>2967</v>
      </c>
      <c r="AA474" t="s">
        <v>1312</v>
      </c>
      <c r="AB474" t="s">
        <v>1278</v>
      </c>
      <c r="AC474" t="s">
        <v>2968</v>
      </c>
      <c r="AD474" t="s">
        <v>2708</v>
      </c>
      <c r="AE474">
        <v>1</v>
      </c>
      <c r="AO474" t="s">
        <v>2408</v>
      </c>
      <c r="AP474" t="s">
        <v>2401</v>
      </c>
    </row>
    <row r="475" spans="1:42">
      <c r="A475" t="s">
        <v>795</v>
      </c>
      <c r="B475" t="s">
        <v>2377</v>
      </c>
      <c r="C475" t="s">
        <v>2378</v>
      </c>
      <c r="D475" t="s">
        <v>2379</v>
      </c>
      <c r="E475" t="s">
        <v>24</v>
      </c>
      <c r="F475" t="s">
        <v>3261</v>
      </c>
      <c r="G475" t="s">
        <v>24</v>
      </c>
      <c r="H475" t="b">
        <v>1</v>
      </c>
      <c r="I475" s="8">
        <v>45954.574849537035</v>
      </c>
      <c r="J475" t="s">
        <v>2380</v>
      </c>
      <c r="L475">
        <v>601294</v>
      </c>
      <c r="M475" t="s">
        <v>2381</v>
      </c>
      <c r="P475" t="s">
        <v>4638</v>
      </c>
      <c r="Q475" t="s">
        <v>2383</v>
      </c>
      <c r="R475">
        <v>1</v>
      </c>
      <c r="S475" t="s">
        <v>2380</v>
      </c>
      <c r="T475" t="s">
        <v>2383</v>
      </c>
      <c r="U475" s="8">
        <v>45951.534467592595</v>
      </c>
      <c r="V475" s="8">
        <v>45954.958333333336</v>
      </c>
      <c r="W475">
        <v>1</v>
      </c>
      <c r="X475">
        <v>3.0403819439999999</v>
      </c>
      <c r="Y475" t="s">
        <v>3262</v>
      </c>
      <c r="Z475" t="s">
        <v>4639</v>
      </c>
      <c r="AA475" t="s">
        <v>1435</v>
      </c>
      <c r="AB475" t="s">
        <v>1278</v>
      </c>
      <c r="AC475" t="s">
        <v>4640</v>
      </c>
      <c r="AD475" t="s">
        <v>2708</v>
      </c>
      <c r="AE475">
        <v>1</v>
      </c>
      <c r="AO475" t="s">
        <v>2957</v>
      </c>
      <c r="AP475" t="s">
        <v>2401</v>
      </c>
    </row>
    <row r="476" spans="1:42">
      <c r="A476" t="s">
        <v>8553</v>
      </c>
      <c r="B476" t="s">
        <v>2389</v>
      </c>
      <c r="C476" t="s">
        <v>2378</v>
      </c>
      <c r="D476" t="s">
        <v>2379</v>
      </c>
      <c r="E476" t="s">
        <v>2452</v>
      </c>
      <c r="F476" t="s">
        <v>8551</v>
      </c>
      <c r="G476" t="s">
        <v>2452</v>
      </c>
      <c r="H476" t="b">
        <v>1</v>
      </c>
      <c r="I476" s="8">
        <v>45954.638564814813</v>
      </c>
      <c r="J476" t="s">
        <v>2380</v>
      </c>
      <c r="K476">
        <v>1204577</v>
      </c>
      <c r="L476">
        <v>609041</v>
      </c>
      <c r="M476" t="s">
        <v>2381</v>
      </c>
      <c r="P476" t="s">
        <v>8552</v>
      </c>
      <c r="Q476" t="s">
        <v>2383</v>
      </c>
      <c r="R476">
        <v>1</v>
      </c>
      <c r="S476" t="s">
        <v>2380</v>
      </c>
      <c r="T476" t="s">
        <v>2383</v>
      </c>
      <c r="U476" s="8">
        <v>45951.550659722219</v>
      </c>
      <c r="V476" s="8">
        <v>45954.958333333336</v>
      </c>
      <c r="W476">
        <v>1</v>
      </c>
      <c r="X476">
        <v>3.0879050929999998</v>
      </c>
      <c r="Y476" t="s">
        <v>2628</v>
      </c>
      <c r="Z476" t="s">
        <v>8554</v>
      </c>
      <c r="AA476" t="s">
        <v>1490</v>
      </c>
      <c r="AB476" t="s">
        <v>1278</v>
      </c>
      <c r="AC476" t="s">
        <v>8555</v>
      </c>
      <c r="AD476" t="s">
        <v>2708</v>
      </c>
      <c r="AE476">
        <v>1</v>
      </c>
      <c r="AO476" t="s">
        <v>3586</v>
      </c>
      <c r="AP476" t="s">
        <v>2401</v>
      </c>
    </row>
    <row r="477" spans="1:42">
      <c r="A477" t="s">
        <v>858</v>
      </c>
      <c r="B477" t="s">
        <v>2377</v>
      </c>
      <c r="C477" t="s">
        <v>2415</v>
      </c>
      <c r="D477" t="s">
        <v>2379</v>
      </c>
      <c r="E477" t="s">
        <v>33</v>
      </c>
      <c r="F477" t="s">
        <v>3891</v>
      </c>
      <c r="G477" t="s">
        <v>33</v>
      </c>
      <c r="H477" t="b">
        <v>1</v>
      </c>
      <c r="I477" s="8">
        <v>45953.386087962965</v>
      </c>
      <c r="J477" t="s">
        <v>2380</v>
      </c>
      <c r="L477">
        <v>602475</v>
      </c>
      <c r="M477" t="s">
        <v>2381</v>
      </c>
      <c r="P477" t="s">
        <v>2704</v>
      </c>
      <c r="Q477" t="s">
        <v>2383</v>
      </c>
      <c r="R477">
        <v>1</v>
      </c>
      <c r="S477" t="s">
        <v>2380</v>
      </c>
      <c r="T477" t="s">
        <v>2383</v>
      </c>
      <c r="U477" s="8">
        <v>45951.574895833335</v>
      </c>
      <c r="V477" s="8">
        <v>45954.958333333336</v>
      </c>
      <c r="W477">
        <v>1</v>
      </c>
      <c r="X477">
        <v>1.81119213</v>
      </c>
      <c r="Y477" t="s">
        <v>3892</v>
      </c>
      <c r="Z477" t="s">
        <v>8848</v>
      </c>
      <c r="AA477" t="s">
        <v>5067</v>
      </c>
      <c r="AB477" t="s">
        <v>1278</v>
      </c>
      <c r="AC477" t="s">
        <v>8849</v>
      </c>
      <c r="AD477" t="s">
        <v>2708</v>
      </c>
      <c r="AE477">
        <v>1</v>
      </c>
      <c r="AH477" t="s">
        <v>24</v>
      </c>
      <c r="AI477" s="8">
        <v>45952.679942129631</v>
      </c>
      <c r="AK477" t="s">
        <v>2719</v>
      </c>
      <c r="AL477" t="s">
        <v>2719</v>
      </c>
      <c r="AO477" t="s">
        <v>2715</v>
      </c>
      <c r="AP477" t="s">
        <v>2401</v>
      </c>
    </row>
    <row r="478" spans="1:42">
      <c r="A478" t="s">
        <v>1113</v>
      </c>
      <c r="B478" t="s">
        <v>2377</v>
      </c>
      <c r="C478" t="s">
        <v>2438</v>
      </c>
      <c r="D478" t="s">
        <v>2379</v>
      </c>
      <c r="E478" t="s">
        <v>25</v>
      </c>
      <c r="F478" t="s">
        <v>2402</v>
      </c>
      <c r="G478" t="s">
        <v>25</v>
      </c>
      <c r="H478" t="b">
        <v>1</v>
      </c>
      <c r="I478" s="8">
        <v>45951.616724537038</v>
      </c>
      <c r="J478" t="s">
        <v>2380</v>
      </c>
      <c r="L478">
        <v>605244</v>
      </c>
      <c r="M478" t="s">
        <v>2381</v>
      </c>
      <c r="N478">
        <v>15</v>
      </c>
      <c r="P478" t="s">
        <v>2704</v>
      </c>
      <c r="Q478" t="s">
        <v>2383</v>
      </c>
      <c r="R478">
        <v>1</v>
      </c>
      <c r="S478" t="s">
        <v>2380</v>
      </c>
      <c r="T478" t="s">
        <v>2383</v>
      </c>
      <c r="U478" s="8">
        <v>45951.579363425924</v>
      </c>
      <c r="V478" s="8">
        <v>45954.958333333336</v>
      </c>
      <c r="W478">
        <v>1</v>
      </c>
      <c r="X478">
        <v>3.7361111000000002E-2</v>
      </c>
      <c r="Y478" t="s">
        <v>2403</v>
      </c>
      <c r="Z478" t="s">
        <v>3069</v>
      </c>
      <c r="AA478" t="s">
        <v>2815</v>
      </c>
      <c r="AB478" t="s">
        <v>1278</v>
      </c>
      <c r="AC478" t="s">
        <v>2387</v>
      </c>
      <c r="AD478" t="s">
        <v>2708</v>
      </c>
      <c r="AE478">
        <v>1</v>
      </c>
      <c r="AO478" t="s">
        <v>2408</v>
      </c>
      <c r="AP478" t="s">
        <v>2401</v>
      </c>
    </row>
    <row r="479" spans="1:42">
      <c r="A479" t="s">
        <v>121</v>
      </c>
      <c r="B479" t="s">
        <v>2377</v>
      </c>
      <c r="C479" t="s">
        <v>2438</v>
      </c>
      <c r="D479" t="s">
        <v>2379</v>
      </c>
      <c r="E479" t="s">
        <v>25</v>
      </c>
      <c r="F479" t="s">
        <v>3747</v>
      </c>
      <c r="G479" t="s">
        <v>25</v>
      </c>
      <c r="H479" t="b">
        <v>1</v>
      </c>
      <c r="I479" s="8">
        <v>45951.620844907404</v>
      </c>
      <c r="J479" t="s">
        <v>2380</v>
      </c>
      <c r="L479">
        <v>601183</v>
      </c>
      <c r="M479" t="s">
        <v>2381</v>
      </c>
      <c r="N479">
        <v>8</v>
      </c>
      <c r="P479" t="s">
        <v>2704</v>
      </c>
      <c r="Q479" t="s">
        <v>2383</v>
      </c>
      <c r="R479">
        <v>1</v>
      </c>
      <c r="S479" t="s">
        <v>2380</v>
      </c>
      <c r="T479" t="s">
        <v>2383</v>
      </c>
      <c r="U479" s="8">
        <v>45951.580509259256</v>
      </c>
      <c r="V479" s="8">
        <v>45954.958333333336</v>
      </c>
      <c r="W479">
        <v>1</v>
      </c>
      <c r="X479">
        <v>4.0335648000000002E-2</v>
      </c>
      <c r="Y479" t="s">
        <v>3748</v>
      </c>
      <c r="Z479" t="s">
        <v>8674</v>
      </c>
      <c r="AA479" t="s">
        <v>3798</v>
      </c>
      <c r="AB479" t="s">
        <v>1278</v>
      </c>
      <c r="AC479" t="s">
        <v>2387</v>
      </c>
      <c r="AD479" t="s">
        <v>2708</v>
      </c>
      <c r="AE479">
        <v>1</v>
      </c>
      <c r="AO479" t="s">
        <v>2712</v>
      </c>
      <c r="AP479" t="s">
        <v>2401</v>
      </c>
    </row>
    <row r="480" spans="1:42">
      <c r="A480" t="s">
        <v>1167</v>
      </c>
      <c r="B480" t="s">
        <v>2377</v>
      </c>
      <c r="C480" t="s">
        <v>2390</v>
      </c>
      <c r="D480" t="s">
        <v>2379</v>
      </c>
      <c r="E480" t="s">
        <v>25</v>
      </c>
      <c r="F480" t="s">
        <v>2417</v>
      </c>
      <c r="G480" t="s">
        <v>25</v>
      </c>
      <c r="H480" t="b">
        <v>1</v>
      </c>
      <c r="I480" s="8">
        <v>45954.551412037035</v>
      </c>
      <c r="J480" t="s">
        <v>2380</v>
      </c>
      <c r="L480">
        <v>602944</v>
      </c>
      <c r="M480" t="s">
        <v>2381</v>
      </c>
      <c r="N480">
        <v>10</v>
      </c>
      <c r="P480" t="s">
        <v>2743</v>
      </c>
      <c r="Q480" t="s">
        <v>2383</v>
      </c>
      <c r="R480">
        <v>1</v>
      </c>
      <c r="S480" t="s">
        <v>2380</v>
      </c>
      <c r="T480" t="s">
        <v>2383</v>
      </c>
      <c r="U480" s="8">
        <v>45951.583715277775</v>
      </c>
      <c r="V480" s="8">
        <v>45954.958333333336</v>
      </c>
      <c r="W480">
        <v>1</v>
      </c>
      <c r="X480">
        <v>2.9676967589999999</v>
      </c>
      <c r="Y480" t="s">
        <v>2418</v>
      </c>
      <c r="Z480" t="s">
        <v>3063</v>
      </c>
      <c r="AA480" t="s">
        <v>2745</v>
      </c>
      <c r="AB480" t="s">
        <v>1278</v>
      </c>
      <c r="AC480" t="s">
        <v>3064</v>
      </c>
      <c r="AD480" t="s">
        <v>2708</v>
      </c>
      <c r="AE480">
        <v>1</v>
      </c>
      <c r="AO480" t="s">
        <v>2408</v>
      </c>
      <c r="AP480" t="s">
        <v>2401</v>
      </c>
    </row>
    <row r="481" spans="1:42">
      <c r="A481" t="s">
        <v>2434</v>
      </c>
      <c r="B481" t="s">
        <v>2377</v>
      </c>
      <c r="C481" t="s">
        <v>2390</v>
      </c>
      <c r="D481" t="s">
        <v>2379</v>
      </c>
      <c r="E481" t="s">
        <v>24</v>
      </c>
      <c r="F481" t="s">
        <v>2431</v>
      </c>
      <c r="G481" t="s">
        <v>24</v>
      </c>
      <c r="H481" t="b">
        <v>1</v>
      </c>
      <c r="I481" s="8">
        <v>45954.584131944444</v>
      </c>
      <c r="J481" t="s">
        <v>2380</v>
      </c>
      <c r="L481">
        <v>603055</v>
      </c>
      <c r="M481" t="s">
        <v>2381</v>
      </c>
      <c r="P481" t="s">
        <v>2432</v>
      </c>
      <c r="Q481" t="s">
        <v>2383</v>
      </c>
      <c r="R481">
        <v>1</v>
      </c>
      <c r="S481" t="s">
        <v>2380</v>
      </c>
      <c r="T481" t="s">
        <v>2383</v>
      </c>
      <c r="U481" s="8">
        <v>45951.593657407408</v>
      </c>
      <c r="V481" s="8">
        <v>45954.958333333336</v>
      </c>
      <c r="W481">
        <v>1</v>
      </c>
      <c r="X481">
        <v>2.9904745369999999</v>
      </c>
      <c r="Y481" t="s">
        <v>2433</v>
      </c>
      <c r="Z481" t="s">
        <v>2435</v>
      </c>
      <c r="AA481" t="s">
        <v>2436</v>
      </c>
      <c r="AB481" t="s">
        <v>1278</v>
      </c>
      <c r="AC481" t="s">
        <v>2437</v>
      </c>
      <c r="AE481">
        <v>1</v>
      </c>
      <c r="AO481" t="s">
        <v>2408</v>
      </c>
      <c r="AP481" t="s">
        <v>2401</v>
      </c>
    </row>
    <row r="482" spans="1:42">
      <c r="A482" t="s">
        <v>740</v>
      </c>
      <c r="B482" t="s">
        <v>2377</v>
      </c>
      <c r="C482" t="s">
        <v>2390</v>
      </c>
      <c r="D482" t="s">
        <v>2379</v>
      </c>
      <c r="E482" t="s">
        <v>24</v>
      </c>
      <c r="F482" t="s">
        <v>2431</v>
      </c>
      <c r="G482" t="s">
        <v>24</v>
      </c>
      <c r="H482" t="b">
        <v>1</v>
      </c>
      <c r="I482" s="8">
        <v>45954.531064814815</v>
      </c>
      <c r="J482" t="s">
        <v>2380</v>
      </c>
      <c r="L482">
        <v>603055</v>
      </c>
      <c r="M482" t="s">
        <v>2381</v>
      </c>
      <c r="P482" t="s">
        <v>2432</v>
      </c>
      <c r="Q482" t="s">
        <v>2383</v>
      </c>
      <c r="R482">
        <v>1</v>
      </c>
      <c r="S482" t="s">
        <v>2380</v>
      </c>
      <c r="T482" t="s">
        <v>2383</v>
      </c>
      <c r="U482" s="8">
        <v>45951.600138888891</v>
      </c>
      <c r="V482" s="8">
        <v>45954.958333333336</v>
      </c>
      <c r="W482">
        <v>1</v>
      </c>
      <c r="X482">
        <v>2.930925926</v>
      </c>
      <c r="Y482" t="s">
        <v>2433</v>
      </c>
      <c r="Z482" t="s">
        <v>8875</v>
      </c>
      <c r="AA482" t="s">
        <v>2436</v>
      </c>
      <c r="AB482" t="s">
        <v>1278</v>
      </c>
      <c r="AC482" t="s">
        <v>7465</v>
      </c>
      <c r="AD482" t="s">
        <v>2708</v>
      </c>
      <c r="AE482">
        <v>1</v>
      </c>
      <c r="AF482">
        <v>2</v>
      </c>
      <c r="AH482" t="s">
        <v>2723</v>
      </c>
      <c r="AI482" s="8">
        <v>45954.51457175926</v>
      </c>
      <c r="AK482" t="s">
        <v>2719</v>
      </c>
      <c r="AL482" t="s">
        <v>2724</v>
      </c>
      <c r="AO482" t="s">
        <v>2408</v>
      </c>
      <c r="AP482" t="s">
        <v>2401</v>
      </c>
    </row>
    <row r="483" spans="1:42">
      <c r="A483" t="s">
        <v>1048</v>
      </c>
      <c r="B483" t="s">
        <v>2377</v>
      </c>
      <c r="C483" t="s">
        <v>2390</v>
      </c>
      <c r="D483" t="s">
        <v>2379</v>
      </c>
      <c r="E483" t="s">
        <v>24</v>
      </c>
      <c r="F483" t="s">
        <v>2588</v>
      </c>
      <c r="G483" t="s">
        <v>24</v>
      </c>
      <c r="H483" t="b">
        <v>1</v>
      </c>
      <c r="I483" s="8">
        <v>45954.437986111108</v>
      </c>
      <c r="J483" t="s">
        <v>2380</v>
      </c>
      <c r="L483">
        <v>603959</v>
      </c>
      <c r="M483" t="s">
        <v>2381</v>
      </c>
      <c r="P483" t="s">
        <v>2589</v>
      </c>
      <c r="Q483" t="s">
        <v>2383</v>
      </c>
      <c r="R483">
        <v>1</v>
      </c>
      <c r="S483" t="s">
        <v>2380</v>
      </c>
      <c r="T483" t="s">
        <v>2383</v>
      </c>
      <c r="U483" s="8">
        <v>45951.602627314816</v>
      </c>
      <c r="V483" s="8">
        <v>45954.958333333336</v>
      </c>
      <c r="W483">
        <v>1</v>
      </c>
      <c r="X483">
        <v>2.835358796</v>
      </c>
      <c r="Y483" t="s">
        <v>2579</v>
      </c>
      <c r="Z483" t="s">
        <v>4393</v>
      </c>
      <c r="AA483" t="s">
        <v>2592</v>
      </c>
      <c r="AB483" t="s">
        <v>1278</v>
      </c>
      <c r="AC483" t="s">
        <v>2746</v>
      </c>
      <c r="AD483" t="s">
        <v>2708</v>
      </c>
      <c r="AE483">
        <v>1</v>
      </c>
      <c r="AO483" t="s">
        <v>2388</v>
      </c>
      <c r="AP483" t="s">
        <v>2401</v>
      </c>
    </row>
    <row r="484" spans="1:42">
      <c r="A484" t="s">
        <v>870</v>
      </c>
      <c r="B484" t="s">
        <v>2377</v>
      </c>
      <c r="C484" t="s">
        <v>2390</v>
      </c>
      <c r="D484" t="s">
        <v>2379</v>
      </c>
      <c r="E484" t="s">
        <v>18</v>
      </c>
      <c r="F484" t="s">
        <v>3339</v>
      </c>
      <c r="G484" t="s">
        <v>2416</v>
      </c>
      <c r="H484" t="b">
        <v>1</v>
      </c>
      <c r="I484" s="8">
        <v>45954.49082175926</v>
      </c>
      <c r="J484" t="s">
        <v>2380</v>
      </c>
      <c r="L484">
        <v>603714</v>
      </c>
      <c r="M484" t="s">
        <v>2381</v>
      </c>
      <c r="P484" t="s">
        <v>3477</v>
      </c>
      <c r="Q484" t="s">
        <v>2383</v>
      </c>
      <c r="R484">
        <v>1</v>
      </c>
      <c r="S484" t="s">
        <v>2380</v>
      </c>
      <c r="T484" t="s">
        <v>2383</v>
      </c>
      <c r="U484" s="8">
        <v>45951.602696759262</v>
      </c>
      <c r="V484" s="8">
        <v>45954.958333333336</v>
      </c>
      <c r="W484">
        <v>1</v>
      </c>
      <c r="X484">
        <v>2.8881250000000001</v>
      </c>
      <c r="Y484" t="s">
        <v>3340</v>
      </c>
      <c r="Z484" t="s">
        <v>4651</v>
      </c>
      <c r="AA484" t="s">
        <v>3480</v>
      </c>
      <c r="AB484" t="s">
        <v>1278</v>
      </c>
      <c r="AC484" t="s">
        <v>4652</v>
      </c>
      <c r="AD484" t="s">
        <v>2708</v>
      </c>
      <c r="AE484">
        <v>1</v>
      </c>
      <c r="AO484" t="s">
        <v>2957</v>
      </c>
      <c r="AP484" t="s">
        <v>2401</v>
      </c>
    </row>
    <row r="485" spans="1:42">
      <c r="A485" t="s">
        <v>3482</v>
      </c>
      <c r="B485" t="s">
        <v>2377</v>
      </c>
      <c r="C485" t="s">
        <v>2390</v>
      </c>
      <c r="D485" t="s">
        <v>2379</v>
      </c>
      <c r="E485" t="s">
        <v>25</v>
      </c>
      <c r="F485" t="s">
        <v>3339</v>
      </c>
      <c r="G485" t="s">
        <v>25</v>
      </c>
      <c r="H485" t="b">
        <v>1</v>
      </c>
      <c r="I485" s="8">
        <v>45954.56658564815</v>
      </c>
      <c r="J485" t="s">
        <v>2380</v>
      </c>
      <c r="L485">
        <v>605117</v>
      </c>
      <c r="M485" t="s">
        <v>2381</v>
      </c>
      <c r="P485" t="s">
        <v>3477</v>
      </c>
      <c r="Q485" t="s">
        <v>2383</v>
      </c>
      <c r="R485">
        <v>1</v>
      </c>
      <c r="S485" t="s">
        <v>2380</v>
      </c>
      <c r="T485" t="s">
        <v>2383</v>
      </c>
      <c r="U485" s="8">
        <v>45951.603217592594</v>
      </c>
      <c r="V485" s="8">
        <v>45954.958333333336</v>
      </c>
      <c r="W485">
        <v>1</v>
      </c>
      <c r="X485">
        <v>2.9633680560000002</v>
      </c>
      <c r="Y485" t="s">
        <v>3340</v>
      </c>
      <c r="Z485" t="s">
        <v>3483</v>
      </c>
      <c r="AA485" t="s">
        <v>3484</v>
      </c>
      <c r="AB485" t="s">
        <v>1278</v>
      </c>
      <c r="AC485" t="s">
        <v>2892</v>
      </c>
      <c r="AE485">
        <v>1</v>
      </c>
      <c r="AO485" t="s">
        <v>2957</v>
      </c>
      <c r="AP485" t="s">
        <v>2401</v>
      </c>
    </row>
    <row r="486" spans="1:42">
      <c r="A486" t="s">
        <v>1049</v>
      </c>
      <c r="B486" t="s">
        <v>2377</v>
      </c>
      <c r="C486" t="s">
        <v>2390</v>
      </c>
      <c r="D486" t="s">
        <v>2379</v>
      </c>
      <c r="E486" t="s">
        <v>24</v>
      </c>
      <c r="F486" t="s">
        <v>2588</v>
      </c>
      <c r="G486" t="s">
        <v>24</v>
      </c>
      <c r="H486" t="b">
        <v>1</v>
      </c>
      <c r="I486" s="8">
        <v>45954.44431712963</v>
      </c>
      <c r="J486" t="s">
        <v>2380</v>
      </c>
      <c r="L486">
        <v>603959</v>
      </c>
      <c r="M486" t="s">
        <v>2381</v>
      </c>
      <c r="P486" t="s">
        <v>2589</v>
      </c>
      <c r="Q486" t="s">
        <v>2383</v>
      </c>
      <c r="R486">
        <v>1</v>
      </c>
      <c r="S486" t="s">
        <v>2380</v>
      </c>
      <c r="T486" t="s">
        <v>2383</v>
      </c>
      <c r="U486" s="8">
        <v>45951.60429398148</v>
      </c>
      <c r="V486" s="8">
        <v>45954.958333333336</v>
      </c>
      <c r="W486">
        <v>1</v>
      </c>
      <c r="X486">
        <v>2.8400231480000002</v>
      </c>
      <c r="Y486" t="s">
        <v>2579</v>
      </c>
      <c r="Z486" t="s">
        <v>4394</v>
      </c>
      <c r="AA486" t="s">
        <v>2592</v>
      </c>
      <c r="AB486" t="s">
        <v>1278</v>
      </c>
      <c r="AC486" t="s">
        <v>2746</v>
      </c>
      <c r="AD486" t="s">
        <v>2708</v>
      </c>
      <c r="AE486">
        <v>1</v>
      </c>
      <c r="AO486" t="s">
        <v>2388</v>
      </c>
      <c r="AP486" t="s">
        <v>2401</v>
      </c>
    </row>
    <row r="487" spans="1:42">
      <c r="A487" t="s">
        <v>3052</v>
      </c>
      <c r="B487" t="s">
        <v>2389</v>
      </c>
      <c r="C487" t="s">
        <v>2390</v>
      </c>
      <c r="D487" t="s">
        <v>2379</v>
      </c>
      <c r="E487" t="s">
        <v>2452</v>
      </c>
      <c r="F487" t="s">
        <v>2402</v>
      </c>
      <c r="G487" t="s">
        <v>2452</v>
      </c>
      <c r="H487" t="b">
        <v>1</v>
      </c>
      <c r="I487" s="8">
        <v>45954.433298611111</v>
      </c>
      <c r="J487" t="s">
        <v>2380</v>
      </c>
      <c r="K487">
        <v>1204406</v>
      </c>
      <c r="L487">
        <v>602880</v>
      </c>
      <c r="M487" t="s">
        <v>2381</v>
      </c>
      <c r="P487" t="s">
        <v>3051</v>
      </c>
      <c r="Q487" t="s">
        <v>2383</v>
      </c>
      <c r="R487">
        <v>1</v>
      </c>
      <c r="S487" t="s">
        <v>2380</v>
      </c>
      <c r="T487" t="s">
        <v>2383</v>
      </c>
      <c r="U487" s="8">
        <v>45951.6172337963</v>
      </c>
      <c r="V487" s="8">
        <v>45954.958333333336</v>
      </c>
      <c r="W487">
        <v>1</v>
      </c>
      <c r="X487">
        <v>2.8160648149999998</v>
      </c>
      <c r="Y487" t="s">
        <v>2403</v>
      </c>
      <c r="Z487" t="s">
        <v>3053</v>
      </c>
      <c r="AA487" t="s">
        <v>1776</v>
      </c>
      <c r="AB487" t="s">
        <v>1278</v>
      </c>
      <c r="AC487" t="s">
        <v>3054</v>
      </c>
      <c r="AD487" t="s">
        <v>2708</v>
      </c>
      <c r="AE487">
        <v>1</v>
      </c>
      <c r="AO487" t="s">
        <v>2408</v>
      </c>
      <c r="AP487" t="s">
        <v>2401</v>
      </c>
    </row>
    <row r="488" spans="1:42">
      <c r="A488" t="s">
        <v>3055</v>
      </c>
      <c r="B488" t="s">
        <v>2389</v>
      </c>
      <c r="C488" t="s">
        <v>2390</v>
      </c>
      <c r="D488" t="s">
        <v>2379</v>
      </c>
      <c r="E488" t="s">
        <v>2452</v>
      </c>
      <c r="F488" t="s">
        <v>2402</v>
      </c>
      <c r="G488" t="s">
        <v>2452</v>
      </c>
      <c r="H488" t="b">
        <v>1</v>
      </c>
      <c r="I488" s="8">
        <v>45954.457696759258</v>
      </c>
      <c r="J488" t="s">
        <v>2380</v>
      </c>
      <c r="K488">
        <v>1204417</v>
      </c>
      <c r="L488">
        <v>602880</v>
      </c>
      <c r="M488" t="s">
        <v>2381</v>
      </c>
      <c r="P488" t="s">
        <v>3051</v>
      </c>
      <c r="Q488" t="s">
        <v>2383</v>
      </c>
      <c r="R488">
        <v>1</v>
      </c>
      <c r="S488" t="s">
        <v>2380</v>
      </c>
      <c r="T488" t="s">
        <v>2383</v>
      </c>
      <c r="U488" s="8">
        <v>45951.617962962962</v>
      </c>
      <c r="V488" s="8">
        <v>45960.958333333336</v>
      </c>
      <c r="W488">
        <v>1</v>
      </c>
      <c r="X488">
        <v>2.839733796</v>
      </c>
      <c r="Y488" t="s">
        <v>2403</v>
      </c>
      <c r="Z488" t="s">
        <v>3056</v>
      </c>
      <c r="AA488" t="s">
        <v>1776</v>
      </c>
      <c r="AB488" t="s">
        <v>1278</v>
      </c>
      <c r="AC488" t="s">
        <v>3057</v>
      </c>
      <c r="AD488" t="s">
        <v>2708</v>
      </c>
      <c r="AE488">
        <v>1</v>
      </c>
      <c r="AO488" t="s">
        <v>2408</v>
      </c>
      <c r="AP488" t="s">
        <v>2401</v>
      </c>
    </row>
    <row r="489" spans="1:42">
      <c r="A489" t="s">
        <v>126</v>
      </c>
      <c r="B489" t="s">
        <v>2377</v>
      </c>
      <c r="C489" t="s">
        <v>2438</v>
      </c>
      <c r="D489" t="s">
        <v>2379</v>
      </c>
      <c r="E489" t="s">
        <v>28</v>
      </c>
      <c r="F489" t="s">
        <v>2402</v>
      </c>
      <c r="G489" t="s">
        <v>28</v>
      </c>
      <c r="H489" t="b">
        <v>1</v>
      </c>
      <c r="I489" s="8">
        <v>45951.658148148148</v>
      </c>
      <c r="J489" t="s">
        <v>2380</v>
      </c>
      <c r="L489">
        <v>603626</v>
      </c>
      <c r="M489" t="s">
        <v>2381</v>
      </c>
      <c r="N489">
        <v>20</v>
      </c>
      <c r="P489" t="s">
        <v>2704</v>
      </c>
      <c r="Q489" t="s">
        <v>2383</v>
      </c>
      <c r="R489">
        <v>1</v>
      </c>
      <c r="S489" t="s">
        <v>2380</v>
      </c>
      <c r="T489" t="s">
        <v>2383</v>
      </c>
      <c r="U489" s="8">
        <v>45951.628599537034</v>
      </c>
      <c r="V489" s="8">
        <v>45954.958333333336</v>
      </c>
      <c r="W489">
        <v>1</v>
      </c>
      <c r="X489">
        <v>2.9548610999999999E-2</v>
      </c>
      <c r="Y489" t="s">
        <v>2403</v>
      </c>
      <c r="Z489" t="s">
        <v>8556</v>
      </c>
      <c r="AA489" t="s">
        <v>8557</v>
      </c>
      <c r="AB489" t="s">
        <v>1278</v>
      </c>
      <c r="AC489" t="s">
        <v>3073</v>
      </c>
      <c r="AD489" t="s">
        <v>2708</v>
      </c>
      <c r="AE489">
        <v>1</v>
      </c>
      <c r="AO489" t="s">
        <v>3586</v>
      </c>
      <c r="AP489" t="s">
        <v>2401</v>
      </c>
    </row>
    <row r="490" spans="1:42">
      <c r="A490" t="s">
        <v>1177</v>
      </c>
      <c r="B490" t="s">
        <v>2377</v>
      </c>
      <c r="C490" t="s">
        <v>2378</v>
      </c>
      <c r="D490" t="s">
        <v>2379</v>
      </c>
      <c r="E490" t="s">
        <v>24</v>
      </c>
      <c r="F490" t="s">
        <v>3261</v>
      </c>
      <c r="G490" t="s">
        <v>24</v>
      </c>
      <c r="H490" t="b">
        <v>1</v>
      </c>
      <c r="I490" s="8">
        <v>45954.694884259261</v>
      </c>
      <c r="J490" t="s">
        <v>2380</v>
      </c>
      <c r="L490">
        <v>603787</v>
      </c>
      <c r="M490" t="s">
        <v>2381</v>
      </c>
      <c r="P490" t="s">
        <v>4624</v>
      </c>
      <c r="Q490" t="s">
        <v>2383</v>
      </c>
      <c r="R490">
        <v>1</v>
      </c>
      <c r="S490" t="s">
        <v>2380</v>
      </c>
      <c r="T490" t="s">
        <v>2383</v>
      </c>
      <c r="U490" s="8">
        <v>45951.635717592595</v>
      </c>
      <c r="V490" s="8">
        <v>45954.958333333336</v>
      </c>
      <c r="W490">
        <v>1</v>
      </c>
      <c r="X490">
        <v>3.059166667</v>
      </c>
      <c r="Y490" t="s">
        <v>3262</v>
      </c>
      <c r="Z490" t="s">
        <v>4625</v>
      </c>
      <c r="AA490" t="s">
        <v>4626</v>
      </c>
      <c r="AB490" t="s">
        <v>1278</v>
      </c>
      <c r="AC490" t="s">
        <v>4627</v>
      </c>
      <c r="AD490" t="s">
        <v>2708</v>
      </c>
      <c r="AE490">
        <v>1</v>
      </c>
      <c r="AO490" t="s">
        <v>2957</v>
      </c>
      <c r="AP490" t="s">
        <v>2401</v>
      </c>
    </row>
    <row r="491" spans="1:42">
      <c r="A491" t="s">
        <v>143</v>
      </c>
      <c r="B491" t="s">
        <v>2377</v>
      </c>
      <c r="C491" t="s">
        <v>2390</v>
      </c>
      <c r="D491" t="s">
        <v>2379</v>
      </c>
      <c r="E491" t="s">
        <v>33</v>
      </c>
      <c r="F491" t="s">
        <v>7055</v>
      </c>
      <c r="G491" t="s">
        <v>33</v>
      </c>
      <c r="H491" t="b">
        <v>1</v>
      </c>
      <c r="I491" s="8">
        <v>45953.66615740741</v>
      </c>
      <c r="J491" t="s">
        <v>2380</v>
      </c>
      <c r="L491">
        <v>602993</v>
      </c>
      <c r="M491" t="s">
        <v>2381</v>
      </c>
      <c r="P491" t="s">
        <v>8867</v>
      </c>
      <c r="Q491" t="s">
        <v>2383</v>
      </c>
      <c r="R491">
        <v>1</v>
      </c>
      <c r="S491" t="s">
        <v>2380</v>
      </c>
      <c r="T491" t="s">
        <v>2383</v>
      </c>
      <c r="U491" s="8">
        <v>45951.636620370373</v>
      </c>
      <c r="V491" s="8">
        <v>45954.958333333336</v>
      </c>
      <c r="W491">
        <v>1</v>
      </c>
      <c r="X491">
        <v>2.0295370369999999</v>
      </c>
      <c r="Y491" t="s">
        <v>7056</v>
      </c>
      <c r="Z491" t="s">
        <v>8868</v>
      </c>
      <c r="AA491" t="s">
        <v>7059</v>
      </c>
      <c r="AB491" t="s">
        <v>1278</v>
      </c>
      <c r="AC491" t="s">
        <v>8869</v>
      </c>
      <c r="AD491" t="s">
        <v>2708</v>
      </c>
      <c r="AE491">
        <v>1</v>
      </c>
      <c r="AH491" t="s">
        <v>2723</v>
      </c>
      <c r="AI491" s="8">
        <v>45953.664004629631</v>
      </c>
      <c r="AK491" t="s">
        <v>2719</v>
      </c>
      <c r="AL491" t="s">
        <v>2724</v>
      </c>
      <c r="AO491" t="s">
        <v>2388</v>
      </c>
      <c r="AP491" t="s">
        <v>2401</v>
      </c>
    </row>
    <row r="492" spans="1:42">
      <c r="A492" t="s">
        <v>8691</v>
      </c>
      <c r="B492" t="s">
        <v>2389</v>
      </c>
      <c r="C492" t="s">
        <v>2390</v>
      </c>
      <c r="D492" t="s">
        <v>2379</v>
      </c>
      <c r="E492" t="s">
        <v>2452</v>
      </c>
      <c r="F492" t="s">
        <v>3891</v>
      </c>
      <c r="G492" t="s">
        <v>2452</v>
      </c>
      <c r="H492" t="b">
        <v>1</v>
      </c>
      <c r="I492" s="8">
        <v>45954.465069444443</v>
      </c>
      <c r="J492" t="s">
        <v>2380</v>
      </c>
      <c r="K492">
        <v>1204420</v>
      </c>
      <c r="L492">
        <v>603165</v>
      </c>
      <c r="M492" t="s">
        <v>2381</v>
      </c>
      <c r="P492" t="s">
        <v>5007</v>
      </c>
      <c r="Q492" t="s">
        <v>2383</v>
      </c>
      <c r="R492">
        <v>1</v>
      </c>
      <c r="S492" t="s">
        <v>2380</v>
      </c>
      <c r="T492" t="s">
        <v>2383</v>
      </c>
      <c r="U492" s="8">
        <v>45951.642766203702</v>
      </c>
      <c r="V492" s="8">
        <v>45954.958333333336</v>
      </c>
      <c r="W492">
        <v>1</v>
      </c>
      <c r="X492">
        <v>2.8223032410000002</v>
      </c>
      <c r="Y492" t="s">
        <v>3892</v>
      </c>
      <c r="Z492" t="s">
        <v>8692</v>
      </c>
      <c r="AA492" t="s">
        <v>1405</v>
      </c>
      <c r="AB492" t="s">
        <v>1278</v>
      </c>
      <c r="AC492" t="s">
        <v>8693</v>
      </c>
      <c r="AD492" t="s">
        <v>2708</v>
      </c>
      <c r="AE492">
        <v>1</v>
      </c>
      <c r="AO492" t="s">
        <v>2715</v>
      </c>
      <c r="AP492" t="s">
        <v>2401</v>
      </c>
    </row>
    <row r="493" spans="1:42">
      <c r="A493" t="s">
        <v>8616</v>
      </c>
      <c r="B493" t="s">
        <v>2389</v>
      </c>
      <c r="C493" t="s">
        <v>2415</v>
      </c>
      <c r="D493" t="s">
        <v>2379</v>
      </c>
      <c r="E493" t="s">
        <v>33</v>
      </c>
      <c r="F493" t="s">
        <v>3735</v>
      </c>
      <c r="G493" t="s">
        <v>33</v>
      </c>
      <c r="H493" t="b">
        <v>1</v>
      </c>
      <c r="I493" s="8">
        <v>45953.418819444443</v>
      </c>
      <c r="J493" t="s">
        <v>2380</v>
      </c>
      <c r="K493">
        <v>1204152</v>
      </c>
      <c r="L493">
        <v>601379</v>
      </c>
      <c r="M493" t="s">
        <v>2381</v>
      </c>
      <c r="P493" t="s">
        <v>3736</v>
      </c>
      <c r="Q493" t="s">
        <v>2383</v>
      </c>
      <c r="R493">
        <v>1</v>
      </c>
      <c r="S493" t="s">
        <v>2380</v>
      </c>
      <c r="T493" t="s">
        <v>2383</v>
      </c>
      <c r="U493" s="8">
        <v>45951.645451388889</v>
      </c>
      <c r="V493" s="8">
        <v>45954.958333333336</v>
      </c>
      <c r="W493">
        <v>1</v>
      </c>
      <c r="X493">
        <v>1.773368056</v>
      </c>
      <c r="Y493" t="s">
        <v>1352</v>
      </c>
      <c r="Z493" t="s">
        <v>8617</v>
      </c>
      <c r="AA493" t="s">
        <v>3738</v>
      </c>
      <c r="AB493" t="s">
        <v>1278</v>
      </c>
      <c r="AC493" t="s">
        <v>8618</v>
      </c>
      <c r="AD493" t="s">
        <v>2708</v>
      </c>
      <c r="AE493">
        <v>1</v>
      </c>
      <c r="AO493" t="s">
        <v>2720</v>
      </c>
      <c r="AP493" t="s">
        <v>2401</v>
      </c>
    </row>
    <row r="494" spans="1:42">
      <c r="A494" t="s">
        <v>9923</v>
      </c>
      <c r="B494" t="s">
        <v>2389</v>
      </c>
      <c r="C494" t="s">
        <v>2415</v>
      </c>
      <c r="D494" t="s">
        <v>2379</v>
      </c>
      <c r="E494" t="s">
        <v>33</v>
      </c>
      <c r="F494" t="s">
        <v>3735</v>
      </c>
      <c r="G494" t="s">
        <v>33</v>
      </c>
      <c r="H494" t="b">
        <v>1</v>
      </c>
      <c r="I494" s="8">
        <v>45953.420173611114</v>
      </c>
      <c r="J494" t="s">
        <v>2380</v>
      </c>
      <c r="L494">
        <v>601379</v>
      </c>
      <c r="M494" t="s">
        <v>2381</v>
      </c>
      <c r="P494" t="s">
        <v>3736</v>
      </c>
      <c r="Q494" t="s">
        <v>2383</v>
      </c>
      <c r="R494">
        <v>1</v>
      </c>
      <c r="S494" t="s">
        <v>2380</v>
      </c>
      <c r="T494" t="s">
        <v>2383</v>
      </c>
      <c r="U494" s="8">
        <v>45951.647488425922</v>
      </c>
      <c r="V494" s="8">
        <v>45954.958333333336</v>
      </c>
      <c r="W494">
        <v>1</v>
      </c>
      <c r="X494">
        <v>1.7726851850000001</v>
      </c>
      <c r="Y494" t="s">
        <v>1352</v>
      </c>
      <c r="Z494" t="s">
        <v>9924</v>
      </c>
      <c r="AA494" t="s">
        <v>3738</v>
      </c>
      <c r="AB494" t="s">
        <v>1278</v>
      </c>
      <c r="AC494" t="s">
        <v>9925</v>
      </c>
      <c r="AE494">
        <v>1</v>
      </c>
      <c r="AO494" t="s">
        <v>2720</v>
      </c>
      <c r="AP494" t="s">
        <v>2401</v>
      </c>
    </row>
    <row r="495" spans="1:42">
      <c r="A495" t="s">
        <v>4836</v>
      </c>
      <c r="B495" t="s">
        <v>2389</v>
      </c>
      <c r="C495" t="s">
        <v>2378</v>
      </c>
      <c r="D495" t="s">
        <v>2379</v>
      </c>
      <c r="E495" t="s">
        <v>28</v>
      </c>
      <c r="F495" t="s">
        <v>4835</v>
      </c>
      <c r="G495" t="s">
        <v>28</v>
      </c>
      <c r="H495" t="b">
        <v>1</v>
      </c>
      <c r="I495" s="8">
        <v>45954.685289351852</v>
      </c>
      <c r="J495" t="s">
        <v>2380</v>
      </c>
      <c r="K495">
        <v>1204596</v>
      </c>
      <c r="L495">
        <v>609275</v>
      </c>
      <c r="M495" t="s">
        <v>2381</v>
      </c>
      <c r="N495">
        <v>15</v>
      </c>
      <c r="P495" t="s">
        <v>3637</v>
      </c>
      <c r="Q495" t="s">
        <v>2383</v>
      </c>
      <c r="R495">
        <v>1</v>
      </c>
      <c r="S495" t="s">
        <v>2380</v>
      </c>
      <c r="T495" t="s">
        <v>2383</v>
      </c>
      <c r="U495" s="8">
        <v>45951.65047453704</v>
      </c>
      <c r="V495" s="8">
        <v>45954.958333333336</v>
      </c>
      <c r="W495">
        <v>1</v>
      </c>
      <c r="X495">
        <v>3.0348148149999998</v>
      </c>
      <c r="Y495" t="s">
        <v>2628</v>
      </c>
      <c r="Z495" t="s">
        <v>4837</v>
      </c>
      <c r="AA495" t="s">
        <v>4838</v>
      </c>
      <c r="AB495" t="s">
        <v>1278</v>
      </c>
      <c r="AC495" t="s">
        <v>4839</v>
      </c>
      <c r="AD495" t="s">
        <v>2708</v>
      </c>
      <c r="AE495">
        <v>1</v>
      </c>
      <c r="AO495" t="s">
        <v>2957</v>
      </c>
      <c r="AP495" t="s">
        <v>2401</v>
      </c>
    </row>
    <row r="496" spans="1:42">
      <c r="A496" t="s">
        <v>8350</v>
      </c>
      <c r="B496" t="s">
        <v>2389</v>
      </c>
      <c r="C496" t="s">
        <v>2378</v>
      </c>
      <c r="D496" t="s">
        <v>2379</v>
      </c>
      <c r="E496" t="s">
        <v>28</v>
      </c>
      <c r="F496" t="s">
        <v>4835</v>
      </c>
      <c r="G496" t="s">
        <v>28</v>
      </c>
      <c r="H496" t="b">
        <v>1</v>
      </c>
      <c r="I496" s="8">
        <v>45954.682754629626</v>
      </c>
      <c r="J496" t="s">
        <v>2380</v>
      </c>
      <c r="K496">
        <v>1204595</v>
      </c>
      <c r="L496">
        <v>609275</v>
      </c>
      <c r="M496" t="s">
        <v>2381</v>
      </c>
      <c r="N496">
        <v>15</v>
      </c>
      <c r="P496" t="s">
        <v>3637</v>
      </c>
      <c r="Q496" t="s">
        <v>2383</v>
      </c>
      <c r="R496">
        <v>1</v>
      </c>
      <c r="S496" t="s">
        <v>2380</v>
      </c>
      <c r="T496" t="s">
        <v>2383</v>
      </c>
      <c r="U496" s="8">
        <v>45951.652465277781</v>
      </c>
      <c r="V496" s="8">
        <v>45954.958333333336</v>
      </c>
      <c r="W496">
        <v>1</v>
      </c>
      <c r="X496">
        <v>3.030289352</v>
      </c>
      <c r="Y496" t="s">
        <v>2628</v>
      </c>
      <c r="Z496" t="s">
        <v>8351</v>
      </c>
      <c r="AA496" t="s">
        <v>4838</v>
      </c>
      <c r="AB496" t="s">
        <v>1278</v>
      </c>
      <c r="AC496" t="s">
        <v>8352</v>
      </c>
      <c r="AD496" t="s">
        <v>2708</v>
      </c>
      <c r="AE496">
        <v>1</v>
      </c>
      <c r="AO496" t="s">
        <v>2957</v>
      </c>
      <c r="AP496" t="s">
        <v>2401</v>
      </c>
    </row>
    <row r="497" spans="1:42">
      <c r="A497" t="s">
        <v>507</v>
      </c>
      <c r="B497" t="s">
        <v>2377</v>
      </c>
      <c r="C497" t="s">
        <v>2378</v>
      </c>
      <c r="D497" t="s">
        <v>2379</v>
      </c>
      <c r="E497" t="s">
        <v>28</v>
      </c>
      <c r="F497" t="s">
        <v>3891</v>
      </c>
      <c r="G497" t="s">
        <v>28</v>
      </c>
      <c r="H497" t="b">
        <v>1</v>
      </c>
      <c r="I497" s="8">
        <v>45954.673090277778</v>
      </c>
      <c r="J497" t="s">
        <v>2380</v>
      </c>
      <c r="L497">
        <v>602656</v>
      </c>
      <c r="M497" t="s">
        <v>2381</v>
      </c>
      <c r="N497">
        <v>15</v>
      </c>
      <c r="P497" t="s">
        <v>3896</v>
      </c>
      <c r="Q497" t="s">
        <v>2383</v>
      </c>
      <c r="R497">
        <v>1</v>
      </c>
      <c r="S497" t="s">
        <v>2380</v>
      </c>
      <c r="T497" t="s">
        <v>2383</v>
      </c>
      <c r="U497" s="8">
        <v>45951.657997685186</v>
      </c>
      <c r="V497" s="8">
        <v>45954.958333333336</v>
      </c>
      <c r="W497">
        <v>1</v>
      </c>
      <c r="X497">
        <v>3.0150925929999999</v>
      </c>
      <c r="Y497" t="s">
        <v>3892</v>
      </c>
      <c r="Z497" t="s">
        <v>8703</v>
      </c>
      <c r="AA497" t="s">
        <v>5016</v>
      </c>
      <c r="AB497" t="s">
        <v>1278</v>
      </c>
      <c r="AC497" t="s">
        <v>3066</v>
      </c>
      <c r="AD497" t="s">
        <v>2708</v>
      </c>
      <c r="AE497">
        <v>1</v>
      </c>
      <c r="AO497" t="s">
        <v>2715</v>
      </c>
      <c r="AP497" t="s">
        <v>2401</v>
      </c>
    </row>
    <row r="498" spans="1:42">
      <c r="A498" t="s">
        <v>132</v>
      </c>
      <c r="B498" t="s">
        <v>2377</v>
      </c>
      <c r="C498" t="s">
        <v>2438</v>
      </c>
      <c r="D498" t="s">
        <v>2379</v>
      </c>
      <c r="E498" t="s">
        <v>28</v>
      </c>
      <c r="F498" t="s">
        <v>4897</v>
      </c>
      <c r="G498" t="s">
        <v>28</v>
      </c>
      <c r="H498" t="b">
        <v>1</v>
      </c>
      <c r="I498" s="8">
        <v>45951.678518518522</v>
      </c>
      <c r="J498" t="s">
        <v>2380</v>
      </c>
      <c r="L498">
        <v>606854</v>
      </c>
      <c r="M498" t="s">
        <v>2381</v>
      </c>
      <c r="N498">
        <v>20</v>
      </c>
      <c r="P498" t="s">
        <v>2704</v>
      </c>
      <c r="Q498" t="s">
        <v>2383</v>
      </c>
      <c r="R498">
        <v>1</v>
      </c>
      <c r="S498" t="s">
        <v>2380</v>
      </c>
      <c r="T498" t="s">
        <v>2383</v>
      </c>
      <c r="U498" s="8">
        <v>45951.659675925926</v>
      </c>
      <c r="V498" s="8">
        <v>45954.958333333336</v>
      </c>
      <c r="W498">
        <v>1</v>
      </c>
      <c r="X498">
        <v>1.8842593000000001E-2</v>
      </c>
      <c r="Y498" t="s">
        <v>4898</v>
      </c>
      <c r="Z498" t="s">
        <v>8709</v>
      </c>
      <c r="AA498" t="s">
        <v>8710</v>
      </c>
      <c r="AB498" t="s">
        <v>1278</v>
      </c>
      <c r="AC498" t="s">
        <v>3066</v>
      </c>
      <c r="AD498" t="s">
        <v>2708</v>
      </c>
      <c r="AE498">
        <v>1</v>
      </c>
      <c r="AO498" t="s">
        <v>2715</v>
      </c>
      <c r="AP498" t="s">
        <v>2401</v>
      </c>
    </row>
    <row r="499" spans="1:42">
      <c r="A499" t="s">
        <v>4779</v>
      </c>
      <c r="B499" t="s">
        <v>2389</v>
      </c>
      <c r="C499" t="s">
        <v>2390</v>
      </c>
      <c r="D499" t="s">
        <v>2379</v>
      </c>
      <c r="E499" t="s">
        <v>2452</v>
      </c>
      <c r="F499" t="s">
        <v>3539</v>
      </c>
      <c r="G499" t="s">
        <v>2452</v>
      </c>
      <c r="H499" t="b">
        <v>1</v>
      </c>
      <c r="I499" s="8">
        <v>45954.63318287037</v>
      </c>
      <c r="J499" t="s">
        <v>2380</v>
      </c>
      <c r="K499">
        <v>1204572</v>
      </c>
      <c r="L499">
        <v>609892</v>
      </c>
      <c r="M499" t="s">
        <v>2381</v>
      </c>
      <c r="P499" t="s">
        <v>3540</v>
      </c>
      <c r="Q499" t="s">
        <v>2383</v>
      </c>
      <c r="R499">
        <v>1</v>
      </c>
      <c r="S499" t="s">
        <v>2380</v>
      </c>
      <c r="T499" t="s">
        <v>2383</v>
      </c>
      <c r="U499" s="8">
        <v>45951.666990740741</v>
      </c>
      <c r="V499" s="8">
        <v>45954.958333333336</v>
      </c>
      <c r="W499">
        <v>1</v>
      </c>
      <c r="X499">
        <v>2.96619213</v>
      </c>
      <c r="Y499" t="s">
        <v>3521</v>
      </c>
      <c r="Z499" t="s">
        <v>4780</v>
      </c>
      <c r="AA499" t="s">
        <v>4781</v>
      </c>
      <c r="AB499" t="s">
        <v>1278</v>
      </c>
      <c r="AC499" t="s">
        <v>4782</v>
      </c>
      <c r="AD499" t="s">
        <v>2708</v>
      </c>
      <c r="AE499">
        <v>1</v>
      </c>
      <c r="AO499" t="s">
        <v>2957</v>
      </c>
      <c r="AP499" t="s">
        <v>2401</v>
      </c>
    </row>
    <row r="500" spans="1:42">
      <c r="A500" t="s">
        <v>2671</v>
      </c>
      <c r="B500" t="s">
        <v>2389</v>
      </c>
      <c r="C500" t="s">
        <v>2390</v>
      </c>
      <c r="D500" t="s">
        <v>2379</v>
      </c>
      <c r="E500" t="s">
        <v>2452</v>
      </c>
      <c r="F500" t="s">
        <v>2588</v>
      </c>
      <c r="G500" t="s">
        <v>2452</v>
      </c>
      <c r="H500" t="b">
        <v>1</v>
      </c>
      <c r="I500" s="8">
        <v>45954.503067129626</v>
      </c>
      <c r="J500" t="s">
        <v>2380</v>
      </c>
      <c r="L500">
        <v>603906</v>
      </c>
      <c r="M500" t="s">
        <v>2381</v>
      </c>
      <c r="P500" t="s">
        <v>2670</v>
      </c>
      <c r="Q500" t="s">
        <v>2383</v>
      </c>
      <c r="R500">
        <v>1</v>
      </c>
      <c r="S500" t="s">
        <v>2380</v>
      </c>
      <c r="T500" t="s">
        <v>2383</v>
      </c>
      <c r="U500" s="8">
        <v>45951.667337962965</v>
      </c>
      <c r="V500" s="8">
        <v>45954.958333333336</v>
      </c>
      <c r="W500">
        <v>1</v>
      </c>
      <c r="X500">
        <v>2.8357291670000002</v>
      </c>
      <c r="Y500" t="s">
        <v>2579</v>
      </c>
      <c r="Z500" t="s">
        <v>2672</v>
      </c>
      <c r="AA500" t="s">
        <v>2673</v>
      </c>
      <c r="AB500" t="s">
        <v>1278</v>
      </c>
      <c r="AC500" t="s">
        <v>2674</v>
      </c>
      <c r="AE500">
        <v>1</v>
      </c>
      <c r="AO500" t="s">
        <v>2388</v>
      </c>
      <c r="AP500" t="s">
        <v>2401</v>
      </c>
    </row>
    <row r="501" spans="1:42">
      <c r="A501" t="s">
        <v>868</v>
      </c>
      <c r="B501" t="s">
        <v>2377</v>
      </c>
      <c r="C501" t="s">
        <v>2390</v>
      </c>
      <c r="D501" t="s">
        <v>2379</v>
      </c>
      <c r="E501" t="s">
        <v>24</v>
      </c>
      <c r="F501" t="s">
        <v>2402</v>
      </c>
      <c r="G501" t="s">
        <v>24</v>
      </c>
      <c r="H501" t="b">
        <v>1</v>
      </c>
      <c r="I501" s="8">
        <v>45954.459756944445</v>
      </c>
      <c r="J501" t="s">
        <v>2380</v>
      </c>
      <c r="L501">
        <v>603004</v>
      </c>
      <c r="M501" t="s">
        <v>2381</v>
      </c>
      <c r="P501" t="s">
        <v>2969</v>
      </c>
      <c r="Q501" t="s">
        <v>2383</v>
      </c>
      <c r="R501">
        <v>1</v>
      </c>
      <c r="S501" t="s">
        <v>2380</v>
      </c>
      <c r="T501" t="s">
        <v>2383</v>
      </c>
      <c r="U501" s="8">
        <v>45951.68953703704</v>
      </c>
      <c r="V501" s="8">
        <v>45954.958333333336</v>
      </c>
      <c r="W501">
        <v>1</v>
      </c>
      <c r="X501">
        <v>2.770219907</v>
      </c>
      <c r="Y501" t="s">
        <v>2403</v>
      </c>
      <c r="Z501" t="s">
        <v>2970</v>
      </c>
      <c r="AA501" t="s">
        <v>2971</v>
      </c>
      <c r="AB501" t="s">
        <v>1278</v>
      </c>
      <c r="AC501" t="s">
        <v>2746</v>
      </c>
      <c r="AD501" t="s">
        <v>2708</v>
      </c>
      <c r="AE501">
        <v>1</v>
      </c>
      <c r="AO501" t="s">
        <v>2408</v>
      </c>
      <c r="AP501" t="s">
        <v>2401</v>
      </c>
    </row>
    <row r="502" spans="1:42">
      <c r="A502" t="s">
        <v>210</v>
      </c>
      <c r="B502" t="s">
        <v>2377</v>
      </c>
      <c r="C502" t="s">
        <v>2415</v>
      </c>
      <c r="D502" t="s">
        <v>2379</v>
      </c>
      <c r="E502" t="s">
        <v>18</v>
      </c>
      <c r="F502" t="s">
        <v>3891</v>
      </c>
      <c r="G502" t="s">
        <v>2416</v>
      </c>
      <c r="H502" t="b">
        <v>1</v>
      </c>
      <c r="I502" s="8">
        <v>45953.516388888886</v>
      </c>
      <c r="J502" t="s">
        <v>2380</v>
      </c>
      <c r="L502">
        <v>606950</v>
      </c>
      <c r="M502" t="s">
        <v>2381</v>
      </c>
      <c r="P502" t="s">
        <v>2704</v>
      </c>
      <c r="Q502" t="s">
        <v>2383</v>
      </c>
      <c r="R502">
        <v>1</v>
      </c>
      <c r="S502" t="s">
        <v>2380</v>
      </c>
      <c r="T502" t="s">
        <v>2383</v>
      </c>
      <c r="U502" s="8">
        <v>45951.69730324074</v>
      </c>
      <c r="V502" s="8">
        <v>45959.958333333336</v>
      </c>
      <c r="W502">
        <v>1</v>
      </c>
      <c r="X502">
        <v>1.8190856479999999</v>
      </c>
      <c r="Y502" t="s">
        <v>3892</v>
      </c>
      <c r="Z502" t="s">
        <v>8678</v>
      </c>
      <c r="AA502" t="s">
        <v>8679</v>
      </c>
      <c r="AB502" t="s">
        <v>1278</v>
      </c>
      <c r="AC502" t="s">
        <v>8680</v>
      </c>
      <c r="AD502" t="s">
        <v>2708</v>
      </c>
      <c r="AE502">
        <v>1</v>
      </c>
      <c r="AO502" t="s">
        <v>2715</v>
      </c>
      <c r="AP502" t="s">
        <v>2401</v>
      </c>
    </row>
    <row r="503" spans="1:42">
      <c r="A503" t="s">
        <v>1050</v>
      </c>
      <c r="B503" t="s">
        <v>2377</v>
      </c>
      <c r="C503" t="s">
        <v>2390</v>
      </c>
      <c r="D503" t="s">
        <v>2379</v>
      </c>
      <c r="E503" t="s">
        <v>18</v>
      </c>
      <c r="F503" t="s">
        <v>2578</v>
      </c>
      <c r="G503" t="s">
        <v>2416</v>
      </c>
      <c r="H503" t="b">
        <v>1</v>
      </c>
      <c r="I503" s="8">
        <v>45954.45412037037</v>
      </c>
      <c r="J503" t="s">
        <v>2380</v>
      </c>
      <c r="L503">
        <v>602429</v>
      </c>
      <c r="M503" t="s">
        <v>2381</v>
      </c>
      <c r="P503" t="s">
        <v>8559</v>
      </c>
      <c r="Q503" t="s">
        <v>2383</v>
      </c>
      <c r="R503">
        <v>1</v>
      </c>
      <c r="S503" t="s">
        <v>2380</v>
      </c>
      <c r="T503" t="s">
        <v>2383</v>
      </c>
      <c r="U503" s="8">
        <v>45951.702210648145</v>
      </c>
      <c r="V503" s="8">
        <v>45954.958333333336</v>
      </c>
      <c r="W503">
        <v>1</v>
      </c>
      <c r="X503">
        <v>2.7519097220000002</v>
      </c>
      <c r="Y503" t="s">
        <v>2579</v>
      </c>
      <c r="Z503" t="s">
        <v>8560</v>
      </c>
      <c r="AA503" t="s">
        <v>3606</v>
      </c>
      <c r="AB503" t="s">
        <v>1278</v>
      </c>
      <c r="AC503" t="s">
        <v>8561</v>
      </c>
      <c r="AD503" t="s">
        <v>2708</v>
      </c>
      <c r="AE503">
        <v>1</v>
      </c>
      <c r="AO503" t="s">
        <v>3608</v>
      </c>
      <c r="AP503" t="s">
        <v>2401</v>
      </c>
    </row>
    <row r="504" spans="1:42">
      <c r="A504" t="s">
        <v>3047</v>
      </c>
      <c r="B504" t="s">
        <v>2389</v>
      </c>
      <c r="C504" t="s">
        <v>2390</v>
      </c>
      <c r="D504" t="s">
        <v>2379</v>
      </c>
      <c r="E504" t="s">
        <v>2452</v>
      </c>
      <c r="F504" t="s">
        <v>2417</v>
      </c>
      <c r="G504" t="s">
        <v>2452</v>
      </c>
      <c r="H504" t="b">
        <v>1</v>
      </c>
      <c r="I504" s="8">
        <v>45954.423460648148</v>
      </c>
      <c r="J504" t="s">
        <v>2380</v>
      </c>
      <c r="K504">
        <v>1204403</v>
      </c>
      <c r="L504">
        <v>609106</v>
      </c>
      <c r="M504" t="s">
        <v>2381</v>
      </c>
      <c r="P504" t="s">
        <v>3046</v>
      </c>
      <c r="Q504" t="s">
        <v>2383</v>
      </c>
      <c r="R504">
        <v>1</v>
      </c>
      <c r="S504" t="s">
        <v>2380</v>
      </c>
      <c r="T504" t="s">
        <v>2383</v>
      </c>
      <c r="U504" s="8">
        <v>45951.743402777778</v>
      </c>
      <c r="V504" s="8">
        <v>45954.958333333336</v>
      </c>
      <c r="W504">
        <v>1</v>
      </c>
      <c r="X504">
        <v>2.6800578700000002</v>
      </c>
      <c r="Y504" t="s">
        <v>2418</v>
      </c>
      <c r="Z504" t="s">
        <v>3048</v>
      </c>
      <c r="AA504" t="s">
        <v>3049</v>
      </c>
      <c r="AB504" t="s">
        <v>1278</v>
      </c>
      <c r="AC504" t="s">
        <v>3050</v>
      </c>
      <c r="AD504" t="s">
        <v>2708</v>
      </c>
      <c r="AE504">
        <v>1</v>
      </c>
      <c r="AO504" t="s">
        <v>2408</v>
      </c>
      <c r="AP504" t="s">
        <v>2401</v>
      </c>
    </row>
    <row r="505" spans="1:42">
      <c r="A505" t="s">
        <v>1081</v>
      </c>
      <c r="B505" t="s">
        <v>2377</v>
      </c>
      <c r="C505" t="s">
        <v>2390</v>
      </c>
      <c r="D505" t="s">
        <v>2379</v>
      </c>
      <c r="E505" t="s">
        <v>18</v>
      </c>
      <c r="F505" t="s">
        <v>3261</v>
      </c>
      <c r="G505" t="s">
        <v>2416</v>
      </c>
      <c r="H505" t="b">
        <v>1</v>
      </c>
      <c r="I505" s="8">
        <v>45954.465451388889</v>
      </c>
      <c r="J505" t="s">
        <v>2380</v>
      </c>
      <c r="L505">
        <v>601189</v>
      </c>
      <c r="M505" t="s">
        <v>2381</v>
      </c>
      <c r="P505" t="s">
        <v>4621</v>
      </c>
      <c r="Q505" t="s">
        <v>2383</v>
      </c>
      <c r="R505">
        <v>1</v>
      </c>
      <c r="S505" t="s">
        <v>2380</v>
      </c>
      <c r="T505" t="s">
        <v>2383</v>
      </c>
      <c r="U505" s="8">
        <v>45951.752928240741</v>
      </c>
      <c r="V505" s="8">
        <v>45954.958333333336</v>
      </c>
      <c r="W505">
        <v>1</v>
      </c>
      <c r="X505">
        <v>2.7125231479999998</v>
      </c>
      <c r="Y505" t="s">
        <v>3262</v>
      </c>
      <c r="Z505" t="s">
        <v>4622</v>
      </c>
      <c r="AA505" t="s">
        <v>4623</v>
      </c>
      <c r="AB505" t="s">
        <v>1278</v>
      </c>
      <c r="AC505" t="s">
        <v>2978</v>
      </c>
      <c r="AD505" t="s">
        <v>2708</v>
      </c>
      <c r="AE505">
        <v>1</v>
      </c>
      <c r="AO505" t="s">
        <v>2957</v>
      </c>
      <c r="AP505" t="s">
        <v>2401</v>
      </c>
    </row>
    <row r="506" spans="1:42">
      <c r="A506" t="s">
        <v>1191</v>
      </c>
      <c r="B506" t="s">
        <v>2377</v>
      </c>
      <c r="C506" t="s">
        <v>2390</v>
      </c>
      <c r="D506" t="s">
        <v>2379</v>
      </c>
      <c r="E506" t="s">
        <v>24</v>
      </c>
      <c r="F506">
        <v>6432</v>
      </c>
      <c r="G506" t="s">
        <v>24</v>
      </c>
      <c r="H506" t="b">
        <v>1</v>
      </c>
      <c r="I506" s="8">
        <v>45954.610451388886</v>
      </c>
      <c r="J506" t="s">
        <v>2380</v>
      </c>
      <c r="L506">
        <v>603879</v>
      </c>
      <c r="M506" t="s">
        <v>2381</v>
      </c>
      <c r="P506" t="s">
        <v>4397</v>
      </c>
      <c r="Q506" t="s">
        <v>2383</v>
      </c>
      <c r="R506">
        <v>1</v>
      </c>
      <c r="S506" t="s">
        <v>2380</v>
      </c>
      <c r="T506" t="s">
        <v>2383</v>
      </c>
      <c r="U506" s="8">
        <v>45951.793888888889</v>
      </c>
      <c r="V506" s="8">
        <v>45954.958333333336</v>
      </c>
      <c r="W506">
        <v>1</v>
      </c>
      <c r="X506">
        <v>2.8165624999999999</v>
      </c>
      <c r="Y506" t="s">
        <v>2602</v>
      </c>
      <c r="Z506" t="s">
        <v>4398</v>
      </c>
      <c r="AA506" t="s">
        <v>4399</v>
      </c>
      <c r="AB506" t="s">
        <v>1278</v>
      </c>
      <c r="AC506" t="s">
        <v>4400</v>
      </c>
      <c r="AD506" t="s">
        <v>2708</v>
      </c>
      <c r="AE506">
        <v>1</v>
      </c>
      <c r="AO506" t="s">
        <v>2388</v>
      </c>
      <c r="AP506" t="s">
        <v>2401</v>
      </c>
    </row>
    <row r="507" spans="1:42">
      <c r="A507" t="s">
        <v>8924</v>
      </c>
      <c r="B507" t="s">
        <v>2389</v>
      </c>
      <c r="C507" t="s">
        <v>2390</v>
      </c>
      <c r="D507" t="s">
        <v>2379</v>
      </c>
      <c r="E507" t="s">
        <v>28</v>
      </c>
      <c r="F507">
        <v>4271</v>
      </c>
      <c r="G507" t="s">
        <v>28</v>
      </c>
      <c r="H507" t="b">
        <v>1</v>
      </c>
      <c r="I507" s="8">
        <v>45954.697685185187</v>
      </c>
      <c r="J507" t="s">
        <v>2380</v>
      </c>
      <c r="K507">
        <v>1204594</v>
      </c>
      <c r="L507">
        <v>603200</v>
      </c>
      <c r="M507" t="s">
        <v>2381</v>
      </c>
      <c r="N507">
        <v>15</v>
      </c>
      <c r="P507" t="s">
        <v>2704</v>
      </c>
      <c r="Q507" t="s">
        <v>2383</v>
      </c>
      <c r="R507">
        <v>1</v>
      </c>
      <c r="S507" t="s">
        <v>2380</v>
      </c>
      <c r="T507" t="s">
        <v>2383</v>
      </c>
      <c r="U507" s="8">
        <v>45952.186712962961</v>
      </c>
      <c r="V507" s="8">
        <v>45954.958333333336</v>
      </c>
      <c r="W507">
        <v>1</v>
      </c>
      <c r="X507">
        <v>2.5109722219999999</v>
      </c>
      <c r="Y507" t="s">
        <v>4550</v>
      </c>
      <c r="Z507" t="s">
        <v>8925</v>
      </c>
      <c r="AA507" t="s">
        <v>4553</v>
      </c>
      <c r="AB507" t="s">
        <v>1278</v>
      </c>
      <c r="AC507" t="s">
        <v>8926</v>
      </c>
      <c r="AD507" t="s">
        <v>2708</v>
      </c>
      <c r="AE507">
        <v>1</v>
      </c>
      <c r="AH507" t="s">
        <v>2416</v>
      </c>
      <c r="AI507" s="8">
        <v>45954.695810185185</v>
      </c>
      <c r="AK507" t="s">
        <v>2719</v>
      </c>
      <c r="AL507" t="s">
        <v>18</v>
      </c>
      <c r="AO507" t="s">
        <v>2388</v>
      </c>
      <c r="AP507" t="s">
        <v>2401</v>
      </c>
    </row>
    <row r="508" spans="1:42">
      <c r="A508" t="s">
        <v>4783</v>
      </c>
      <c r="B508" t="s">
        <v>2389</v>
      </c>
      <c r="C508" t="s">
        <v>2378</v>
      </c>
      <c r="D508" t="s">
        <v>2379</v>
      </c>
      <c r="E508" t="s">
        <v>2452</v>
      </c>
      <c r="F508" t="s">
        <v>3539</v>
      </c>
      <c r="G508" t="s">
        <v>2452</v>
      </c>
      <c r="H508" t="b">
        <v>1</v>
      </c>
      <c r="I508" s="8">
        <v>45955.426759259259</v>
      </c>
      <c r="J508" t="s">
        <v>2380</v>
      </c>
      <c r="K508">
        <v>1204619</v>
      </c>
      <c r="L508">
        <v>603833</v>
      </c>
      <c r="M508" t="s">
        <v>2381</v>
      </c>
      <c r="P508" t="s">
        <v>3540</v>
      </c>
      <c r="Q508" t="s">
        <v>2383</v>
      </c>
      <c r="R508">
        <v>1</v>
      </c>
      <c r="S508" t="s">
        <v>2380</v>
      </c>
      <c r="T508" t="s">
        <v>2383</v>
      </c>
      <c r="U508" s="8">
        <v>45952.353414351855</v>
      </c>
      <c r="V508" s="8">
        <v>45958.958333333336</v>
      </c>
      <c r="W508">
        <v>1</v>
      </c>
      <c r="X508">
        <v>3.0733449070000001</v>
      </c>
      <c r="Y508" t="s">
        <v>3521</v>
      </c>
      <c r="Z508" t="s">
        <v>4784</v>
      </c>
      <c r="AA508" t="s">
        <v>4785</v>
      </c>
      <c r="AB508" t="s">
        <v>1278</v>
      </c>
      <c r="AC508" t="s">
        <v>4786</v>
      </c>
      <c r="AD508" t="s">
        <v>2708</v>
      </c>
      <c r="AE508">
        <v>1</v>
      </c>
      <c r="AO508" t="s">
        <v>2957</v>
      </c>
      <c r="AP508" t="s">
        <v>2401</v>
      </c>
    </row>
    <row r="509" spans="1:42">
      <c r="A509" t="s">
        <v>1203</v>
      </c>
      <c r="B509" t="s">
        <v>2377</v>
      </c>
      <c r="C509" t="s">
        <v>2443</v>
      </c>
      <c r="D509" t="s">
        <v>2443</v>
      </c>
      <c r="E509" t="s">
        <v>33</v>
      </c>
      <c r="F509" t="s">
        <v>2588</v>
      </c>
      <c r="G509" t="s">
        <v>33</v>
      </c>
      <c r="H509" t="b">
        <v>1</v>
      </c>
      <c r="I509" s="8">
        <v>45959.372754629629</v>
      </c>
      <c r="J509" t="s">
        <v>2380</v>
      </c>
      <c r="L509">
        <v>602896</v>
      </c>
      <c r="M509" t="s">
        <v>2381</v>
      </c>
      <c r="P509" t="s">
        <v>3274</v>
      </c>
      <c r="Q509" t="s">
        <v>2383</v>
      </c>
      <c r="R509">
        <v>1</v>
      </c>
      <c r="S509" t="s">
        <v>2380</v>
      </c>
      <c r="T509" t="s">
        <v>2383</v>
      </c>
      <c r="U509" s="8">
        <v>45952.356736111113</v>
      </c>
      <c r="V509" s="8">
        <v>45958.958333333336</v>
      </c>
      <c r="W509">
        <v>1</v>
      </c>
      <c r="X509">
        <v>5.0160185190000002</v>
      </c>
      <c r="Y509" t="s">
        <v>2579</v>
      </c>
      <c r="Z509" t="s">
        <v>8756</v>
      </c>
      <c r="AA509" t="s">
        <v>1446</v>
      </c>
      <c r="AB509" t="s">
        <v>1278</v>
      </c>
      <c r="AC509" t="s">
        <v>8757</v>
      </c>
      <c r="AD509" t="s">
        <v>2708</v>
      </c>
      <c r="AE509">
        <v>1</v>
      </c>
      <c r="AH509" t="s">
        <v>2723</v>
      </c>
      <c r="AI509" s="8">
        <v>45958.702546296299</v>
      </c>
      <c r="AK509" t="s">
        <v>2719</v>
      </c>
      <c r="AL509" t="s">
        <v>2719</v>
      </c>
      <c r="AO509" t="s">
        <v>2388</v>
      </c>
      <c r="AP509" t="s">
        <v>2401</v>
      </c>
    </row>
    <row r="510" spans="1:42">
      <c r="A510" t="s">
        <v>3541</v>
      </c>
      <c r="B510" t="s">
        <v>2389</v>
      </c>
      <c r="C510" t="s">
        <v>2447</v>
      </c>
      <c r="D510" t="s">
        <v>2379</v>
      </c>
      <c r="E510" t="s">
        <v>25</v>
      </c>
      <c r="F510" t="s">
        <v>3539</v>
      </c>
      <c r="G510" t="s">
        <v>25</v>
      </c>
      <c r="H510" t="b">
        <v>1</v>
      </c>
      <c r="I510" s="8">
        <v>45958.637037037035</v>
      </c>
      <c r="J510" t="s">
        <v>2380</v>
      </c>
      <c r="L510">
        <v>603566</v>
      </c>
      <c r="M510" t="s">
        <v>2381</v>
      </c>
      <c r="P510" t="s">
        <v>3540</v>
      </c>
      <c r="Q510" t="s">
        <v>2383</v>
      </c>
      <c r="R510">
        <v>1</v>
      </c>
      <c r="S510" t="s">
        <v>2380</v>
      </c>
      <c r="T510" t="s">
        <v>2383</v>
      </c>
      <c r="U510" s="8">
        <v>45952.371759259258</v>
      </c>
      <c r="V510" s="8">
        <v>45958.958333333336</v>
      </c>
      <c r="W510">
        <v>1</v>
      </c>
      <c r="X510">
        <v>4.2652777779999997</v>
      </c>
      <c r="Y510" t="s">
        <v>3521</v>
      </c>
      <c r="Z510" t="s">
        <v>3542</v>
      </c>
      <c r="AA510" t="s">
        <v>3543</v>
      </c>
      <c r="AB510" t="s">
        <v>1278</v>
      </c>
      <c r="AC510" t="s">
        <v>2536</v>
      </c>
      <c r="AE510">
        <v>1</v>
      </c>
      <c r="AO510" t="s">
        <v>2957</v>
      </c>
      <c r="AP510" t="s">
        <v>2401</v>
      </c>
    </row>
    <row r="511" spans="1:42">
      <c r="A511" t="s">
        <v>1204</v>
      </c>
      <c r="B511" t="s">
        <v>2377</v>
      </c>
      <c r="C511" t="s">
        <v>2447</v>
      </c>
      <c r="D511" t="s">
        <v>2379</v>
      </c>
      <c r="E511" t="s">
        <v>28</v>
      </c>
      <c r="F511" t="s">
        <v>2402</v>
      </c>
      <c r="G511" t="s">
        <v>28</v>
      </c>
      <c r="H511" t="b">
        <v>1</v>
      </c>
      <c r="I511" s="8">
        <v>45958.446458333332</v>
      </c>
      <c r="J511" t="s">
        <v>2380</v>
      </c>
      <c r="L511">
        <v>606856</v>
      </c>
      <c r="M511" t="s">
        <v>2381</v>
      </c>
      <c r="N511">
        <v>15</v>
      </c>
      <c r="P511" t="s">
        <v>2486</v>
      </c>
      <c r="Q511" t="s">
        <v>2383</v>
      </c>
      <c r="R511">
        <v>1</v>
      </c>
      <c r="S511" t="s">
        <v>2380</v>
      </c>
      <c r="T511" t="s">
        <v>2383</v>
      </c>
      <c r="U511" s="8">
        <v>45952.389247685183</v>
      </c>
      <c r="V511" s="8">
        <v>45958.958333333336</v>
      </c>
      <c r="W511">
        <v>1</v>
      </c>
      <c r="X511">
        <v>4.0572106479999999</v>
      </c>
      <c r="Y511" t="s">
        <v>2403</v>
      </c>
      <c r="Z511" t="s">
        <v>3065</v>
      </c>
      <c r="AA511" t="s">
        <v>2758</v>
      </c>
      <c r="AB511" t="s">
        <v>1278</v>
      </c>
      <c r="AC511" t="s">
        <v>3066</v>
      </c>
      <c r="AD511" t="s">
        <v>2708</v>
      </c>
      <c r="AE511">
        <v>1</v>
      </c>
      <c r="AO511" t="s">
        <v>2408</v>
      </c>
      <c r="AP511" t="s">
        <v>2401</v>
      </c>
    </row>
    <row r="512" spans="1:42">
      <c r="A512" t="s">
        <v>10214</v>
      </c>
      <c r="B512" t="s">
        <v>2389</v>
      </c>
      <c r="C512" t="s">
        <v>2443</v>
      </c>
      <c r="D512" t="s">
        <v>2443</v>
      </c>
      <c r="E512" t="s">
        <v>25</v>
      </c>
      <c r="F512" t="s">
        <v>3261</v>
      </c>
      <c r="G512" t="s">
        <v>25</v>
      </c>
      <c r="H512" t="b">
        <v>1</v>
      </c>
      <c r="I512" s="8">
        <v>45959.698298611111</v>
      </c>
      <c r="J512" t="s">
        <v>2380</v>
      </c>
      <c r="L512">
        <v>603925</v>
      </c>
      <c r="M512" t="s">
        <v>2381</v>
      </c>
      <c r="N512">
        <v>5</v>
      </c>
      <c r="P512" t="s">
        <v>3554</v>
      </c>
      <c r="Q512" t="s">
        <v>2383</v>
      </c>
      <c r="R512">
        <v>1</v>
      </c>
      <c r="S512" t="s">
        <v>2380</v>
      </c>
      <c r="T512" t="s">
        <v>2383</v>
      </c>
      <c r="U512" s="8">
        <v>45952.391724537039</v>
      </c>
      <c r="V512" s="8">
        <v>45958.958333333336</v>
      </c>
      <c r="W512">
        <v>1</v>
      </c>
      <c r="X512">
        <v>5.3065740740000003</v>
      </c>
      <c r="Y512" t="s">
        <v>3262</v>
      </c>
      <c r="Z512" t="s">
        <v>10215</v>
      </c>
      <c r="AA512" t="s">
        <v>3557</v>
      </c>
      <c r="AB512" t="s">
        <v>1278</v>
      </c>
      <c r="AC512" t="s">
        <v>10216</v>
      </c>
      <c r="AE512">
        <v>1</v>
      </c>
      <c r="AH512" t="s">
        <v>2723</v>
      </c>
      <c r="AI512" s="8">
        <v>45959.689305555556</v>
      </c>
      <c r="AK512" t="s">
        <v>2719</v>
      </c>
      <c r="AL512" t="s">
        <v>2719</v>
      </c>
      <c r="AO512" t="s">
        <v>2957</v>
      </c>
      <c r="AP512" t="s">
        <v>2401</v>
      </c>
    </row>
    <row r="513" spans="1:42">
      <c r="A513" t="s">
        <v>3555</v>
      </c>
      <c r="B513" t="s">
        <v>2389</v>
      </c>
      <c r="C513" t="s">
        <v>2447</v>
      </c>
      <c r="D513" t="s">
        <v>2379</v>
      </c>
      <c r="E513" t="s">
        <v>25</v>
      </c>
      <c r="F513" t="s">
        <v>3261</v>
      </c>
      <c r="G513" t="s">
        <v>25</v>
      </c>
      <c r="H513" t="b">
        <v>1</v>
      </c>
      <c r="I513" s="8">
        <v>45958.659479166665</v>
      </c>
      <c r="J513" t="s">
        <v>2380</v>
      </c>
      <c r="L513">
        <v>603925</v>
      </c>
      <c r="M513" t="s">
        <v>2381</v>
      </c>
      <c r="P513" t="s">
        <v>3554</v>
      </c>
      <c r="Q513" t="s">
        <v>2383</v>
      </c>
      <c r="R513">
        <v>1</v>
      </c>
      <c r="S513" t="s">
        <v>2380</v>
      </c>
      <c r="T513" t="s">
        <v>2383</v>
      </c>
      <c r="U513" s="8">
        <v>45952.39271990741</v>
      </c>
      <c r="V513" s="8">
        <v>45958.958333333336</v>
      </c>
      <c r="W513">
        <v>1</v>
      </c>
      <c r="X513">
        <v>4.2667592589999996</v>
      </c>
      <c r="Y513" t="s">
        <v>3262</v>
      </c>
      <c r="Z513" t="s">
        <v>3556</v>
      </c>
      <c r="AA513" t="s">
        <v>3557</v>
      </c>
      <c r="AB513" t="s">
        <v>1278</v>
      </c>
      <c r="AC513" t="s">
        <v>2536</v>
      </c>
      <c r="AE513">
        <v>1</v>
      </c>
      <c r="AO513" t="s">
        <v>2957</v>
      </c>
      <c r="AP513" t="s">
        <v>2401</v>
      </c>
    </row>
    <row r="514" spans="1:42">
      <c r="A514" t="s">
        <v>1210</v>
      </c>
      <c r="B514" t="s">
        <v>2377</v>
      </c>
      <c r="C514" t="s">
        <v>2447</v>
      </c>
      <c r="D514" t="s">
        <v>2379</v>
      </c>
      <c r="E514" t="s">
        <v>28</v>
      </c>
      <c r="F514" t="s">
        <v>2402</v>
      </c>
      <c r="G514" t="s">
        <v>28</v>
      </c>
      <c r="H514" t="b">
        <v>1</v>
      </c>
      <c r="I514" s="8">
        <v>45958.468576388892</v>
      </c>
      <c r="J514" t="s">
        <v>2380</v>
      </c>
      <c r="L514">
        <v>605307</v>
      </c>
      <c r="M514" t="s">
        <v>2381</v>
      </c>
      <c r="N514">
        <v>15</v>
      </c>
      <c r="P514" t="s">
        <v>3074</v>
      </c>
      <c r="Q514" t="s">
        <v>2383</v>
      </c>
      <c r="R514">
        <v>1</v>
      </c>
      <c r="S514" t="s">
        <v>2380</v>
      </c>
      <c r="T514" t="s">
        <v>2383</v>
      </c>
      <c r="U514" s="8">
        <v>45952.40115740741</v>
      </c>
      <c r="V514" s="8">
        <v>45958.958333333336</v>
      </c>
      <c r="W514">
        <v>1</v>
      </c>
      <c r="X514">
        <v>4.0674189810000003</v>
      </c>
      <c r="Y514" t="s">
        <v>2403</v>
      </c>
      <c r="Z514" t="s">
        <v>3075</v>
      </c>
      <c r="AA514" t="s">
        <v>2150</v>
      </c>
      <c r="AB514" t="s">
        <v>1278</v>
      </c>
      <c r="AC514" t="s">
        <v>3076</v>
      </c>
      <c r="AD514" t="s">
        <v>2708</v>
      </c>
      <c r="AE514">
        <v>1</v>
      </c>
      <c r="AO514" t="s">
        <v>2408</v>
      </c>
      <c r="AP514" t="s">
        <v>2401</v>
      </c>
    </row>
    <row r="515" spans="1:42">
      <c r="A515" t="s">
        <v>8748</v>
      </c>
      <c r="B515" t="s">
        <v>2389</v>
      </c>
      <c r="C515" t="s">
        <v>2447</v>
      </c>
      <c r="D515" t="s">
        <v>2379</v>
      </c>
      <c r="E515" t="s">
        <v>25</v>
      </c>
      <c r="F515" t="s">
        <v>2477</v>
      </c>
      <c r="G515" t="s">
        <v>33</v>
      </c>
      <c r="H515" t="b">
        <v>1</v>
      </c>
      <c r="I515" s="8">
        <v>45958.678518518522</v>
      </c>
      <c r="J515" t="s">
        <v>2380</v>
      </c>
      <c r="K515">
        <v>1204636</v>
      </c>
      <c r="L515">
        <v>606757</v>
      </c>
      <c r="M515" t="s">
        <v>2381</v>
      </c>
      <c r="N515">
        <v>5</v>
      </c>
      <c r="P515" t="s">
        <v>5396</v>
      </c>
      <c r="Q515" t="s">
        <v>2383</v>
      </c>
      <c r="R515">
        <v>1</v>
      </c>
      <c r="S515" t="s">
        <v>2380</v>
      </c>
      <c r="T515" t="s">
        <v>2383</v>
      </c>
      <c r="U515" s="8">
        <v>45952.405312499999</v>
      </c>
      <c r="V515" s="8">
        <v>45958.958333333336</v>
      </c>
      <c r="W515">
        <v>1</v>
      </c>
      <c r="X515">
        <v>4.2732060189999999</v>
      </c>
      <c r="Y515" t="s">
        <v>2403</v>
      </c>
      <c r="Z515" t="s">
        <v>8749</v>
      </c>
      <c r="AA515" t="s">
        <v>1394</v>
      </c>
      <c r="AB515" t="s">
        <v>1278</v>
      </c>
      <c r="AC515" t="s">
        <v>8750</v>
      </c>
      <c r="AD515" t="s">
        <v>2708</v>
      </c>
      <c r="AE515">
        <v>1</v>
      </c>
      <c r="AH515" t="s">
        <v>33</v>
      </c>
      <c r="AI515" s="8">
        <v>45958.64439814815</v>
      </c>
      <c r="AK515" t="s">
        <v>2719</v>
      </c>
      <c r="AL515" t="s">
        <v>2719</v>
      </c>
      <c r="AO515" t="s">
        <v>2408</v>
      </c>
      <c r="AP515" t="s">
        <v>2401</v>
      </c>
    </row>
    <row r="516" spans="1:42">
      <c r="A516" t="s">
        <v>203</v>
      </c>
      <c r="B516" t="s">
        <v>2377</v>
      </c>
      <c r="C516" t="s">
        <v>2378</v>
      </c>
      <c r="D516" t="s">
        <v>2379</v>
      </c>
      <c r="E516" t="s">
        <v>33</v>
      </c>
      <c r="F516" t="s">
        <v>2578</v>
      </c>
      <c r="G516" t="s">
        <v>33</v>
      </c>
      <c r="H516" t="b">
        <v>1</v>
      </c>
      <c r="I516" s="8">
        <v>45958.396006944444</v>
      </c>
      <c r="J516" t="s">
        <v>2380</v>
      </c>
      <c r="L516">
        <v>609720</v>
      </c>
      <c r="M516" t="s">
        <v>2381</v>
      </c>
      <c r="P516" t="s">
        <v>8899</v>
      </c>
      <c r="Q516" t="s">
        <v>2383</v>
      </c>
      <c r="R516">
        <v>1</v>
      </c>
      <c r="S516" t="s">
        <v>2380</v>
      </c>
      <c r="T516" t="s">
        <v>2383</v>
      </c>
      <c r="U516" s="8">
        <v>45952.431388888886</v>
      </c>
      <c r="V516" s="8">
        <v>45958.958333333336</v>
      </c>
      <c r="W516">
        <v>1</v>
      </c>
      <c r="X516">
        <v>3.9646180559999999</v>
      </c>
      <c r="Y516" t="s">
        <v>2579</v>
      </c>
      <c r="Z516" t="s">
        <v>8900</v>
      </c>
      <c r="AA516" t="s">
        <v>8901</v>
      </c>
      <c r="AB516" t="s">
        <v>1278</v>
      </c>
      <c r="AC516" t="s">
        <v>2387</v>
      </c>
      <c r="AD516" t="s">
        <v>2708</v>
      </c>
      <c r="AE516">
        <v>1</v>
      </c>
      <c r="AF516">
        <v>2</v>
      </c>
      <c r="AH516" t="s">
        <v>2723</v>
      </c>
      <c r="AI516" s="8">
        <v>45954.515057870369</v>
      </c>
      <c r="AK516" t="s">
        <v>2719</v>
      </c>
      <c r="AL516" t="s">
        <v>2724</v>
      </c>
      <c r="AO516" t="s">
        <v>3644</v>
      </c>
      <c r="AP516" t="s">
        <v>2401</v>
      </c>
    </row>
    <row r="517" spans="1:42">
      <c r="A517" t="s">
        <v>2502</v>
      </c>
      <c r="B517" t="s">
        <v>2389</v>
      </c>
      <c r="C517" t="s">
        <v>2378</v>
      </c>
      <c r="D517" t="s">
        <v>2379</v>
      </c>
      <c r="E517" t="s">
        <v>24</v>
      </c>
      <c r="F517" t="s">
        <v>2417</v>
      </c>
      <c r="G517" t="s">
        <v>24</v>
      </c>
      <c r="H517" t="b">
        <v>1</v>
      </c>
      <c r="I517" s="8">
        <v>45958.415266203701</v>
      </c>
      <c r="J517" t="s">
        <v>2380</v>
      </c>
      <c r="L517">
        <v>606920</v>
      </c>
      <c r="M517" t="s">
        <v>2381</v>
      </c>
      <c r="P517" t="s">
        <v>2501</v>
      </c>
      <c r="Q517" t="s">
        <v>2383</v>
      </c>
      <c r="R517">
        <v>1</v>
      </c>
      <c r="S517" t="s">
        <v>2380</v>
      </c>
      <c r="T517" t="s">
        <v>2383</v>
      </c>
      <c r="U517" s="8">
        <v>45952.435960648145</v>
      </c>
      <c r="V517" s="8">
        <v>45958.958333333336</v>
      </c>
      <c r="W517">
        <v>1</v>
      </c>
      <c r="X517">
        <v>3.9793055559999999</v>
      </c>
      <c r="Y517" t="s">
        <v>2418</v>
      </c>
      <c r="Z517" t="s">
        <v>2503</v>
      </c>
      <c r="AA517" t="s">
        <v>2504</v>
      </c>
      <c r="AB517" t="s">
        <v>1278</v>
      </c>
      <c r="AC517" t="s">
        <v>2505</v>
      </c>
      <c r="AE517">
        <v>1</v>
      </c>
      <c r="AO517" t="s">
        <v>2408</v>
      </c>
      <c r="AP517" t="s">
        <v>2401</v>
      </c>
    </row>
    <row r="518" spans="1:42">
      <c r="A518" t="s">
        <v>515</v>
      </c>
      <c r="B518" t="s">
        <v>2377</v>
      </c>
      <c r="C518" t="s">
        <v>2443</v>
      </c>
      <c r="D518" t="s">
        <v>2443</v>
      </c>
      <c r="E518" t="s">
        <v>33</v>
      </c>
      <c r="F518" t="s">
        <v>3891</v>
      </c>
      <c r="G518" t="s">
        <v>33</v>
      </c>
      <c r="H518" t="b">
        <v>1</v>
      </c>
      <c r="I518" s="8">
        <v>45959.37226851852</v>
      </c>
      <c r="J518" t="s">
        <v>2380</v>
      </c>
      <c r="L518">
        <v>603381</v>
      </c>
      <c r="M518" t="s">
        <v>2381</v>
      </c>
      <c r="P518" t="s">
        <v>2704</v>
      </c>
      <c r="Q518" t="s">
        <v>2383</v>
      </c>
      <c r="R518">
        <v>1</v>
      </c>
      <c r="S518" t="s">
        <v>2380</v>
      </c>
      <c r="T518" t="s">
        <v>2383</v>
      </c>
      <c r="U518" s="8">
        <v>45952.442071759258</v>
      </c>
      <c r="V518" s="8">
        <v>45958.958333333336</v>
      </c>
      <c r="W518">
        <v>1</v>
      </c>
      <c r="X518">
        <v>4.9301967590000002</v>
      </c>
      <c r="Y518" t="s">
        <v>3892</v>
      </c>
      <c r="Z518" t="s">
        <v>8855</v>
      </c>
      <c r="AA518" t="s">
        <v>2714</v>
      </c>
      <c r="AB518" t="s">
        <v>1278</v>
      </c>
      <c r="AC518" t="s">
        <v>2387</v>
      </c>
      <c r="AD518" t="s">
        <v>2708</v>
      </c>
      <c r="AE518">
        <v>1</v>
      </c>
      <c r="AH518" t="s">
        <v>2723</v>
      </c>
      <c r="AI518" s="8">
        <v>45958.70103009259</v>
      </c>
      <c r="AK518" t="s">
        <v>2719</v>
      </c>
      <c r="AL518" t="s">
        <v>2719</v>
      </c>
      <c r="AO518" t="s">
        <v>2715</v>
      </c>
      <c r="AP518" t="s">
        <v>2401</v>
      </c>
    </row>
    <row r="519" spans="1:42">
      <c r="A519" t="s">
        <v>235</v>
      </c>
      <c r="B519" t="s">
        <v>2377</v>
      </c>
      <c r="C519" t="s">
        <v>2390</v>
      </c>
      <c r="D519" t="s">
        <v>2379</v>
      </c>
      <c r="E519" t="s">
        <v>18</v>
      </c>
      <c r="F519" t="s">
        <v>3747</v>
      </c>
      <c r="G519" t="s">
        <v>2416</v>
      </c>
      <c r="H519" t="b">
        <v>1</v>
      </c>
      <c r="I519" s="8">
        <v>45956.555335648147</v>
      </c>
      <c r="J519" t="s">
        <v>2380</v>
      </c>
      <c r="L519">
        <v>606864</v>
      </c>
      <c r="M519" t="s">
        <v>2381</v>
      </c>
      <c r="P519" t="s">
        <v>2704</v>
      </c>
      <c r="Q519" t="s">
        <v>2383</v>
      </c>
      <c r="R519">
        <v>1</v>
      </c>
      <c r="S519" t="s">
        <v>2380</v>
      </c>
      <c r="T519" t="s">
        <v>2383</v>
      </c>
      <c r="U519" s="8">
        <v>45952.442627314813</v>
      </c>
      <c r="V519" s="8">
        <v>45958.958333333336</v>
      </c>
      <c r="W519">
        <v>1</v>
      </c>
      <c r="X519">
        <v>2.112708333</v>
      </c>
      <c r="Y519" t="s">
        <v>3748</v>
      </c>
      <c r="Z519" t="s">
        <v>8631</v>
      </c>
      <c r="AA519" t="s">
        <v>4049</v>
      </c>
      <c r="AB519" t="s">
        <v>1278</v>
      </c>
      <c r="AC519" t="s">
        <v>8632</v>
      </c>
      <c r="AD519" t="s">
        <v>2708</v>
      </c>
      <c r="AE519">
        <v>1</v>
      </c>
      <c r="AO519" t="s">
        <v>2712</v>
      </c>
      <c r="AP519" t="s">
        <v>2401</v>
      </c>
    </row>
    <row r="520" spans="1:42">
      <c r="A520" t="s">
        <v>2533</v>
      </c>
      <c r="B520" t="s">
        <v>2389</v>
      </c>
      <c r="C520" t="s">
        <v>2378</v>
      </c>
      <c r="D520" t="s">
        <v>2379</v>
      </c>
      <c r="E520" t="s">
        <v>25</v>
      </c>
      <c r="F520" t="s">
        <v>2417</v>
      </c>
      <c r="G520" t="s">
        <v>25</v>
      </c>
      <c r="H520" t="b">
        <v>1</v>
      </c>
      <c r="I520" s="8">
        <v>45958.381643518522</v>
      </c>
      <c r="J520" t="s">
        <v>2380</v>
      </c>
      <c r="L520">
        <v>603784</v>
      </c>
      <c r="M520" t="s">
        <v>2381</v>
      </c>
      <c r="P520" t="s">
        <v>2532</v>
      </c>
      <c r="Q520" t="s">
        <v>2383</v>
      </c>
      <c r="R520">
        <v>1</v>
      </c>
      <c r="S520" t="s">
        <v>2380</v>
      </c>
      <c r="T520" t="s">
        <v>2383</v>
      </c>
      <c r="U520" s="8">
        <v>45952.443067129629</v>
      </c>
      <c r="V520" s="8">
        <v>45958.958333333336</v>
      </c>
      <c r="W520">
        <v>1</v>
      </c>
      <c r="X520">
        <v>3.9385763890000001</v>
      </c>
      <c r="Y520" t="s">
        <v>2418</v>
      </c>
      <c r="Z520" t="s">
        <v>2534</v>
      </c>
      <c r="AA520" t="s">
        <v>2535</v>
      </c>
      <c r="AB520" t="s">
        <v>1278</v>
      </c>
      <c r="AC520" t="s">
        <v>2536</v>
      </c>
      <c r="AE520">
        <v>1</v>
      </c>
      <c r="AO520" t="s">
        <v>2408</v>
      </c>
      <c r="AP520" t="s">
        <v>2401</v>
      </c>
    </row>
    <row r="521" spans="1:42">
      <c r="A521" t="s">
        <v>932</v>
      </c>
      <c r="B521" t="s">
        <v>2377</v>
      </c>
      <c r="C521" t="s">
        <v>2390</v>
      </c>
      <c r="D521" t="s">
        <v>2379</v>
      </c>
      <c r="E521" t="s">
        <v>18</v>
      </c>
      <c r="F521" t="s">
        <v>2715</v>
      </c>
      <c r="G521" t="s">
        <v>2416</v>
      </c>
      <c r="H521" t="b">
        <v>1</v>
      </c>
      <c r="I521" s="8">
        <v>45956.451145833336</v>
      </c>
      <c r="J521" t="s">
        <v>2380</v>
      </c>
      <c r="L521">
        <v>602157</v>
      </c>
      <c r="M521" t="s">
        <v>2381</v>
      </c>
      <c r="P521" t="s">
        <v>2704</v>
      </c>
      <c r="Q521" t="s">
        <v>2383</v>
      </c>
      <c r="R521">
        <v>1</v>
      </c>
      <c r="S521" t="s">
        <v>2380</v>
      </c>
      <c r="T521" t="s">
        <v>2383</v>
      </c>
      <c r="U521" s="8">
        <v>45952.443136574075</v>
      </c>
      <c r="V521" s="8">
        <v>45958.958333333336</v>
      </c>
      <c r="W521">
        <v>1</v>
      </c>
      <c r="X521">
        <v>2.008009259</v>
      </c>
      <c r="Y521" t="s">
        <v>4653</v>
      </c>
      <c r="Z521" t="s">
        <v>4654</v>
      </c>
      <c r="AA521" t="s">
        <v>1282</v>
      </c>
      <c r="AB521" t="s">
        <v>1278</v>
      </c>
      <c r="AC521" t="s">
        <v>4655</v>
      </c>
      <c r="AD521" t="s">
        <v>2708</v>
      </c>
      <c r="AE521">
        <v>1</v>
      </c>
      <c r="AO521" t="s">
        <v>2957</v>
      </c>
      <c r="AP521" t="s">
        <v>2401</v>
      </c>
    </row>
    <row r="522" spans="1:42">
      <c r="A522" t="s">
        <v>8404</v>
      </c>
      <c r="B522" t="s">
        <v>2389</v>
      </c>
      <c r="C522" t="s">
        <v>2378</v>
      </c>
      <c r="D522" t="s">
        <v>2379</v>
      </c>
      <c r="E522" t="s">
        <v>25</v>
      </c>
      <c r="F522" t="s">
        <v>8402</v>
      </c>
      <c r="G522" t="s">
        <v>25</v>
      </c>
      <c r="H522" t="b">
        <v>1</v>
      </c>
      <c r="I522" s="8">
        <v>45955.568333333336</v>
      </c>
      <c r="J522" t="s">
        <v>2380</v>
      </c>
      <c r="K522">
        <v>1204645</v>
      </c>
      <c r="L522">
        <v>603919</v>
      </c>
      <c r="M522" t="s">
        <v>2381</v>
      </c>
      <c r="N522">
        <v>5</v>
      </c>
      <c r="P522" t="s">
        <v>2670</v>
      </c>
      <c r="Q522" t="s">
        <v>2383</v>
      </c>
      <c r="R522">
        <v>1</v>
      </c>
      <c r="S522" t="s">
        <v>2380</v>
      </c>
      <c r="T522" t="s">
        <v>2383</v>
      </c>
      <c r="U522" s="8">
        <v>45952.457303240742</v>
      </c>
      <c r="V522" s="8">
        <v>45958.958333333336</v>
      </c>
      <c r="W522">
        <v>1</v>
      </c>
      <c r="X522">
        <v>3.1110300930000001</v>
      </c>
      <c r="Y522" t="s">
        <v>8403</v>
      </c>
      <c r="Z522" t="s">
        <v>8405</v>
      </c>
      <c r="AA522" t="s">
        <v>8406</v>
      </c>
      <c r="AB522" t="s">
        <v>1278</v>
      </c>
      <c r="AC522" t="s">
        <v>8407</v>
      </c>
      <c r="AD522" t="s">
        <v>2708</v>
      </c>
      <c r="AE522">
        <v>1</v>
      </c>
      <c r="AO522" t="s">
        <v>2957</v>
      </c>
      <c r="AP522" t="s">
        <v>2401</v>
      </c>
    </row>
    <row r="523" spans="1:42">
      <c r="A523" t="s">
        <v>8408</v>
      </c>
      <c r="B523" t="s">
        <v>2389</v>
      </c>
      <c r="C523" t="s">
        <v>2378</v>
      </c>
      <c r="D523" t="s">
        <v>2379</v>
      </c>
      <c r="E523" t="s">
        <v>25</v>
      </c>
      <c r="F523" t="s">
        <v>8402</v>
      </c>
      <c r="G523" t="s">
        <v>25</v>
      </c>
      <c r="H523" t="b">
        <v>1</v>
      </c>
      <c r="I523" s="8">
        <v>45955.571712962963</v>
      </c>
      <c r="J523" t="s">
        <v>2380</v>
      </c>
      <c r="K523">
        <v>1204646</v>
      </c>
      <c r="L523">
        <v>603919</v>
      </c>
      <c r="M523" t="s">
        <v>2381</v>
      </c>
      <c r="N523">
        <v>5</v>
      </c>
      <c r="P523" t="s">
        <v>2670</v>
      </c>
      <c r="Q523" t="s">
        <v>2383</v>
      </c>
      <c r="R523">
        <v>1</v>
      </c>
      <c r="S523" t="s">
        <v>2380</v>
      </c>
      <c r="T523" t="s">
        <v>2383</v>
      </c>
      <c r="U523" s="8">
        <v>45952.458703703705</v>
      </c>
      <c r="V523" s="8">
        <v>45958.958333333336</v>
      </c>
      <c r="W523">
        <v>1</v>
      </c>
      <c r="X523">
        <v>3.113009259</v>
      </c>
      <c r="Y523" t="s">
        <v>8403</v>
      </c>
      <c r="Z523" t="s">
        <v>8409</v>
      </c>
      <c r="AA523" t="s">
        <v>8406</v>
      </c>
      <c r="AB523" t="s">
        <v>1278</v>
      </c>
      <c r="AD523" t="s">
        <v>2708</v>
      </c>
      <c r="AE523">
        <v>1</v>
      </c>
      <c r="AO523" t="s">
        <v>2957</v>
      </c>
      <c r="AP523" t="s">
        <v>2401</v>
      </c>
    </row>
    <row r="524" spans="1:42">
      <c r="A524" t="s">
        <v>2491</v>
      </c>
      <c r="B524" t="s">
        <v>2389</v>
      </c>
      <c r="C524" t="s">
        <v>2390</v>
      </c>
      <c r="D524" t="s">
        <v>2379</v>
      </c>
      <c r="E524" t="s">
        <v>2452</v>
      </c>
      <c r="F524" t="s">
        <v>2402</v>
      </c>
      <c r="G524" t="s">
        <v>2452</v>
      </c>
      <c r="H524" t="b">
        <v>1</v>
      </c>
      <c r="I524" s="8">
        <v>45955.421111111114</v>
      </c>
      <c r="J524" t="s">
        <v>2380</v>
      </c>
      <c r="L524">
        <v>602645</v>
      </c>
      <c r="M524" t="s">
        <v>2381</v>
      </c>
      <c r="P524" t="s">
        <v>2486</v>
      </c>
      <c r="Q524" t="s">
        <v>2383</v>
      </c>
      <c r="R524">
        <v>1</v>
      </c>
      <c r="S524" t="s">
        <v>2380</v>
      </c>
      <c r="T524" t="s">
        <v>2383</v>
      </c>
      <c r="U524" s="8">
        <v>45952.466145833336</v>
      </c>
      <c r="V524" s="8">
        <v>45958.958333333336</v>
      </c>
      <c r="W524">
        <v>1</v>
      </c>
      <c r="X524">
        <v>2.954965278</v>
      </c>
      <c r="Y524" t="s">
        <v>2403</v>
      </c>
      <c r="Z524" t="s">
        <v>2492</v>
      </c>
      <c r="AA524" t="s">
        <v>2475</v>
      </c>
      <c r="AB524" t="s">
        <v>1278</v>
      </c>
      <c r="AC524" t="s">
        <v>2493</v>
      </c>
      <c r="AE524">
        <v>1</v>
      </c>
      <c r="AO524" t="s">
        <v>2408</v>
      </c>
      <c r="AP524" t="s">
        <v>2401</v>
      </c>
    </row>
    <row r="525" spans="1:42">
      <c r="A525" t="s">
        <v>517</v>
      </c>
      <c r="B525" t="s">
        <v>2377</v>
      </c>
      <c r="C525" t="s">
        <v>2378</v>
      </c>
      <c r="D525" t="s">
        <v>2379</v>
      </c>
      <c r="E525" t="s">
        <v>28</v>
      </c>
      <c r="F525" t="s">
        <v>3261</v>
      </c>
      <c r="G525" t="s">
        <v>28</v>
      </c>
      <c r="H525" t="b">
        <v>1</v>
      </c>
      <c r="I525" s="8">
        <v>45958.442199074074</v>
      </c>
      <c r="J525" t="s">
        <v>2380</v>
      </c>
      <c r="L525">
        <v>602125</v>
      </c>
      <c r="M525" t="s">
        <v>2381</v>
      </c>
      <c r="N525">
        <v>15</v>
      </c>
      <c r="P525" t="s">
        <v>4621</v>
      </c>
      <c r="Q525" t="s">
        <v>2383</v>
      </c>
      <c r="R525">
        <v>1</v>
      </c>
      <c r="S525" t="s">
        <v>2380</v>
      </c>
      <c r="T525" t="s">
        <v>2383</v>
      </c>
      <c r="U525" s="8">
        <v>45952.473009259258</v>
      </c>
      <c r="V525" s="8">
        <v>45958.958333333336</v>
      </c>
      <c r="W525">
        <v>1</v>
      </c>
      <c r="X525">
        <v>3.969189815</v>
      </c>
      <c r="Y525" t="s">
        <v>3262</v>
      </c>
      <c r="Z525" t="s">
        <v>4819</v>
      </c>
      <c r="AA525" t="s">
        <v>4623</v>
      </c>
      <c r="AB525" t="s">
        <v>1278</v>
      </c>
      <c r="AC525" t="s">
        <v>4542</v>
      </c>
      <c r="AD525" t="s">
        <v>2708</v>
      </c>
      <c r="AE525">
        <v>1</v>
      </c>
      <c r="AO525" t="s">
        <v>2957</v>
      </c>
      <c r="AP525" t="s">
        <v>2401</v>
      </c>
    </row>
    <row r="526" spans="1:42">
      <c r="A526" t="s">
        <v>2506</v>
      </c>
      <c r="B526" t="s">
        <v>2389</v>
      </c>
      <c r="C526" t="s">
        <v>2378</v>
      </c>
      <c r="D526" t="s">
        <v>2379</v>
      </c>
      <c r="E526" t="s">
        <v>24</v>
      </c>
      <c r="F526" t="s">
        <v>2417</v>
      </c>
      <c r="G526" t="s">
        <v>24</v>
      </c>
      <c r="H526" t="b">
        <v>1</v>
      </c>
      <c r="I526" s="8">
        <v>45958.415393518517</v>
      </c>
      <c r="J526" t="s">
        <v>2380</v>
      </c>
      <c r="L526">
        <v>606920</v>
      </c>
      <c r="M526" t="s">
        <v>2381</v>
      </c>
      <c r="P526" t="s">
        <v>2501</v>
      </c>
      <c r="Q526" t="s">
        <v>2383</v>
      </c>
      <c r="R526">
        <v>1</v>
      </c>
      <c r="S526" t="s">
        <v>2380</v>
      </c>
      <c r="T526" t="s">
        <v>2383</v>
      </c>
      <c r="U526" s="8">
        <v>45952.477766203701</v>
      </c>
      <c r="V526" s="8">
        <v>45958.958333333336</v>
      </c>
      <c r="W526">
        <v>1</v>
      </c>
      <c r="X526">
        <v>3.9376273149999999</v>
      </c>
      <c r="Y526" t="s">
        <v>2418</v>
      </c>
      <c r="Z526" t="s">
        <v>2507</v>
      </c>
      <c r="AA526" t="s">
        <v>2504</v>
      </c>
      <c r="AB526" t="s">
        <v>1278</v>
      </c>
      <c r="AC526" t="s">
        <v>2505</v>
      </c>
      <c r="AE526">
        <v>1</v>
      </c>
      <c r="AO526" t="s">
        <v>2408</v>
      </c>
      <c r="AP526" t="s">
        <v>2401</v>
      </c>
    </row>
    <row r="527" spans="1:42">
      <c r="A527" t="s">
        <v>2508</v>
      </c>
      <c r="B527" t="s">
        <v>2389</v>
      </c>
      <c r="C527" t="s">
        <v>2378</v>
      </c>
      <c r="D527" t="s">
        <v>2379</v>
      </c>
      <c r="E527" t="s">
        <v>24</v>
      </c>
      <c r="F527" t="s">
        <v>2417</v>
      </c>
      <c r="G527" t="s">
        <v>24</v>
      </c>
      <c r="H527" t="b">
        <v>1</v>
      </c>
      <c r="I527" s="8">
        <v>45958.416145833333</v>
      </c>
      <c r="J527" t="s">
        <v>2380</v>
      </c>
      <c r="L527">
        <v>606920</v>
      </c>
      <c r="M527" t="s">
        <v>2381</v>
      </c>
      <c r="P527" t="s">
        <v>2501</v>
      </c>
      <c r="Q527" t="s">
        <v>2383</v>
      </c>
      <c r="R527">
        <v>1</v>
      </c>
      <c r="S527" t="s">
        <v>2380</v>
      </c>
      <c r="T527" t="s">
        <v>2383</v>
      </c>
      <c r="U527" s="8">
        <v>45952.479074074072</v>
      </c>
      <c r="V527" s="8">
        <v>45958.958333333336</v>
      </c>
      <c r="W527">
        <v>1</v>
      </c>
      <c r="X527">
        <v>3.9370717590000002</v>
      </c>
      <c r="Y527" t="s">
        <v>2418</v>
      </c>
      <c r="Z527" t="s">
        <v>2509</v>
      </c>
      <c r="AA527" t="s">
        <v>2504</v>
      </c>
      <c r="AB527" t="s">
        <v>1278</v>
      </c>
      <c r="AC527" t="s">
        <v>2505</v>
      </c>
      <c r="AE527">
        <v>1</v>
      </c>
      <c r="AO527" t="s">
        <v>2408</v>
      </c>
      <c r="AP527" t="s">
        <v>2401</v>
      </c>
    </row>
    <row r="528" spans="1:42">
      <c r="A528" t="s">
        <v>2510</v>
      </c>
      <c r="B528" t="s">
        <v>2389</v>
      </c>
      <c r="C528" t="s">
        <v>2378</v>
      </c>
      <c r="D528" t="s">
        <v>2379</v>
      </c>
      <c r="E528" t="s">
        <v>24</v>
      </c>
      <c r="F528" t="s">
        <v>2417</v>
      </c>
      <c r="G528" t="s">
        <v>24</v>
      </c>
      <c r="H528" t="b">
        <v>1</v>
      </c>
      <c r="I528" s="8">
        <v>45958.425474537034</v>
      </c>
      <c r="J528" t="s">
        <v>2380</v>
      </c>
      <c r="L528">
        <v>606920</v>
      </c>
      <c r="M528" t="s">
        <v>2381</v>
      </c>
      <c r="P528" t="s">
        <v>2501</v>
      </c>
      <c r="Q528" t="s">
        <v>2383</v>
      </c>
      <c r="R528">
        <v>1</v>
      </c>
      <c r="S528" t="s">
        <v>2380</v>
      </c>
      <c r="T528" t="s">
        <v>2383</v>
      </c>
      <c r="U528" s="8">
        <v>45952.479930555557</v>
      </c>
      <c r="V528" s="8">
        <v>45958.958333333336</v>
      </c>
      <c r="W528">
        <v>1</v>
      </c>
      <c r="X528">
        <v>3.9455439810000001</v>
      </c>
      <c r="Y528" t="s">
        <v>2418</v>
      </c>
      <c r="Z528" t="s">
        <v>2511</v>
      </c>
      <c r="AA528" t="s">
        <v>2504</v>
      </c>
      <c r="AB528" t="s">
        <v>1278</v>
      </c>
      <c r="AC528" t="s">
        <v>2512</v>
      </c>
      <c r="AE528">
        <v>1</v>
      </c>
      <c r="AO528" t="s">
        <v>2408</v>
      </c>
      <c r="AP528" t="s">
        <v>2401</v>
      </c>
    </row>
    <row r="529" spans="1:42">
      <c r="A529" t="s">
        <v>1185</v>
      </c>
      <c r="B529" t="s">
        <v>2377</v>
      </c>
      <c r="C529" t="s">
        <v>2390</v>
      </c>
      <c r="D529" t="s">
        <v>2379</v>
      </c>
      <c r="E529" t="s">
        <v>25</v>
      </c>
      <c r="F529" t="s">
        <v>3500</v>
      </c>
      <c r="G529" t="s">
        <v>25</v>
      </c>
      <c r="H529" t="b">
        <v>1</v>
      </c>
      <c r="I529" s="8">
        <v>45955.443807870368</v>
      </c>
      <c r="J529" t="s">
        <v>2380</v>
      </c>
      <c r="L529">
        <v>605303</v>
      </c>
      <c r="M529" t="s">
        <v>2381</v>
      </c>
      <c r="N529">
        <v>8</v>
      </c>
      <c r="P529" t="s">
        <v>4661</v>
      </c>
      <c r="Q529" t="s">
        <v>2383</v>
      </c>
      <c r="R529">
        <v>1</v>
      </c>
      <c r="S529" t="s">
        <v>2380</v>
      </c>
      <c r="T529" t="s">
        <v>2383</v>
      </c>
      <c r="U529" s="8">
        <v>45952.480833333335</v>
      </c>
      <c r="V529" s="8">
        <v>45958.958333333336</v>
      </c>
      <c r="W529">
        <v>1</v>
      </c>
      <c r="X529">
        <v>2.962974537</v>
      </c>
      <c r="Y529" t="s">
        <v>3501</v>
      </c>
      <c r="Z529" t="s">
        <v>8414</v>
      </c>
      <c r="AA529" t="s">
        <v>8415</v>
      </c>
      <c r="AB529" t="s">
        <v>1278</v>
      </c>
      <c r="AC529" t="s">
        <v>8416</v>
      </c>
      <c r="AD529" t="s">
        <v>2708</v>
      </c>
      <c r="AE529">
        <v>1</v>
      </c>
      <c r="AO529" t="s">
        <v>2957</v>
      </c>
      <c r="AP529" t="s">
        <v>2401</v>
      </c>
    </row>
    <row r="530" spans="1:42">
      <c r="A530" t="s">
        <v>2513</v>
      </c>
      <c r="B530" t="s">
        <v>2389</v>
      </c>
      <c r="C530" t="s">
        <v>2378</v>
      </c>
      <c r="D530" t="s">
        <v>2379</v>
      </c>
      <c r="E530" t="s">
        <v>24</v>
      </c>
      <c r="F530" t="s">
        <v>2417</v>
      </c>
      <c r="G530" t="s">
        <v>24</v>
      </c>
      <c r="H530" t="b">
        <v>1</v>
      </c>
      <c r="I530" s="8">
        <v>45958.416076388887</v>
      </c>
      <c r="J530" t="s">
        <v>2380</v>
      </c>
      <c r="L530">
        <v>606920</v>
      </c>
      <c r="M530" t="s">
        <v>2381</v>
      </c>
      <c r="P530" t="s">
        <v>2501</v>
      </c>
      <c r="Q530" t="s">
        <v>2383</v>
      </c>
      <c r="R530">
        <v>1</v>
      </c>
      <c r="S530" t="s">
        <v>2380</v>
      </c>
      <c r="T530" t="s">
        <v>2383</v>
      </c>
      <c r="U530" s="8">
        <v>45952.480856481481</v>
      </c>
      <c r="V530" s="8">
        <v>45958.958333333336</v>
      </c>
      <c r="W530">
        <v>1</v>
      </c>
      <c r="X530">
        <v>3.935219907</v>
      </c>
      <c r="Y530" t="s">
        <v>2418</v>
      </c>
      <c r="Z530" t="s">
        <v>2514</v>
      </c>
      <c r="AA530" t="s">
        <v>2504</v>
      </c>
      <c r="AB530" t="s">
        <v>1278</v>
      </c>
      <c r="AC530" t="s">
        <v>2515</v>
      </c>
      <c r="AE530">
        <v>1</v>
      </c>
      <c r="AO530" t="s">
        <v>2408</v>
      </c>
      <c r="AP530" t="s">
        <v>2401</v>
      </c>
    </row>
    <row r="531" spans="1:42">
      <c r="A531" t="s">
        <v>3546</v>
      </c>
      <c r="B531" t="s">
        <v>2389</v>
      </c>
      <c r="C531" t="s">
        <v>2691</v>
      </c>
      <c r="D531" t="s">
        <v>2379</v>
      </c>
      <c r="E531" t="s">
        <v>2452</v>
      </c>
      <c r="F531" t="s">
        <v>3544</v>
      </c>
      <c r="G531" t="s">
        <v>2452</v>
      </c>
      <c r="H531" t="b">
        <v>1</v>
      </c>
      <c r="I531" s="8">
        <v>45959.591562499998</v>
      </c>
      <c r="J531" t="s">
        <v>2380</v>
      </c>
      <c r="L531">
        <v>605064</v>
      </c>
      <c r="M531" t="s">
        <v>2381</v>
      </c>
      <c r="P531" t="s">
        <v>3545</v>
      </c>
      <c r="Q531" t="s">
        <v>2383</v>
      </c>
      <c r="R531">
        <v>1</v>
      </c>
      <c r="S531" t="s">
        <v>2380</v>
      </c>
      <c r="T531" t="s">
        <v>2383</v>
      </c>
      <c r="U531" s="8">
        <v>45952.481608796297</v>
      </c>
      <c r="V531" s="8">
        <v>45959.958333333336</v>
      </c>
      <c r="W531">
        <v>1</v>
      </c>
      <c r="X531">
        <v>5.1099537039999996</v>
      </c>
      <c r="Y531" t="s">
        <v>3521</v>
      </c>
      <c r="Z531" t="s">
        <v>3547</v>
      </c>
      <c r="AA531" t="s">
        <v>3548</v>
      </c>
      <c r="AB531" t="s">
        <v>1278</v>
      </c>
      <c r="AC531" t="s">
        <v>3549</v>
      </c>
      <c r="AE531">
        <v>1</v>
      </c>
      <c r="AO531" t="s">
        <v>2957</v>
      </c>
      <c r="AP531" t="s">
        <v>2401</v>
      </c>
    </row>
    <row r="532" spans="1:42">
      <c r="A532" t="s">
        <v>10200</v>
      </c>
      <c r="B532" t="s">
        <v>2389</v>
      </c>
      <c r="C532" t="s">
        <v>2447</v>
      </c>
      <c r="D532" t="s">
        <v>2379</v>
      </c>
      <c r="E532" t="s">
        <v>24</v>
      </c>
      <c r="F532" t="s">
        <v>2417</v>
      </c>
      <c r="G532" t="s">
        <v>24</v>
      </c>
      <c r="H532" t="b">
        <v>1</v>
      </c>
      <c r="I532" s="8">
        <v>45958.652627314812</v>
      </c>
      <c r="J532" t="s">
        <v>2380</v>
      </c>
      <c r="L532">
        <v>606920</v>
      </c>
      <c r="M532" t="s">
        <v>2381</v>
      </c>
      <c r="P532" t="s">
        <v>2501</v>
      </c>
      <c r="Q532" t="s">
        <v>2383</v>
      </c>
      <c r="R532">
        <v>1</v>
      </c>
      <c r="S532" t="s">
        <v>2380</v>
      </c>
      <c r="T532" t="s">
        <v>2383</v>
      </c>
      <c r="U532" s="8">
        <v>45952.483344907407</v>
      </c>
      <c r="V532" s="8">
        <v>45958.958333333336</v>
      </c>
      <c r="W532">
        <v>1</v>
      </c>
      <c r="X532">
        <v>4.1692824069999999</v>
      </c>
      <c r="Y532" t="s">
        <v>2418</v>
      </c>
      <c r="Z532" t="s">
        <v>10201</v>
      </c>
      <c r="AA532" t="s">
        <v>2504</v>
      </c>
      <c r="AB532" t="s">
        <v>1278</v>
      </c>
      <c r="AC532" t="s">
        <v>2515</v>
      </c>
      <c r="AE532">
        <v>1</v>
      </c>
      <c r="AH532" t="s">
        <v>33</v>
      </c>
      <c r="AI532" s="8">
        <v>45958.644467592596</v>
      </c>
      <c r="AK532" t="s">
        <v>2719</v>
      </c>
      <c r="AL532" t="s">
        <v>2719</v>
      </c>
      <c r="AO532" t="s">
        <v>2408</v>
      </c>
      <c r="AP532" t="s">
        <v>2401</v>
      </c>
    </row>
    <row r="533" spans="1:42">
      <c r="A533" t="s">
        <v>2516</v>
      </c>
      <c r="B533" t="s">
        <v>2389</v>
      </c>
      <c r="C533" t="s">
        <v>2378</v>
      </c>
      <c r="D533" t="s">
        <v>2379</v>
      </c>
      <c r="E533" t="s">
        <v>24</v>
      </c>
      <c r="F533" t="s">
        <v>2417</v>
      </c>
      <c r="G533" t="s">
        <v>24</v>
      </c>
      <c r="H533" t="b">
        <v>1</v>
      </c>
      <c r="I533" s="8">
        <v>45958.415706018517</v>
      </c>
      <c r="J533" t="s">
        <v>2380</v>
      </c>
      <c r="L533">
        <v>606920</v>
      </c>
      <c r="M533" t="s">
        <v>2381</v>
      </c>
      <c r="P533" t="s">
        <v>2501</v>
      </c>
      <c r="Q533" t="s">
        <v>2383</v>
      </c>
      <c r="R533">
        <v>1</v>
      </c>
      <c r="S533" t="s">
        <v>2380</v>
      </c>
      <c r="T533" t="s">
        <v>2383</v>
      </c>
      <c r="U533" s="8">
        <v>45952.484120370369</v>
      </c>
      <c r="V533" s="8">
        <v>45958.958333333336</v>
      </c>
      <c r="W533">
        <v>1</v>
      </c>
      <c r="X533">
        <v>3.931585648</v>
      </c>
      <c r="Y533" t="s">
        <v>2418</v>
      </c>
      <c r="Z533" t="s">
        <v>2517</v>
      </c>
      <c r="AA533" t="s">
        <v>2504</v>
      </c>
      <c r="AB533" t="s">
        <v>1278</v>
      </c>
      <c r="AC533" t="s">
        <v>2505</v>
      </c>
      <c r="AE533">
        <v>1</v>
      </c>
      <c r="AO533" t="s">
        <v>2408</v>
      </c>
      <c r="AP533" t="s">
        <v>2401</v>
      </c>
    </row>
    <row r="534" spans="1:42">
      <c r="A534" t="s">
        <v>10186</v>
      </c>
      <c r="B534" t="s">
        <v>2377</v>
      </c>
      <c r="C534" t="s">
        <v>2378</v>
      </c>
      <c r="D534" t="s">
        <v>2379</v>
      </c>
      <c r="E534" t="s">
        <v>24</v>
      </c>
      <c r="F534" t="s">
        <v>4897</v>
      </c>
      <c r="G534" t="s">
        <v>24</v>
      </c>
      <c r="H534" t="b">
        <v>1</v>
      </c>
      <c r="I534" s="8">
        <v>45958.445740740739</v>
      </c>
      <c r="J534" t="s">
        <v>2380</v>
      </c>
      <c r="L534">
        <v>602922</v>
      </c>
      <c r="M534" t="s">
        <v>2381</v>
      </c>
      <c r="P534" t="s">
        <v>2670</v>
      </c>
      <c r="Q534" t="s">
        <v>2383</v>
      </c>
      <c r="R534">
        <v>1</v>
      </c>
      <c r="S534" t="s">
        <v>2380</v>
      </c>
      <c r="T534" t="s">
        <v>2383</v>
      </c>
      <c r="U534" s="8">
        <v>45952.484386574077</v>
      </c>
      <c r="V534" s="8">
        <v>45958.958333333336</v>
      </c>
      <c r="W534">
        <v>1</v>
      </c>
      <c r="X534">
        <v>3.9613541670000001</v>
      </c>
      <c r="Y534" t="s">
        <v>4898</v>
      </c>
      <c r="Z534" t="s">
        <v>10187</v>
      </c>
      <c r="AA534" t="s">
        <v>8689</v>
      </c>
      <c r="AB534" t="s">
        <v>1278</v>
      </c>
      <c r="AC534" t="s">
        <v>2407</v>
      </c>
      <c r="AE534">
        <v>1</v>
      </c>
      <c r="AO534" t="s">
        <v>2715</v>
      </c>
      <c r="AP534" t="s">
        <v>2401</v>
      </c>
    </row>
    <row r="535" spans="1:42">
      <c r="A535" t="s">
        <v>2525</v>
      </c>
      <c r="B535" t="s">
        <v>2389</v>
      </c>
      <c r="C535" t="s">
        <v>2378</v>
      </c>
      <c r="D535" t="s">
        <v>2379</v>
      </c>
      <c r="E535" t="s">
        <v>24</v>
      </c>
      <c r="F535" t="s">
        <v>2417</v>
      </c>
      <c r="G535" t="s">
        <v>24</v>
      </c>
      <c r="H535" t="b">
        <v>1</v>
      </c>
      <c r="I535" s="8">
        <v>45958.420949074076</v>
      </c>
      <c r="J535" t="s">
        <v>2380</v>
      </c>
      <c r="L535">
        <v>606920</v>
      </c>
      <c r="M535" t="s">
        <v>2381</v>
      </c>
      <c r="P535" t="s">
        <v>2501</v>
      </c>
      <c r="Q535" t="s">
        <v>2383</v>
      </c>
      <c r="R535">
        <v>1</v>
      </c>
      <c r="S535" t="s">
        <v>2380</v>
      </c>
      <c r="T535" t="s">
        <v>2383</v>
      </c>
      <c r="U535" s="8">
        <v>45952.485798611109</v>
      </c>
      <c r="V535" s="8">
        <v>45958.958333333336</v>
      </c>
      <c r="W535">
        <v>1</v>
      </c>
      <c r="X535">
        <v>3.9351504629999998</v>
      </c>
      <c r="Y535" t="s">
        <v>2418</v>
      </c>
      <c r="Z535" t="s">
        <v>2526</v>
      </c>
      <c r="AA535" t="s">
        <v>2504</v>
      </c>
      <c r="AB535" t="s">
        <v>1278</v>
      </c>
      <c r="AC535" t="s">
        <v>2505</v>
      </c>
      <c r="AE535">
        <v>1</v>
      </c>
      <c r="AO535" t="s">
        <v>2408</v>
      </c>
      <c r="AP535" t="s">
        <v>2401</v>
      </c>
    </row>
    <row r="536" spans="1:42">
      <c r="A536" t="s">
        <v>2520</v>
      </c>
      <c r="B536" t="s">
        <v>2389</v>
      </c>
      <c r="C536" t="s">
        <v>2378</v>
      </c>
      <c r="D536" t="s">
        <v>2379</v>
      </c>
      <c r="E536" t="s">
        <v>24</v>
      </c>
      <c r="F536" t="s">
        <v>2417</v>
      </c>
      <c r="G536" t="s">
        <v>24</v>
      </c>
      <c r="H536" t="b">
        <v>1</v>
      </c>
      <c r="I536" s="8">
        <v>45958.415891203702</v>
      </c>
      <c r="J536" t="s">
        <v>2380</v>
      </c>
      <c r="L536">
        <v>606920</v>
      </c>
      <c r="M536" t="s">
        <v>2381</v>
      </c>
      <c r="P536" t="s">
        <v>2501</v>
      </c>
      <c r="Q536" t="s">
        <v>2383</v>
      </c>
      <c r="R536">
        <v>1</v>
      </c>
      <c r="S536" t="s">
        <v>2380</v>
      </c>
      <c r="T536" t="s">
        <v>2383</v>
      </c>
      <c r="U536" s="8">
        <v>45952.487129629626</v>
      </c>
      <c r="V536" s="8">
        <v>45958.958333333336</v>
      </c>
      <c r="W536">
        <v>1</v>
      </c>
      <c r="X536">
        <v>3.9287615740000001</v>
      </c>
      <c r="Y536" t="s">
        <v>2418</v>
      </c>
      <c r="Z536" t="s">
        <v>2521</v>
      </c>
      <c r="AA536" t="s">
        <v>2504</v>
      </c>
      <c r="AB536" t="s">
        <v>1278</v>
      </c>
      <c r="AC536" t="s">
        <v>2505</v>
      </c>
      <c r="AE536">
        <v>1</v>
      </c>
      <c r="AO536" t="s">
        <v>2408</v>
      </c>
      <c r="AP536" t="s">
        <v>2401</v>
      </c>
    </row>
    <row r="537" spans="1:42">
      <c r="A537" t="s">
        <v>2522</v>
      </c>
      <c r="B537" t="s">
        <v>2389</v>
      </c>
      <c r="C537" t="s">
        <v>2378</v>
      </c>
      <c r="D537" t="s">
        <v>2379</v>
      </c>
      <c r="E537" t="s">
        <v>24</v>
      </c>
      <c r="F537" t="s">
        <v>2417</v>
      </c>
      <c r="G537" t="s">
        <v>24</v>
      </c>
      <c r="H537" t="b">
        <v>1</v>
      </c>
      <c r="I537" s="8">
        <v>45958.415451388886</v>
      </c>
      <c r="J537" t="s">
        <v>2380</v>
      </c>
      <c r="L537">
        <v>606920</v>
      </c>
      <c r="M537" t="s">
        <v>2381</v>
      </c>
      <c r="P537" t="s">
        <v>2501</v>
      </c>
      <c r="Q537" t="s">
        <v>2383</v>
      </c>
      <c r="R537">
        <v>1</v>
      </c>
      <c r="S537" t="s">
        <v>2380</v>
      </c>
      <c r="T537" t="s">
        <v>2383</v>
      </c>
      <c r="U537" s="8">
        <v>45952.487916666665</v>
      </c>
      <c r="V537" s="8">
        <v>45958.958333333336</v>
      </c>
      <c r="W537">
        <v>1</v>
      </c>
      <c r="X537">
        <v>3.9275347219999999</v>
      </c>
      <c r="Y537" t="s">
        <v>2418</v>
      </c>
      <c r="Z537" t="s">
        <v>2523</v>
      </c>
      <c r="AA537" t="s">
        <v>2504</v>
      </c>
      <c r="AB537" t="s">
        <v>1278</v>
      </c>
      <c r="AC537" t="s">
        <v>2524</v>
      </c>
      <c r="AE537">
        <v>1</v>
      </c>
      <c r="AO537" t="s">
        <v>2408</v>
      </c>
      <c r="AP537" t="s">
        <v>2401</v>
      </c>
    </row>
    <row r="538" spans="1:42">
      <c r="A538" t="s">
        <v>2518</v>
      </c>
      <c r="B538" t="s">
        <v>2389</v>
      </c>
      <c r="C538" t="s">
        <v>2378</v>
      </c>
      <c r="D538" t="s">
        <v>2379</v>
      </c>
      <c r="E538" t="s">
        <v>24</v>
      </c>
      <c r="F538" t="s">
        <v>2417</v>
      </c>
      <c r="G538" t="s">
        <v>24</v>
      </c>
      <c r="H538" t="b">
        <v>1</v>
      </c>
      <c r="I538" s="8">
        <v>45958.415821759256</v>
      </c>
      <c r="J538" t="s">
        <v>2380</v>
      </c>
      <c r="L538">
        <v>606920</v>
      </c>
      <c r="M538" t="s">
        <v>2381</v>
      </c>
      <c r="P538" t="s">
        <v>2501</v>
      </c>
      <c r="Q538" t="s">
        <v>2383</v>
      </c>
      <c r="R538">
        <v>1</v>
      </c>
      <c r="S538" t="s">
        <v>2380</v>
      </c>
      <c r="T538" t="s">
        <v>2383</v>
      </c>
      <c r="U538" s="8">
        <v>45952.488587962966</v>
      </c>
      <c r="V538" s="8">
        <v>45958.958333333336</v>
      </c>
      <c r="W538">
        <v>1</v>
      </c>
      <c r="X538">
        <v>3.9272337959999999</v>
      </c>
      <c r="Y538" t="s">
        <v>2418</v>
      </c>
      <c r="Z538" t="s">
        <v>2519</v>
      </c>
      <c r="AA538" t="s">
        <v>2504</v>
      </c>
      <c r="AB538" t="s">
        <v>1278</v>
      </c>
      <c r="AC538" t="s">
        <v>2505</v>
      </c>
      <c r="AE538">
        <v>1</v>
      </c>
      <c r="AO538" t="s">
        <v>2408</v>
      </c>
      <c r="AP538" t="s">
        <v>2401</v>
      </c>
    </row>
    <row r="539" spans="1:42">
      <c r="A539" t="s">
        <v>519</v>
      </c>
      <c r="B539" t="s">
        <v>2377</v>
      </c>
      <c r="C539" t="s">
        <v>2443</v>
      </c>
      <c r="D539" t="s">
        <v>2443</v>
      </c>
      <c r="E539" t="s">
        <v>33</v>
      </c>
      <c r="F539" t="s">
        <v>3261</v>
      </c>
      <c r="G539" t="s">
        <v>33</v>
      </c>
      <c r="H539" t="b">
        <v>1</v>
      </c>
      <c r="I539" s="8">
        <v>45959.372696759259</v>
      </c>
      <c r="J539" t="s">
        <v>2380</v>
      </c>
      <c r="L539">
        <v>603493</v>
      </c>
      <c r="M539" t="s">
        <v>2381</v>
      </c>
      <c r="P539" t="s">
        <v>3550</v>
      </c>
      <c r="Q539" t="s">
        <v>2383</v>
      </c>
      <c r="R539">
        <v>1</v>
      </c>
      <c r="S539" t="s">
        <v>2380</v>
      </c>
      <c r="T539" t="s">
        <v>2383</v>
      </c>
      <c r="U539" s="8">
        <v>45952.493125000001</v>
      </c>
      <c r="V539" s="8">
        <v>45958.958333333336</v>
      </c>
      <c r="W539">
        <v>1</v>
      </c>
      <c r="X539">
        <v>4.8795717590000001</v>
      </c>
      <c r="Y539" t="s">
        <v>3262</v>
      </c>
      <c r="Z539" t="s">
        <v>8794</v>
      </c>
      <c r="AA539" t="s">
        <v>2309</v>
      </c>
      <c r="AB539" t="s">
        <v>1278</v>
      </c>
      <c r="AC539" t="s">
        <v>2387</v>
      </c>
      <c r="AD539" t="s">
        <v>2708</v>
      </c>
      <c r="AE539">
        <v>1</v>
      </c>
      <c r="AH539" t="s">
        <v>2723</v>
      </c>
      <c r="AI539" s="8">
        <v>45958.702187499999</v>
      </c>
      <c r="AK539" t="s">
        <v>2719</v>
      </c>
      <c r="AL539" t="s">
        <v>2719</v>
      </c>
      <c r="AO539" t="s">
        <v>2957</v>
      </c>
      <c r="AP539" t="s">
        <v>2401</v>
      </c>
    </row>
    <row r="540" spans="1:42">
      <c r="A540" t="s">
        <v>799</v>
      </c>
      <c r="B540" t="s">
        <v>2377</v>
      </c>
      <c r="C540" t="s">
        <v>2415</v>
      </c>
      <c r="D540" t="s">
        <v>2379</v>
      </c>
      <c r="E540" t="s">
        <v>18</v>
      </c>
      <c r="F540" t="s">
        <v>2477</v>
      </c>
      <c r="G540" t="s">
        <v>2416</v>
      </c>
      <c r="H540" t="b">
        <v>1</v>
      </c>
      <c r="I540" s="8">
        <v>45956.4684375</v>
      </c>
      <c r="J540" t="s">
        <v>2380</v>
      </c>
      <c r="L540">
        <v>602932</v>
      </c>
      <c r="M540" t="s">
        <v>2381</v>
      </c>
      <c r="P540" t="s">
        <v>2983</v>
      </c>
      <c r="Q540" t="s">
        <v>2383</v>
      </c>
      <c r="R540">
        <v>1</v>
      </c>
      <c r="S540" t="s">
        <v>2380</v>
      </c>
      <c r="T540" t="s">
        <v>2383</v>
      </c>
      <c r="U540" s="8">
        <v>45952.495428240742</v>
      </c>
      <c r="V540" s="8">
        <v>45958.958333333336</v>
      </c>
      <c r="W540">
        <v>1</v>
      </c>
      <c r="X540">
        <v>1.9730092589999999</v>
      </c>
      <c r="Y540" t="s">
        <v>2403</v>
      </c>
      <c r="Z540" t="s">
        <v>2984</v>
      </c>
      <c r="AA540" t="s">
        <v>2985</v>
      </c>
      <c r="AB540" t="s">
        <v>1278</v>
      </c>
      <c r="AC540" t="s">
        <v>2986</v>
      </c>
      <c r="AD540" t="s">
        <v>2708</v>
      </c>
      <c r="AE540">
        <v>1</v>
      </c>
      <c r="AO540" t="s">
        <v>2408</v>
      </c>
      <c r="AP540" t="s">
        <v>2401</v>
      </c>
    </row>
    <row r="541" spans="1:42">
      <c r="A541" t="s">
        <v>523</v>
      </c>
      <c r="B541" t="s">
        <v>2377</v>
      </c>
      <c r="C541" t="s">
        <v>2447</v>
      </c>
      <c r="D541" t="s">
        <v>2379</v>
      </c>
      <c r="E541" t="s">
        <v>24</v>
      </c>
      <c r="F541" t="s">
        <v>2402</v>
      </c>
      <c r="G541" t="s">
        <v>24</v>
      </c>
      <c r="H541" t="b">
        <v>1</v>
      </c>
      <c r="I541" s="8">
        <v>45958.629444444443</v>
      </c>
      <c r="J541" t="s">
        <v>2380</v>
      </c>
      <c r="L541">
        <v>603004</v>
      </c>
      <c r="M541" t="s">
        <v>2381</v>
      </c>
      <c r="P541" t="s">
        <v>2969</v>
      </c>
      <c r="Q541" t="s">
        <v>2383</v>
      </c>
      <c r="R541">
        <v>1</v>
      </c>
      <c r="S541" t="s">
        <v>2380</v>
      </c>
      <c r="T541" t="s">
        <v>2383</v>
      </c>
      <c r="U541" s="8">
        <v>45952.510162037041</v>
      </c>
      <c r="V541" s="8">
        <v>45958.958333333336</v>
      </c>
      <c r="W541">
        <v>1</v>
      </c>
      <c r="X541">
        <v>4.119282407</v>
      </c>
      <c r="Y541" t="s">
        <v>2403</v>
      </c>
      <c r="Z541" t="s">
        <v>2972</v>
      </c>
      <c r="AA541" t="s">
        <v>2971</v>
      </c>
      <c r="AB541" t="s">
        <v>1278</v>
      </c>
      <c r="AC541" t="s">
        <v>2973</v>
      </c>
      <c r="AD541" t="s">
        <v>2708</v>
      </c>
      <c r="AE541">
        <v>1</v>
      </c>
      <c r="AO541" t="s">
        <v>2408</v>
      </c>
      <c r="AP541" t="s">
        <v>2401</v>
      </c>
    </row>
    <row r="542" spans="1:42">
      <c r="A542" t="s">
        <v>2676</v>
      </c>
      <c r="B542" t="s">
        <v>2389</v>
      </c>
      <c r="C542" t="s">
        <v>2390</v>
      </c>
      <c r="D542" t="s">
        <v>2379</v>
      </c>
      <c r="E542" t="s">
        <v>2452</v>
      </c>
      <c r="F542" t="s">
        <v>2578</v>
      </c>
      <c r="G542" t="s">
        <v>2452</v>
      </c>
      <c r="H542" t="b">
        <v>1</v>
      </c>
      <c r="I542" s="8">
        <v>45955.432650462964</v>
      </c>
      <c r="J542" t="s">
        <v>2380</v>
      </c>
      <c r="L542">
        <v>608234</v>
      </c>
      <c r="M542" t="s">
        <v>2381</v>
      </c>
      <c r="P542" t="s">
        <v>2675</v>
      </c>
      <c r="Q542" t="s">
        <v>2383</v>
      </c>
      <c r="R542">
        <v>1</v>
      </c>
      <c r="S542" t="s">
        <v>2380</v>
      </c>
      <c r="T542" t="s">
        <v>2383</v>
      </c>
      <c r="U542" s="8">
        <v>45952.518657407411</v>
      </c>
      <c r="V542" s="8">
        <v>45958.958333333336</v>
      </c>
      <c r="W542">
        <v>1</v>
      </c>
      <c r="X542">
        <v>2.9139930559999998</v>
      </c>
      <c r="Y542" t="s">
        <v>2579</v>
      </c>
      <c r="Z542" t="s">
        <v>2677</v>
      </c>
      <c r="AA542" t="s">
        <v>2316</v>
      </c>
      <c r="AB542" t="s">
        <v>1278</v>
      </c>
      <c r="AC542" t="s">
        <v>2678</v>
      </c>
      <c r="AE542">
        <v>1</v>
      </c>
      <c r="AO542" t="s">
        <v>2388</v>
      </c>
      <c r="AP542" t="s">
        <v>2401</v>
      </c>
    </row>
    <row r="543" spans="1:42">
      <c r="A543" t="s">
        <v>1145</v>
      </c>
      <c r="B543" t="s">
        <v>2377</v>
      </c>
      <c r="C543" t="s">
        <v>2415</v>
      </c>
      <c r="D543" t="s">
        <v>2379</v>
      </c>
      <c r="E543" t="s">
        <v>2416</v>
      </c>
      <c r="F543" t="s">
        <v>8780</v>
      </c>
      <c r="G543" t="s">
        <v>2416</v>
      </c>
      <c r="H543" t="b">
        <v>1</v>
      </c>
      <c r="I543" s="8">
        <v>45953.537974537037</v>
      </c>
      <c r="J543" t="s">
        <v>2380</v>
      </c>
      <c r="L543">
        <v>603054</v>
      </c>
      <c r="M543" t="s">
        <v>2381</v>
      </c>
      <c r="P543" t="s">
        <v>2704</v>
      </c>
      <c r="Q543" t="s">
        <v>2383</v>
      </c>
      <c r="R543">
        <v>1</v>
      </c>
      <c r="S543" t="s">
        <v>2380</v>
      </c>
      <c r="T543" t="s">
        <v>2383</v>
      </c>
      <c r="U543" s="8">
        <v>45952.519108796296</v>
      </c>
      <c r="V543" s="8">
        <v>45958.958333333336</v>
      </c>
      <c r="W543">
        <v>1</v>
      </c>
      <c r="X543">
        <v>1.0188657409999999</v>
      </c>
      <c r="Y543" t="s">
        <v>8781</v>
      </c>
      <c r="Z543" t="s">
        <v>8782</v>
      </c>
      <c r="AA543" t="s">
        <v>8783</v>
      </c>
      <c r="AB543" t="s">
        <v>1278</v>
      </c>
      <c r="AC543" t="s">
        <v>8784</v>
      </c>
      <c r="AD543" t="s">
        <v>2708</v>
      </c>
      <c r="AE543">
        <v>1</v>
      </c>
      <c r="AH543" t="s">
        <v>24</v>
      </c>
      <c r="AI543" s="8">
        <v>45952.675462962965</v>
      </c>
      <c r="AK543" t="s">
        <v>2719</v>
      </c>
      <c r="AL543" t="s">
        <v>2719</v>
      </c>
      <c r="AO543" t="s">
        <v>2957</v>
      </c>
      <c r="AP543" t="s">
        <v>2401</v>
      </c>
    </row>
    <row r="544" spans="1:42">
      <c r="A544" t="s">
        <v>244</v>
      </c>
      <c r="B544" t="s">
        <v>2377</v>
      </c>
      <c r="C544" t="s">
        <v>2443</v>
      </c>
      <c r="D544" t="s">
        <v>2443</v>
      </c>
      <c r="E544" t="s">
        <v>33</v>
      </c>
      <c r="F544" t="s">
        <v>2578</v>
      </c>
      <c r="G544" t="s">
        <v>33</v>
      </c>
      <c r="H544" t="b">
        <v>1</v>
      </c>
      <c r="I544" s="8">
        <v>45959.372453703705</v>
      </c>
      <c r="J544" t="s">
        <v>2380</v>
      </c>
      <c r="L544">
        <v>603755</v>
      </c>
      <c r="M544" t="s">
        <v>2381</v>
      </c>
      <c r="P544" t="s">
        <v>8758</v>
      </c>
      <c r="Q544" t="s">
        <v>2383</v>
      </c>
      <c r="R544">
        <v>1</v>
      </c>
      <c r="S544" t="s">
        <v>2380</v>
      </c>
      <c r="T544" t="s">
        <v>2383</v>
      </c>
      <c r="U544" s="8">
        <v>45952.537199074075</v>
      </c>
      <c r="V544" s="8">
        <v>45958.958333333336</v>
      </c>
      <c r="W544">
        <v>1</v>
      </c>
      <c r="X544">
        <v>4.8352546299999997</v>
      </c>
      <c r="Y544" t="s">
        <v>2579</v>
      </c>
      <c r="Z544" t="s">
        <v>8759</v>
      </c>
      <c r="AA544" t="s">
        <v>7264</v>
      </c>
      <c r="AB544" t="s">
        <v>1278</v>
      </c>
      <c r="AC544" t="s">
        <v>8760</v>
      </c>
      <c r="AD544" t="s">
        <v>2708</v>
      </c>
      <c r="AE544">
        <v>1</v>
      </c>
      <c r="AH544" t="s">
        <v>2723</v>
      </c>
      <c r="AI544" s="8">
        <v>45958.702361111114</v>
      </c>
      <c r="AK544" t="s">
        <v>2719</v>
      </c>
      <c r="AL544" t="s">
        <v>2719</v>
      </c>
      <c r="AO544" t="s">
        <v>2388</v>
      </c>
      <c r="AP544" t="s">
        <v>2401</v>
      </c>
    </row>
    <row r="545" spans="1:42">
      <c r="A545" t="s">
        <v>1199</v>
      </c>
      <c r="B545" t="s">
        <v>2377</v>
      </c>
      <c r="C545" t="s">
        <v>2378</v>
      </c>
      <c r="D545" t="s">
        <v>2379</v>
      </c>
      <c r="E545" t="s">
        <v>28</v>
      </c>
      <c r="F545" t="s">
        <v>3261</v>
      </c>
      <c r="G545" t="s">
        <v>28</v>
      </c>
      <c r="H545" t="b">
        <v>1</v>
      </c>
      <c r="I545" s="8">
        <v>45958.418437499997</v>
      </c>
      <c r="J545" t="s">
        <v>2380</v>
      </c>
      <c r="L545">
        <v>603162</v>
      </c>
      <c r="M545" t="s">
        <v>2381</v>
      </c>
      <c r="N545">
        <v>20</v>
      </c>
      <c r="P545" t="s">
        <v>8359</v>
      </c>
      <c r="Q545" t="s">
        <v>2383</v>
      </c>
      <c r="R545">
        <v>1</v>
      </c>
      <c r="S545" t="s">
        <v>2380</v>
      </c>
      <c r="T545" t="s">
        <v>2383</v>
      </c>
      <c r="U545" s="8">
        <v>45952.538993055554</v>
      </c>
      <c r="V545" s="8">
        <v>45958.958333333336</v>
      </c>
      <c r="W545">
        <v>1</v>
      </c>
      <c r="X545">
        <v>3.8794444440000002</v>
      </c>
      <c r="Y545" t="s">
        <v>3262</v>
      </c>
      <c r="Z545" t="s">
        <v>8360</v>
      </c>
      <c r="AA545" t="s">
        <v>7636</v>
      </c>
      <c r="AB545" t="s">
        <v>1278</v>
      </c>
      <c r="AC545" t="s">
        <v>8361</v>
      </c>
      <c r="AD545" t="s">
        <v>2708</v>
      </c>
      <c r="AE545">
        <v>1</v>
      </c>
      <c r="AO545" t="s">
        <v>2957</v>
      </c>
      <c r="AP545" t="s">
        <v>2401</v>
      </c>
    </row>
    <row r="546" spans="1:42">
      <c r="A546" t="s">
        <v>8580</v>
      </c>
      <c r="B546" t="s">
        <v>2389</v>
      </c>
      <c r="C546" t="s">
        <v>2390</v>
      </c>
      <c r="D546" t="s">
        <v>2379</v>
      </c>
      <c r="E546" t="s">
        <v>2452</v>
      </c>
      <c r="F546" t="s">
        <v>3339</v>
      </c>
      <c r="G546" t="s">
        <v>2452</v>
      </c>
      <c r="H546" t="b">
        <v>1</v>
      </c>
      <c r="I546" s="8">
        <v>45955.451215277775</v>
      </c>
      <c r="J546" t="s">
        <v>2380</v>
      </c>
      <c r="K546">
        <v>1204632</v>
      </c>
      <c r="L546">
        <v>602488</v>
      </c>
      <c r="M546" t="s">
        <v>2381</v>
      </c>
      <c r="P546" t="s">
        <v>3477</v>
      </c>
      <c r="Q546" t="s">
        <v>2383</v>
      </c>
      <c r="R546">
        <v>1</v>
      </c>
      <c r="S546" t="s">
        <v>2380</v>
      </c>
      <c r="T546" t="s">
        <v>2383</v>
      </c>
      <c r="U546" s="8">
        <v>45952.578356481485</v>
      </c>
      <c r="V546" s="8">
        <v>45958.958333333336</v>
      </c>
      <c r="W546">
        <v>1</v>
      </c>
      <c r="X546">
        <v>2.872858796</v>
      </c>
      <c r="Y546" t="s">
        <v>3340</v>
      </c>
      <c r="Z546" t="s">
        <v>8581</v>
      </c>
      <c r="AA546" t="s">
        <v>3631</v>
      </c>
      <c r="AB546" t="s">
        <v>1278</v>
      </c>
      <c r="AC546" t="s">
        <v>8582</v>
      </c>
      <c r="AD546" t="s">
        <v>2708</v>
      </c>
      <c r="AE546">
        <v>1</v>
      </c>
      <c r="AO546" t="s">
        <v>3608</v>
      </c>
      <c r="AP546" t="s">
        <v>2401</v>
      </c>
    </row>
    <row r="547" spans="1:42">
      <c r="A547" t="s">
        <v>804</v>
      </c>
      <c r="B547" t="s">
        <v>2377</v>
      </c>
      <c r="C547" t="s">
        <v>2443</v>
      </c>
      <c r="D547" t="s">
        <v>2443</v>
      </c>
      <c r="E547" t="s">
        <v>33</v>
      </c>
      <c r="F547" t="s">
        <v>2588</v>
      </c>
      <c r="G547" t="s">
        <v>33</v>
      </c>
      <c r="H547" t="b">
        <v>1</v>
      </c>
      <c r="I547" s="8">
        <v>45959.37158564815</v>
      </c>
      <c r="J547" t="s">
        <v>2380</v>
      </c>
      <c r="L547">
        <v>601152</v>
      </c>
      <c r="M547" t="s">
        <v>2381</v>
      </c>
      <c r="P547" t="s">
        <v>6606</v>
      </c>
      <c r="Q547" t="s">
        <v>2383</v>
      </c>
      <c r="R547">
        <v>1</v>
      </c>
      <c r="S547" t="s">
        <v>2380</v>
      </c>
      <c r="T547" t="s">
        <v>2383</v>
      </c>
      <c r="U547" s="8">
        <v>45952.590300925927</v>
      </c>
      <c r="V547" s="8">
        <v>45958.958333333336</v>
      </c>
      <c r="W547">
        <v>1</v>
      </c>
      <c r="X547">
        <v>4.7812847219999997</v>
      </c>
      <c r="Y547" t="s">
        <v>2579</v>
      </c>
      <c r="Z547" t="s">
        <v>8761</v>
      </c>
      <c r="AA547" t="s">
        <v>3353</v>
      </c>
      <c r="AB547" t="s">
        <v>1278</v>
      </c>
      <c r="AC547" t="s">
        <v>8762</v>
      </c>
      <c r="AD547" t="s">
        <v>2708</v>
      </c>
      <c r="AE547">
        <v>1</v>
      </c>
      <c r="AH547" t="s">
        <v>2723</v>
      </c>
      <c r="AI547" s="8">
        <v>45958.698634259257</v>
      </c>
      <c r="AK547" t="s">
        <v>2719</v>
      </c>
      <c r="AL547" t="s">
        <v>2719</v>
      </c>
      <c r="AO547" t="s">
        <v>2388</v>
      </c>
      <c r="AP547" t="s">
        <v>2401</v>
      </c>
    </row>
    <row r="548" spans="1:42">
      <c r="A548" t="s">
        <v>149</v>
      </c>
      <c r="B548" t="s">
        <v>2377</v>
      </c>
      <c r="C548" t="s">
        <v>2438</v>
      </c>
      <c r="D548" t="s">
        <v>2379</v>
      </c>
      <c r="E548" t="s">
        <v>18</v>
      </c>
      <c r="F548" t="s">
        <v>2477</v>
      </c>
      <c r="G548" t="s">
        <v>2416</v>
      </c>
      <c r="H548" t="b">
        <v>1</v>
      </c>
      <c r="I548" s="8">
        <v>45952.703692129631</v>
      </c>
      <c r="J548" t="s">
        <v>2380</v>
      </c>
      <c r="L548">
        <v>601844</v>
      </c>
      <c r="M548" t="s">
        <v>2381</v>
      </c>
      <c r="P548" t="s">
        <v>2704</v>
      </c>
      <c r="Q548" t="s">
        <v>2383</v>
      </c>
      <c r="R548">
        <v>1</v>
      </c>
      <c r="S548" t="s">
        <v>2380</v>
      </c>
      <c r="T548" t="s">
        <v>2383</v>
      </c>
      <c r="U548" s="8">
        <v>45952.594942129632</v>
      </c>
      <c r="V548" s="8">
        <v>45958.958333333336</v>
      </c>
      <c r="W548">
        <v>1</v>
      </c>
      <c r="X548">
        <v>0.10875</v>
      </c>
      <c r="Y548" t="s">
        <v>2403</v>
      </c>
      <c r="Z548" t="s">
        <v>2977</v>
      </c>
      <c r="AA548" t="s">
        <v>1565</v>
      </c>
      <c r="AB548" t="s">
        <v>1278</v>
      </c>
      <c r="AC548" t="s">
        <v>2978</v>
      </c>
      <c r="AD548" t="s">
        <v>2708</v>
      </c>
      <c r="AE548">
        <v>1</v>
      </c>
      <c r="AO548" t="s">
        <v>2408</v>
      </c>
      <c r="AP548" t="s">
        <v>2401</v>
      </c>
    </row>
    <row r="549" spans="1:42">
      <c r="A549" t="s">
        <v>1181</v>
      </c>
      <c r="B549" t="s">
        <v>2377</v>
      </c>
      <c r="C549" t="s">
        <v>2390</v>
      </c>
      <c r="D549" t="s">
        <v>2379</v>
      </c>
      <c r="E549" t="s">
        <v>25</v>
      </c>
      <c r="F549" t="s">
        <v>3445</v>
      </c>
      <c r="G549" t="s">
        <v>25</v>
      </c>
      <c r="H549" t="b">
        <v>1</v>
      </c>
      <c r="I549" s="8">
        <v>45955.433055555557</v>
      </c>
      <c r="J549" t="s">
        <v>2380</v>
      </c>
      <c r="L549">
        <v>609776</v>
      </c>
      <c r="M549" t="s">
        <v>2381</v>
      </c>
      <c r="N549">
        <v>5</v>
      </c>
      <c r="P549" t="s">
        <v>4125</v>
      </c>
      <c r="Q549" t="s">
        <v>2383</v>
      </c>
      <c r="R549">
        <v>1</v>
      </c>
      <c r="S549" t="s">
        <v>2380</v>
      </c>
      <c r="T549" t="s">
        <v>2383</v>
      </c>
      <c r="U549" s="8">
        <v>45952.599861111114</v>
      </c>
      <c r="V549" s="8">
        <v>45958.958333333336</v>
      </c>
      <c r="W549">
        <v>1</v>
      </c>
      <c r="X549">
        <v>2.8331944440000001</v>
      </c>
      <c r="Y549" t="s">
        <v>4126</v>
      </c>
      <c r="Z549" t="s">
        <v>8362</v>
      </c>
      <c r="AA549" t="s">
        <v>8363</v>
      </c>
      <c r="AB549" t="s">
        <v>1278</v>
      </c>
      <c r="AC549" t="s">
        <v>8364</v>
      </c>
      <c r="AD549" t="s">
        <v>2708</v>
      </c>
      <c r="AE549">
        <v>1</v>
      </c>
      <c r="AO549" t="s">
        <v>2957</v>
      </c>
      <c r="AP549" t="s">
        <v>2401</v>
      </c>
    </row>
    <row r="550" spans="1:42">
      <c r="A550" t="s">
        <v>2527</v>
      </c>
      <c r="B550" t="s">
        <v>2389</v>
      </c>
      <c r="C550" t="s">
        <v>2378</v>
      </c>
      <c r="D550" t="s">
        <v>2379</v>
      </c>
      <c r="E550" t="s">
        <v>24</v>
      </c>
      <c r="F550" t="s">
        <v>2417</v>
      </c>
      <c r="G550" t="s">
        <v>24</v>
      </c>
      <c r="H550" t="b">
        <v>1</v>
      </c>
      <c r="I550" s="8">
        <v>45958.42560185185</v>
      </c>
      <c r="J550" t="s">
        <v>2380</v>
      </c>
      <c r="L550">
        <v>606920</v>
      </c>
      <c r="M550" t="s">
        <v>2381</v>
      </c>
      <c r="P550" t="s">
        <v>2501</v>
      </c>
      <c r="Q550" t="s">
        <v>2383</v>
      </c>
      <c r="R550">
        <v>1</v>
      </c>
      <c r="S550" t="s">
        <v>2380</v>
      </c>
      <c r="T550" t="s">
        <v>2383</v>
      </c>
      <c r="U550" s="8">
        <v>45952.601724537039</v>
      </c>
      <c r="V550" s="8">
        <v>45958.958333333336</v>
      </c>
      <c r="W550">
        <v>1</v>
      </c>
      <c r="X550">
        <v>3.8238773149999998</v>
      </c>
      <c r="Y550" t="s">
        <v>2418</v>
      </c>
      <c r="Z550" t="s">
        <v>2528</v>
      </c>
      <c r="AA550" t="s">
        <v>2504</v>
      </c>
      <c r="AB550" t="s">
        <v>1278</v>
      </c>
      <c r="AC550" t="s">
        <v>2505</v>
      </c>
      <c r="AE550">
        <v>1</v>
      </c>
      <c r="AO550" t="s">
        <v>2408</v>
      </c>
      <c r="AP550" t="s">
        <v>2401</v>
      </c>
    </row>
    <row r="551" spans="1:42">
      <c r="A551" t="s">
        <v>494</v>
      </c>
      <c r="B551" t="s">
        <v>2377</v>
      </c>
      <c r="C551" t="s">
        <v>2378</v>
      </c>
      <c r="D551" t="s">
        <v>2379</v>
      </c>
      <c r="E551" t="s">
        <v>33</v>
      </c>
      <c r="F551" t="s">
        <v>2409</v>
      </c>
      <c r="G551" t="s">
        <v>33</v>
      </c>
      <c r="H551" t="b">
        <v>1</v>
      </c>
      <c r="I551" s="8">
        <v>45958.396134259259</v>
      </c>
      <c r="J551" t="s">
        <v>2380</v>
      </c>
      <c r="L551">
        <v>608028</v>
      </c>
      <c r="M551" t="s">
        <v>2381</v>
      </c>
      <c r="P551" t="s">
        <v>2704</v>
      </c>
      <c r="Q551" t="s">
        <v>2383</v>
      </c>
      <c r="R551">
        <v>1</v>
      </c>
      <c r="S551" t="s">
        <v>2380</v>
      </c>
      <c r="T551" t="s">
        <v>2383</v>
      </c>
      <c r="U551" s="8">
        <v>45952.603020833332</v>
      </c>
      <c r="V551" s="8">
        <v>45958.958333333336</v>
      </c>
      <c r="W551">
        <v>1</v>
      </c>
      <c r="X551">
        <v>3.7931134260000001</v>
      </c>
      <c r="Y551" t="s">
        <v>2410</v>
      </c>
      <c r="Z551" t="s">
        <v>8902</v>
      </c>
      <c r="AA551" t="s">
        <v>8806</v>
      </c>
      <c r="AB551" t="s">
        <v>1278</v>
      </c>
      <c r="AC551" t="s">
        <v>8818</v>
      </c>
      <c r="AD551" t="s">
        <v>2708</v>
      </c>
      <c r="AE551">
        <v>1</v>
      </c>
      <c r="AF551">
        <v>2</v>
      </c>
      <c r="AH551" t="s">
        <v>2723</v>
      </c>
      <c r="AI551" s="8">
        <v>45954.509594907409</v>
      </c>
      <c r="AK551" t="s">
        <v>2719</v>
      </c>
      <c r="AL551" t="s">
        <v>2724</v>
      </c>
      <c r="AO551" t="s">
        <v>3644</v>
      </c>
      <c r="AP551" t="s">
        <v>2401</v>
      </c>
    </row>
    <row r="552" spans="1:42">
      <c r="A552" t="s">
        <v>1206</v>
      </c>
      <c r="B552" t="s">
        <v>2377</v>
      </c>
      <c r="C552" t="s">
        <v>2378</v>
      </c>
      <c r="D552" t="s">
        <v>2379</v>
      </c>
      <c r="E552" t="s">
        <v>28</v>
      </c>
      <c r="F552" t="s">
        <v>2402</v>
      </c>
      <c r="G552" t="s">
        <v>28</v>
      </c>
      <c r="H552" t="b">
        <v>1</v>
      </c>
      <c r="I552" s="8">
        <v>45958.461296296293</v>
      </c>
      <c r="J552" t="s">
        <v>2380</v>
      </c>
      <c r="L552">
        <v>603173</v>
      </c>
      <c r="M552" t="s">
        <v>2381</v>
      </c>
      <c r="N552">
        <v>15</v>
      </c>
      <c r="P552" t="s">
        <v>3071</v>
      </c>
      <c r="Q552" t="s">
        <v>2383</v>
      </c>
      <c r="R552">
        <v>1</v>
      </c>
      <c r="S552" t="s">
        <v>2380</v>
      </c>
      <c r="T552" t="s">
        <v>2383</v>
      </c>
      <c r="U552" s="8">
        <v>45952.603564814817</v>
      </c>
      <c r="V552" s="8">
        <v>45958.958333333336</v>
      </c>
      <c r="W552">
        <v>1</v>
      </c>
      <c r="X552">
        <v>3.8577314810000001</v>
      </c>
      <c r="Y552" t="s">
        <v>2403</v>
      </c>
      <c r="Z552" t="s">
        <v>3072</v>
      </c>
      <c r="AA552" t="s">
        <v>2450</v>
      </c>
      <c r="AB552" t="s">
        <v>1278</v>
      </c>
      <c r="AC552" t="s">
        <v>3073</v>
      </c>
      <c r="AD552" t="s">
        <v>2708</v>
      </c>
      <c r="AE552">
        <v>1</v>
      </c>
      <c r="AO552" t="s">
        <v>2408</v>
      </c>
      <c r="AP552" t="s">
        <v>2401</v>
      </c>
    </row>
    <row r="553" spans="1:42">
      <c r="A553" t="s">
        <v>201</v>
      </c>
      <c r="B553" t="s">
        <v>2377</v>
      </c>
      <c r="C553" t="s">
        <v>2378</v>
      </c>
      <c r="D553" t="s">
        <v>2379</v>
      </c>
      <c r="E553" t="s">
        <v>33</v>
      </c>
      <c r="F553" t="s">
        <v>2588</v>
      </c>
      <c r="G553" t="s">
        <v>33</v>
      </c>
      <c r="H553" t="b">
        <v>1</v>
      </c>
      <c r="I553" s="8">
        <v>45958.395821759259</v>
      </c>
      <c r="J553" t="s">
        <v>2380</v>
      </c>
      <c r="L553">
        <v>603616</v>
      </c>
      <c r="M553" t="s">
        <v>2381</v>
      </c>
      <c r="P553" t="s">
        <v>2704</v>
      </c>
      <c r="Q553" t="s">
        <v>2383</v>
      </c>
      <c r="R553">
        <v>1</v>
      </c>
      <c r="S553" t="s">
        <v>2380</v>
      </c>
      <c r="T553" t="s">
        <v>2383</v>
      </c>
      <c r="U553" s="8">
        <v>45952.605590277781</v>
      </c>
      <c r="V553" s="8">
        <v>45958.958333333336</v>
      </c>
      <c r="W553">
        <v>1</v>
      </c>
      <c r="X553">
        <v>3.7902314810000002</v>
      </c>
      <c r="Y553" t="s">
        <v>2579</v>
      </c>
      <c r="Z553" t="s">
        <v>8903</v>
      </c>
      <c r="AA553" t="s">
        <v>3643</v>
      </c>
      <c r="AB553" t="s">
        <v>1278</v>
      </c>
      <c r="AC553" t="s">
        <v>8904</v>
      </c>
      <c r="AD553" t="s">
        <v>2708</v>
      </c>
      <c r="AE553">
        <v>1</v>
      </c>
      <c r="AF553">
        <v>2</v>
      </c>
      <c r="AH553" t="s">
        <v>2723</v>
      </c>
      <c r="AI553" s="8">
        <v>45954.510833333334</v>
      </c>
      <c r="AK553" t="s">
        <v>2719</v>
      </c>
      <c r="AL553" t="s">
        <v>2724</v>
      </c>
      <c r="AO553" t="s">
        <v>3644</v>
      </c>
      <c r="AP553" t="s">
        <v>2401</v>
      </c>
    </row>
    <row r="554" spans="1:42">
      <c r="A554" t="s">
        <v>521</v>
      </c>
      <c r="B554" t="s">
        <v>2377</v>
      </c>
      <c r="C554" t="s">
        <v>2447</v>
      </c>
      <c r="D554" t="s">
        <v>2379</v>
      </c>
      <c r="E554" t="s">
        <v>24</v>
      </c>
      <c r="F554" t="s">
        <v>2477</v>
      </c>
      <c r="G554" t="s">
        <v>24</v>
      </c>
      <c r="H554" t="b">
        <v>1</v>
      </c>
      <c r="I554" s="8">
        <v>45958.607094907406</v>
      </c>
      <c r="J554" t="s">
        <v>2380</v>
      </c>
      <c r="L554">
        <v>606957</v>
      </c>
      <c r="M554" t="s">
        <v>2381</v>
      </c>
      <c r="P554" t="s">
        <v>2974</v>
      </c>
      <c r="Q554" t="s">
        <v>2383</v>
      </c>
      <c r="R554">
        <v>1</v>
      </c>
      <c r="S554" t="s">
        <v>2380</v>
      </c>
      <c r="T554" t="s">
        <v>2383</v>
      </c>
      <c r="U554" s="8">
        <v>45952.605671296296</v>
      </c>
      <c r="V554" s="8">
        <v>45958.958333333336</v>
      </c>
      <c r="W554">
        <v>1</v>
      </c>
      <c r="X554">
        <v>4.0014236109999999</v>
      </c>
      <c r="Y554" t="s">
        <v>2403</v>
      </c>
      <c r="Z554" t="s">
        <v>2975</v>
      </c>
      <c r="AA554" t="s">
        <v>2301</v>
      </c>
      <c r="AB554" t="s">
        <v>1278</v>
      </c>
      <c r="AC554" t="s">
        <v>2976</v>
      </c>
      <c r="AD554" t="s">
        <v>2708</v>
      </c>
      <c r="AE554">
        <v>1</v>
      </c>
      <c r="AO554" t="s">
        <v>2408</v>
      </c>
      <c r="AP554" t="s">
        <v>2401</v>
      </c>
    </row>
    <row r="555" spans="1:42">
      <c r="A555" t="s">
        <v>512</v>
      </c>
      <c r="B555" t="s">
        <v>2377</v>
      </c>
      <c r="C555" t="s">
        <v>2415</v>
      </c>
      <c r="D555" t="s">
        <v>2379</v>
      </c>
      <c r="E555" t="s">
        <v>18</v>
      </c>
      <c r="F555" t="s">
        <v>3500</v>
      </c>
      <c r="G555" t="s">
        <v>2416</v>
      </c>
      <c r="H555" t="b">
        <v>1</v>
      </c>
      <c r="I555" s="8">
        <v>45956.379675925928</v>
      </c>
      <c r="J555" t="s">
        <v>2380</v>
      </c>
      <c r="L555">
        <v>609847</v>
      </c>
      <c r="M555" t="s">
        <v>2381</v>
      </c>
      <c r="P555" t="s">
        <v>4661</v>
      </c>
      <c r="Q555" t="s">
        <v>2383</v>
      </c>
      <c r="R555">
        <v>1</v>
      </c>
      <c r="S555" t="s">
        <v>2380</v>
      </c>
      <c r="T555" t="s">
        <v>2383</v>
      </c>
      <c r="U555" s="8">
        <v>45952.616527777776</v>
      </c>
      <c r="V555" s="8">
        <v>45958.958333333336</v>
      </c>
      <c r="W555">
        <v>1</v>
      </c>
      <c r="X555">
        <v>1.763148148</v>
      </c>
      <c r="Y555" t="s">
        <v>3501</v>
      </c>
      <c r="Z555" t="s">
        <v>4662</v>
      </c>
      <c r="AA555" t="s">
        <v>4663</v>
      </c>
      <c r="AB555" t="s">
        <v>1278</v>
      </c>
      <c r="AC555" t="s">
        <v>4664</v>
      </c>
      <c r="AD555" t="s">
        <v>2708</v>
      </c>
      <c r="AE555">
        <v>1</v>
      </c>
      <c r="AO555" t="s">
        <v>2957</v>
      </c>
      <c r="AP555" t="s">
        <v>2401</v>
      </c>
    </row>
    <row r="556" spans="1:42">
      <c r="A556" t="s">
        <v>4613</v>
      </c>
      <c r="B556" t="s">
        <v>2389</v>
      </c>
      <c r="C556" t="s">
        <v>2390</v>
      </c>
      <c r="D556" t="s">
        <v>2379</v>
      </c>
      <c r="E556" t="s">
        <v>25</v>
      </c>
      <c r="F556" t="s">
        <v>3339</v>
      </c>
      <c r="G556" t="s">
        <v>25</v>
      </c>
      <c r="H556" t="b">
        <v>1</v>
      </c>
      <c r="I556" s="8">
        <v>45955.575138888889</v>
      </c>
      <c r="J556" t="s">
        <v>2380</v>
      </c>
      <c r="K556">
        <v>1204647</v>
      </c>
      <c r="L556">
        <v>609809</v>
      </c>
      <c r="M556" t="s">
        <v>2381</v>
      </c>
      <c r="N556">
        <v>5</v>
      </c>
      <c r="P556" t="s">
        <v>3477</v>
      </c>
      <c r="Q556" t="s">
        <v>2383</v>
      </c>
      <c r="R556">
        <v>1</v>
      </c>
      <c r="S556" t="s">
        <v>2380</v>
      </c>
      <c r="T556" t="s">
        <v>2383</v>
      </c>
      <c r="U556" s="8">
        <v>45952.625243055554</v>
      </c>
      <c r="V556" s="8">
        <v>45958.958333333336</v>
      </c>
      <c r="W556">
        <v>1</v>
      </c>
      <c r="X556">
        <v>2.9498958329999998</v>
      </c>
      <c r="Y556" t="s">
        <v>3340</v>
      </c>
      <c r="Z556" t="s">
        <v>4614</v>
      </c>
      <c r="AA556" t="s">
        <v>3343</v>
      </c>
      <c r="AB556" t="s">
        <v>1278</v>
      </c>
      <c r="AC556" t="s">
        <v>2802</v>
      </c>
      <c r="AD556" t="s">
        <v>2708</v>
      </c>
      <c r="AE556">
        <v>1</v>
      </c>
      <c r="AO556" t="s">
        <v>2388</v>
      </c>
      <c r="AP556" t="s">
        <v>2401</v>
      </c>
    </row>
    <row r="557" spans="1:42">
      <c r="A557" t="s">
        <v>10211</v>
      </c>
      <c r="B557" t="s">
        <v>2389</v>
      </c>
      <c r="C557" t="s">
        <v>2443</v>
      </c>
      <c r="D557" t="s">
        <v>2443</v>
      </c>
      <c r="E557" t="s">
        <v>25</v>
      </c>
      <c r="F557" t="s">
        <v>3261</v>
      </c>
      <c r="G557" t="s">
        <v>25</v>
      </c>
      <c r="H557" t="b">
        <v>1</v>
      </c>
      <c r="I557" s="8">
        <v>45959.350752314815</v>
      </c>
      <c r="J557" t="s">
        <v>2380</v>
      </c>
      <c r="L557">
        <v>603493</v>
      </c>
      <c r="M557" t="s">
        <v>2381</v>
      </c>
      <c r="P557" t="s">
        <v>3550</v>
      </c>
      <c r="Q557" t="s">
        <v>2383</v>
      </c>
      <c r="R557">
        <v>1</v>
      </c>
      <c r="S557" t="s">
        <v>2380</v>
      </c>
      <c r="T557" t="s">
        <v>2383</v>
      </c>
      <c r="U557" s="8">
        <v>45952.6325</v>
      </c>
      <c r="V557" s="8">
        <v>45958.958333333336</v>
      </c>
      <c r="W557">
        <v>1</v>
      </c>
      <c r="X557">
        <v>4.718252315</v>
      </c>
      <c r="Y557" t="s">
        <v>3262</v>
      </c>
      <c r="Z557" t="s">
        <v>10212</v>
      </c>
      <c r="AA557" t="s">
        <v>2309</v>
      </c>
      <c r="AB557" t="s">
        <v>1278</v>
      </c>
      <c r="AC557" t="s">
        <v>10213</v>
      </c>
      <c r="AE557">
        <v>1</v>
      </c>
      <c r="AH557" t="s">
        <v>2723</v>
      </c>
      <c r="AI557" s="8">
        <v>45958.701817129629</v>
      </c>
      <c r="AK557" t="s">
        <v>2719</v>
      </c>
      <c r="AL557" t="s">
        <v>2719</v>
      </c>
      <c r="AO557" t="s">
        <v>2957</v>
      </c>
      <c r="AP557" t="s">
        <v>2401</v>
      </c>
    </row>
    <row r="558" spans="1:42">
      <c r="A558" t="s">
        <v>3551</v>
      </c>
      <c r="B558" t="s">
        <v>2389</v>
      </c>
      <c r="C558" t="s">
        <v>2447</v>
      </c>
      <c r="D558" t="s">
        <v>2379</v>
      </c>
      <c r="E558" t="s">
        <v>25</v>
      </c>
      <c r="F558" t="s">
        <v>3261</v>
      </c>
      <c r="G558" t="s">
        <v>25</v>
      </c>
      <c r="H558" t="b">
        <v>1</v>
      </c>
      <c r="I558" s="8">
        <v>45958.660613425927</v>
      </c>
      <c r="J558" t="s">
        <v>2380</v>
      </c>
      <c r="L558">
        <v>603493</v>
      </c>
      <c r="M558" t="s">
        <v>2381</v>
      </c>
      <c r="P558" t="s">
        <v>3550</v>
      </c>
      <c r="Q558" t="s">
        <v>2383</v>
      </c>
      <c r="R558">
        <v>1</v>
      </c>
      <c r="S558" t="s">
        <v>2380</v>
      </c>
      <c r="T558" t="s">
        <v>2383</v>
      </c>
      <c r="U558" s="8">
        <v>45952.634270833332</v>
      </c>
      <c r="V558" s="8">
        <v>45958.958333333336</v>
      </c>
      <c r="W558">
        <v>1</v>
      </c>
      <c r="X558">
        <v>4.0263425929999999</v>
      </c>
      <c r="Y558" t="s">
        <v>3262</v>
      </c>
      <c r="Z558" t="s">
        <v>3552</v>
      </c>
      <c r="AA558" t="s">
        <v>2309</v>
      </c>
      <c r="AB558" t="s">
        <v>1278</v>
      </c>
      <c r="AC558" t="s">
        <v>3553</v>
      </c>
      <c r="AE558">
        <v>1</v>
      </c>
      <c r="AO558" t="s">
        <v>2957</v>
      </c>
      <c r="AP558" t="s">
        <v>2401</v>
      </c>
    </row>
    <row r="559" spans="1:42">
      <c r="A559" t="s">
        <v>1183</v>
      </c>
      <c r="B559" t="s">
        <v>2377</v>
      </c>
      <c r="C559" t="s">
        <v>2390</v>
      </c>
      <c r="D559" t="s">
        <v>2379</v>
      </c>
      <c r="E559" t="s">
        <v>25</v>
      </c>
      <c r="F559" t="s">
        <v>3193</v>
      </c>
      <c r="G559" t="s">
        <v>25</v>
      </c>
      <c r="H559" t="b">
        <v>1</v>
      </c>
      <c r="I559" s="8">
        <v>45955.439525462964</v>
      </c>
      <c r="J559" t="s">
        <v>2380</v>
      </c>
      <c r="L559">
        <v>603665</v>
      </c>
      <c r="M559" t="s">
        <v>2381</v>
      </c>
      <c r="N559">
        <v>8</v>
      </c>
      <c r="P559" t="s">
        <v>8410</v>
      </c>
      <c r="Q559" t="s">
        <v>2383</v>
      </c>
      <c r="R559">
        <v>1</v>
      </c>
      <c r="S559" t="s">
        <v>2380</v>
      </c>
      <c r="T559" t="s">
        <v>2383</v>
      </c>
      <c r="U559" s="8">
        <v>45952.635196759256</v>
      </c>
      <c r="V559" s="8">
        <v>45958.958333333336</v>
      </c>
      <c r="W559">
        <v>1</v>
      </c>
      <c r="X559">
        <v>2.804328704</v>
      </c>
      <c r="Y559" t="s">
        <v>3194</v>
      </c>
      <c r="Z559" t="s">
        <v>8411</v>
      </c>
      <c r="AA559" t="s">
        <v>8412</v>
      </c>
      <c r="AB559" t="s">
        <v>1278</v>
      </c>
      <c r="AC559" t="s">
        <v>8413</v>
      </c>
      <c r="AD559" t="s">
        <v>2708</v>
      </c>
      <c r="AE559">
        <v>1</v>
      </c>
      <c r="AO559" t="s">
        <v>2957</v>
      </c>
      <c r="AP559" t="s">
        <v>2401</v>
      </c>
    </row>
    <row r="560" spans="1:42">
      <c r="A560" t="s">
        <v>4517</v>
      </c>
      <c r="B560" t="s">
        <v>2389</v>
      </c>
      <c r="C560" t="s">
        <v>2390</v>
      </c>
      <c r="D560" t="s">
        <v>2379</v>
      </c>
      <c r="E560" t="s">
        <v>2452</v>
      </c>
      <c r="F560" t="s">
        <v>2578</v>
      </c>
      <c r="G560" t="s">
        <v>2452</v>
      </c>
      <c r="H560" t="b">
        <v>1</v>
      </c>
      <c r="I560" s="8">
        <v>45955.439583333333</v>
      </c>
      <c r="J560" t="s">
        <v>2380</v>
      </c>
      <c r="K560">
        <v>1204629</v>
      </c>
      <c r="L560">
        <v>606871</v>
      </c>
      <c r="M560" t="s">
        <v>2381</v>
      </c>
      <c r="P560" t="s">
        <v>3280</v>
      </c>
      <c r="Q560" t="s">
        <v>2383</v>
      </c>
      <c r="R560">
        <v>1</v>
      </c>
      <c r="S560" t="s">
        <v>2380</v>
      </c>
      <c r="T560" t="s">
        <v>2383</v>
      </c>
      <c r="U560" s="8">
        <v>45952.660358796296</v>
      </c>
      <c r="V560" s="8">
        <v>45958.958333333336</v>
      </c>
      <c r="W560">
        <v>1</v>
      </c>
      <c r="X560">
        <v>2.7792245370000002</v>
      </c>
      <c r="Y560" t="s">
        <v>2579</v>
      </c>
      <c r="Z560" t="s">
        <v>4518</v>
      </c>
      <c r="AA560" t="s">
        <v>3283</v>
      </c>
      <c r="AB560" t="s">
        <v>1278</v>
      </c>
      <c r="AC560" t="s">
        <v>4519</v>
      </c>
      <c r="AD560" t="s">
        <v>2708</v>
      </c>
      <c r="AE560">
        <v>1</v>
      </c>
      <c r="AO560" t="s">
        <v>2388</v>
      </c>
      <c r="AP560" t="s">
        <v>2401</v>
      </c>
    </row>
    <row r="561" spans="1:42">
      <c r="A561" t="s">
        <v>3535</v>
      </c>
      <c r="B561" t="s">
        <v>2389</v>
      </c>
      <c r="C561" t="s">
        <v>2390</v>
      </c>
      <c r="D561" t="s">
        <v>2379</v>
      </c>
      <c r="E561" t="s">
        <v>2452</v>
      </c>
      <c r="F561" t="s">
        <v>3339</v>
      </c>
      <c r="G561" t="s">
        <v>2452</v>
      </c>
      <c r="H561" t="b">
        <v>1</v>
      </c>
      <c r="I561" s="8">
        <v>45955.445972222224</v>
      </c>
      <c r="J561" t="s">
        <v>2380</v>
      </c>
      <c r="L561">
        <v>609783</v>
      </c>
      <c r="M561" t="s">
        <v>2381</v>
      </c>
      <c r="P561" t="s">
        <v>3477</v>
      </c>
      <c r="Q561" t="s">
        <v>2383</v>
      </c>
      <c r="R561">
        <v>1</v>
      </c>
      <c r="S561" t="s">
        <v>2380</v>
      </c>
      <c r="T561" t="s">
        <v>2383</v>
      </c>
      <c r="U561" s="8">
        <v>45952.674293981479</v>
      </c>
      <c r="V561" s="8">
        <v>45958.958333333336</v>
      </c>
      <c r="W561">
        <v>1</v>
      </c>
      <c r="X561">
        <v>2.771678241</v>
      </c>
      <c r="Y561" t="s">
        <v>3340</v>
      </c>
      <c r="Z561" t="s">
        <v>3536</v>
      </c>
      <c r="AA561" t="s">
        <v>3537</v>
      </c>
      <c r="AB561" t="s">
        <v>1278</v>
      </c>
      <c r="AC561" t="s">
        <v>3538</v>
      </c>
      <c r="AE561">
        <v>1</v>
      </c>
      <c r="AO561" t="s">
        <v>2957</v>
      </c>
      <c r="AP561" t="s">
        <v>2401</v>
      </c>
    </row>
    <row r="562" spans="1:42">
      <c r="A562" t="s">
        <v>8828</v>
      </c>
      <c r="B562" t="s">
        <v>2389</v>
      </c>
      <c r="C562" t="s">
        <v>2443</v>
      </c>
      <c r="D562" t="s">
        <v>2443</v>
      </c>
      <c r="E562" t="s">
        <v>33</v>
      </c>
      <c r="F562" t="s">
        <v>2588</v>
      </c>
      <c r="G562" t="s">
        <v>33</v>
      </c>
      <c r="H562" t="b">
        <v>1</v>
      </c>
      <c r="I562" s="8">
        <v>45959.371886574074</v>
      </c>
      <c r="J562" t="s">
        <v>2380</v>
      </c>
      <c r="K562">
        <v>1204799</v>
      </c>
      <c r="L562">
        <v>609696</v>
      </c>
      <c r="M562" t="s">
        <v>2381</v>
      </c>
      <c r="P562" t="s">
        <v>8827</v>
      </c>
      <c r="Q562" t="s">
        <v>2383</v>
      </c>
      <c r="R562">
        <v>1</v>
      </c>
      <c r="S562" t="s">
        <v>2380</v>
      </c>
      <c r="T562" t="s">
        <v>2383</v>
      </c>
      <c r="U562" s="8">
        <v>45952.676504629628</v>
      </c>
      <c r="V562" s="8">
        <v>45958.958333333336</v>
      </c>
      <c r="W562">
        <v>1</v>
      </c>
      <c r="X562">
        <v>4.6953819440000002</v>
      </c>
      <c r="Y562" t="s">
        <v>2579</v>
      </c>
      <c r="Z562" t="s">
        <v>8829</v>
      </c>
      <c r="AA562" t="s">
        <v>8830</v>
      </c>
      <c r="AB562" t="s">
        <v>1278</v>
      </c>
      <c r="AC562" t="s">
        <v>8831</v>
      </c>
      <c r="AD562" t="s">
        <v>2708</v>
      </c>
      <c r="AE562">
        <v>1</v>
      </c>
      <c r="AH562" t="s">
        <v>2723</v>
      </c>
      <c r="AI562" s="8">
        <v>45958.697847222225</v>
      </c>
      <c r="AK562" t="s">
        <v>2719</v>
      </c>
      <c r="AL562" t="s">
        <v>2719</v>
      </c>
      <c r="AO562" t="s">
        <v>3644</v>
      </c>
      <c r="AP562" t="s">
        <v>2401</v>
      </c>
    </row>
    <row r="563" spans="1:42">
      <c r="A563" t="s">
        <v>994</v>
      </c>
      <c r="B563" t="s">
        <v>2377</v>
      </c>
      <c r="C563" t="s">
        <v>2415</v>
      </c>
      <c r="D563" t="s">
        <v>2379</v>
      </c>
      <c r="E563" t="s">
        <v>18</v>
      </c>
      <c r="F563" t="s">
        <v>3445</v>
      </c>
      <c r="G563" t="s">
        <v>2416</v>
      </c>
      <c r="H563" t="b">
        <v>1</v>
      </c>
      <c r="I563" s="8">
        <v>45956.390532407408</v>
      </c>
      <c r="J563" t="s">
        <v>2380</v>
      </c>
      <c r="L563">
        <v>603970</v>
      </c>
      <c r="M563" t="s">
        <v>2381</v>
      </c>
      <c r="P563" t="s">
        <v>4125</v>
      </c>
      <c r="Q563" t="s">
        <v>2383</v>
      </c>
      <c r="R563">
        <v>1</v>
      </c>
      <c r="S563" t="s">
        <v>2380</v>
      </c>
      <c r="T563" t="s">
        <v>2383</v>
      </c>
      <c r="U563" s="8">
        <v>45952.680543981478</v>
      </c>
      <c r="V563" s="8">
        <v>45958.958333333336</v>
      </c>
      <c r="W563">
        <v>1</v>
      </c>
      <c r="X563">
        <v>1.709988426</v>
      </c>
      <c r="Y563" t="s">
        <v>4126</v>
      </c>
      <c r="Z563" t="s">
        <v>4631</v>
      </c>
      <c r="AA563" t="s">
        <v>2306</v>
      </c>
      <c r="AB563" t="s">
        <v>1278</v>
      </c>
      <c r="AC563" t="s">
        <v>4632</v>
      </c>
      <c r="AD563" t="s">
        <v>2708</v>
      </c>
      <c r="AE563">
        <v>1</v>
      </c>
      <c r="AO563" t="s">
        <v>2957</v>
      </c>
      <c r="AP563" t="s">
        <v>2401</v>
      </c>
    </row>
    <row r="564" spans="1:42">
      <c r="A564" t="s">
        <v>1201</v>
      </c>
      <c r="B564" t="s">
        <v>2377</v>
      </c>
      <c r="C564" t="s">
        <v>2443</v>
      </c>
      <c r="D564" t="s">
        <v>2443</v>
      </c>
      <c r="E564" t="s">
        <v>33</v>
      </c>
      <c r="F564" t="s">
        <v>8789</v>
      </c>
      <c r="G564" t="s">
        <v>33</v>
      </c>
      <c r="H564" t="b">
        <v>1</v>
      </c>
      <c r="I564" s="8">
        <v>45959.372696759259</v>
      </c>
      <c r="J564" t="s">
        <v>2380</v>
      </c>
      <c r="L564">
        <v>609379</v>
      </c>
      <c r="M564" t="s">
        <v>2381</v>
      </c>
      <c r="P564" t="s">
        <v>8790</v>
      </c>
      <c r="Q564" t="s">
        <v>2383</v>
      </c>
      <c r="R564">
        <v>1</v>
      </c>
      <c r="S564" t="s">
        <v>2380</v>
      </c>
      <c r="T564" t="s">
        <v>2383</v>
      </c>
      <c r="U564" s="8">
        <v>45952.682210648149</v>
      </c>
      <c r="V564" s="8">
        <v>45958.958333333336</v>
      </c>
      <c r="W564">
        <v>1</v>
      </c>
      <c r="X564">
        <v>4.6904861110000002</v>
      </c>
      <c r="Y564" t="s">
        <v>8791</v>
      </c>
      <c r="Z564" t="s">
        <v>8792</v>
      </c>
      <c r="AA564" t="s">
        <v>5374</v>
      </c>
      <c r="AB564" t="s">
        <v>1278</v>
      </c>
      <c r="AC564" t="s">
        <v>8793</v>
      </c>
      <c r="AD564" t="s">
        <v>2708</v>
      </c>
      <c r="AE564">
        <v>1</v>
      </c>
      <c r="AH564" t="s">
        <v>2723</v>
      </c>
      <c r="AI564" s="8">
        <v>45958.700682870367</v>
      </c>
      <c r="AK564" t="s">
        <v>2719</v>
      </c>
      <c r="AL564" t="s">
        <v>2719</v>
      </c>
      <c r="AO564" t="s">
        <v>2957</v>
      </c>
      <c r="AP564" t="s">
        <v>2401</v>
      </c>
    </row>
    <row r="565" spans="1:42">
      <c r="A565" t="s">
        <v>238</v>
      </c>
      <c r="B565" t="s">
        <v>2377</v>
      </c>
      <c r="C565" t="s">
        <v>2443</v>
      </c>
      <c r="D565" t="s">
        <v>2443</v>
      </c>
      <c r="E565" t="s">
        <v>33</v>
      </c>
      <c r="F565" t="s">
        <v>3891</v>
      </c>
      <c r="G565" t="s">
        <v>33</v>
      </c>
      <c r="H565" t="b">
        <v>1</v>
      </c>
      <c r="I565" s="8">
        <v>45959.372511574074</v>
      </c>
      <c r="J565" t="s">
        <v>2380</v>
      </c>
      <c r="L565">
        <v>603381</v>
      </c>
      <c r="M565" t="s">
        <v>2381</v>
      </c>
      <c r="P565" t="s">
        <v>2704</v>
      </c>
      <c r="Q565" t="s">
        <v>2383</v>
      </c>
      <c r="R565">
        <v>1</v>
      </c>
      <c r="S565" t="s">
        <v>2380</v>
      </c>
      <c r="T565" t="s">
        <v>2383</v>
      </c>
      <c r="U565" s="8">
        <v>45952.686122685183</v>
      </c>
      <c r="V565" s="8">
        <v>45958.958333333336</v>
      </c>
      <c r="W565">
        <v>1</v>
      </c>
      <c r="X565">
        <v>4.6863888889999998</v>
      </c>
      <c r="Y565" t="s">
        <v>3892</v>
      </c>
      <c r="Z565" t="s">
        <v>8856</v>
      </c>
      <c r="AA565" t="s">
        <v>2714</v>
      </c>
      <c r="AB565" t="s">
        <v>1278</v>
      </c>
      <c r="AC565" t="s">
        <v>2746</v>
      </c>
      <c r="AD565" t="s">
        <v>2708</v>
      </c>
      <c r="AE565">
        <v>1</v>
      </c>
      <c r="AH565" t="s">
        <v>2723</v>
      </c>
      <c r="AI565" s="8">
        <v>45958.701157407406</v>
      </c>
      <c r="AK565" t="s">
        <v>2719</v>
      </c>
      <c r="AL565" t="s">
        <v>2719</v>
      </c>
      <c r="AO565" t="s">
        <v>2715</v>
      </c>
      <c r="AP565" t="s">
        <v>2401</v>
      </c>
    </row>
    <row r="566" spans="1:42">
      <c r="A566" t="s">
        <v>233</v>
      </c>
      <c r="B566" t="s">
        <v>2377</v>
      </c>
      <c r="C566" t="s">
        <v>2415</v>
      </c>
      <c r="D566" t="s">
        <v>2379</v>
      </c>
      <c r="E566" t="s">
        <v>18</v>
      </c>
      <c r="F566" t="s">
        <v>3445</v>
      </c>
      <c r="G566" t="s">
        <v>2416</v>
      </c>
      <c r="H566" t="b">
        <v>1</v>
      </c>
      <c r="I566" s="8">
        <v>45956.397893518515</v>
      </c>
      <c r="J566" t="s">
        <v>2380</v>
      </c>
      <c r="L566">
        <v>603970</v>
      </c>
      <c r="M566" t="s">
        <v>2381</v>
      </c>
      <c r="P566" t="s">
        <v>4125</v>
      </c>
      <c r="Q566" t="s">
        <v>2383</v>
      </c>
      <c r="R566">
        <v>1</v>
      </c>
      <c r="S566" t="s">
        <v>2380</v>
      </c>
      <c r="T566" t="s">
        <v>2383</v>
      </c>
      <c r="U566" s="8">
        <v>45952.687986111108</v>
      </c>
      <c r="V566" s="8">
        <v>45958.958333333336</v>
      </c>
      <c r="W566">
        <v>1</v>
      </c>
      <c r="X566">
        <v>1.709907407</v>
      </c>
      <c r="Y566" t="s">
        <v>4126</v>
      </c>
      <c r="Z566" t="s">
        <v>4633</v>
      </c>
      <c r="AA566" t="s">
        <v>2306</v>
      </c>
      <c r="AB566" t="s">
        <v>1278</v>
      </c>
      <c r="AC566" t="s">
        <v>4634</v>
      </c>
      <c r="AD566" t="s">
        <v>2708</v>
      </c>
      <c r="AE566">
        <v>1</v>
      </c>
      <c r="AO566" t="s">
        <v>2957</v>
      </c>
      <c r="AP566" t="s">
        <v>2401</v>
      </c>
    </row>
    <row r="567" spans="1:42">
      <c r="A567" t="s">
        <v>510</v>
      </c>
      <c r="B567" t="s">
        <v>2377</v>
      </c>
      <c r="C567" t="s">
        <v>2390</v>
      </c>
      <c r="D567" t="s">
        <v>2379</v>
      </c>
      <c r="E567" t="s">
        <v>25</v>
      </c>
      <c r="F567" t="s">
        <v>3261</v>
      </c>
      <c r="G567" t="s">
        <v>25</v>
      </c>
      <c r="H567" t="b">
        <v>1</v>
      </c>
      <c r="I567" s="8">
        <v>45955.434699074074</v>
      </c>
      <c r="J567" t="s">
        <v>2380</v>
      </c>
      <c r="L567">
        <v>603976</v>
      </c>
      <c r="M567" t="s">
        <v>2381</v>
      </c>
      <c r="N567">
        <v>5</v>
      </c>
      <c r="P567" t="s">
        <v>8365</v>
      </c>
      <c r="Q567" t="s">
        <v>2383</v>
      </c>
      <c r="R567">
        <v>1</v>
      </c>
      <c r="S567" t="s">
        <v>2380</v>
      </c>
      <c r="T567" t="s">
        <v>2383</v>
      </c>
      <c r="U567" s="8">
        <v>45952.697094907409</v>
      </c>
      <c r="V567" s="8">
        <v>45958.958333333336</v>
      </c>
      <c r="W567">
        <v>1</v>
      </c>
      <c r="X567">
        <v>2.7376041670000002</v>
      </c>
      <c r="Y567" t="s">
        <v>3262</v>
      </c>
      <c r="Z567" t="s">
        <v>8366</v>
      </c>
      <c r="AA567" t="s">
        <v>8367</v>
      </c>
      <c r="AB567" t="s">
        <v>1278</v>
      </c>
      <c r="AC567" t="s">
        <v>8368</v>
      </c>
      <c r="AD567" t="s">
        <v>2708</v>
      </c>
      <c r="AE567">
        <v>1</v>
      </c>
      <c r="AO567" t="s">
        <v>2957</v>
      </c>
      <c r="AP567" t="s">
        <v>2401</v>
      </c>
    </row>
    <row r="568" spans="1:42">
      <c r="A568" t="s">
        <v>2529</v>
      </c>
      <c r="B568" t="s">
        <v>2389</v>
      </c>
      <c r="C568" t="s">
        <v>2378</v>
      </c>
      <c r="D568" t="s">
        <v>2379</v>
      </c>
      <c r="E568" t="s">
        <v>24</v>
      </c>
      <c r="F568" t="s">
        <v>2417</v>
      </c>
      <c r="G568" t="s">
        <v>24</v>
      </c>
      <c r="H568" t="b">
        <v>1</v>
      </c>
      <c r="I568" s="8">
        <v>45958.415636574071</v>
      </c>
      <c r="J568" t="s">
        <v>2380</v>
      </c>
      <c r="L568">
        <v>606920</v>
      </c>
      <c r="M568" t="s">
        <v>2381</v>
      </c>
      <c r="P568" t="s">
        <v>2501</v>
      </c>
      <c r="Q568" t="s">
        <v>2383</v>
      </c>
      <c r="R568">
        <v>1</v>
      </c>
      <c r="S568" t="s">
        <v>2380</v>
      </c>
      <c r="T568" t="s">
        <v>2383</v>
      </c>
      <c r="U568" s="8">
        <v>45952.697453703702</v>
      </c>
      <c r="V568" s="8">
        <v>45958.958333333336</v>
      </c>
      <c r="W568">
        <v>1</v>
      </c>
      <c r="X568">
        <v>3.7181828700000001</v>
      </c>
      <c r="Y568" t="s">
        <v>2418</v>
      </c>
      <c r="Z568" t="s">
        <v>2530</v>
      </c>
      <c r="AA568" t="s">
        <v>2504</v>
      </c>
      <c r="AB568" t="s">
        <v>1278</v>
      </c>
      <c r="AC568" t="s">
        <v>2531</v>
      </c>
      <c r="AE568">
        <v>1</v>
      </c>
      <c r="AO568" t="s">
        <v>2408</v>
      </c>
      <c r="AP568" t="s">
        <v>2401</v>
      </c>
    </row>
    <row r="569" spans="1:42">
      <c r="A569" t="s">
        <v>3088</v>
      </c>
      <c r="B569" t="s">
        <v>2389</v>
      </c>
      <c r="C569" t="s">
        <v>2390</v>
      </c>
      <c r="D569" t="s">
        <v>2379</v>
      </c>
      <c r="E569" t="s">
        <v>25</v>
      </c>
      <c r="F569" t="s">
        <v>2477</v>
      </c>
      <c r="G569" t="s">
        <v>25</v>
      </c>
      <c r="H569" t="b">
        <v>1</v>
      </c>
      <c r="I569" s="8">
        <v>45955.475856481484</v>
      </c>
      <c r="J569" t="s">
        <v>2380</v>
      </c>
      <c r="K569">
        <v>1204635</v>
      </c>
      <c r="L569">
        <v>603022</v>
      </c>
      <c r="M569" t="s">
        <v>2381</v>
      </c>
      <c r="N569">
        <v>5</v>
      </c>
      <c r="P569" t="s">
        <v>3087</v>
      </c>
      <c r="Q569" t="s">
        <v>2383</v>
      </c>
      <c r="R569">
        <v>1</v>
      </c>
      <c r="S569" t="s">
        <v>2380</v>
      </c>
      <c r="T569" t="s">
        <v>2383</v>
      </c>
      <c r="U569" s="8">
        <v>45952.724305555559</v>
      </c>
      <c r="V569" s="8">
        <v>45958.958333333336</v>
      </c>
      <c r="W569">
        <v>1</v>
      </c>
      <c r="X569">
        <v>2.7515509260000002</v>
      </c>
      <c r="Y569" t="s">
        <v>2403</v>
      </c>
      <c r="Z569" t="s">
        <v>3089</v>
      </c>
      <c r="AA569" t="s">
        <v>1555</v>
      </c>
      <c r="AB569" t="s">
        <v>1278</v>
      </c>
      <c r="AC569" t="s">
        <v>3090</v>
      </c>
      <c r="AD569" t="s">
        <v>2708</v>
      </c>
      <c r="AE569">
        <v>1</v>
      </c>
      <c r="AO569" t="s">
        <v>2408</v>
      </c>
      <c r="AP569" t="s">
        <v>2401</v>
      </c>
    </row>
    <row r="570" spans="1:42">
      <c r="A570" t="s">
        <v>3091</v>
      </c>
      <c r="B570" t="s">
        <v>2389</v>
      </c>
      <c r="C570" t="s">
        <v>2390</v>
      </c>
      <c r="D570" t="s">
        <v>2379</v>
      </c>
      <c r="E570" t="s">
        <v>25</v>
      </c>
      <c r="F570" t="s">
        <v>2477</v>
      </c>
      <c r="G570" t="s">
        <v>25</v>
      </c>
      <c r="H570" t="b">
        <v>1</v>
      </c>
      <c r="I570" s="8">
        <v>45955.472997685189</v>
      </c>
      <c r="J570" t="s">
        <v>2380</v>
      </c>
      <c r="K570">
        <v>1204634</v>
      </c>
      <c r="L570">
        <v>603022</v>
      </c>
      <c r="M570" t="s">
        <v>2381</v>
      </c>
      <c r="N570">
        <v>5</v>
      </c>
      <c r="P570" t="s">
        <v>3087</v>
      </c>
      <c r="Q570" t="s">
        <v>2383</v>
      </c>
      <c r="R570">
        <v>1</v>
      </c>
      <c r="S570" t="s">
        <v>2380</v>
      </c>
      <c r="T570" t="s">
        <v>2383</v>
      </c>
      <c r="U570" s="8">
        <v>45952.727233796293</v>
      </c>
      <c r="V570" s="8">
        <v>45958.958333333336</v>
      </c>
      <c r="W570">
        <v>1</v>
      </c>
      <c r="X570">
        <v>2.745763889</v>
      </c>
      <c r="Y570" t="s">
        <v>2403</v>
      </c>
      <c r="Z570" t="s">
        <v>3092</v>
      </c>
      <c r="AA570" t="s">
        <v>1555</v>
      </c>
      <c r="AB570" t="s">
        <v>1278</v>
      </c>
      <c r="AC570" t="s">
        <v>3093</v>
      </c>
      <c r="AD570" t="s">
        <v>2708</v>
      </c>
      <c r="AE570">
        <v>1</v>
      </c>
      <c r="AO570" t="s">
        <v>2408</v>
      </c>
      <c r="AP570" t="s">
        <v>2401</v>
      </c>
    </row>
    <row r="571" spans="1:42">
      <c r="A571" t="s">
        <v>3459</v>
      </c>
      <c r="B571" t="s">
        <v>2389</v>
      </c>
      <c r="C571" t="s">
        <v>2378</v>
      </c>
      <c r="D571" t="s">
        <v>2379</v>
      </c>
      <c r="E571" t="s">
        <v>33</v>
      </c>
      <c r="F571" t="s">
        <v>2578</v>
      </c>
      <c r="G571" t="s">
        <v>33</v>
      </c>
      <c r="H571" t="b">
        <v>1</v>
      </c>
      <c r="I571" s="8">
        <v>45958.498171296298</v>
      </c>
      <c r="J571" t="s">
        <v>2380</v>
      </c>
      <c r="L571">
        <v>609810</v>
      </c>
      <c r="M571" t="s">
        <v>2381</v>
      </c>
      <c r="P571" t="s">
        <v>3423</v>
      </c>
      <c r="Q571" t="s">
        <v>2383</v>
      </c>
      <c r="R571">
        <v>1</v>
      </c>
      <c r="S571" t="s">
        <v>2380</v>
      </c>
      <c r="T571" t="s">
        <v>2383</v>
      </c>
      <c r="U571" s="8">
        <v>45953.375428240739</v>
      </c>
      <c r="V571" s="8">
        <v>45959.958333333336</v>
      </c>
      <c r="W571">
        <v>1</v>
      </c>
      <c r="X571">
        <v>3.122743056</v>
      </c>
      <c r="Y571" t="s">
        <v>2579</v>
      </c>
      <c r="Z571" t="s">
        <v>3460</v>
      </c>
      <c r="AA571" t="s">
        <v>2645</v>
      </c>
      <c r="AB571" t="s">
        <v>1278</v>
      </c>
      <c r="AC571" t="s">
        <v>3461</v>
      </c>
      <c r="AE571">
        <v>1</v>
      </c>
      <c r="AO571" t="s">
        <v>2388</v>
      </c>
      <c r="AP571" t="s">
        <v>2401</v>
      </c>
    </row>
    <row r="572" spans="1:42">
      <c r="A572" t="s">
        <v>4529</v>
      </c>
      <c r="B572" t="s">
        <v>2389</v>
      </c>
      <c r="C572" t="s">
        <v>2378</v>
      </c>
      <c r="D572" t="s">
        <v>2379</v>
      </c>
      <c r="E572" t="s">
        <v>33</v>
      </c>
      <c r="F572" t="s">
        <v>2578</v>
      </c>
      <c r="G572" t="s">
        <v>33</v>
      </c>
      <c r="H572" t="b">
        <v>1</v>
      </c>
      <c r="I572" s="8">
        <v>45958.499965277777</v>
      </c>
      <c r="J572" t="s">
        <v>2380</v>
      </c>
      <c r="K572">
        <v>1204921</v>
      </c>
      <c r="L572">
        <v>609810</v>
      </c>
      <c r="M572" t="s">
        <v>2381</v>
      </c>
      <c r="P572" t="s">
        <v>3423</v>
      </c>
      <c r="Q572" t="s">
        <v>2383</v>
      </c>
      <c r="R572">
        <v>1</v>
      </c>
      <c r="S572" t="s">
        <v>2380</v>
      </c>
      <c r="T572" t="s">
        <v>2383</v>
      </c>
      <c r="U572" s="8">
        <v>45953.376597222225</v>
      </c>
      <c r="V572" s="8">
        <v>45959.958333333336</v>
      </c>
      <c r="W572">
        <v>1</v>
      </c>
      <c r="X572">
        <v>3.1233680559999999</v>
      </c>
      <c r="Y572" t="s">
        <v>2579</v>
      </c>
      <c r="Z572" t="s">
        <v>4530</v>
      </c>
      <c r="AA572" t="s">
        <v>2645</v>
      </c>
      <c r="AB572" t="s">
        <v>1278</v>
      </c>
      <c r="AC572" t="s">
        <v>4531</v>
      </c>
      <c r="AD572" t="s">
        <v>2708</v>
      </c>
      <c r="AE572">
        <v>1</v>
      </c>
      <c r="AO572" t="s">
        <v>2388</v>
      </c>
      <c r="AP572" t="s">
        <v>2401</v>
      </c>
    </row>
    <row r="573" spans="1:42">
      <c r="A573" t="s">
        <v>3456</v>
      </c>
      <c r="B573" t="s">
        <v>2389</v>
      </c>
      <c r="C573" t="s">
        <v>2378</v>
      </c>
      <c r="D573" t="s">
        <v>2379</v>
      </c>
      <c r="E573" t="s">
        <v>33</v>
      </c>
      <c r="F573" t="s">
        <v>2578</v>
      </c>
      <c r="G573" t="s">
        <v>33</v>
      </c>
      <c r="H573" t="b">
        <v>1</v>
      </c>
      <c r="I573" s="8">
        <v>45958.497465277775</v>
      </c>
      <c r="J573" t="s">
        <v>2380</v>
      </c>
      <c r="L573">
        <v>609810</v>
      </c>
      <c r="M573" t="s">
        <v>2381</v>
      </c>
      <c r="P573" t="s">
        <v>3423</v>
      </c>
      <c r="Q573" t="s">
        <v>2383</v>
      </c>
      <c r="R573">
        <v>1</v>
      </c>
      <c r="S573" t="s">
        <v>2380</v>
      </c>
      <c r="T573" t="s">
        <v>2383</v>
      </c>
      <c r="U573" s="8">
        <v>45953.377592592595</v>
      </c>
      <c r="V573" s="8">
        <v>45959.958333333336</v>
      </c>
      <c r="W573">
        <v>1</v>
      </c>
      <c r="X573">
        <v>3.1198726849999998</v>
      </c>
      <c r="Y573" t="s">
        <v>2579</v>
      </c>
      <c r="Z573" t="s">
        <v>3457</v>
      </c>
      <c r="AA573" t="s">
        <v>2645</v>
      </c>
      <c r="AB573" t="s">
        <v>1278</v>
      </c>
      <c r="AC573" t="s">
        <v>3458</v>
      </c>
      <c r="AE573">
        <v>1</v>
      </c>
      <c r="AO573" t="s">
        <v>2388</v>
      </c>
      <c r="AP573" t="s">
        <v>2401</v>
      </c>
    </row>
    <row r="574" spans="1:42">
      <c r="A574" t="s">
        <v>4532</v>
      </c>
      <c r="B574" t="s">
        <v>2389</v>
      </c>
      <c r="C574" t="s">
        <v>2378</v>
      </c>
      <c r="D574" t="s">
        <v>2379</v>
      </c>
      <c r="E574" t="s">
        <v>33</v>
      </c>
      <c r="F574" t="s">
        <v>2578</v>
      </c>
      <c r="G574" t="s">
        <v>33</v>
      </c>
      <c r="H574" t="b">
        <v>1</v>
      </c>
      <c r="I574" s="8">
        <v>45958.501550925925</v>
      </c>
      <c r="J574" t="s">
        <v>2380</v>
      </c>
      <c r="K574">
        <v>1204922</v>
      </c>
      <c r="L574">
        <v>609810</v>
      </c>
      <c r="M574" t="s">
        <v>2381</v>
      </c>
      <c r="P574" t="s">
        <v>3423</v>
      </c>
      <c r="Q574" t="s">
        <v>2383</v>
      </c>
      <c r="R574">
        <v>1</v>
      </c>
      <c r="S574" t="s">
        <v>2380</v>
      </c>
      <c r="T574" t="s">
        <v>2383</v>
      </c>
      <c r="U574" s="8">
        <v>45953.378599537034</v>
      </c>
      <c r="V574" s="8">
        <v>45959.958333333336</v>
      </c>
      <c r="W574">
        <v>1</v>
      </c>
      <c r="X574">
        <v>3.1229513889999998</v>
      </c>
      <c r="Y574" t="s">
        <v>2579</v>
      </c>
      <c r="Z574" t="s">
        <v>4533</v>
      </c>
      <c r="AA574" t="s">
        <v>2645</v>
      </c>
      <c r="AB574" t="s">
        <v>1278</v>
      </c>
      <c r="AC574" t="s">
        <v>4534</v>
      </c>
      <c r="AD574" t="s">
        <v>2708</v>
      </c>
      <c r="AE574">
        <v>1</v>
      </c>
      <c r="AO574" t="s">
        <v>2388</v>
      </c>
      <c r="AP574" t="s">
        <v>2401</v>
      </c>
    </row>
    <row r="575" spans="1:42">
      <c r="A575" t="s">
        <v>10188</v>
      </c>
      <c r="B575" t="s">
        <v>2377</v>
      </c>
      <c r="C575" t="s">
        <v>2447</v>
      </c>
      <c r="D575" t="s">
        <v>2379</v>
      </c>
      <c r="E575" t="s">
        <v>24</v>
      </c>
      <c r="F575" t="s">
        <v>4897</v>
      </c>
      <c r="G575" t="s">
        <v>24</v>
      </c>
      <c r="H575" t="b">
        <v>1</v>
      </c>
      <c r="I575" s="8">
        <v>45959.600624999999</v>
      </c>
      <c r="J575" t="s">
        <v>2380</v>
      </c>
      <c r="L575">
        <v>603632</v>
      </c>
      <c r="M575" t="s">
        <v>2381</v>
      </c>
      <c r="P575" t="s">
        <v>2670</v>
      </c>
      <c r="Q575" t="s">
        <v>2383</v>
      </c>
      <c r="R575">
        <v>1</v>
      </c>
      <c r="S575" t="s">
        <v>2380</v>
      </c>
      <c r="T575" t="s">
        <v>2383</v>
      </c>
      <c r="U575" s="8">
        <v>45953.392627314817</v>
      </c>
      <c r="V575" s="8">
        <v>45959.958333333336</v>
      </c>
      <c r="W575">
        <v>1</v>
      </c>
      <c r="X575">
        <v>4.2079976849999996</v>
      </c>
      <c r="Y575" t="s">
        <v>4898</v>
      </c>
      <c r="Z575" t="s">
        <v>10189</v>
      </c>
      <c r="AA575" t="s">
        <v>4905</v>
      </c>
      <c r="AB575" t="s">
        <v>1278</v>
      </c>
      <c r="AC575" t="s">
        <v>3187</v>
      </c>
      <c r="AE575">
        <v>1</v>
      </c>
      <c r="AO575" t="s">
        <v>2715</v>
      </c>
      <c r="AP575" t="s">
        <v>2401</v>
      </c>
    </row>
    <row r="576" spans="1:42">
      <c r="A576" t="s">
        <v>269</v>
      </c>
      <c r="B576" t="s">
        <v>2377</v>
      </c>
      <c r="C576" t="s">
        <v>2447</v>
      </c>
      <c r="D576" t="s">
        <v>2379</v>
      </c>
      <c r="E576" t="s">
        <v>18</v>
      </c>
      <c r="F576" t="s">
        <v>3445</v>
      </c>
      <c r="G576" t="s">
        <v>2416</v>
      </c>
      <c r="H576" t="b">
        <v>1</v>
      </c>
      <c r="I576" s="8">
        <v>45959.513784722221</v>
      </c>
      <c r="J576" t="s">
        <v>2380</v>
      </c>
      <c r="L576">
        <v>605387</v>
      </c>
      <c r="M576" t="s">
        <v>2381</v>
      </c>
      <c r="P576" t="s">
        <v>4125</v>
      </c>
      <c r="Q576" t="s">
        <v>2383</v>
      </c>
      <c r="R576">
        <v>1</v>
      </c>
      <c r="S576" t="s">
        <v>2380</v>
      </c>
      <c r="T576" t="s">
        <v>2383</v>
      </c>
      <c r="U576" s="8">
        <v>45953.400081018517</v>
      </c>
      <c r="V576" s="8">
        <v>45959.958333333336</v>
      </c>
      <c r="W576">
        <v>1</v>
      </c>
      <c r="X576">
        <v>4.1137037039999997</v>
      </c>
      <c r="Y576" t="s">
        <v>4126</v>
      </c>
      <c r="Z576" t="s">
        <v>4635</v>
      </c>
      <c r="AA576" t="s">
        <v>4636</v>
      </c>
      <c r="AB576" t="s">
        <v>1278</v>
      </c>
      <c r="AC576" t="s">
        <v>4637</v>
      </c>
      <c r="AD576" t="s">
        <v>2708</v>
      </c>
      <c r="AE576">
        <v>1</v>
      </c>
      <c r="AO576" t="s">
        <v>2957</v>
      </c>
      <c r="AP576" t="s">
        <v>2401</v>
      </c>
    </row>
    <row r="577" spans="1:42">
      <c r="A577" t="s">
        <v>1216</v>
      </c>
      <c r="B577" t="s">
        <v>2377</v>
      </c>
      <c r="C577" t="s">
        <v>2378</v>
      </c>
      <c r="D577" t="s">
        <v>2379</v>
      </c>
      <c r="E577" t="s">
        <v>28</v>
      </c>
      <c r="F577" t="s">
        <v>2578</v>
      </c>
      <c r="G577" t="s">
        <v>28</v>
      </c>
      <c r="H577" t="b">
        <v>1</v>
      </c>
      <c r="I577" s="8">
        <v>45958.664884259262</v>
      </c>
      <c r="J577" t="s">
        <v>2380</v>
      </c>
      <c r="L577">
        <v>603111</v>
      </c>
      <c r="M577" t="s">
        <v>2381</v>
      </c>
      <c r="N577">
        <v>15</v>
      </c>
      <c r="P577" t="s">
        <v>4536</v>
      </c>
      <c r="Q577" t="s">
        <v>2383</v>
      </c>
      <c r="R577">
        <v>1</v>
      </c>
      <c r="S577" t="s">
        <v>2380</v>
      </c>
      <c r="T577" t="s">
        <v>2383</v>
      </c>
      <c r="U577" s="8">
        <v>45953.401655092595</v>
      </c>
      <c r="V577" s="8">
        <v>45959.958333333336</v>
      </c>
      <c r="W577">
        <v>1</v>
      </c>
      <c r="X577">
        <v>3.263229167</v>
      </c>
      <c r="Y577" t="s">
        <v>2579</v>
      </c>
      <c r="Z577" t="s">
        <v>4537</v>
      </c>
      <c r="AA577" t="s">
        <v>4538</v>
      </c>
      <c r="AB577" t="s">
        <v>1278</v>
      </c>
      <c r="AC577" t="s">
        <v>4539</v>
      </c>
      <c r="AD577" t="s">
        <v>2708</v>
      </c>
      <c r="AE577">
        <v>1</v>
      </c>
      <c r="AO577" t="s">
        <v>2388</v>
      </c>
      <c r="AP577" t="s">
        <v>2401</v>
      </c>
    </row>
    <row r="578" spans="1:42">
      <c r="A578" t="s">
        <v>256</v>
      </c>
      <c r="B578" t="s">
        <v>2377</v>
      </c>
      <c r="C578" t="s">
        <v>2378</v>
      </c>
      <c r="D578" t="s">
        <v>2379</v>
      </c>
      <c r="E578" t="s">
        <v>28</v>
      </c>
      <c r="F578" t="s">
        <v>3445</v>
      </c>
      <c r="G578" t="s">
        <v>28</v>
      </c>
      <c r="H578" t="b">
        <v>1</v>
      </c>
      <c r="I578" s="8">
        <v>45958.641423611109</v>
      </c>
      <c r="J578" t="s">
        <v>2380</v>
      </c>
      <c r="L578">
        <v>603970</v>
      </c>
      <c r="M578" t="s">
        <v>2381</v>
      </c>
      <c r="N578">
        <v>15</v>
      </c>
      <c r="P578" t="s">
        <v>4125</v>
      </c>
      <c r="Q578" t="s">
        <v>2383</v>
      </c>
      <c r="R578">
        <v>1</v>
      </c>
      <c r="S578" t="s">
        <v>2380</v>
      </c>
      <c r="T578" t="s">
        <v>2383</v>
      </c>
      <c r="U578" s="8">
        <v>45953.409548611111</v>
      </c>
      <c r="V578" s="8">
        <v>45959.958333333336</v>
      </c>
      <c r="W578">
        <v>1</v>
      </c>
      <c r="X578">
        <v>3.2318750000000001</v>
      </c>
      <c r="Y578" t="s">
        <v>4126</v>
      </c>
      <c r="Z578" t="s">
        <v>4821</v>
      </c>
      <c r="AA578" t="s">
        <v>2306</v>
      </c>
      <c r="AB578" t="s">
        <v>1278</v>
      </c>
      <c r="AC578" t="s">
        <v>3066</v>
      </c>
      <c r="AD578" t="s">
        <v>2708</v>
      </c>
      <c r="AE578">
        <v>1</v>
      </c>
      <c r="AO578" t="s">
        <v>2957</v>
      </c>
      <c r="AP578" t="s">
        <v>2401</v>
      </c>
    </row>
    <row r="579" spans="1:42">
      <c r="A579" t="s">
        <v>1197</v>
      </c>
      <c r="B579" t="s">
        <v>2377</v>
      </c>
      <c r="C579" t="s">
        <v>2378</v>
      </c>
      <c r="D579" t="s">
        <v>2379</v>
      </c>
      <c r="E579" t="s">
        <v>33</v>
      </c>
      <c r="F579" t="s">
        <v>2588</v>
      </c>
      <c r="G579" t="s">
        <v>33</v>
      </c>
      <c r="H579" t="b">
        <v>1</v>
      </c>
      <c r="I579" s="8">
        <v>45959.371828703705</v>
      </c>
      <c r="J579" t="s">
        <v>2380</v>
      </c>
      <c r="L579">
        <v>609712</v>
      </c>
      <c r="M579" t="s">
        <v>2381</v>
      </c>
      <c r="P579" t="s">
        <v>8819</v>
      </c>
      <c r="Q579" t="s">
        <v>2383</v>
      </c>
      <c r="R579">
        <v>1</v>
      </c>
      <c r="S579" t="s">
        <v>2380</v>
      </c>
      <c r="T579" t="s">
        <v>2383</v>
      </c>
      <c r="U579" s="8">
        <v>45953.417824074073</v>
      </c>
      <c r="V579" s="8">
        <v>45959.958333333336</v>
      </c>
      <c r="W579">
        <v>1</v>
      </c>
      <c r="X579">
        <v>3.95400463</v>
      </c>
      <c r="Y579" t="s">
        <v>2579</v>
      </c>
      <c r="Z579" t="s">
        <v>8820</v>
      </c>
      <c r="AA579" t="s">
        <v>8821</v>
      </c>
      <c r="AB579" t="s">
        <v>1278</v>
      </c>
      <c r="AC579" t="s">
        <v>8822</v>
      </c>
      <c r="AD579" t="s">
        <v>2708</v>
      </c>
      <c r="AE579">
        <v>1</v>
      </c>
      <c r="AH579" t="s">
        <v>2723</v>
      </c>
      <c r="AI579" s="8">
        <v>45958.706932870373</v>
      </c>
      <c r="AK579" t="s">
        <v>2719</v>
      </c>
      <c r="AL579" t="s">
        <v>2719</v>
      </c>
      <c r="AO579" t="s">
        <v>3644</v>
      </c>
      <c r="AP579" t="s">
        <v>2401</v>
      </c>
    </row>
    <row r="580" spans="1:42">
      <c r="A580" t="s">
        <v>4526</v>
      </c>
      <c r="B580" t="s">
        <v>2389</v>
      </c>
      <c r="C580" t="s">
        <v>2447</v>
      </c>
      <c r="D580" t="s">
        <v>2379</v>
      </c>
      <c r="E580" t="s">
        <v>24</v>
      </c>
      <c r="F580">
        <v>4056</v>
      </c>
      <c r="G580" t="s">
        <v>24</v>
      </c>
      <c r="H580" t="b">
        <v>1</v>
      </c>
      <c r="I580" s="8">
        <v>45959.61409722222</v>
      </c>
      <c r="J580" t="s">
        <v>2380</v>
      </c>
      <c r="K580">
        <v>1205580</v>
      </c>
      <c r="L580">
        <v>603776</v>
      </c>
      <c r="M580" t="s">
        <v>2381</v>
      </c>
      <c r="P580" t="s">
        <v>4525</v>
      </c>
      <c r="Q580" t="s">
        <v>2383</v>
      </c>
      <c r="R580">
        <v>1</v>
      </c>
      <c r="S580" t="s">
        <v>2380</v>
      </c>
      <c r="T580" t="s">
        <v>2383</v>
      </c>
      <c r="U580" s="8">
        <v>45953.418182870373</v>
      </c>
      <c r="V580" s="8">
        <v>45959.958333333336</v>
      </c>
      <c r="W580">
        <v>1</v>
      </c>
      <c r="X580">
        <v>4.195914352</v>
      </c>
      <c r="Y580" t="s">
        <v>3379</v>
      </c>
      <c r="Z580" t="s">
        <v>4527</v>
      </c>
      <c r="AA580" t="s">
        <v>1373</v>
      </c>
      <c r="AB580" t="s">
        <v>1278</v>
      </c>
      <c r="AC580" t="s">
        <v>4528</v>
      </c>
      <c r="AD580" t="s">
        <v>2708</v>
      </c>
      <c r="AE580">
        <v>1</v>
      </c>
      <c r="AO580" t="s">
        <v>2388</v>
      </c>
      <c r="AP580" t="s">
        <v>2401</v>
      </c>
    </row>
    <row r="581" spans="1:42">
      <c r="A581" t="s">
        <v>1035</v>
      </c>
      <c r="B581" t="s">
        <v>2377</v>
      </c>
      <c r="C581" t="s">
        <v>2438</v>
      </c>
      <c r="D581" t="s">
        <v>2379</v>
      </c>
      <c r="E581" t="s">
        <v>18</v>
      </c>
      <c r="F581" t="s">
        <v>3891</v>
      </c>
      <c r="G581" t="s">
        <v>2416</v>
      </c>
      <c r="H581" t="b">
        <v>1</v>
      </c>
      <c r="I581" s="8">
        <v>45953.525023148148</v>
      </c>
      <c r="J581" t="s">
        <v>2380</v>
      </c>
      <c r="L581">
        <v>603333</v>
      </c>
      <c r="M581" t="s">
        <v>2381</v>
      </c>
      <c r="P581" t="s">
        <v>2704</v>
      </c>
      <c r="Q581" t="s">
        <v>2383</v>
      </c>
      <c r="R581">
        <v>1</v>
      </c>
      <c r="S581" t="s">
        <v>2380</v>
      </c>
      <c r="T581" t="s">
        <v>2383</v>
      </c>
      <c r="U581" s="8">
        <v>45953.431192129632</v>
      </c>
      <c r="V581" s="8">
        <v>45959.958333333336</v>
      </c>
      <c r="W581">
        <v>1</v>
      </c>
      <c r="X581">
        <v>9.3831019000000002E-2</v>
      </c>
      <c r="Y581" t="s">
        <v>3892</v>
      </c>
      <c r="Z581" t="s">
        <v>8681</v>
      </c>
      <c r="AA581" t="s">
        <v>8682</v>
      </c>
      <c r="AB581" t="s">
        <v>1278</v>
      </c>
      <c r="AC581" t="s">
        <v>8683</v>
      </c>
      <c r="AD581" t="s">
        <v>2708</v>
      </c>
      <c r="AE581">
        <v>1</v>
      </c>
      <c r="AO581" t="s">
        <v>2715</v>
      </c>
      <c r="AP581" t="s">
        <v>2401</v>
      </c>
    </row>
    <row r="582" spans="1:42">
      <c r="A582" t="s">
        <v>4521</v>
      </c>
      <c r="B582" t="s">
        <v>2389</v>
      </c>
      <c r="C582" t="s">
        <v>2447</v>
      </c>
      <c r="D582" t="s">
        <v>2379</v>
      </c>
      <c r="E582" t="s">
        <v>2416</v>
      </c>
      <c r="F582" t="s">
        <v>2578</v>
      </c>
      <c r="G582" t="s">
        <v>2416</v>
      </c>
      <c r="H582" t="b">
        <v>1</v>
      </c>
      <c r="I582" s="8">
        <v>45960.391932870371</v>
      </c>
      <c r="J582" t="s">
        <v>2380</v>
      </c>
      <c r="K582">
        <v>1205695</v>
      </c>
      <c r="L582">
        <v>603291</v>
      </c>
      <c r="M582" t="s">
        <v>2381</v>
      </c>
      <c r="P582" t="s">
        <v>4520</v>
      </c>
      <c r="Q582" t="s">
        <v>2383</v>
      </c>
      <c r="R582">
        <v>1</v>
      </c>
      <c r="S582" t="s">
        <v>2380</v>
      </c>
      <c r="T582" t="s">
        <v>2383</v>
      </c>
      <c r="U582" s="8">
        <v>45953.439826388887</v>
      </c>
      <c r="V582" s="8">
        <v>45965.958333333336</v>
      </c>
      <c r="W582">
        <v>1</v>
      </c>
      <c r="X582">
        <v>4.9521064810000004</v>
      </c>
      <c r="Y582" t="s">
        <v>2579</v>
      </c>
      <c r="Z582" t="s">
        <v>4522</v>
      </c>
      <c r="AA582" t="s">
        <v>4523</v>
      </c>
      <c r="AB582" t="s">
        <v>1278</v>
      </c>
      <c r="AC582" t="s">
        <v>4524</v>
      </c>
      <c r="AD582" t="s">
        <v>2708</v>
      </c>
      <c r="AE582">
        <v>1</v>
      </c>
      <c r="AO582" t="s">
        <v>2388</v>
      </c>
      <c r="AP582" t="s">
        <v>2401</v>
      </c>
    </row>
    <row r="583" spans="1:42">
      <c r="A583" t="s">
        <v>504</v>
      </c>
      <c r="B583" t="s">
        <v>2377</v>
      </c>
      <c r="C583" t="s">
        <v>2443</v>
      </c>
      <c r="D583" t="s">
        <v>2443</v>
      </c>
      <c r="E583" t="s">
        <v>33</v>
      </c>
      <c r="F583" t="s">
        <v>3891</v>
      </c>
      <c r="G583" t="s">
        <v>33</v>
      </c>
      <c r="H583" t="b">
        <v>1</v>
      </c>
      <c r="I583" s="8">
        <v>45960.377280092594</v>
      </c>
      <c r="J583" t="s">
        <v>2380</v>
      </c>
      <c r="L583">
        <v>603836</v>
      </c>
      <c r="M583" t="s">
        <v>2381</v>
      </c>
      <c r="P583" t="s">
        <v>2704</v>
      </c>
      <c r="Q583" t="s">
        <v>2383</v>
      </c>
      <c r="R583">
        <v>1</v>
      </c>
      <c r="S583" t="s">
        <v>2380</v>
      </c>
      <c r="T583" t="s">
        <v>2383</v>
      </c>
      <c r="U583" s="8">
        <v>45953.440000000002</v>
      </c>
      <c r="V583" s="8">
        <v>45959.958333333336</v>
      </c>
      <c r="W583">
        <v>1</v>
      </c>
      <c r="X583">
        <v>4.937280093</v>
      </c>
      <c r="Y583" t="s">
        <v>3892</v>
      </c>
      <c r="Z583" t="s">
        <v>8857</v>
      </c>
      <c r="AA583" t="s">
        <v>3908</v>
      </c>
      <c r="AB583" t="s">
        <v>1278</v>
      </c>
      <c r="AC583" t="s">
        <v>8858</v>
      </c>
      <c r="AD583" t="s">
        <v>2708</v>
      </c>
      <c r="AE583">
        <v>1</v>
      </c>
      <c r="AH583" t="s">
        <v>2723</v>
      </c>
      <c r="AI583" s="8">
        <v>45960.355590277781</v>
      </c>
      <c r="AK583" t="s">
        <v>2719</v>
      </c>
      <c r="AL583" t="s">
        <v>2719</v>
      </c>
      <c r="AO583" t="s">
        <v>2715</v>
      </c>
      <c r="AP583" t="s">
        <v>2401</v>
      </c>
    </row>
    <row r="584" spans="1:42">
      <c r="A584" t="s">
        <v>502</v>
      </c>
      <c r="B584" t="s">
        <v>2377</v>
      </c>
      <c r="C584" t="s">
        <v>2447</v>
      </c>
      <c r="D584" t="s">
        <v>2379</v>
      </c>
      <c r="E584" t="s">
        <v>33</v>
      </c>
      <c r="F584" t="s">
        <v>7491</v>
      </c>
      <c r="G584" t="s">
        <v>33</v>
      </c>
      <c r="H584" t="b">
        <v>1</v>
      </c>
      <c r="I584" s="8">
        <v>45959.622604166667</v>
      </c>
      <c r="J584" t="s">
        <v>2380</v>
      </c>
      <c r="L584">
        <v>603936</v>
      </c>
      <c r="M584" t="s">
        <v>2381</v>
      </c>
      <c r="P584" t="s">
        <v>2704</v>
      </c>
      <c r="Q584" t="s">
        <v>2383</v>
      </c>
      <c r="R584">
        <v>1</v>
      </c>
      <c r="S584" t="s">
        <v>2380</v>
      </c>
      <c r="T584" t="s">
        <v>2383</v>
      </c>
      <c r="U584" s="8">
        <v>45953.445196759261</v>
      </c>
      <c r="V584" s="8">
        <v>45959.958333333336</v>
      </c>
      <c r="W584">
        <v>1</v>
      </c>
      <c r="X584">
        <v>4.1774074069999996</v>
      </c>
      <c r="Y584" t="s">
        <v>7492</v>
      </c>
      <c r="Z584" t="s">
        <v>8787</v>
      </c>
      <c r="AA584" t="s">
        <v>7494</v>
      </c>
      <c r="AB584" t="s">
        <v>1278</v>
      </c>
      <c r="AC584" t="s">
        <v>8788</v>
      </c>
      <c r="AD584" t="s">
        <v>2708</v>
      </c>
      <c r="AE584">
        <v>1</v>
      </c>
      <c r="AH584" t="s">
        <v>2723</v>
      </c>
      <c r="AI584" s="8">
        <v>45959.619317129633</v>
      </c>
      <c r="AK584" t="s">
        <v>2719</v>
      </c>
      <c r="AL584" t="s">
        <v>2719</v>
      </c>
      <c r="AO584" t="s">
        <v>2957</v>
      </c>
      <c r="AP584" t="s">
        <v>2401</v>
      </c>
    </row>
    <row r="585" spans="1:42">
      <c r="A585" t="s">
        <v>277</v>
      </c>
      <c r="B585" t="s">
        <v>2377</v>
      </c>
      <c r="C585" t="s">
        <v>2447</v>
      </c>
      <c r="D585" t="s">
        <v>2379</v>
      </c>
      <c r="E585" t="s">
        <v>24</v>
      </c>
      <c r="F585" t="s">
        <v>3747</v>
      </c>
      <c r="G585" t="s">
        <v>24</v>
      </c>
      <c r="H585" t="b">
        <v>1</v>
      </c>
      <c r="I585" s="8">
        <v>45959.630624999998</v>
      </c>
      <c r="J585" t="s">
        <v>2380</v>
      </c>
      <c r="L585">
        <v>601091</v>
      </c>
      <c r="M585" t="s">
        <v>2381</v>
      </c>
      <c r="P585" t="s">
        <v>8641</v>
      </c>
      <c r="Q585" t="s">
        <v>2383</v>
      </c>
      <c r="R585">
        <v>1</v>
      </c>
      <c r="S585" t="s">
        <v>2380</v>
      </c>
      <c r="T585" t="s">
        <v>2383</v>
      </c>
      <c r="U585" s="8">
        <v>45953.449548611112</v>
      </c>
      <c r="V585" s="8">
        <v>45959.958333333336</v>
      </c>
      <c r="W585">
        <v>1</v>
      </c>
      <c r="X585">
        <v>4.1810763890000002</v>
      </c>
      <c r="Y585" t="s">
        <v>3748</v>
      </c>
      <c r="Z585" t="s">
        <v>8642</v>
      </c>
      <c r="AA585" t="s">
        <v>8643</v>
      </c>
      <c r="AB585" t="s">
        <v>1278</v>
      </c>
      <c r="AC585" t="s">
        <v>8644</v>
      </c>
      <c r="AD585" t="s">
        <v>2708</v>
      </c>
      <c r="AE585">
        <v>1</v>
      </c>
      <c r="AO585" t="s">
        <v>2712</v>
      </c>
      <c r="AP585" t="s">
        <v>2401</v>
      </c>
    </row>
    <row r="586" spans="1:42">
      <c r="A586" t="s">
        <v>220</v>
      </c>
      <c r="B586" t="s">
        <v>2377</v>
      </c>
      <c r="C586" t="s">
        <v>2443</v>
      </c>
      <c r="D586" t="s">
        <v>2443</v>
      </c>
      <c r="E586" t="s">
        <v>33</v>
      </c>
      <c r="F586" t="s">
        <v>6738</v>
      </c>
      <c r="G586" t="s">
        <v>33</v>
      </c>
      <c r="H586" t="b">
        <v>1</v>
      </c>
      <c r="I586" s="8">
        <v>45960.377349537041</v>
      </c>
      <c r="J586" t="s">
        <v>2380</v>
      </c>
      <c r="L586">
        <v>606905</v>
      </c>
      <c r="M586" t="s">
        <v>2381</v>
      </c>
      <c r="P586" t="s">
        <v>2704</v>
      </c>
      <c r="Q586" t="s">
        <v>2383</v>
      </c>
      <c r="R586">
        <v>1</v>
      </c>
      <c r="S586" t="s">
        <v>2380</v>
      </c>
      <c r="T586" t="s">
        <v>2383</v>
      </c>
      <c r="U586" s="8">
        <v>45953.456805555557</v>
      </c>
      <c r="V586" s="8">
        <v>45959.958333333336</v>
      </c>
      <c r="W586">
        <v>1</v>
      </c>
      <c r="X586">
        <v>4.9205439809999998</v>
      </c>
      <c r="Y586" t="s">
        <v>6739</v>
      </c>
      <c r="Z586" t="s">
        <v>8754</v>
      </c>
      <c r="AA586" t="s">
        <v>6871</v>
      </c>
      <c r="AB586" t="s">
        <v>1278</v>
      </c>
      <c r="AC586" t="s">
        <v>8755</v>
      </c>
      <c r="AD586" t="s">
        <v>2708</v>
      </c>
      <c r="AE586">
        <v>1</v>
      </c>
      <c r="AH586" t="s">
        <v>2723</v>
      </c>
      <c r="AI586" s="8">
        <v>45960.355462962965</v>
      </c>
      <c r="AK586" t="s">
        <v>2719</v>
      </c>
      <c r="AL586" t="s">
        <v>2719</v>
      </c>
      <c r="AO586" t="s">
        <v>2388</v>
      </c>
      <c r="AP586" t="s">
        <v>2401</v>
      </c>
    </row>
    <row r="587" spans="1:42">
      <c r="A587" t="s">
        <v>254</v>
      </c>
      <c r="B587" t="s">
        <v>2377</v>
      </c>
      <c r="C587" t="s">
        <v>2378</v>
      </c>
      <c r="D587" t="s">
        <v>2379</v>
      </c>
      <c r="E587" t="s">
        <v>28</v>
      </c>
      <c r="F587" t="s">
        <v>2715</v>
      </c>
      <c r="G587" t="s">
        <v>28</v>
      </c>
      <c r="H587" t="b">
        <v>1</v>
      </c>
      <c r="I587" s="8">
        <v>45958.621793981481</v>
      </c>
      <c r="J587" t="s">
        <v>2380</v>
      </c>
      <c r="L587">
        <v>602843</v>
      </c>
      <c r="M587" t="s">
        <v>2381</v>
      </c>
      <c r="N587">
        <v>15</v>
      </c>
      <c r="P587" t="s">
        <v>4823</v>
      </c>
      <c r="Q587" t="s">
        <v>2383</v>
      </c>
      <c r="R587">
        <v>1</v>
      </c>
      <c r="S587" t="s">
        <v>2380</v>
      </c>
      <c r="T587" t="s">
        <v>2383</v>
      </c>
      <c r="U587" s="8">
        <v>45953.457118055558</v>
      </c>
      <c r="V587" s="8">
        <v>45959.958333333336</v>
      </c>
      <c r="W587">
        <v>1</v>
      </c>
      <c r="X587">
        <v>3.1646759260000001</v>
      </c>
      <c r="Y587" t="s">
        <v>4653</v>
      </c>
      <c r="Z587" t="s">
        <v>4824</v>
      </c>
      <c r="AA587" t="s">
        <v>261</v>
      </c>
      <c r="AB587" t="s">
        <v>1278</v>
      </c>
      <c r="AC587" t="s">
        <v>4825</v>
      </c>
      <c r="AD587" t="s">
        <v>2708</v>
      </c>
      <c r="AE587">
        <v>1</v>
      </c>
      <c r="AO587" t="s">
        <v>2957</v>
      </c>
      <c r="AP587" t="s">
        <v>2401</v>
      </c>
    </row>
    <row r="588" spans="1:42">
      <c r="A588" t="s">
        <v>1187</v>
      </c>
      <c r="B588" t="s">
        <v>2377</v>
      </c>
      <c r="C588" t="s">
        <v>2443</v>
      </c>
      <c r="D588" t="s">
        <v>2443</v>
      </c>
      <c r="E588" t="s">
        <v>33</v>
      </c>
      <c r="F588" t="s">
        <v>2417</v>
      </c>
      <c r="G588" t="s">
        <v>33</v>
      </c>
      <c r="H588" t="b">
        <v>1</v>
      </c>
      <c r="I588" s="8">
        <v>45960.37709490741</v>
      </c>
      <c r="J588" t="s">
        <v>2380</v>
      </c>
      <c r="L588">
        <v>608552</v>
      </c>
      <c r="M588" t="s">
        <v>2381</v>
      </c>
      <c r="P588" t="s">
        <v>2704</v>
      </c>
      <c r="Q588" t="s">
        <v>2383</v>
      </c>
      <c r="R588">
        <v>1</v>
      </c>
      <c r="S588" t="s">
        <v>2380</v>
      </c>
      <c r="T588" t="s">
        <v>2383</v>
      </c>
      <c r="U588" s="8">
        <v>45953.460057870368</v>
      </c>
      <c r="V588" s="8">
        <v>45959.958333333336</v>
      </c>
      <c r="W588">
        <v>1</v>
      </c>
      <c r="X588">
        <v>4.9170370370000001</v>
      </c>
      <c r="Y588" t="s">
        <v>2418</v>
      </c>
      <c r="Z588" t="s">
        <v>8744</v>
      </c>
      <c r="AA588" t="s">
        <v>2425</v>
      </c>
      <c r="AB588" t="s">
        <v>1278</v>
      </c>
      <c r="AC588" t="s">
        <v>8745</v>
      </c>
      <c r="AD588" t="s">
        <v>2708</v>
      </c>
      <c r="AE588">
        <v>1</v>
      </c>
      <c r="AH588" t="s">
        <v>2723</v>
      </c>
      <c r="AI588" s="8">
        <v>45959.709004629629</v>
      </c>
      <c r="AK588" t="s">
        <v>2719</v>
      </c>
      <c r="AL588" t="s">
        <v>2719</v>
      </c>
      <c r="AO588" t="s">
        <v>2408</v>
      </c>
      <c r="AP588" t="s">
        <v>2401</v>
      </c>
    </row>
    <row r="589" spans="1:42">
      <c r="A589" t="s">
        <v>275</v>
      </c>
      <c r="B589" t="s">
        <v>2377</v>
      </c>
      <c r="C589" t="s">
        <v>2447</v>
      </c>
      <c r="D589" t="s">
        <v>2379</v>
      </c>
      <c r="E589" t="s">
        <v>24</v>
      </c>
      <c r="F589" t="s">
        <v>4665</v>
      </c>
      <c r="G589" t="s">
        <v>24</v>
      </c>
      <c r="H589" t="b">
        <v>1</v>
      </c>
      <c r="I589" s="8">
        <v>45959.61141203704</v>
      </c>
      <c r="J589" t="s">
        <v>2380</v>
      </c>
      <c r="L589">
        <v>603811</v>
      </c>
      <c r="M589" t="s">
        <v>2381</v>
      </c>
      <c r="P589" t="s">
        <v>4666</v>
      </c>
      <c r="Q589" t="s">
        <v>2383</v>
      </c>
      <c r="R589">
        <v>1</v>
      </c>
      <c r="S589" t="s">
        <v>2380</v>
      </c>
      <c r="T589" t="s">
        <v>2383</v>
      </c>
      <c r="U589" s="8">
        <v>45953.481412037036</v>
      </c>
      <c r="V589" s="8">
        <v>45959.958333333336</v>
      </c>
      <c r="W589">
        <v>1</v>
      </c>
      <c r="X589">
        <v>4.13</v>
      </c>
      <c r="Y589" t="s">
        <v>3441</v>
      </c>
      <c r="Z589" t="s">
        <v>4667</v>
      </c>
      <c r="AA589" t="s">
        <v>4668</v>
      </c>
      <c r="AB589" t="s">
        <v>1278</v>
      </c>
      <c r="AC589" t="s">
        <v>4669</v>
      </c>
      <c r="AD589" t="s">
        <v>2708</v>
      </c>
      <c r="AE589">
        <v>1</v>
      </c>
      <c r="AO589" t="s">
        <v>2957</v>
      </c>
      <c r="AP589" t="s">
        <v>2401</v>
      </c>
    </row>
    <row r="590" spans="1:42">
      <c r="A590" t="s">
        <v>527</v>
      </c>
      <c r="B590" t="s">
        <v>2377</v>
      </c>
      <c r="C590" t="s">
        <v>2378</v>
      </c>
      <c r="D590" t="s">
        <v>2379</v>
      </c>
      <c r="E590" t="s">
        <v>28</v>
      </c>
      <c r="F590" t="s">
        <v>4122</v>
      </c>
      <c r="G590" t="s">
        <v>28</v>
      </c>
      <c r="H590" t="b">
        <v>1</v>
      </c>
      <c r="I590" s="8">
        <v>45958.61787037037</v>
      </c>
      <c r="J590" t="s">
        <v>2380</v>
      </c>
      <c r="L590">
        <v>602823</v>
      </c>
      <c r="M590" t="s">
        <v>2381</v>
      </c>
      <c r="N590">
        <v>15</v>
      </c>
      <c r="P590" t="s">
        <v>8091</v>
      </c>
      <c r="Q590" t="s">
        <v>2383</v>
      </c>
      <c r="R590">
        <v>1</v>
      </c>
      <c r="S590" t="s">
        <v>2380</v>
      </c>
      <c r="T590" t="s">
        <v>2383</v>
      </c>
      <c r="U590" s="8">
        <v>45953.498194444444</v>
      </c>
      <c r="V590" s="8">
        <v>45959.958333333336</v>
      </c>
      <c r="W590">
        <v>1</v>
      </c>
      <c r="X590">
        <v>3.1196759260000002</v>
      </c>
      <c r="Y590" t="s">
        <v>1352</v>
      </c>
      <c r="Z590" t="s">
        <v>8426</v>
      </c>
      <c r="AA590" t="s">
        <v>8093</v>
      </c>
      <c r="AB590" t="s">
        <v>1278</v>
      </c>
      <c r="AC590" t="s">
        <v>8427</v>
      </c>
      <c r="AD590" t="s">
        <v>2708</v>
      </c>
      <c r="AE590">
        <v>1</v>
      </c>
      <c r="AO590" t="s">
        <v>4121</v>
      </c>
      <c r="AP590" t="s">
        <v>2401</v>
      </c>
    </row>
    <row r="591" spans="1:42">
      <c r="A591" t="s">
        <v>1041</v>
      </c>
      <c r="B591" t="s">
        <v>2377</v>
      </c>
      <c r="C591" t="s">
        <v>2438</v>
      </c>
      <c r="D591" t="s">
        <v>2379</v>
      </c>
      <c r="E591" t="s">
        <v>18</v>
      </c>
      <c r="F591" t="s">
        <v>4112</v>
      </c>
      <c r="G591" t="s">
        <v>2416</v>
      </c>
      <c r="H591" t="b">
        <v>1</v>
      </c>
      <c r="I591" s="8">
        <v>45953.614537037036</v>
      </c>
      <c r="J591" t="s">
        <v>2380</v>
      </c>
      <c r="L591">
        <v>609767</v>
      </c>
      <c r="M591" t="s">
        <v>2381</v>
      </c>
      <c r="P591" t="s">
        <v>2704</v>
      </c>
      <c r="Q591" t="s">
        <v>2383</v>
      </c>
      <c r="R591">
        <v>1</v>
      </c>
      <c r="S591" t="s">
        <v>2380</v>
      </c>
      <c r="T591" t="s">
        <v>2383</v>
      </c>
      <c r="U591" s="8">
        <v>45953.506990740738</v>
      </c>
      <c r="V591" s="8">
        <v>45959.958333333336</v>
      </c>
      <c r="W591">
        <v>1</v>
      </c>
      <c r="X591">
        <v>0.107546296</v>
      </c>
      <c r="Y591" t="s">
        <v>3901</v>
      </c>
      <c r="Z591" t="s">
        <v>8676</v>
      </c>
      <c r="AA591" t="s">
        <v>8677</v>
      </c>
      <c r="AB591" t="s">
        <v>1278</v>
      </c>
      <c r="AC591" t="s">
        <v>4903</v>
      </c>
      <c r="AD591" t="s">
        <v>2708</v>
      </c>
      <c r="AE591">
        <v>1</v>
      </c>
      <c r="AO591" t="s">
        <v>2715</v>
      </c>
      <c r="AP591" t="s">
        <v>2401</v>
      </c>
    </row>
    <row r="592" spans="1:42">
      <c r="A592" t="s">
        <v>3059</v>
      </c>
      <c r="B592" t="s">
        <v>2389</v>
      </c>
      <c r="C592" t="s">
        <v>2378</v>
      </c>
      <c r="D592" t="s">
        <v>2379</v>
      </c>
      <c r="E592" t="s">
        <v>2416</v>
      </c>
      <c r="F592" t="s">
        <v>2779</v>
      </c>
      <c r="G592" t="s">
        <v>2416</v>
      </c>
      <c r="H592" t="b">
        <v>1</v>
      </c>
      <c r="I592" s="8">
        <v>45959.486203703702</v>
      </c>
      <c r="J592" t="s">
        <v>2380</v>
      </c>
      <c r="K592">
        <v>1205455</v>
      </c>
      <c r="L592">
        <v>602907</v>
      </c>
      <c r="M592" t="s">
        <v>2381</v>
      </c>
      <c r="P592" t="s">
        <v>3058</v>
      </c>
      <c r="Q592" t="s">
        <v>2383</v>
      </c>
      <c r="R592">
        <v>1</v>
      </c>
      <c r="S592" t="s">
        <v>2380</v>
      </c>
      <c r="T592" t="s">
        <v>2383</v>
      </c>
      <c r="U592" s="8">
        <v>45953.522870370369</v>
      </c>
      <c r="V592" s="8">
        <v>45959.958333333336</v>
      </c>
      <c r="W592">
        <v>1</v>
      </c>
      <c r="X592">
        <v>3.963333333</v>
      </c>
      <c r="Y592" t="s">
        <v>1352</v>
      </c>
      <c r="Z592" t="s">
        <v>3060</v>
      </c>
      <c r="AA592" t="s">
        <v>3061</v>
      </c>
      <c r="AB592" t="s">
        <v>1278</v>
      </c>
      <c r="AC592" t="s">
        <v>3062</v>
      </c>
      <c r="AD592" t="s">
        <v>2708</v>
      </c>
      <c r="AE592">
        <v>1</v>
      </c>
      <c r="AO592" t="s">
        <v>2408</v>
      </c>
      <c r="AP592" t="s">
        <v>2401</v>
      </c>
    </row>
    <row r="593" spans="1:42">
      <c r="A593" t="s">
        <v>1212</v>
      </c>
      <c r="B593" t="s">
        <v>2377</v>
      </c>
      <c r="C593" t="s">
        <v>2378</v>
      </c>
      <c r="D593" t="s">
        <v>2379</v>
      </c>
      <c r="E593" t="s">
        <v>28</v>
      </c>
      <c r="F593" t="s">
        <v>3445</v>
      </c>
      <c r="G593" t="s">
        <v>28</v>
      </c>
      <c r="H593" t="b">
        <v>1</v>
      </c>
      <c r="I593" s="8">
        <v>45958.645787037036</v>
      </c>
      <c r="J593" t="s">
        <v>2380</v>
      </c>
      <c r="L593">
        <v>603970</v>
      </c>
      <c r="M593" t="s">
        <v>2381</v>
      </c>
      <c r="N593">
        <v>15</v>
      </c>
      <c r="P593" t="s">
        <v>4125</v>
      </c>
      <c r="Q593" t="s">
        <v>2383</v>
      </c>
      <c r="R593">
        <v>1</v>
      </c>
      <c r="S593" t="s">
        <v>2380</v>
      </c>
      <c r="T593" t="s">
        <v>2383</v>
      </c>
      <c r="U593" s="8">
        <v>45953.529675925929</v>
      </c>
      <c r="V593" s="8">
        <v>45959.958333333336</v>
      </c>
      <c r="W593">
        <v>1</v>
      </c>
      <c r="X593">
        <v>3.1161111109999999</v>
      </c>
      <c r="Y593" t="s">
        <v>4126</v>
      </c>
      <c r="Z593" t="s">
        <v>4822</v>
      </c>
      <c r="AA593" t="s">
        <v>2306</v>
      </c>
      <c r="AB593" t="s">
        <v>1278</v>
      </c>
      <c r="AC593" t="s">
        <v>3066</v>
      </c>
      <c r="AD593" t="s">
        <v>2708</v>
      </c>
      <c r="AE593">
        <v>1</v>
      </c>
      <c r="AO593" t="s">
        <v>2957</v>
      </c>
      <c r="AP593" t="s">
        <v>2401</v>
      </c>
    </row>
    <row r="594" spans="1:42">
      <c r="A594" t="s">
        <v>1056</v>
      </c>
      <c r="B594" t="s">
        <v>2377</v>
      </c>
      <c r="C594" t="s">
        <v>2447</v>
      </c>
      <c r="D594" t="s">
        <v>2379</v>
      </c>
      <c r="E594" t="s">
        <v>2416</v>
      </c>
      <c r="F594" t="s">
        <v>3747</v>
      </c>
      <c r="G594" t="s">
        <v>2416</v>
      </c>
      <c r="H594" t="b">
        <v>1</v>
      </c>
      <c r="I594" s="8">
        <v>45960.426782407405</v>
      </c>
      <c r="J594" t="s">
        <v>2380</v>
      </c>
      <c r="L594">
        <v>606966</v>
      </c>
      <c r="M594" t="s">
        <v>2381</v>
      </c>
      <c r="P594" t="s">
        <v>8626</v>
      </c>
      <c r="Q594" t="s">
        <v>2383</v>
      </c>
      <c r="R594">
        <v>1</v>
      </c>
      <c r="S594" t="s">
        <v>2380</v>
      </c>
      <c r="T594" t="s">
        <v>2383</v>
      </c>
      <c r="U594" s="8">
        <v>45953.530659722222</v>
      </c>
      <c r="V594" s="8">
        <v>45965.958333333336</v>
      </c>
      <c r="W594">
        <v>1</v>
      </c>
      <c r="X594">
        <v>4.8961226849999999</v>
      </c>
      <c r="Y594" t="s">
        <v>3748</v>
      </c>
      <c r="Z594" t="s">
        <v>8627</v>
      </c>
      <c r="AA594" t="s">
        <v>1055</v>
      </c>
      <c r="AB594" t="s">
        <v>1278</v>
      </c>
      <c r="AC594" t="s">
        <v>8628</v>
      </c>
      <c r="AD594" t="s">
        <v>2708</v>
      </c>
      <c r="AE594">
        <v>1</v>
      </c>
      <c r="AO594" t="s">
        <v>2712</v>
      </c>
      <c r="AP594" t="s">
        <v>2401</v>
      </c>
    </row>
    <row r="595" spans="1:42">
      <c r="A595" t="s">
        <v>866</v>
      </c>
      <c r="B595" t="s">
        <v>2377</v>
      </c>
      <c r="C595" t="s">
        <v>2438</v>
      </c>
      <c r="D595" t="s">
        <v>2379</v>
      </c>
      <c r="E595" t="s">
        <v>25</v>
      </c>
      <c r="F595" t="s">
        <v>3440</v>
      </c>
      <c r="G595" t="s">
        <v>25</v>
      </c>
      <c r="H595" t="b">
        <v>1</v>
      </c>
      <c r="I595" s="8">
        <v>45953.700231481482</v>
      </c>
      <c r="J595" t="s">
        <v>2380</v>
      </c>
      <c r="L595">
        <v>609848</v>
      </c>
      <c r="M595" t="s">
        <v>2381</v>
      </c>
      <c r="N595">
        <v>10</v>
      </c>
      <c r="P595" t="s">
        <v>2704</v>
      </c>
      <c r="Q595" t="s">
        <v>2383</v>
      </c>
      <c r="R595">
        <v>1</v>
      </c>
      <c r="S595" t="s">
        <v>2380</v>
      </c>
      <c r="T595" t="s">
        <v>2383</v>
      </c>
      <c r="U595" s="8">
        <v>45953.559652777774</v>
      </c>
      <c r="V595" s="8">
        <v>45959.958333333336</v>
      </c>
      <c r="W595">
        <v>1</v>
      </c>
      <c r="X595">
        <v>0.140578704</v>
      </c>
      <c r="Y595" t="s">
        <v>3441</v>
      </c>
      <c r="Z595" t="s">
        <v>4811</v>
      </c>
      <c r="AA595" t="s">
        <v>3444</v>
      </c>
      <c r="AB595" t="s">
        <v>1278</v>
      </c>
      <c r="AC595" t="s">
        <v>2387</v>
      </c>
      <c r="AD595" t="s">
        <v>2708</v>
      </c>
      <c r="AE595">
        <v>1</v>
      </c>
      <c r="AO595" t="s">
        <v>2957</v>
      </c>
      <c r="AP595" t="s">
        <v>2401</v>
      </c>
    </row>
    <row r="596" spans="1:42">
      <c r="A596" t="s">
        <v>1156</v>
      </c>
      <c r="B596" t="s">
        <v>2377</v>
      </c>
      <c r="C596" t="s">
        <v>2378</v>
      </c>
      <c r="D596" t="s">
        <v>2379</v>
      </c>
      <c r="E596" t="s">
        <v>25</v>
      </c>
      <c r="F596" t="s">
        <v>4812</v>
      </c>
      <c r="G596" t="s">
        <v>25</v>
      </c>
      <c r="H596" t="b">
        <v>1</v>
      </c>
      <c r="I596" s="8">
        <v>45959.435127314813</v>
      </c>
      <c r="J596" t="s">
        <v>2380</v>
      </c>
      <c r="L596">
        <v>603740</v>
      </c>
      <c r="M596" t="s">
        <v>2381</v>
      </c>
      <c r="N596">
        <v>10</v>
      </c>
      <c r="P596" t="s">
        <v>2704</v>
      </c>
      <c r="Q596" t="s">
        <v>2383</v>
      </c>
      <c r="R596">
        <v>1</v>
      </c>
      <c r="S596" t="s">
        <v>2380</v>
      </c>
      <c r="T596" t="s">
        <v>2383</v>
      </c>
      <c r="U596" s="8">
        <v>45953.572650462964</v>
      </c>
      <c r="V596" s="8">
        <v>45959.958333333336</v>
      </c>
      <c r="W596">
        <v>1</v>
      </c>
      <c r="X596">
        <v>3.8624768519999999</v>
      </c>
      <c r="Y596" t="s">
        <v>4813</v>
      </c>
      <c r="Z596" t="s">
        <v>4814</v>
      </c>
      <c r="AA596" t="s">
        <v>2956</v>
      </c>
      <c r="AB596" t="s">
        <v>1278</v>
      </c>
      <c r="AC596" t="s">
        <v>2387</v>
      </c>
      <c r="AD596" t="s">
        <v>2708</v>
      </c>
      <c r="AE596">
        <v>1</v>
      </c>
      <c r="AO596" t="s">
        <v>2957</v>
      </c>
      <c r="AP596" t="s">
        <v>2401</v>
      </c>
    </row>
    <row r="597" spans="1:42">
      <c r="A597" t="s">
        <v>2495</v>
      </c>
      <c r="B597" t="s">
        <v>2389</v>
      </c>
      <c r="C597" t="s">
        <v>2443</v>
      </c>
      <c r="D597" t="s">
        <v>2443</v>
      </c>
      <c r="E597" t="s">
        <v>2452</v>
      </c>
      <c r="F597" t="s">
        <v>2402</v>
      </c>
      <c r="G597" t="s">
        <v>2452</v>
      </c>
      <c r="H597" t="b">
        <v>1</v>
      </c>
      <c r="I597" s="8">
        <v>45960.334293981483</v>
      </c>
      <c r="J597" t="s">
        <v>2380</v>
      </c>
      <c r="L597">
        <v>602966</v>
      </c>
      <c r="M597" t="s">
        <v>2381</v>
      </c>
      <c r="P597" t="s">
        <v>2494</v>
      </c>
      <c r="Q597" t="s">
        <v>2383</v>
      </c>
      <c r="R597">
        <v>1</v>
      </c>
      <c r="S597" t="s">
        <v>2380</v>
      </c>
      <c r="T597" t="s">
        <v>2383</v>
      </c>
      <c r="U597" s="8">
        <v>45953.577523148146</v>
      </c>
      <c r="V597" s="8">
        <v>45959.958333333336</v>
      </c>
      <c r="W597">
        <v>1</v>
      </c>
      <c r="X597">
        <v>4.756770833</v>
      </c>
      <c r="Y597" t="s">
        <v>2403</v>
      </c>
      <c r="Z597" t="s">
        <v>2496</v>
      </c>
      <c r="AA597" t="s">
        <v>2308</v>
      </c>
      <c r="AB597" t="s">
        <v>1278</v>
      </c>
      <c r="AC597" t="s">
        <v>2497</v>
      </c>
      <c r="AE597">
        <v>1</v>
      </c>
      <c r="AO597" t="s">
        <v>2408</v>
      </c>
      <c r="AP597" t="s">
        <v>2401</v>
      </c>
    </row>
    <row r="598" spans="1:42">
      <c r="A598" t="s">
        <v>2685</v>
      </c>
      <c r="B598" t="s">
        <v>2389</v>
      </c>
      <c r="C598" t="s">
        <v>2378</v>
      </c>
      <c r="D598" t="s">
        <v>2379</v>
      </c>
      <c r="E598" t="s">
        <v>25</v>
      </c>
      <c r="F598" t="s">
        <v>2637</v>
      </c>
      <c r="G598" t="s">
        <v>25</v>
      </c>
      <c r="H598" t="b">
        <v>1</v>
      </c>
      <c r="I598" s="8">
        <v>45959.542349537034</v>
      </c>
      <c r="J598" t="s">
        <v>2380</v>
      </c>
      <c r="L598">
        <v>603986</v>
      </c>
      <c r="M598" t="s">
        <v>2381</v>
      </c>
      <c r="P598" t="s">
        <v>2684</v>
      </c>
      <c r="Q598" t="s">
        <v>2383</v>
      </c>
      <c r="R598">
        <v>1</v>
      </c>
      <c r="S598" t="s">
        <v>2380</v>
      </c>
      <c r="T598" t="s">
        <v>2383</v>
      </c>
      <c r="U598" s="8">
        <v>45953.589803240742</v>
      </c>
      <c r="V598" s="8">
        <v>45959.958333333336</v>
      </c>
      <c r="W598">
        <v>1</v>
      </c>
      <c r="X598">
        <v>3.952546296</v>
      </c>
      <c r="Y598" t="s">
        <v>2638</v>
      </c>
      <c r="Z598" t="s">
        <v>2686</v>
      </c>
      <c r="AA598" t="s">
        <v>2641</v>
      </c>
      <c r="AB598" t="s">
        <v>1278</v>
      </c>
      <c r="AC598" t="s">
        <v>2687</v>
      </c>
      <c r="AE598">
        <v>1</v>
      </c>
      <c r="AO598" t="s">
        <v>2388</v>
      </c>
      <c r="AP598" t="s">
        <v>2401</v>
      </c>
    </row>
    <row r="599" spans="1:42">
      <c r="A599" t="s">
        <v>2688</v>
      </c>
      <c r="B599" t="s">
        <v>2389</v>
      </c>
      <c r="C599" t="s">
        <v>2378</v>
      </c>
      <c r="D599" t="s">
        <v>2379</v>
      </c>
      <c r="E599" t="s">
        <v>25</v>
      </c>
      <c r="F599" t="s">
        <v>2637</v>
      </c>
      <c r="G599" t="s">
        <v>25</v>
      </c>
      <c r="H599" t="b">
        <v>1</v>
      </c>
      <c r="I599" s="8">
        <v>45959.541689814818</v>
      </c>
      <c r="J599" t="s">
        <v>2380</v>
      </c>
      <c r="L599">
        <v>603986</v>
      </c>
      <c r="M599" t="s">
        <v>2381</v>
      </c>
      <c r="P599" t="s">
        <v>2684</v>
      </c>
      <c r="Q599" t="s">
        <v>2383</v>
      </c>
      <c r="R599">
        <v>1</v>
      </c>
      <c r="S599" t="s">
        <v>2380</v>
      </c>
      <c r="T599" t="s">
        <v>2383</v>
      </c>
      <c r="U599" s="8">
        <v>45953.590798611112</v>
      </c>
      <c r="V599" s="8">
        <v>45959.958333333336</v>
      </c>
      <c r="W599">
        <v>1</v>
      </c>
      <c r="X599">
        <v>3.9508912039999999</v>
      </c>
      <c r="Y599" t="s">
        <v>2638</v>
      </c>
      <c r="Z599" t="s">
        <v>2689</v>
      </c>
      <c r="AA599" t="s">
        <v>2641</v>
      </c>
      <c r="AB599" t="s">
        <v>1278</v>
      </c>
      <c r="AC599" t="s">
        <v>2690</v>
      </c>
      <c r="AE599">
        <v>1</v>
      </c>
      <c r="AO599" t="s">
        <v>2388</v>
      </c>
      <c r="AP599" t="s">
        <v>2401</v>
      </c>
    </row>
    <row r="600" spans="1:42">
      <c r="A600" t="s">
        <v>3453</v>
      </c>
      <c r="B600" t="s">
        <v>2389</v>
      </c>
      <c r="C600" t="s">
        <v>2378</v>
      </c>
      <c r="D600" t="s">
        <v>2379</v>
      </c>
      <c r="E600" t="s">
        <v>25</v>
      </c>
      <c r="F600" t="s">
        <v>2637</v>
      </c>
      <c r="G600" t="s">
        <v>25</v>
      </c>
      <c r="H600" t="b">
        <v>1</v>
      </c>
      <c r="I600" s="8">
        <v>45959.541377314818</v>
      </c>
      <c r="J600" t="s">
        <v>2380</v>
      </c>
      <c r="L600">
        <v>603986</v>
      </c>
      <c r="M600" t="s">
        <v>2381</v>
      </c>
      <c r="P600" t="s">
        <v>2684</v>
      </c>
      <c r="Q600" t="s">
        <v>2383</v>
      </c>
      <c r="R600">
        <v>1</v>
      </c>
      <c r="S600" t="s">
        <v>2380</v>
      </c>
      <c r="T600" t="s">
        <v>2383</v>
      </c>
      <c r="U600" s="8">
        <v>45953.591678240744</v>
      </c>
      <c r="V600" s="8">
        <v>45959.958333333336</v>
      </c>
      <c r="W600">
        <v>1</v>
      </c>
      <c r="X600">
        <v>3.9496990740000002</v>
      </c>
      <c r="Y600" t="s">
        <v>2638</v>
      </c>
      <c r="Z600" t="s">
        <v>3454</v>
      </c>
      <c r="AA600" t="s">
        <v>2641</v>
      </c>
      <c r="AB600" t="s">
        <v>1278</v>
      </c>
      <c r="AC600" t="s">
        <v>3455</v>
      </c>
      <c r="AE600">
        <v>1</v>
      </c>
      <c r="AO600" t="s">
        <v>2388</v>
      </c>
      <c r="AP600" t="s">
        <v>2401</v>
      </c>
    </row>
    <row r="601" spans="1:42">
      <c r="A601" t="s">
        <v>1045</v>
      </c>
      <c r="B601" t="s">
        <v>2377</v>
      </c>
      <c r="C601" t="s">
        <v>2438</v>
      </c>
      <c r="D601" t="s">
        <v>2379</v>
      </c>
      <c r="E601" t="s">
        <v>28</v>
      </c>
      <c r="F601">
        <v>6280</v>
      </c>
      <c r="G601" t="s">
        <v>28</v>
      </c>
      <c r="H601" t="b">
        <v>1</v>
      </c>
      <c r="I601" s="8">
        <v>45953.617511574077</v>
      </c>
      <c r="J601" t="s">
        <v>2380</v>
      </c>
      <c r="L601">
        <v>606908</v>
      </c>
      <c r="M601" t="s">
        <v>2381</v>
      </c>
      <c r="N601">
        <v>20</v>
      </c>
      <c r="P601" t="s">
        <v>2704</v>
      </c>
      <c r="Q601" t="s">
        <v>2383</v>
      </c>
      <c r="R601">
        <v>1</v>
      </c>
      <c r="S601" t="s">
        <v>2380</v>
      </c>
      <c r="T601" t="s">
        <v>2383</v>
      </c>
      <c r="U601" s="8">
        <v>45953.603483796294</v>
      </c>
      <c r="V601" s="8">
        <v>45959.958333333336</v>
      </c>
      <c r="W601">
        <v>1</v>
      </c>
      <c r="X601">
        <v>1.4027777999999999E-2</v>
      </c>
      <c r="Y601" t="s">
        <v>4555</v>
      </c>
      <c r="Z601" t="s">
        <v>4556</v>
      </c>
      <c r="AA601" t="s">
        <v>4557</v>
      </c>
      <c r="AB601" t="s">
        <v>1278</v>
      </c>
      <c r="AC601" t="s">
        <v>3066</v>
      </c>
      <c r="AD601" t="s">
        <v>2708</v>
      </c>
      <c r="AE601">
        <v>1</v>
      </c>
      <c r="AO601" t="s">
        <v>2388</v>
      </c>
      <c r="AP601" t="s">
        <v>2401</v>
      </c>
    </row>
    <row r="602" spans="1:42">
      <c r="A602" t="s">
        <v>4775</v>
      </c>
      <c r="B602" t="s">
        <v>2389</v>
      </c>
      <c r="C602" t="s">
        <v>2443</v>
      </c>
      <c r="D602" t="s">
        <v>2443</v>
      </c>
      <c r="E602" t="s">
        <v>2452</v>
      </c>
      <c r="F602" t="s">
        <v>2578</v>
      </c>
      <c r="G602" t="s">
        <v>2452</v>
      </c>
      <c r="H602" t="b">
        <v>1</v>
      </c>
      <c r="I602" s="8">
        <v>45960.349780092591</v>
      </c>
      <c r="J602" t="s">
        <v>2380</v>
      </c>
      <c r="K602">
        <v>1205687</v>
      </c>
      <c r="L602">
        <v>601564</v>
      </c>
      <c r="M602" t="s">
        <v>2381</v>
      </c>
      <c r="P602" t="s">
        <v>4774</v>
      </c>
      <c r="Q602" t="s">
        <v>2383</v>
      </c>
      <c r="R602">
        <v>1</v>
      </c>
      <c r="S602" t="s">
        <v>2380</v>
      </c>
      <c r="T602" t="s">
        <v>2383</v>
      </c>
      <c r="U602" s="8">
        <v>45953.611006944448</v>
      </c>
      <c r="V602" s="8">
        <v>45959.958333333336</v>
      </c>
      <c r="W602">
        <v>1</v>
      </c>
      <c r="X602">
        <v>4.7387731479999999</v>
      </c>
      <c r="Y602" t="s">
        <v>2579</v>
      </c>
      <c r="Z602" t="s">
        <v>4776</v>
      </c>
      <c r="AA602" t="s">
        <v>4777</v>
      </c>
      <c r="AB602" t="s">
        <v>1278</v>
      </c>
      <c r="AC602" t="s">
        <v>4778</v>
      </c>
      <c r="AD602" t="s">
        <v>2708</v>
      </c>
      <c r="AE602">
        <v>1</v>
      </c>
      <c r="AO602" t="s">
        <v>2957</v>
      </c>
      <c r="AP602" t="s">
        <v>2401</v>
      </c>
    </row>
    <row r="603" spans="1:42">
      <c r="A603" t="s">
        <v>3573</v>
      </c>
      <c r="B603" t="s">
        <v>2389</v>
      </c>
      <c r="C603" t="s">
        <v>2443</v>
      </c>
      <c r="D603" t="s">
        <v>2443</v>
      </c>
      <c r="E603" t="s">
        <v>2452</v>
      </c>
      <c r="F603" t="s">
        <v>3570</v>
      </c>
      <c r="G603" t="s">
        <v>2452</v>
      </c>
      <c r="H603" t="b">
        <v>1</v>
      </c>
      <c r="I603" s="8">
        <v>45960.352152777778</v>
      </c>
      <c r="J603" t="s">
        <v>2380</v>
      </c>
      <c r="L603">
        <v>602780</v>
      </c>
      <c r="M603" t="s">
        <v>2381</v>
      </c>
      <c r="P603" t="s">
        <v>3571</v>
      </c>
      <c r="Q603" t="s">
        <v>2383</v>
      </c>
      <c r="R603">
        <v>1</v>
      </c>
      <c r="S603" t="s">
        <v>2380</v>
      </c>
      <c r="T603" t="s">
        <v>2383</v>
      </c>
      <c r="U603" s="8">
        <v>45953.611157407409</v>
      </c>
      <c r="V603" s="8">
        <v>45959.958333333336</v>
      </c>
      <c r="W603">
        <v>1</v>
      </c>
      <c r="X603">
        <v>4.7409953700000003</v>
      </c>
      <c r="Y603" t="s">
        <v>3572</v>
      </c>
      <c r="Z603" t="s">
        <v>3574</v>
      </c>
      <c r="AA603" t="s">
        <v>3575</v>
      </c>
      <c r="AB603" t="s">
        <v>1278</v>
      </c>
      <c r="AC603" t="s">
        <v>3576</v>
      </c>
      <c r="AE603">
        <v>1</v>
      </c>
      <c r="AO603" t="s">
        <v>2957</v>
      </c>
      <c r="AP603" t="s">
        <v>2401</v>
      </c>
    </row>
    <row r="604" spans="1:42">
      <c r="A604" t="s">
        <v>811</v>
      </c>
      <c r="B604" t="s">
        <v>2377</v>
      </c>
      <c r="C604" t="s">
        <v>2443</v>
      </c>
      <c r="D604" t="s">
        <v>2443</v>
      </c>
      <c r="E604" t="s">
        <v>33</v>
      </c>
      <c r="F604" t="s">
        <v>2417</v>
      </c>
      <c r="G604" t="s">
        <v>33</v>
      </c>
      <c r="H604" t="b">
        <v>1</v>
      </c>
      <c r="I604" s="8">
        <v>45960.377280092594</v>
      </c>
      <c r="J604" t="s">
        <v>2380</v>
      </c>
      <c r="L604">
        <v>603965</v>
      </c>
      <c r="M604" t="s">
        <v>2381</v>
      </c>
      <c r="P604" t="s">
        <v>8038</v>
      </c>
      <c r="Q604" t="s">
        <v>2383</v>
      </c>
      <c r="R604">
        <v>1</v>
      </c>
      <c r="S604" t="s">
        <v>2380</v>
      </c>
      <c r="T604" t="s">
        <v>2383</v>
      </c>
      <c r="U604" s="8">
        <v>45953.615474537037</v>
      </c>
      <c r="V604" s="8">
        <v>45959.958333333336</v>
      </c>
      <c r="W604">
        <v>1</v>
      </c>
      <c r="X604">
        <v>4.7618055559999997</v>
      </c>
      <c r="Y604" t="s">
        <v>2418</v>
      </c>
      <c r="Z604" t="s">
        <v>8800</v>
      </c>
      <c r="AA604" t="s">
        <v>1591</v>
      </c>
      <c r="AB604" t="s">
        <v>1278</v>
      </c>
      <c r="AC604" t="s">
        <v>2387</v>
      </c>
      <c r="AD604" t="s">
        <v>2708</v>
      </c>
      <c r="AE604">
        <v>1</v>
      </c>
      <c r="AH604" t="s">
        <v>2723</v>
      </c>
      <c r="AI604" s="8">
        <v>45959.707928240743</v>
      </c>
      <c r="AK604" t="s">
        <v>2719</v>
      </c>
      <c r="AL604" t="s">
        <v>2719</v>
      </c>
      <c r="AO604" t="s">
        <v>4121</v>
      </c>
      <c r="AP604" t="s">
        <v>2401</v>
      </c>
    </row>
    <row r="605" spans="1:42">
      <c r="A605" t="s">
        <v>2498</v>
      </c>
      <c r="B605" t="s">
        <v>2389</v>
      </c>
      <c r="C605" t="s">
        <v>2447</v>
      </c>
      <c r="D605" t="s">
        <v>2379</v>
      </c>
      <c r="E605" t="s">
        <v>2452</v>
      </c>
      <c r="F605" t="s">
        <v>2402</v>
      </c>
      <c r="G605" t="s">
        <v>2452</v>
      </c>
      <c r="H605" t="b">
        <v>1</v>
      </c>
      <c r="I605" s="8">
        <v>45959.67087962963</v>
      </c>
      <c r="J605" t="s">
        <v>2380</v>
      </c>
      <c r="L605">
        <v>602966</v>
      </c>
      <c r="M605" t="s">
        <v>2381</v>
      </c>
      <c r="P605" t="s">
        <v>2494</v>
      </c>
      <c r="Q605" t="s">
        <v>2383</v>
      </c>
      <c r="R605">
        <v>1</v>
      </c>
      <c r="S605" t="s">
        <v>2380</v>
      </c>
      <c r="T605" t="s">
        <v>2383</v>
      </c>
      <c r="U605" s="8">
        <v>45953.61645833333</v>
      </c>
      <c r="V605" s="8">
        <v>45959.958333333336</v>
      </c>
      <c r="W605">
        <v>1</v>
      </c>
      <c r="X605">
        <v>4.0544212960000001</v>
      </c>
      <c r="Y605" t="s">
        <v>2403</v>
      </c>
      <c r="Z605" t="s">
        <v>2499</v>
      </c>
      <c r="AA605" t="s">
        <v>2308</v>
      </c>
      <c r="AB605" t="s">
        <v>1278</v>
      </c>
      <c r="AC605" t="s">
        <v>2500</v>
      </c>
      <c r="AE605">
        <v>1</v>
      </c>
      <c r="AO605" t="s">
        <v>2408</v>
      </c>
      <c r="AP605" t="s">
        <v>2401</v>
      </c>
    </row>
    <row r="606" spans="1:42">
      <c r="A606" t="s">
        <v>801</v>
      </c>
      <c r="B606" t="s">
        <v>2377</v>
      </c>
      <c r="C606" t="s">
        <v>2378</v>
      </c>
      <c r="D606" t="s">
        <v>2379</v>
      </c>
      <c r="E606" t="s">
        <v>33</v>
      </c>
      <c r="F606" t="s">
        <v>2409</v>
      </c>
      <c r="G606" t="s">
        <v>33</v>
      </c>
      <c r="H606" t="b">
        <v>1</v>
      </c>
      <c r="I606" s="8">
        <v>45959.371886574074</v>
      </c>
      <c r="J606" t="s">
        <v>2380</v>
      </c>
      <c r="L606">
        <v>608028</v>
      </c>
      <c r="M606" t="s">
        <v>2381</v>
      </c>
      <c r="P606" t="s">
        <v>2704</v>
      </c>
      <c r="Q606" t="s">
        <v>2383</v>
      </c>
      <c r="R606">
        <v>1</v>
      </c>
      <c r="S606" t="s">
        <v>2380</v>
      </c>
      <c r="T606" t="s">
        <v>2383</v>
      </c>
      <c r="U606" s="8">
        <v>45953.62835648148</v>
      </c>
      <c r="V606" s="8">
        <v>45959.958333333336</v>
      </c>
      <c r="W606">
        <v>1</v>
      </c>
      <c r="X606">
        <v>3.7435300929999999</v>
      </c>
      <c r="Y606" t="s">
        <v>2410</v>
      </c>
      <c r="Z606" t="s">
        <v>8811</v>
      </c>
      <c r="AA606" t="s">
        <v>8806</v>
      </c>
      <c r="AB606" t="s">
        <v>1278</v>
      </c>
      <c r="AC606" t="s">
        <v>8812</v>
      </c>
      <c r="AD606" t="s">
        <v>2708</v>
      </c>
      <c r="AE606">
        <v>1</v>
      </c>
      <c r="AH606" t="s">
        <v>2723</v>
      </c>
      <c r="AI606" s="8">
        <v>45958.70385416667</v>
      </c>
      <c r="AK606" t="s">
        <v>2719</v>
      </c>
      <c r="AL606" t="s">
        <v>2719</v>
      </c>
      <c r="AO606" t="s">
        <v>3644</v>
      </c>
      <c r="AP606" t="s">
        <v>2401</v>
      </c>
    </row>
    <row r="607" spans="1:42">
      <c r="A607" t="s">
        <v>2487</v>
      </c>
      <c r="B607" t="s">
        <v>2389</v>
      </c>
      <c r="C607" t="s">
        <v>2378</v>
      </c>
      <c r="D607" t="s">
        <v>2379</v>
      </c>
      <c r="E607" t="s">
        <v>25</v>
      </c>
      <c r="F607" t="s">
        <v>2402</v>
      </c>
      <c r="G607" t="s">
        <v>25</v>
      </c>
      <c r="H607" t="b">
        <v>1</v>
      </c>
      <c r="I607" s="8">
        <v>45959.501643518517</v>
      </c>
      <c r="J607" t="s">
        <v>2380</v>
      </c>
      <c r="L607">
        <v>603789</v>
      </c>
      <c r="M607" t="s">
        <v>2381</v>
      </c>
      <c r="P607" t="s">
        <v>2486</v>
      </c>
      <c r="Q607" t="s">
        <v>2383</v>
      </c>
      <c r="R607">
        <v>1</v>
      </c>
      <c r="S607" t="s">
        <v>2380</v>
      </c>
      <c r="T607" t="s">
        <v>2383</v>
      </c>
      <c r="U607" s="8">
        <v>45953.643090277779</v>
      </c>
      <c r="V607" s="8">
        <v>45959.958333333336</v>
      </c>
      <c r="W607">
        <v>1</v>
      </c>
      <c r="X607">
        <v>3.8585532410000001</v>
      </c>
      <c r="Y607" t="s">
        <v>2403</v>
      </c>
      <c r="Z607" t="s">
        <v>2488</v>
      </c>
      <c r="AA607" t="s">
        <v>2489</v>
      </c>
      <c r="AB607" t="s">
        <v>1278</v>
      </c>
      <c r="AC607" t="s">
        <v>2490</v>
      </c>
      <c r="AE607">
        <v>1</v>
      </c>
      <c r="AO607" t="s">
        <v>2408</v>
      </c>
      <c r="AP607" t="s">
        <v>2401</v>
      </c>
    </row>
    <row r="608" spans="1:42">
      <c r="A608" t="s">
        <v>3097</v>
      </c>
      <c r="B608" t="s">
        <v>2389</v>
      </c>
      <c r="C608" t="s">
        <v>2447</v>
      </c>
      <c r="D608" t="s">
        <v>2379</v>
      </c>
      <c r="E608" t="s">
        <v>24</v>
      </c>
      <c r="F608" t="s">
        <v>2417</v>
      </c>
      <c r="G608" t="s">
        <v>24</v>
      </c>
      <c r="H608" t="b">
        <v>1</v>
      </c>
      <c r="I608" s="8">
        <v>45959.654328703706</v>
      </c>
      <c r="J608" t="s">
        <v>2380</v>
      </c>
      <c r="K608">
        <v>1205621</v>
      </c>
      <c r="L608">
        <v>602712</v>
      </c>
      <c r="M608" t="s">
        <v>2381</v>
      </c>
      <c r="P608" t="s">
        <v>3096</v>
      </c>
      <c r="Q608" t="s">
        <v>2383</v>
      </c>
      <c r="R608">
        <v>1</v>
      </c>
      <c r="S608" t="s">
        <v>2380</v>
      </c>
      <c r="T608" t="s">
        <v>2383</v>
      </c>
      <c r="U608" s="8">
        <v>45953.64880787037</v>
      </c>
      <c r="V608" s="8">
        <v>45959.958333333336</v>
      </c>
      <c r="W608">
        <v>1</v>
      </c>
      <c r="X608">
        <v>4.0055208330000003</v>
      </c>
      <c r="Y608" t="s">
        <v>2418</v>
      </c>
      <c r="Z608" t="s">
        <v>3098</v>
      </c>
      <c r="AA608" t="s">
        <v>3099</v>
      </c>
      <c r="AB608" t="s">
        <v>1278</v>
      </c>
      <c r="AC608" t="s">
        <v>3100</v>
      </c>
      <c r="AD608" t="s">
        <v>2708</v>
      </c>
      <c r="AE608">
        <v>1</v>
      </c>
      <c r="AO608" t="s">
        <v>2540</v>
      </c>
      <c r="AP608" t="s">
        <v>2401</v>
      </c>
    </row>
    <row r="609" spans="1:42">
      <c r="A609" t="s">
        <v>8767</v>
      </c>
      <c r="B609" t="s">
        <v>2389</v>
      </c>
      <c r="C609" t="s">
        <v>2443</v>
      </c>
      <c r="D609" t="s">
        <v>2443</v>
      </c>
      <c r="E609" t="s">
        <v>28</v>
      </c>
      <c r="F609" t="s">
        <v>2588</v>
      </c>
      <c r="G609" t="s">
        <v>28</v>
      </c>
      <c r="H609" t="b">
        <v>1</v>
      </c>
      <c r="I609" s="8">
        <v>45960.364687499998</v>
      </c>
      <c r="J609" t="s">
        <v>2380</v>
      </c>
      <c r="K609">
        <v>1205551</v>
      </c>
      <c r="L609">
        <v>603839</v>
      </c>
      <c r="M609" t="s">
        <v>2381</v>
      </c>
      <c r="N609">
        <v>15</v>
      </c>
      <c r="P609" t="s">
        <v>8766</v>
      </c>
      <c r="Q609" t="s">
        <v>2383</v>
      </c>
      <c r="R609">
        <v>1</v>
      </c>
      <c r="S609" t="s">
        <v>2380</v>
      </c>
      <c r="T609" t="s">
        <v>2383</v>
      </c>
      <c r="U609" s="8">
        <v>45953.653622685182</v>
      </c>
      <c r="V609" s="8">
        <v>45959.958333333336</v>
      </c>
      <c r="W609">
        <v>1</v>
      </c>
      <c r="X609">
        <v>4.7110648150000003</v>
      </c>
      <c r="Y609" t="s">
        <v>2579</v>
      </c>
      <c r="Z609" t="s">
        <v>8768</v>
      </c>
      <c r="AA609" t="s">
        <v>8769</v>
      </c>
      <c r="AB609" t="s">
        <v>1278</v>
      </c>
      <c r="AC609" t="s">
        <v>8770</v>
      </c>
      <c r="AD609" t="s">
        <v>2708</v>
      </c>
      <c r="AE609">
        <v>1</v>
      </c>
      <c r="AH609" t="s">
        <v>2723</v>
      </c>
      <c r="AI609" s="8">
        <v>45959.707754629628</v>
      </c>
      <c r="AK609" t="s">
        <v>2719</v>
      </c>
      <c r="AL609" t="s">
        <v>2719</v>
      </c>
      <c r="AO609" t="s">
        <v>2388</v>
      </c>
      <c r="AP609" t="s">
        <v>2401</v>
      </c>
    </row>
    <row r="610" spans="1:42">
      <c r="A610" t="s">
        <v>221</v>
      </c>
      <c r="B610" t="s">
        <v>2377</v>
      </c>
      <c r="C610" t="s">
        <v>2438</v>
      </c>
      <c r="D610" t="s">
        <v>2379</v>
      </c>
      <c r="E610" t="s">
        <v>28</v>
      </c>
      <c r="F610" t="s">
        <v>4141</v>
      </c>
      <c r="G610" t="s">
        <v>28</v>
      </c>
      <c r="H610" t="b">
        <v>1</v>
      </c>
      <c r="I610" s="8">
        <v>45953.679398148146</v>
      </c>
      <c r="J610" t="s">
        <v>2380</v>
      </c>
      <c r="L610">
        <v>605284</v>
      </c>
      <c r="M610" t="s">
        <v>2381</v>
      </c>
      <c r="N610">
        <v>20</v>
      </c>
      <c r="P610" t="s">
        <v>2704</v>
      </c>
      <c r="Q610" t="s">
        <v>2383</v>
      </c>
      <c r="R610">
        <v>1</v>
      </c>
      <c r="S610" t="s">
        <v>2380</v>
      </c>
      <c r="T610" t="s">
        <v>2383</v>
      </c>
      <c r="U610" s="8">
        <v>45953.658032407409</v>
      </c>
      <c r="V610" s="8">
        <v>45959.958333333336</v>
      </c>
      <c r="W610">
        <v>1</v>
      </c>
      <c r="X610">
        <v>2.1365741000000001E-2</v>
      </c>
      <c r="Y610" t="s">
        <v>4142</v>
      </c>
      <c r="Z610" t="s">
        <v>8355</v>
      </c>
      <c r="AA610" t="s">
        <v>8356</v>
      </c>
      <c r="AB610" t="s">
        <v>1278</v>
      </c>
      <c r="AC610" t="s">
        <v>3066</v>
      </c>
      <c r="AD610" t="s">
        <v>2708</v>
      </c>
      <c r="AE610">
        <v>1</v>
      </c>
      <c r="AO610" t="s">
        <v>2957</v>
      </c>
      <c r="AP610" t="s">
        <v>2401</v>
      </c>
    </row>
    <row r="611" spans="1:42">
      <c r="A611" t="s">
        <v>2680</v>
      </c>
      <c r="B611" t="s">
        <v>2389</v>
      </c>
      <c r="C611" t="s">
        <v>2378</v>
      </c>
      <c r="D611" t="s">
        <v>2379</v>
      </c>
      <c r="E611" t="s">
        <v>2452</v>
      </c>
      <c r="F611" t="s">
        <v>2578</v>
      </c>
      <c r="G611" t="s">
        <v>2452</v>
      </c>
      <c r="H611" t="b">
        <v>1</v>
      </c>
      <c r="I611" s="8">
        <v>45959.585358796299</v>
      </c>
      <c r="J611" t="s">
        <v>2380</v>
      </c>
      <c r="L611">
        <v>602343</v>
      </c>
      <c r="M611" t="s">
        <v>2381</v>
      </c>
      <c r="P611" t="s">
        <v>2679</v>
      </c>
      <c r="Q611" t="s">
        <v>2383</v>
      </c>
      <c r="R611">
        <v>1</v>
      </c>
      <c r="S611" t="s">
        <v>2380</v>
      </c>
      <c r="T611" t="s">
        <v>2383</v>
      </c>
      <c r="U611" s="8">
        <v>45953.671724537038</v>
      </c>
      <c r="V611" s="8">
        <v>45959.958333333336</v>
      </c>
      <c r="W611">
        <v>1</v>
      </c>
      <c r="X611">
        <v>3.9136342590000002</v>
      </c>
      <c r="Y611" t="s">
        <v>2579</v>
      </c>
      <c r="Z611" t="s">
        <v>2681</v>
      </c>
      <c r="AA611" t="s">
        <v>2682</v>
      </c>
      <c r="AB611" t="s">
        <v>1278</v>
      </c>
      <c r="AC611" t="s">
        <v>2683</v>
      </c>
      <c r="AE611">
        <v>1</v>
      </c>
      <c r="AO611" t="s">
        <v>2388</v>
      </c>
      <c r="AP611" t="s">
        <v>2401</v>
      </c>
    </row>
    <row r="612" spans="1:42">
      <c r="A612" t="s">
        <v>1058</v>
      </c>
      <c r="B612" t="s">
        <v>2377</v>
      </c>
      <c r="C612" t="s">
        <v>2378</v>
      </c>
      <c r="D612" t="s">
        <v>2379</v>
      </c>
      <c r="E612" t="s">
        <v>18</v>
      </c>
      <c r="F612" t="s">
        <v>2578</v>
      </c>
      <c r="G612" t="s">
        <v>2416</v>
      </c>
      <c r="H612" t="b">
        <v>1</v>
      </c>
      <c r="I612" s="8">
        <v>45959.539687500001</v>
      </c>
      <c r="J612" t="s">
        <v>2380</v>
      </c>
      <c r="L612">
        <v>602343</v>
      </c>
      <c r="M612" t="s">
        <v>2381</v>
      </c>
      <c r="P612" t="s">
        <v>2679</v>
      </c>
      <c r="Q612" t="s">
        <v>2383</v>
      </c>
      <c r="R612">
        <v>1</v>
      </c>
      <c r="S612" t="s">
        <v>2380</v>
      </c>
      <c r="T612" t="s">
        <v>2383</v>
      </c>
      <c r="U612" s="8">
        <v>45953.672337962962</v>
      </c>
      <c r="V612" s="8">
        <v>45959.958333333336</v>
      </c>
      <c r="W612">
        <v>1</v>
      </c>
      <c r="X612">
        <v>3.8673495369999999</v>
      </c>
      <c r="Y612" t="s">
        <v>2579</v>
      </c>
      <c r="Z612" t="s">
        <v>4391</v>
      </c>
      <c r="AA612" t="s">
        <v>2682</v>
      </c>
      <c r="AB612" t="s">
        <v>1278</v>
      </c>
      <c r="AC612" t="s">
        <v>4392</v>
      </c>
      <c r="AD612" t="s">
        <v>2708</v>
      </c>
      <c r="AE612">
        <v>1</v>
      </c>
      <c r="AO612" t="s">
        <v>2388</v>
      </c>
      <c r="AP612" t="s">
        <v>2401</v>
      </c>
    </row>
    <row r="613" spans="1:42">
      <c r="A613" t="s">
        <v>1154</v>
      </c>
      <c r="B613" t="s">
        <v>2377</v>
      </c>
      <c r="C613" t="s">
        <v>2378</v>
      </c>
      <c r="D613" t="s">
        <v>2379</v>
      </c>
      <c r="E613" t="s">
        <v>25</v>
      </c>
      <c r="F613" t="s">
        <v>3891</v>
      </c>
      <c r="G613" t="s">
        <v>25</v>
      </c>
      <c r="H613" t="b">
        <v>1</v>
      </c>
      <c r="I613" s="8">
        <v>45959.411863425928</v>
      </c>
      <c r="J613" t="s">
        <v>2380</v>
      </c>
      <c r="L613">
        <v>603640</v>
      </c>
      <c r="M613" t="s">
        <v>2381</v>
      </c>
      <c r="N613">
        <v>5</v>
      </c>
      <c r="P613" t="s">
        <v>2704</v>
      </c>
      <c r="Q613" t="s">
        <v>2383</v>
      </c>
      <c r="R613">
        <v>1</v>
      </c>
      <c r="S613" t="s">
        <v>2380</v>
      </c>
      <c r="T613" t="s">
        <v>2383</v>
      </c>
      <c r="U613" s="8">
        <v>45953.682256944441</v>
      </c>
      <c r="V613" s="8">
        <v>45959.958333333336</v>
      </c>
      <c r="W613">
        <v>1</v>
      </c>
      <c r="X613">
        <v>3.7296064809999998</v>
      </c>
      <c r="Y613" t="s">
        <v>3892</v>
      </c>
      <c r="Z613" t="s">
        <v>8715</v>
      </c>
      <c r="AA613" t="s">
        <v>4926</v>
      </c>
      <c r="AB613" t="s">
        <v>1278</v>
      </c>
      <c r="AC613" t="s">
        <v>2387</v>
      </c>
      <c r="AD613" t="s">
        <v>2708</v>
      </c>
      <c r="AE613">
        <v>1</v>
      </c>
      <c r="AO613" t="s">
        <v>2715</v>
      </c>
      <c r="AP613" t="s">
        <v>2401</v>
      </c>
    </row>
    <row r="614" spans="1:42">
      <c r="A614" t="s">
        <v>809</v>
      </c>
      <c r="B614" t="s">
        <v>2377</v>
      </c>
      <c r="C614" t="s">
        <v>2443</v>
      </c>
      <c r="D614" t="s">
        <v>2443</v>
      </c>
      <c r="E614" t="s">
        <v>33</v>
      </c>
      <c r="F614" t="s">
        <v>2417</v>
      </c>
      <c r="G614" t="s">
        <v>33</v>
      </c>
      <c r="H614" t="b">
        <v>1</v>
      </c>
      <c r="I614" s="8">
        <v>45960.377025462964</v>
      </c>
      <c r="J614" t="s">
        <v>2380</v>
      </c>
      <c r="L614">
        <v>602944</v>
      </c>
      <c r="M614" t="s">
        <v>2381</v>
      </c>
      <c r="P614" t="s">
        <v>2743</v>
      </c>
      <c r="Q614" t="s">
        <v>2383</v>
      </c>
      <c r="R614">
        <v>1</v>
      </c>
      <c r="S614" t="s">
        <v>2380</v>
      </c>
      <c r="T614" t="s">
        <v>2383</v>
      </c>
      <c r="U614" s="8">
        <v>45953.708483796298</v>
      </c>
      <c r="V614" s="8">
        <v>45959.958333333336</v>
      </c>
      <c r="W614">
        <v>1</v>
      </c>
      <c r="X614">
        <v>4.6685416670000004</v>
      </c>
      <c r="Y614" t="s">
        <v>2418</v>
      </c>
      <c r="Z614" t="s">
        <v>8746</v>
      </c>
      <c r="AA614" t="s">
        <v>2745</v>
      </c>
      <c r="AB614" t="s">
        <v>1278</v>
      </c>
      <c r="AC614" t="s">
        <v>2387</v>
      </c>
      <c r="AD614" t="s">
        <v>2708</v>
      </c>
      <c r="AE614">
        <v>1</v>
      </c>
      <c r="AH614" t="s">
        <v>2723</v>
      </c>
      <c r="AI614" s="8">
        <v>45959.703935185185</v>
      </c>
      <c r="AK614" t="s">
        <v>2719</v>
      </c>
      <c r="AL614" t="s">
        <v>2719</v>
      </c>
      <c r="AO614" t="s">
        <v>2408</v>
      </c>
      <c r="AP614" t="s">
        <v>2401</v>
      </c>
    </row>
    <row r="615" spans="1:42">
      <c r="A615" t="s">
        <v>4797</v>
      </c>
      <c r="B615" t="s">
        <v>2389</v>
      </c>
      <c r="C615" t="s">
        <v>2443</v>
      </c>
      <c r="D615" t="s">
        <v>2443</v>
      </c>
      <c r="E615" t="s">
        <v>2452</v>
      </c>
      <c r="F615" t="s">
        <v>3261</v>
      </c>
      <c r="G615" t="s">
        <v>2452</v>
      </c>
      <c r="H615" t="b">
        <v>1</v>
      </c>
      <c r="I615" s="8">
        <v>45960.339826388888</v>
      </c>
      <c r="J615" t="s">
        <v>2380</v>
      </c>
      <c r="K615">
        <v>1205686</v>
      </c>
      <c r="L615">
        <v>603602</v>
      </c>
      <c r="M615" t="s">
        <v>2381</v>
      </c>
      <c r="P615" t="s">
        <v>4796</v>
      </c>
      <c r="Q615" t="s">
        <v>2383</v>
      </c>
      <c r="R615">
        <v>1</v>
      </c>
      <c r="S615" t="s">
        <v>2380</v>
      </c>
      <c r="T615" t="s">
        <v>2383</v>
      </c>
      <c r="U615" s="8">
        <v>45953.712453703702</v>
      </c>
      <c r="V615" s="8">
        <v>45959.958333333336</v>
      </c>
      <c r="W615">
        <v>1</v>
      </c>
      <c r="X615">
        <v>4.6273726850000001</v>
      </c>
      <c r="Y615" t="s">
        <v>3262</v>
      </c>
      <c r="Z615" t="s">
        <v>4798</v>
      </c>
      <c r="AA615" t="s">
        <v>4799</v>
      </c>
      <c r="AB615" t="s">
        <v>1278</v>
      </c>
      <c r="AC615" t="s">
        <v>4800</v>
      </c>
      <c r="AD615" t="s">
        <v>2708</v>
      </c>
      <c r="AE615">
        <v>1</v>
      </c>
      <c r="AO615" t="s">
        <v>2957</v>
      </c>
      <c r="AP615" t="s">
        <v>2401</v>
      </c>
    </row>
    <row r="616" spans="1:42">
      <c r="A616" t="s">
        <v>1123</v>
      </c>
      <c r="B616" t="s">
        <v>2377</v>
      </c>
      <c r="C616" t="s">
        <v>2447</v>
      </c>
      <c r="D616" t="s">
        <v>2379</v>
      </c>
      <c r="E616" t="s">
        <v>18</v>
      </c>
      <c r="F616" t="s">
        <v>2578</v>
      </c>
      <c r="G616" t="s">
        <v>2416</v>
      </c>
      <c r="H616" t="b">
        <v>1</v>
      </c>
      <c r="I616" s="8">
        <v>45960.418310185189</v>
      </c>
      <c r="J616" t="s">
        <v>2380</v>
      </c>
      <c r="L616">
        <v>603297</v>
      </c>
      <c r="M616" t="s">
        <v>2381</v>
      </c>
      <c r="P616" t="s">
        <v>4670</v>
      </c>
      <c r="Q616" t="s">
        <v>2383</v>
      </c>
      <c r="R616">
        <v>1</v>
      </c>
      <c r="S616" t="s">
        <v>2380</v>
      </c>
      <c r="T616" t="s">
        <v>2383</v>
      </c>
      <c r="U616" s="8">
        <v>45953.736655092594</v>
      </c>
      <c r="V616" s="8">
        <v>45965.958333333336</v>
      </c>
      <c r="W616">
        <v>1</v>
      </c>
      <c r="X616">
        <v>4.6816550929999998</v>
      </c>
      <c r="Y616" t="s">
        <v>2579</v>
      </c>
      <c r="Z616" t="s">
        <v>4671</v>
      </c>
      <c r="AA616" t="s">
        <v>3452</v>
      </c>
      <c r="AB616" t="s">
        <v>1278</v>
      </c>
      <c r="AC616" t="s">
        <v>4672</v>
      </c>
      <c r="AD616" t="s">
        <v>2708</v>
      </c>
      <c r="AE616">
        <v>1</v>
      </c>
      <c r="AO616" t="s">
        <v>2957</v>
      </c>
      <c r="AP616" t="s">
        <v>2401</v>
      </c>
    </row>
    <row r="617" spans="1:42">
      <c r="A617" t="s">
        <v>609</v>
      </c>
      <c r="B617" t="s">
        <v>2377</v>
      </c>
      <c r="C617" t="s">
        <v>2378</v>
      </c>
      <c r="D617" t="s">
        <v>2379</v>
      </c>
      <c r="E617" t="s">
        <v>18</v>
      </c>
      <c r="F617" t="s">
        <v>3339</v>
      </c>
      <c r="G617" t="s">
        <v>2416</v>
      </c>
      <c r="H617" t="b">
        <v>1</v>
      </c>
      <c r="I617" s="8">
        <v>45959.456562500003</v>
      </c>
      <c r="J617" t="s">
        <v>2380</v>
      </c>
      <c r="L617">
        <v>603025</v>
      </c>
      <c r="M617" t="s">
        <v>2381</v>
      </c>
      <c r="P617" t="s">
        <v>4617</v>
      </c>
      <c r="Q617" t="s">
        <v>2383</v>
      </c>
      <c r="R617">
        <v>1</v>
      </c>
      <c r="S617" t="s">
        <v>2380</v>
      </c>
      <c r="T617" t="s">
        <v>2383</v>
      </c>
      <c r="U617" s="8">
        <v>45954.307129629633</v>
      </c>
      <c r="V617" s="8">
        <v>45959.958333333336</v>
      </c>
      <c r="W617">
        <v>1</v>
      </c>
      <c r="X617">
        <v>3.1494328700000001</v>
      </c>
      <c r="Y617" t="s">
        <v>3340</v>
      </c>
      <c r="Z617" t="s">
        <v>4618</v>
      </c>
      <c r="AA617" t="s">
        <v>4619</v>
      </c>
      <c r="AB617" t="s">
        <v>1278</v>
      </c>
      <c r="AC617" t="s">
        <v>4620</v>
      </c>
      <c r="AD617" t="s">
        <v>2708</v>
      </c>
      <c r="AE617">
        <v>1</v>
      </c>
      <c r="AO617" t="s">
        <v>2957</v>
      </c>
      <c r="AP617" t="s">
        <v>2401</v>
      </c>
    </row>
    <row r="618" spans="1:42">
      <c r="A618" t="s">
        <v>1195</v>
      </c>
      <c r="B618" t="s">
        <v>2377</v>
      </c>
      <c r="C618" t="s">
        <v>2415</v>
      </c>
      <c r="D618" t="s">
        <v>2379</v>
      </c>
      <c r="E618" t="s">
        <v>25</v>
      </c>
      <c r="F618" t="s">
        <v>3747</v>
      </c>
      <c r="G618" t="s">
        <v>25</v>
      </c>
      <c r="H618" t="b">
        <v>1</v>
      </c>
      <c r="I618" s="8">
        <v>45958.36215277778</v>
      </c>
      <c r="J618" t="s">
        <v>2380</v>
      </c>
      <c r="L618">
        <v>601335</v>
      </c>
      <c r="M618" t="s">
        <v>2381</v>
      </c>
      <c r="N618">
        <v>15</v>
      </c>
      <c r="P618" t="s">
        <v>2704</v>
      </c>
      <c r="Q618" t="s">
        <v>2383</v>
      </c>
      <c r="R618">
        <v>1</v>
      </c>
      <c r="S618" t="s">
        <v>2380</v>
      </c>
      <c r="T618" t="s">
        <v>2383</v>
      </c>
      <c r="U618" s="8">
        <v>45954.371377314812</v>
      </c>
      <c r="V618" s="8">
        <v>45960.958333333336</v>
      </c>
      <c r="W618">
        <v>1</v>
      </c>
      <c r="X618">
        <v>1.9907754630000001</v>
      </c>
      <c r="Y618" t="s">
        <v>3748</v>
      </c>
      <c r="Z618" t="s">
        <v>8668</v>
      </c>
      <c r="AA618" t="s">
        <v>3784</v>
      </c>
      <c r="AB618" t="s">
        <v>1278</v>
      </c>
      <c r="AC618" t="s">
        <v>8669</v>
      </c>
      <c r="AD618" t="s">
        <v>2708</v>
      </c>
      <c r="AE618">
        <v>1</v>
      </c>
      <c r="AO618" t="s">
        <v>2712</v>
      </c>
      <c r="AP618" t="s">
        <v>2401</v>
      </c>
    </row>
    <row r="619" spans="1:42">
      <c r="A619" t="s">
        <v>10190</v>
      </c>
      <c r="B619" t="s">
        <v>2377</v>
      </c>
      <c r="C619" t="s">
        <v>2447</v>
      </c>
      <c r="D619" t="s">
        <v>2379</v>
      </c>
      <c r="E619" t="s">
        <v>28</v>
      </c>
      <c r="F619" t="s">
        <v>4897</v>
      </c>
      <c r="G619" t="s">
        <v>28</v>
      </c>
      <c r="H619" t="b">
        <v>1</v>
      </c>
      <c r="I619" s="8">
        <v>45960.642708333333</v>
      </c>
      <c r="J619" t="s">
        <v>2380</v>
      </c>
      <c r="L619">
        <v>603929</v>
      </c>
      <c r="M619" t="s">
        <v>2381</v>
      </c>
      <c r="P619" t="s">
        <v>2670</v>
      </c>
      <c r="Q619" t="s">
        <v>2383</v>
      </c>
      <c r="R619">
        <v>1</v>
      </c>
      <c r="S619" t="s">
        <v>2380</v>
      </c>
      <c r="T619" t="s">
        <v>2383</v>
      </c>
      <c r="U619" s="8">
        <v>45954.375254629631</v>
      </c>
      <c r="V619" s="8">
        <v>45960.958333333336</v>
      </c>
      <c r="W619">
        <v>1</v>
      </c>
      <c r="X619">
        <v>4.2674537040000002</v>
      </c>
      <c r="Y619" t="s">
        <v>4898</v>
      </c>
      <c r="Z619" t="s">
        <v>10191</v>
      </c>
      <c r="AA619" t="s">
        <v>5025</v>
      </c>
      <c r="AB619" t="s">
        <v>1278</v>
      </c>
      <c r="AC619" t="s">
        <v>3471</v>
      </c>
      <c r="AE619">
        <v>1</v>
      </c>
      <c r="AO619" t="s">
        <v>2715</v>
      </c>
      <c r="AP619" t="s">
        <v>2401</v>
      </c>
    </row>
    <row r="620" spans="1:42">
      <c r="A620" t="s">
        <v>10192</v>
      </c>
      <c r="B620" t="s">
        <v>2377</v>
      </c>
      <c r="C620" t="s">
        <v>2447</v>
      </c>
      <c r="D620" t="s">
        <v>2379</v>
      </c>
      <c r="E620" t="s">
        <v>28</v>
      </c>
      <c r="F620" t="s">
        <v>4897</v>
      </c>
      <c r="G620" t="s">
        <v>28</v>
      </c>
      <c r="H620" t="b">
        <v>1</v>
      </c>
      <c r="I620" s="8">
        <v>45960.654652777775</v>
      </c>
      <c r="J620" t="s">
        <v>2380</v>
      </c>
      <c r="L620">
        <v>603929</v>
      </c>
      <c r="M620" t="s">
        <v>2381</v>
      </c>
      <c r="P620" t="s">
        <v>2670</v>
      </c>
      <c r="Q620" t="s">
        <v>2383</v>
      </c>
      <c r="R620">
        <v>1</v>
      </c>
      <c r="S620" t="s">
        <v>2380</v>
      </c>
      <c r="T620" t="s">
        <v>2383</v>
      </c>
      <c r="U620" s="8">
        <v>45954.380810185183</v>
      </c>
      <c r="V620" s="8">
        <v>45960.958333333336</v>
      </c>
      <c r="W620">
        <v>1</v>
      </c>
      <c r="X620">
        <v>4.2738425930000004</v>
      </c>
      <c r="Y620" t="s">
        <v>4898</v>
      </c>
      <c r="Z620" t="s">
        <v>10193</v>
      </c>
      <c r="AA620" t="s">
        <v>5025</v>
      </c>
      <c r="AB620" t="s">
        <v>1278</v>
      </c>
      <c r="AC620" t="s">
        <v>3471</v>
      </c>
      <c r="AE620">
        <v>1</v>
      </c>
      <c r="AO620" t="s">
        <v>2715</v>
      </c>
      <c r="AP620" t="s">
        <v>2401</v>
      </c>
    </row>
    <row r="621" spans="1:42">
      <c r="A621" t="s">
        <v>687</v>
      </c>
      <c r="B621" t="s">
        <v>2377</v>
      </c>
      <c r="C621" t="s">
        <v>2447</v>
      </c>
      <c r="D621" t="s">
        <v>2379</v>
      </c>
      <c r="E621" t="s">
        <v>18</v>
      </c>
      <c r="F621" t="s">
        <v>2588</v>
      </c>
      <c r="G621" t="s">
        <v>2416</v>
      </c>
      <c r="H621" t="b">
        <v>1</v>
      </c>
      <c r="I621" s="8">
        <v>45960.47314814815</v>
      </c>
      <c r="J621" t="s">
        <v>2380</v>
      </c>
      <c r="L621">
        <v>606834</v>
      </c>
      <c r="M621" t="s">
        <v>2381</v>
      </c>
      <c r="P621" t="s">
        <v>4404</v>
      </c>
      <c r="Q621" t="s">
        <v>2383</v>
      </c>
      <c r="R621">
        <v>1</v>
      </c>
      <c r="S621" t="s">
        <v>2380</v>
      </c>
      <c r="T621" t="s">
        <v>2383</v>
      </c>
      <c r="U621" s="8">
        <v>45954.384502314817</v>
      </c>
      <c r="V621" s="8">
        <v>45960.958333333336</v>
      </c>
      <c r="W621">
        <v>1</v>
      </c>
      <c r="X621">
        <v>4.0886458330000002</v>
      </c>
      <c r="Y621" t="s">
        <v>2579</v>
      </c>
      <c r="Z621" t="s">
        <v>4405</v>
      </c>
      <c r="AA621" t="s">
        <v>2164</v>
      </c>
      <c r="AB621" t="s">
        <v>1278</v>
      </c>
      <c r="AC621" t="s">
        <v>4406</v>
      </c>
      <c r="AD621" t="s">
        <v>2708</v>
      </c>
      <c r="AE621">
        <v>1</v>
      </c>
      <c r="AO621" t="s">
        <v>2388</v>
      </c>
      <c r="AP621" t="s">
        <v>2401</v>
      </c>
    </row>
    <row r="622" spans="1:42">
      <c r="A622" t="s">
        <v>4641</v>
      </c>
      <c r="B622" t="s">
        <v>2377</v>
      </c>
      <c r="C622" t="s">
        <v>2447</v>
      </c>
      <c r="D622" t="s">
        <v>2379</v>
      </c>
      <c r="E622" t="s">
        <v>18</v>
      </c>
      <c r="F622" t="s">
        <v>3261</v>
      </c>
      <c r="G622" t="s">
        <v>2416</v>
      </c>
      <c r="H622" t="b">
        <v>1</v>
      </c>
      <c r="I622" s="8">
        <v>45960.694618055553</v>
      </c>
      <c r="J622" t="s">
        <v>2380</v>
      </c>
      <c r="L622">
        <v>601294</v>
      </c>
      <c r="M622" t="s">
        <v>2381</v>
      </c>
      <c r="P622" t="s">
        <v>4638</v>
      </c>
      <c r="Q622" t="s">
        <v>2383</v>
      </c>
      <c r="R622">
        <v>1</v>
      </c>
      <c r="S622" t="s">
        <v>2380</v>
      </c>
      <c r="T622" t="s">
        <v>2383</v>
      </c>
      <c r="U622" s="8">
        <v>45954.392581018517</v>
      </c>
      <c r="V622" s="8">
        <v>45960.958333333336</v>
      </c>
      <c r="W622">
        <v>1</v>
      </c>
      <c r="X622">
        <v>4.3020370369999998</v>
      </c>
      <c r="Y622" t="s">
        <v>3262</v>
      </c>
      <c r="Z622" t="s">
        <v>4642</v>
      </c>
      <c r="AA622" t="s">
        <v>1435</v>
      </c>
      <c r="AB622" t="s">
        <v>1278</v>
      </c>
      <c r="AC622" t="s">
        <v>4643</v>
      </c>
      <c r="AD622" t="s">
        <v>2708</v>
      </c>
      <c r="AE622">
        <v>1</v>
      </c>
      <c r="AO622" t="s">
        <v>2957</v>
      </c>
      <c r="AP622" t="s">
        <v>2401</v>
      </c>
    </row>
    <row r="623" spans="1:42">
      <c r="A623" t="s">
        <v>791</v>
      </c>
      <c r="B623" t="s">
        <v>2377</v>
      </c>
      <c r="C623" t="s">
        <v>2438</v>
      </c>
      <c r="D623" t="s">
        <v>2379</v>
      </c>
      <c r="E623" t="s">
        <v>18</v>
      </c>
      <c r="F623" t="s">
        <v>3747</v>
      </c>
      <c r="G623" t="s">
        <v>2416</v>
      </c>
      <c r="H623" t="b">
        <v>1</v>
      </c>
      <c r="I623" s="8">
        <v>45954.543738425928</v>
      </c>
      <c r="J623" t="s">
        <v>2380</v>
      </c>
      <c r="L623">
        <v>603140</v>
      </c>
      <c r="M623" t="s">
        <v>2381</v>
      </c>
      <c r="P623" t="s">
        <v>2704</v>
      </c>
      <c r="Q623" t="s">
        <v>2383</v>
      </c>
      <c r="R623">
        <v>1</v>
      </c>
      <c r="S623" t="s">
        <v>2380</v>
      </c>
      <c r="T623" t="s">
        <v>2383</v>
      </c>
      <c r="U623" s="8">
        <v>45954.418865740743</v>
      </c>
      <c r="V623" s="8">
        <v>45960.958333333336</v>
      </c>
      <c r="W623">
        <v>1</v>
      </c>
      <c r="X623">
        <v>0.124872685</v>
      </c>
      <c r="Y623" t="s">
        <v>3748</v>
      </c>
      <c r="Z623" t="s">
        <v>8633</v>
      </c>
      <c r="AA623" t="s">
        <v>3853</v>
      </c>
      <c r="AB623" t="s">
        <v>1278</v>
      </c>
      <c r="AC623" t="s">
        <v>8634</v>
      </c>
      <c r="AD623" t="s">
        <v>2708</v>
      </c>
      <c r="AE623">
        <v>1</v>
      </c>
      <c r="AO623" t="s">
        <v>2712</v>
      </c>
      <c r="AP623" t="s">
        <v>2401</v>
      </c>
    </row>
    <row r="624" spans="1:42">
      <c r="A624" t="s">
        <v>1171</v>
      </c>
      <c r="B624" t="s">
        <v>2377</v>
      </c>
      <c r="C624" t="s">
        <v>2438</v>
      </c>
      <c r="D624" t="s">
        <v>2379</v>
      </c>
      <c r="E624" t="s">
        <v>18</v>
      </c>
      <c r="F624" t="s">
        <v>3747</v>
      </c>
      <c r="G624" t="s">
        <v>2416</v>
      </c>
      <c r="H624" t="b">
        <v>1</v>
      </c>
      <c r="I624" s="8">
        <v>45954.604375000003</v>
      </c>
      <c r="J624" t="s">
        <v>2380</v>
      </c>
      <c r="L624">
        <v>603140</v>
      </c>
      <c r="M624" t="s">
        <v>2381</v>
      </c>
      <c r="P624" t="s">
        <v>2704</v>
      </c>
      <c r="Q624" t="s">
        <v>2383</v>
      </c>
      <c r="R624">
        <v>1</v>
      </c>
      <c r="S624" t="s">
        <v>2380</v>
      </c>
      <c r="T624" t="s">
        <v>2383</v>
      </c>
      <c r="U624" s="8">
        <v>45954.434502314813</v>
      </c>
      <c r="V624" s="8">
        <v>45960.958333333336</v>
      </c>
      <c r="W624">
        <v>1</v>
      </c>
      <c r="X624">
        <v>0.169872685</v>
      </c>
      <c r="Y624" t="s">
        <v>3748</v>
      </c>
      <c r="Z624" t="s">
        <v>8635</v>
      </c>
      <c r="AA624" t="s">
        <v>3853</v>
      </c>
      <c r="AB624" t="s">
        <v>1278</v>
      </c>
      <c r="AC624" t="s">
        <v>8636</v>
      </c>
      <c r="AD624" t="s">
        <v>2708</v>
      </c>
      <c r="AE624">
        <v>1</v>
      </c>
      <c r="AO624" t="s">
        <v>2712</v>
      </c>
      <c r="AP624" t="s">
        <v>2401</v>
      </c>
    </row>
    <row r="625" spans="1:42">
      <c r="A625" t="s">
        <v>279</v>
      </c>
      <c r="B625" t="s">
        <v>2377</v>
      </c>
      <c r="C625" t="s">
        <v>2447</v>
      </c>
      <c r="D625" t="s">
        <v>2379</v>
      </c>
      <c r="E625" t="s">
        <v>33</v>
      </c>
      <c r="F625" t="s">
        <v>2431</v>
      </c>
      <c r="G625" t="s">
        <v>33</v>
      </c>
      <c r="H625" t="b">
        <v>1</v>
      </c>
      <c r="I625" s="8">
        <v>45960.635520833333</v>
      </c>
      <c r="J625" t="s">
        <v>2380</v>
      </c>
      <c r="L625">
        <v>609819</v>
      </c>
      <c r="M625" t="s">
        <v>2381</v>
      </c>
      <c r="P625" t="s">
        <v>4190</v>
      </c>
      <c r="Q625" t="s">
        <v>2383</v>
      </c>
      <c r="R625">
        <v>1</v>
      </c>
      <c r="S625" t="s">
        <v>2380</v>
      </c>
      <c r="T625" t="s">
        <v>2383</v>
      </c>
      <c r="U625" s="8">
        <v>45954.44390046296</v>
      </c>
      <c r="V625" s="8">
        <v>45960.958333333336</v>
      </c>
      <c r="W625">
        <v>1</v>
      </c>
      <c r="X625">
        <v>4.1916203699999999</v>
      </c>
      <c r="Y625" t="s">
        <v>2433</v>
      </c>
      <c r="Z625" t="s">
        <v>8740</v>
      </c>
      <c r="AA625" t="s">
        <v>4192</v>
      </c>
      <c r="AB625" t="s">
        <v>1278</v>
      </c>
      <c r="AC625" t="s">
        <v>8741</v>
      </c>
      <c r="AD625" t="s">
        <v>2708</v>
      </c>
      <c r="AE625">
        <v>1</v>
      </c>
      <c r="AH625" t="s">
        <v>24</v>
      </c>
      <c r="AI625" s="8">
        <v>45960.632314814815</v>
      </c>
      <c r="AK625" t="s">
        <v>2719</v>
      </c>
      <c r="AL625" t="s">
        <v>2719</v>
      </c>
      <c r="AO625" t="s">
        <v>2408</v>
      </c>
      <c r="AP625" t="s">
        <v>2401</v>
      </c>
    </row>
    <row r="626" spans="1:42">
      <c r="A626" t="s">
        <v>1059</v>
      </c>
      <c r="B626" t="s">
        <v>2377</v>
      </c>
      <c r="C626" t="s">
        <v>2447</v>
      </c>
      <c r="D626" t="s">
        <v>2379</v>
      </c>
      <c r="E626" t="s">
        <v>2416</v>
      </c>
      <c r="F626" t="s">
        <v>2578</v>
      </c>
      <c r="G626" t="s">
        <v>2416</v>
      </c>
      <c r="H626" t="b">
        <v>1</v>
      </c>
      <c r="I626" s="8">
        <v>45960.691967592589</v>
      </c>
      <c r="J626" t="s">
        <v>2380</v>
      </c>
      <c r="L626">
        <v>603409</v>
      </c>
      <c r="M626" t="s">
        <v>2381</v>
      </c>
      <c r="P626" t="s">
        <v>4190</v>
      </c>
      <c r="Q626" t="s">
        <v>2383</v>
      </c>
      <c r="R626">
        <v>1</v>
      </c>
      <c r="S626" t="s">
        <v>2380</v>
      </c>
      <c r="T626" t="s">
        <v>2383</v>
      </c>
      <c r="U626" s="8">
        <v>45954.444618055553</v>
      </c>
      <c r="V626" s="8">
        <v>45960.958333333336</v>
      </c>
      <c r="W626">
        <v>1</v>
      </c>
      <c r="X626">
        <v>4.2473495369999998</v>
      </c>
      <c r="Y626" t="s">
        <v>2579</v>
      </c>
      <c r="Z626" t="s">
        <v>8785</v>
      </c>
      <c r="AA626" t="s">
        <v>7484</v>
      </c>
      <c r="AB626" t="s">
        <v>1278</v>
      </c>
      <c r="AC626" t="s">
        <v>8786</v>
      </c>
      <c r="AD626" t="s">
        <v>2708</v>
      </c>
      <c r="AE626">
        <v>1</v>
      </c>
      <c r="AH626" t="s">
        <v>33</v>
      </c>
      <c r="AI626" s="8">
        <v>45960.654780092591</v>
      </c>
      <c r="AK626" t="s">
        <v>2719</v>
      </c>
      <c r="AL626" t="s">
        <v>2719</v>
      </c>
      <c r="AO626" t="s">
        <v>2957</v>
      </c>
      <c r="AP626" t="s">
        <v>2401</v>
      </c>
    </row>
    <row r="627" spans="1:42">
      <c r="A627" t="s">
        <v>2590</v>
      </c>
      <c r="B627" t="s">
        <v>2377</v>
      </c>
      <c r="C627" t="s">
        <v>2447</v>
      </c>
      <c r="D627" t="s">
        <v>2379</v>
      </c>
      <c r="E627" t="s">
        <v>24</v>
      </c>
      <c r="F627" t="s">
        <v>2588</v>
      </c>
      <c r="G627" t="s">
        <v>24</v>
      </c>
      <c r="H627" t="b">
        <v>1</v>
      </c>
      <c r="I627" s="8">
        <v>45960.5859375</v>
      </c>
      <c r="J627" t="s">
        <v>2380</v>
      </c>
      <c r="L627">
        <v>603959</v>
      </c>
      <c r="M627" t="s">
        <v>2381</v>
      </c>
      <c r="P627" t="s">
        <v>2589</v>
      </c>
      <c r="Q627" t="s">
        <v>2383</v>
      </c>
      <c r="R627">
        <v>1</v>
      </c>
      <c r="S627" t="s">
        <v>2380</v>
      </c>
      <c r="T627" t="s">
        <v>2383</v>
      </c>
      <c r="U627" s="8">
        <v>45954.447280092594</v>
      </c>
      <c r="V627" s="8">
        <v>45960.958333333336</v>
      </c>
      <c r="W627">
        <v>1</v>
      </c>
      <c r="X627">
        <v>4.1386574070000002</v>
      </c>
      <c r="Y627" t="s">
        <v>2579</v>
      </c>
      <c r="Z627" t="s">
        <v>2591</v>
      </c>
      <c r="AA627" t="s">
        <v>2592</v>
      </c>
      <c r="AB627" t="s">
        <v>1278</v>
      </c>
      <c r="AC627" t="s">
        <v>2387</v>
      </c>
      <c r="AE627">
        <v>1</v>
      </c>
      <c r="AO627" t="s">
        <v>2388</v>
      </c>
      <c r="AP627" t="s">
        <v>2401</v>
      </c>
    </row>
    <row r="628" spans="1:42">
      <c r="A628" t="s">
        <v>2593</v>
      </c>
      <c r="B628" t="s">
        <v>2377</v>
      </c>
      <c r="C628" t="s">
        <v>2447</v>
      </c>
      <c r="D628" t="s">
        <v>2379</v>
      </c>
      <c r="E628" t="s">
        <v>24</v>
      </c>
      <c r="F628" t="s">
        <v>2588</v>
      </c>
      <c r="G628" t="s">
        <v>24</v>
      </c>
      <c r="H628" t="b">
        <v>1</v>
      </c>
      <c r="I628" s="8">
        <v>45960.585821759261</v>
      </c>
      <c r="J628" t="s">
        <v>2380</v>
      </c>
      <c r="L628">
        <v>603959</v>
      </c>
      <c r="M628" t="s">
        <v>2381</v>
      </c>
      <c r="P628" t="s">
        <v>2589</v>
      </c>
      <c r="Q628" t="s">
        <v>2383</v>
      </c>
      <c r="R628">
        <v>1</v>
      </c>
      <c r="S628" t="s">
        <v>2380</v>
      </c>
      <c r="T628" t="s">
        <v>2383</v>
      </c>
      <c r="U628" s="8">
        <v>45954.447662037041</v>
      </c>
      <c r="V628" s="8">
        <v>45960.958333333336</v>
      </c>
      <c r="W628">
        <v>1</v>
      </c>
      <c r="X628">
        <v>4.1381597220000002</v>
      </c>
      <c r="Y628" t="s">
        <v>2579</v>
      </c>
      <c r="Z628" t="s">
        <v>2594</v>
      </c>
      <c r="AA628" t="s">
        <v>2592</v>
      </c>
      <c r="AB628" t="s">
        <v>1278</v>
      </c>
      <c r="AC628" t="s">
        <v>2387</v>
      </c>
      <c r="AE628">
        <v>1</v>
      </c>
      <c r="AO628" t="s">
        <v>2388</v>
      </c>
      <c r="AP628" t="s">
        <v>2401</v>
      </c>
    </row>
    <row r="629" spans="1:42">
      <c r="A629" t="s">
        <v>2595</v>
      </c>
      <c r="B629" t="s">
        <v>2377</v>
      </c>
      <c r="C629" t="s">
        <v>2447</v>
      </c>
      <c r="D629" t="s">
        <v>2379</v>
      </c>
      <c r="E629" t="s">
        <v>24</v>
      </c>
      <c r="F629" t="s">
        <v>2588</v>
      </c>
      <c r="G629" t="s">
        <v>24</v>
      </c>
      <c r="H629" t="b">
        <v>1</v>
      </c>
      <c r="I629" s="8">
        <v>45960.586064814815</v>
      </c>
      <c r="J629" t="s">
        <v>2380</v>
      </c>
      <c r="L629">
        <v>603959</v>
      </c>
      <c r="M629" t="s">
        <v>2381</v>
      </c>
      <c r="P629" t="s">
        <v>2589</v>
      </c>
      <c r="Q629" t="s">
        <v>2383</v>
      </c>
      <c r="R629">
        <v>1</v>
      </c>
      <c r="S629" t="s">
        <v>2380</v>
      </c>
      <c r="T629" t="s">
        <v>2383</v>
      </c>
      <c r="U629" s="8">
        <v>45954.448113425926</v>
      </c>
      <c r="V629" s="8">
        <v>45960.958333333336</v>
      </c>
      <c r="W629">
        <v>1</v>
      </c>
      <c r="X629">
        <v>4.1379513890000004</v>
      </c>
      <c r="Y629" t="s">
        <v>2579</v>
      </c>
      <c r="Z629" t="s">
        <v>2596</v>
      </c>
      <c r="AA629" t="s">
        <v>2592</v>
      </c>
      <c r="AB629" t="s">
        <v>1278</v>
      </c>
      <c r="AC629" t="s">
        <v>2387</v>
      </c>
      <c r="AE629">
        <v>1</v>
      </c>
      <c r="AO629" t="s">
        <v>2388</v>
      </c>
      <c r="AP629" t="s">
        <v>2401</v>
      </c>
    </row>
    <row r="630" spans="1:42">
      <c r="A630" t="s">
        <v>2597</v>
      </c>
      <c r="B630" t="s">
        <v>2377</v>
      </c>
      <c r="C630" t="s">
        <v>2447</v>
      </c>
      <c r="D630" t="s">
        <v>2379</v>
      </c>
      <c r="E630" t="s">
        <v>24</v>
      </c>
      <c r="F630" t="s">
        <v>2588</v>
      </c>
      <c r="G630" t="s">
        <v>24</v>
      </c>
      <c r="H630" t="b">
        <v>1</v>
      </c>
      <c r="I630" s="8">
        <v>45960.585763888892</v>
      </c>
      <c r="J630" t="s">
        <v>2380</v>
      </c>
      <c r="L630">
        <v>603959</v>
      </c>
      <c r="M630" t="s">
        <v>2381</v>
      </c>
      <c r="P630" t="s">
        <v>2589</v>
      </c>
      <c r="Q630" t="s">
        <v>2383</v>
      </c>
      <c r="R630">
        <v>1</v>
      </c>
      <c r="S630" t="s">
        <v>2380</v>
      </c>
      <c r="T630" t="s">
        <v>2383</v>
      </c>
      <c r="U630" s="8">
        <v>45954.448506944442</v>
      </c>
      <c r="V630" s="8">
        <v>45960.958333333336</v>
      </c>
      <c r="W630">
        <v>1</v>
      </c>
      <c r="X630">
        <v>4.1372569439999998</v>
      </c>
      <c r="Y630" t="s">
        <v>2579</v>
      </c>
      <c r="Z630" t="s">
        <v>2598</v>
      </c>
      <c r="AA630" t="s">
        <v>2592</v>
      </c>
      <c r="AB630" t="s">
        <v>1278</v>
      </c>
      <c r="AC630" t="s">
        <v>2387</v>
      </c>
      <c r="AE630">
        <v>1</v>
      </c>
      <c r="AO630" t="s">
        <v>2388</v>
      </c>
      <c r="AP630" t="s">
        <v>2401</v>
      </c>
    </row>
    <row r="631" spans="1:42">
      <c r="A631" t="s">
        <v>615</v>
      </c>
      <c r="B631" t="s">
        <v>2377</v>
      </c>
      <c r="C631" t="s">
        <v>2447</v>
      </c>
      <c r="D631" t="s">
        <v>2379</v>
      </c>
      <c r="E631" t="s">
        <v>33</v>
      </c>
      <c r="F631" t="s">
        <v>2578</v>
      </c>
      <c r="G631" t="s">
        <v>33</v>
      </c>
      <c r="H631" t="b">
        <v>1</v>
      </c>
      <c r="I631" s="8">
        <v>45960.619074074071</v>
      </c>
      <c r="J631" t="s">
        <v>2380</v>
      </c>
      <c r="L631">
        <v>601564</v>
      </c>
      <c r="M631" t="s">
        <v>2381</v>
      </c>
      <c r="P631" t="s">
        <v>4774</v>
      </c>
      <c r="Q631" t="s">
        <v>2383</v>
      </c>
      <c r="R631">
        <v>1</v>
      </c>
      <c r="S631" t="s">
        <v>2380</v>
      </c>
      <c r="T631" t="s">
        <v>2383</v>
      </c>
      <c r="U631" s="8">
        <v>45954.465763888889</v>
      </c>
      <c r="V631" s="8">
        <v>45960.958333333336</v>
      </c>
      <c r="W631">
        <v>1</v>
      </c>
      <c r="X631">
        <v>4.1533101849999996</v>
      </c>
      <c r="Y631" t="s">
        <v>2579</v>
      </c>
      <c r="Z631" t="s">
        <v>8880</v>
      </c>
      <c r="AA631" t="s">
        <v>4777</v>
      </c>
      <c r="AB631" t="s">
        <v>1278</v>
      </c>
      <c r="AC631" t="s">
        <v>2746</v>
      </c>
      <c r="AD631" t="s">
        <v>2708</v>
      </c>
      <c r="AE631">
        <v>1</v>
      </c>
      <c r="AF631">
        <v>2</v>
      </c>
      <c r="AH631" t="s">
        <v>2723</v>
      </c>
      <c r="AI631" s="8">
        <v>45960.617812500001</v>
      </c>
      <c r="AK631" t="s">
        <v>2719</v>
      </c>
      <c r="AL631" t="s">
        <v>2724</v>
      </c>
      <c r="AO631" t="s">
        <v>2957</v>
      </c>
      <c r="AP631" t="s">
        <v>2401</v>
      </c>
    </row>
    <row r="632" spans="1:42">
      <c r="A632" t="s">
        <v>689</v>
      </c>
      <c r="B632" t="s">
        <v>2377</v>
      </c>
      <c r="C632" t="s">
        <v>2447</v>
      </c>
      <c r="D632" t="s">
        <v>2379</v>
      </c>
      <c r="E632" t="s">
        <v>28</v>
      </c>
      <c r="F632" t="s">
        <v>2402</v>
      </c>
      <c r="G632" t="s">
        <v>28</v>
      </c>
      <c r="H632" t="b">
        <v>1</v>
      </c>
      <c r="I632" s="8">
        <v>45960.486122685186</v>
      </c>
      <c r="J632" t="s">
        <v>2380</v>
      </c>
      <c r="L632">
        <v>602471</v>
      </c>
      <c r="M632" t="s">
        <v>2381</v>
      </c>
      <c r="N632">
        <v>15</v>
      </c>
      <c r="P632" t="s">
        <v>4117</v>
      </c>
      <c r="Q632" t="s">
        <v>2383</v>
      </c>
      <c r="R632">
        <v>1</v>
      </c>
      <c r="S632" t="s">
        <v>2380</v>
      </c>
      <c r="T632" t="s">
        <v>2383</v>
      </c>
      <c r="U632" s="8">
        <v>45954.482453703706</v>
      </c>
      <c r="V632" s="8">
        <v>45960.958333333336</v>
      </c>
      <c r="W632">
        <v>1</v>
      </c>
      <c r="X632">
        <v>4.0036689809999997</v>
      </c>
      <c r="Y632" t="s">
        <v>2403</v>
      </c>
      <c r="Z632" t="s">
        <v>8425</v>
      </c>
      <c r="AA632" t="s">
        <v>4120</v>
      </c>
      <c r="AB632" t="s">
        <v>1278</v>
      </c>
      <c r="AC632" t="s">
        <v>3066</v>
      </c>
      <c r="AD632" t="s">
        <v>2708</v>
      </c>
      <c r="AE632">
        <v>1</v>
      </c>
      <c r="AO632" t="s">
        <v>4121</v>
      </c>
      <c r="AP632" t="s">
        <v>2401</v>
      </c>
    </row>
    <row r="633" spans="1:42">
      <c r="A633" t="s">
        <v>1121</v>
      </c>
      <c r="B633" t="s">
        <v>2377</v>
      </c>
      <c r="C633" t="s">
        <v>2447</v>
      </c>
      <c r="D633" t="s">
        <v>2379</v>
      </c>
      <c r="E633" t="s">
        <v>33</v>
      </c>
      <c r="F633" t="s">
        <v>3891</v>
      </c>
      <c r="G633" t="s">
        <v>33</v>
      </c>
      <c r="H633" t="b">
        <v>1</v>
      </c>
      <c r="I633" s="8">
        <v>45960.63559027778</v>
      </c>
      <c r="J633" t="s">
        <v>2380</v>
      </c>
      <c r="L633">
        <v>603640</v>
      </c>
      <c r="M633" t="s">
        <v>2381</v>
      </c>
      <c r="P633" t="s">
        <v>2704</v>
      </c>
      <c r="Q633" t="s">
        <v>2383</v>
      </c>
      <c r="R633">
        <v>1</v>
      </c>
      <c r="S633" t="s">
        <v>2380</v>
      </c>
      <c r="T633" t="s">
        <v>2383</v>
      </c>
      <c r="U633" s="8">
        <v>45954.483032407406</v>
      </c>
      <c r="V633" s="8">
        <v>45960.958333333336</v>
      </c>
      <c r="W633">
        <v>1</v>
      </c>
      <c r="X633">
        <v>4.1525578699999999</v>
      </c>
      <c r="Y633" t="s">
        <v>3892</v>
      </c>
      <c r="Z633" t="s">
        <v>8850</v>
      </c>
      <c r="AA633" t="s">
        <v>4926</v>
      </c>
      <c r="AB633" t="s">
        <v>1278</v>
      </c>
      <c r="AC633" t="s">
        <v>2746</v>
      </c>
      <c r="AD633" t="s">
        <v>2708</v>
      </c>
      <c r="AE633">
        <v>1</v>
      </c>
      <c r="AH633" t="s">
        <v>24</v>
      </c>
      <c r="AI633" s="8">
        <v>45960.6328587963</v>
      </c>
      <c r="AK633" t="s">
        <v>2719</v>
      </c>
      <c r="AL633" t="s">
        <v>2719</v>
      </c>
      <c r="AO633" t="s">
        <v>2715</v>
      </c>
      <c r="AP633" t="s">
        <v>2401</v>
      </c>
    </row>
    <row r="634" spans="1:42">
      <c r="A634" t="s">
        <v>1062</v>
      </c>
      <c r="B634" t="s">
        <v>2377</v>
      </c>
      <c r="C634" t="s">
        <v>2447</v>
      </c>
      <c r="D634" t="s">
        <v>2379</v>
      </c>
      <c r="E634" t="s">
        <v>18</v>
      </c>
      <c r="F634" t="s">
        <v>2588</v>
      </c>
      <c r="G634" t="s">
        <v>2416</v>
      </c>
      <c r="H634" t="b">
        <v>1</v>
      </c>
      <c r="I634" s="8">
        <v>45960.499826388892</v>
      </c>
      <c r="J634" t="s">
        <v>2380</v>
      </c>
      <c r="L634">
        <v>606834</v>
      </c>
      <c r="M634" t="s">
        <v>2381</v>
      </c>
      <c r="P634" t="s">
        <v>4404</v>
      </c>
      <c r="Q634" t="s">
        <v>2383</v>
      </c>
      <c r="R634">
        <v>1</v>
      </c>
      <c r="S634" t="s">
        <v>2380</v>
      </c>
      <c r="T634" t="s">
        <v>2383</v>
      </c>
      <c r="U634" s="8">
        <v>45954.493032407408</v>
      </c>
      <c r="V634" s="8">
        <v>45960.958333333336</v>
      </c>
      <c r="W634">
        <v>1</v>
      </c>
      <c r="X634">
        <v>4.0067939810000004</v>
      </c>
      <c r="Y634" t="s">
        <v>2579</v>
      </c>
      <c r="Z634" t="s">
        <v>4407</v>
      </c>
      <c r="AA634" t="s">
        <v>2164</v>
      </c>
      <c r="AB634" t="s">
        <v>1278</v>
      </c>
      <c r="AC634" t="s">
        <v>4408</v>
      </c>
      <c r="AD634" t="s">
        <v>2708</v>
      </c>
      <c r="AE634">
        <v>1</v>
      </c>
      <c r="AO634" t="s">
        <v>2388</v>
      </c>
      <c r="AP634" t="s">
        <v>2401</v>
      </c>
    </row>
    <row r="635" spans="1:42">
      <c r="A635" t="s">
        <v>1189</v>
      </c>
      <c r="B635" t="s">
        <v>2377</v>
      </c>
      <c r="C635" t="s">
        <v>2447</v>
      </c>
      <c r="D635" t="s">
        <v>2379</v>
      </c>
      <c r="E635" t="s">
        <v>33</v>
      </c>
      <c r="F635" t="s">
        <v>3747</v>
      </c>
      <c r="G635" t="s">
        <v>33</v>
      </c>
      <c r="H635" t="b">
        <v>1</v>
      </c>
      <c r="I635" s="8">
        <v>45960.620243055557</v>
      </c>
      <c r="J635" t="s">
        <v>2380</v>
      </c>
      <c r="L635">
        <v>609906</v>
      </c>
      <c r="M635" t="s">
        <v>2381</v>
      </c>
      <c r="P635" t="s">
        <v>8736</v>
      </c>
      <c r="Q635" t="s">
        <v>2383</v>
      </c>
      <c r="R635">
        <v>1</v>
      </c>
      <c r="S635" t="s">
        <v>2380</v>
      </c>
      <c r="T635" t="s">
        <v>2383</v>
      </c>
      <c r="U635" s="8">
        <v>45954.495879629627</v>
      </c>
      <c r="V635" s="8">
        <v>45960.958333333336</v>
      </c>
      <c r="W635">
        <v>1</v>
      </c>
      <c r="X635">
        <v>4.1243634260000004</v>
      </c>
      <c r="Y635" t="s">
        <v>3748</v>
      </c>
      <c r="Z635" t="s">
        <v>8737</v>
      </c>
      <c r="AA635" t="s">
        <v>2307</v>
      </c>
      <c r="AB635" t="s">
        <v>1278</v>
      </c>
      <c r="AC635" t="s">
        <v>8738</v>
      </c>
      <c r="AD635" t="s">
        <v>2708</v>
      </c>
      <c r="AE635">
        <v>1</v>
      </c>
      <c r="AF635">
        <v>2</v>
      </c>
      <c r="AH635" t="s">
        <v>2723</v>
      </c>
      <c r="AI635" s="8">
        <v>45960.619131944448</v>
      </c>
      <c r="AK635" t="s">
        <v>2719</v>
      </c>
      <c r="AL635" t="s">
        <v>8735</v>
      </c>
      <c r="AO635" t="s">
        <v>2712</v>
      </c>
      <c r="AP635" t="s">
        <v>2401</v>
      </c>
    </row>
    <row r="636" spans="1:42">
      <c r="A636" t="s">
        <v>8684</v>
      </c>
      <c r="B636" t="s">
        <v>2389</v>
      </c>
      <c r="C636" t="s">
        <v>2378</v>
      </c>
      <c r="D636" t="s">
        <v>2379</v>
      </c>
      <c r="E636" t="s">
        <v>2601</v>
      </c>
      <c r="F636" t="s">
        <v>4897</v>
      </c>
      <c r="G636" t="s">
        <v>2601</v>
      </c>
      <c r="H636" t="b">
        <v>1</v>
      </c>
      <c r="I636" s="8">
        <v>45960.388333333336</v>
      </c>
      <c r="J636" t="s">
        <v>2380</v>
      </c>
      <c r="K636">
        <v>1205694</v>
      </c>
      <c r="L636">
        <v>603929</v>
      </c>
      <c r="M636" t="s">
        <v>2381</v>
      </c>
      <c r="P636" t="s">
        <v>2670</v>
      </c>
      <c r="Q636" t="s">
        <v>2383</v>
      </c>
      <c r="R636">
        <v>1</v>
      </c>
      <c r="S636" t="s">
        <v>2380</v>
      </c>
      <c r="T636" t="s">
        <v>2383</v>
      </c>
      <c r="U636" s="8">
        <v>45954.503229166665</v>
      </c>
      <c r="V636" s="8">
        <v>45960.958333333336</v>
      </c>
      <c r="W636">
        <v>1</v>
      </c>
      <c r="X636">
        <v>3.8851041670000002</v>
      </c>
      <c r="Y636" t="s">
        <v>4898</v>
      </c>
      <c r="Z636" t="s">
        <v>8685</v>
      </c>
      <c r="AA636" t="s">
        <v>5025</v>
      </c>
      <c r="AB636" t="s">
        <v>1278</v>
      </c>
      <c r="AC636" t="s">
        <v>8686</v>
      </c>
      <c r="AD636" t="s">
        <v>2708</v>
      </c>
      <c r="AE636">
        <v>1</v>
      </c>
      <c r="AO636" t="s">
        <v>2715</v>
      </c>
      <c r="AP636" t="s">
        <v>2401</v>
      </c>
    </row>
    <row r="637" spans="1:42">
      <c r="A637" t="s">
        <v>10232</v>
      </c>
      <c r="B637" t="s">
        <v>2377</v>
      </c>
      <c r="C637" t="s">
        <v>2447</v>
      </c>
      <c r="D637" t="s">
        <v>2379</v>
      </c>
      <c r="E637" t="s">
        <v>33</v>
      </c>
      <c r="F637" t="s">
        <v>3339</v>
      </c>
      <c r="G637" t="s">
        <v>33</v>
      </c>
      <c r="H637" t="b">
        <v>1</v>
      </c>
      <c r="I637" s="8">
        <v>45960.619016203702</v>
      </c>
      <c r="J637" t="s">
        <v>2380</v>
      </c>
      <c r="L637">
        <v>603025</v>
      </c>
      <c r="M637" t="s">
        <v>2381</v>
      </c>
      <c r="P637" t="s">
        <v>4617</v>
      </c>
      <c r="Q637" t="s">
        <v>2383</v>
      </c>
      <c r="R637">
        <v>1</v>
      </c>
      <c r="S637" t="s">
        <v>2380</v>
      </c>
      <c r="T637" t="s">
        <v>2383</v>
      </c>
      <c r="U637" s="8">
        <v>45954.506967592592</v>
      </c>
      <c r="V637" s="8">
        <v>45960.958333333336</v>
      </c>
      <c r="W637">
        <v>1</v>
      </c>
      <c r="X637">
        <v>4.1120486109999996</v>
      </c>
      <c r="Y637" t="s">
        <v>3340</v>
      </c>
      <c r="Z637" t="s">
        <v>10233</v>
      </c>
      <c r="AA637" t="s">
        <v>4619</v>
      </c>
      <c r="AB637" t="s">
        <v>1278</v>
      </c>
      <c r="AC637" t="s">
        <v>10234</v>
      </c>
      <c r="AE637">
        <v>1</v>
      </c>
      <c r="AF637">
        <v>2</v>
      </c>
      <c r="AH637" t="s">
        <v>2723</v>
      </c>
      <c r="AI637" s="8">
        <v>45960.617326388892</v>
      </c>
      <c r="AK637" t="s">
        <v>2719</v>
      </c>
      <c r="AL637" t="s">
        <v>2724</v>
      </c>
      <c r="AO637" t="s">
        <v>2957</v>
      </c>
      <c r="AP637" t="s">
        <v>2401</v>
      </c>
    </row>
    <row r="638" spans="1:42">
      <c r="A638" t="s">
        <v>611</v>
      </c>
      <c r="B638" t="s">
        <v>2377</v>
      </c>
      <c r="C638" t="s">
        <v>2447</v>
      </c>
      <c r="D638" t="s">
        <v>2379</v>
      </c>
      <c r="E638" t="s">
        <v>33</v>
      </c>
      <c r="F638" t="s">
        <v>2588</v>
      </c>
      <c r="G638" t="s">
        <v>33</v>
      </c>
      <c r="H638" t="b">
        <v>1</v>
      </c>
      <c r="I638" s="8">
        <v>45960.627835648149</v>
      </c>
      <c r="J638" t="s">
        <v>2380</v>
      </c>
      <c r="L638">
        <v>603756</v>
      </c>
      <c r="M638" t="s">
        <v>2381</v>
      </c>
      <c r="P638" t="s">
        <v>8955</v>
      </c>
      <c r="Q638" t="s">
        <v>2383</v>
      </c>
      <c r="R638">
        <v>1</v>
      </c>
      <c r="S638" t="s">
        <v>2380</v>
      </c>
      <c r="T638" t="s">
        <v>2383</v>
      </c>
      <c r="U638" s="8">
        <v>45954.519062500003</v>
      </c>
      <c r="V638" s="8">
        <v>45960.958333333336</v>
      </c>
      <c r="W638">
        <v>1</v>
      </c>
      <c r="X638">
        <v>4.108773148</v>
      </c>
      <c r="Y638" t="s">
        <v>2579</v>
      </c>
      <c r="Z638" t="s">
        <v>8956</v>
      </c>
      <c r="AA638" t="s">
        <v>1290</v>
      </c>
      <c r="AB638" t="s">
        <v>1278</v>
      </c>
      <c r="AC638" t="s">
        <v>8957</v>
      </c>
      <c r="AD638" t="s">
        <v>2708</v>
      </c>
      <c r="AE638">
        <v>1</v>
      </c>
      <c r="AF638">
        <v>2</v>
      </c>
      <c r="AH638" t="s">
        <v>2723</v>
      </c>
      <c r="AI638" s="8">
        <v>45960.624467592592</v>
      </c>
      <c r="AK638" t="s">
        <v>2719</v>
      </c>
      <c r="AL638" t="s">
        <v>2724</v>
      </c>
      <c r="AO638" t="s">
        <v>3644</v>
      </c>
      <c r="AP638" t="s">
        <v>8931</v>
      </c>
    </row>
    <row r="639" spans="1:42">
      <c r="A639" t="s">
        <v>1087</v>
      </c>
      <c r="B639" t="s">
        <v>2377</v>
      </c>
      <c r="C639" t="s">
        <v>2447</v>
      </c>
      <c r="D639" t="s">
        <v>2379</v>
      </c>
      <c r="E639" t="s">
        <v>33</v>
      </c>
      <c r="F639" t="s">
        <v>3539</v>
      </c>
      <c r="G639" t="s">
        <v>33</v>
      </c>
      <c r="H639" t="b">
        <v>1</v>
      </c>
      <c r="I639" s="8">
        <v>45960.620185185187</v>
      </c>
      <c r="J639" t="s">
        <v>2380</v>
      </c>
      <c r="L639">
        <v>605105</v>
      </c>
      <c r="M639" t="s">
        <v>2381</v>
      </c>
      <c r="P639" t="s">
        <v>3540</v>
      </c>
      <c r="Q639" t="s">
        <v>2383</v>
      </c>
      <c r="R639">
        <v>1</v>
      </c>
      <c r="S639" t="s">
        <v>2380</v>
      </c>
      <c r="T639" t="s">
        <v>2383</v>
      </c>
      <c r="U639" s="8">
        <v>45954.526273148149</v>
      </c>
      <c r="V639" s="8">
        <v>45960.958333333336</v>
      </c>
      <c r="W639">
        <v>1</v>
      </c>
      <c r="X639">
        <v>4.0939120369999999</v>
      </c>
      <c r="Y639" t="s">
        <v>3521</v>
      </c>
      <c r="Z639" t="s">
        <v>8884</v>
      </c>
      <c r="AA639" t="s">
        <v>7763</v>
      </c>
      <c r="AB639" t="s">
        <v>1278</v>
      </c>
      <c r="AC639" t="s">
        <v>8885</v>
      </c>
      <c r="AD639" t="s">
        <v>2708</v>
      </c>
      <c r="AE639">
        <v>1</v>
      </c>
      <c r="AF639">
        <v>2</v>
      </c>
      <c r="AH639" t="s">
        <v>2723</v>
      </c>
      <c r="AI639" s="8">
        <v>45960.618680555555</v>
      </c>
      <c r="AK639" t="s">
        <v>2719</v>
      </c>
      <c r="AL639" t="s">
        <v>2724</v>
      </c>
      <c r="AO639" t="s">
        <v>2957</v>
      </c>
      <c r="AP639" t="s">
        <v>2401</v>
      </c>
    </row>
    <row r="640" spans="1:42">
      <c r="A640" t="s">
        <v>683</v>
      </c>
      <c r="B640" t="s">
        <v>2377</v>
      </c>
      <c r="C640" t="s">
        <v>2447</v>
      </c>
      <c r="D640" t="s">
        <v>2379</v>
      </c>
      <c r="E640" t="s">
        <v>33</v>
      </c>
      <c r="F640" t="s">
        <v>2578</v>
      </c>
      <c r="G640" t="s">
        <v>33</v>
      </c>
      <c r="H640" t="b">
        <v>1</v>
      </c>
      <c r="I640" s="8">
        <v>45960.624664351853</v>
      </c>
      <c r="J640" t="s">
        <v>2380</v>
      </c>
      <c r="L640">
        <v>601544</v>
      </c>
      <c r="M640" t="s">
        <v>2381</v>
      </c>
      <c r="P640" t="s">
        <v>3270</v>
      </c>
      <c r="Q640" t="s">
        <v>2383</v>
      </c>
      <c r="R640">
        <v>1</v>
      </c>
      <c r="S640" t="s">
        <v>2380</v>
      </c>
      <c r="T640" t="s">
        <v>2383</v>
      </c>
      <c r="U640" s="8">
        <v>45954.54482638889</v>
      </c>
      <c r="V640" s="8">
        <v>45960.958333333336</v>
      </c>
      <c r="W640">
        <v>1</v>
      </c>
      <c r="X640">
        <v>4.0798379630000001</v>
      </c>
      <c r="Y640" t="s">
        <v>2579</v>
      </c>
      <c r="Z640" t="s">
        <v>8876</v>
      </c>
      <c r="AA640" t="s">
        <v>3272</v>
      </c>
      <c r="AB640" t="s">
        <v>1278</v>
      </c>
      <c r="AC640" t="s">
        <v>2387</v>
      </c>
      <c r="AD640" t="s">
        <v>2708</v>
      </c>
      <c r="AE640">
        <v>1</v>
      </c>
      <c r="AF640">
        <v>2</v>
      </c>
      <c r="AH640" t="s">
        <v>2723</v>
      </c>
      <c r="AI640" s="8">
        <v>45960.621793981481</v>
      </c>
      <c r="AK640" t="s">
        <v>2719</v>
      </c>
      <c r="AL640" t="s">
        <v>2724</v>
      </c>
      <c r="AO640" t="s">
        <v>2388</v>
      </c>
      <c r="AP640" t="s">
        <v>2401</v>
      </c>
    </row>
    <row r="641" spans="1:42">
      <c r="A641" t="s">
        <v>289</v>
      </c>
      <c r="B641" t="s">
        <v>2377</v>
      </c>
      <c r="C641" t="s">
        <v>2378</v>
      </c>
      <c r="D641" t="s">
        <v>2379</v>
      </c>
      <c r="E641" t="s">
        <v>28</v>
      </c>
      <c r="F641" t="s">
        <v>2578</v>
      </c>
      <c r="G641" t="s">
        <v>28</v>
      </c>
      <c r="H641" t="b">
        <v>1</v>
      </c>
      <c r="I641" s="8">
        <v>45959.65388888889</v>
      </c>
      <c r="J641" t="s">
        <v>2380</v>
      </c>
      <c r="L641">
        <v>606719</v>
      </c>
      <c r="M641" t="s">
        <v>2381</v>
      </c>
      <c r="N641">
        <v>15</v>
      </c>
      <c r="P641" t="s">
        <v>4543</v>
      </c>
      <c r="Q641" t="s">
        <v>2383</v>
      </c>
      <c r="R641">
        <v>1</v>
      </c>
      <c r="S641" t="s">
        <v>2380</v>
      </c>
      <c r="T641" t="s">
        <v>2383</v>
      </c>
      <c r="U641" s="8">
        <v>45954.550787037035</v>
      </c>
      <c r="V641" s="8">
        <v>45960.958333333336</v>
      </c>
      <c r="W641">
        <v>1</v>
      </c>
      <c r="X641">
        <v>3.103101852</v>
      </c>
      <c r="Y641" t="s">
        <v>2579</v>
      </c>
      <c r="Z641" t="s">
        <v>4544</v>
      </c>
      <c r="AA641" t="s">
        <v>4545</v>
      </c>
      <c r="AB641" t="s">
        <v>1278</v>
      </c>
      <c r="AC641" t="s">
        <v>4546</v>
      </c>
      <c r="AD641" t="s">
        <v>2708</v>
      </c>
      <c r="AE641">
        <v>1</v>
      </c>
      <c r="AO641" t="s">
        <v>2388</v>
      </c>
      <c r="AP641" t="s">
        <v>2401</v>
      </c>
    </row>
    <row r="642" spans="1:42">
      <c r="A642" t="s">
        <v>300</v>
      </c>
      <c r="B642" t="s">
        <v>2377</v>
      </c>
      <c r="C642" t="s">
        <v>2378</v>
      </c>
      <c r="D642" t="s">
        <v>2379</v>
      </c>
      <c r="E642" t="s">
        <v>18</v>
      </c>
      <c r="F642" t="s">
        <v>2588</v>
      </c>
      <c r="G642" t="s">
        <v>2416</v>
      </c>
      <c r="H642" t="b">
        <v>1</v>
      </c>
      <c r="I642" s="8">
        <v>45959.744317129633</v>
      </c>
      <c r="J642" t="s">
        <v>2380</v>
      </c>
      <c r="L642">
        <v>603148</v>
      </c>
      <c r="M642" t="s">
        <v>2381</v>
      </c>
      <c r="P642" t="s">
        <v>3270</v>
      </c>
      <c r="Q642" t="s">
        <v>2383</v>
      </c>
      <c r="R642">
        <v>1</v>
      </c>
      <c r="S642" t="s">
        <v>2380</v>
      </c>
      <c r="T642" t="s">
        <v>2383</v>
      </c>
      <c r="U642" s="8">
        <v>45954.555300925924</v>
      </c>
      <c r="V642" s="8">
        <v>45960.958333333336</v>
      </c>
      <c r="W642">
        <v>1</v>
      </c>
      <c r="X642">
        <v>3.1890162040000001</v>
      </c>
      <c r="Y642" t="s">
        <v>2579</v>
      </c>
      <c r="Z642" t="s">
        <v>4401</v>
      </c>
      <c r="AA642" t="s">
        <v>4402</v>
      </c>
      <c r="AB642" t="s">
        <v>1278</v>
      </c>
      <c r="AC642" t="s">
        <v>4403</v>
      </c>
      <c r="AD642" t="s">
        <v>2708</v>
      </c>
      <c r="AE642">
        <v>1</v>
      </c>
      <c r="AO642" t="s">
        <v>2388</v>
      </c>
      <c r="AP642" t="s">
        <v>2401</v>
      </c>
    </row>
    <row r="643" spans="1:42">
      <c r="A643" t="s">
        <v>267</v>
      </c>
      <c r="B643" t="s">
        <v>2377</v>
      </c>
      <c r="C643" t="s">
        <v>2447</v>
      </c>
      <c r="D643" t="s">
        <v>2379</v>
      </c>
      <c r="E643" t="s">
        <v>33</v>
      </c>
      <c r="F643" t="s">
        <v>2588</v>
      </c>
      <c r="G643" t="s">
        <v>33</v>
      </c>
      <c r="H643" t="b">
        <v>1</v>
      </c>
      <c r="I643" s="8">
        <v>45960.639907407407</v>
      </c>
      <c r="J643" t="s">
        <v>2380</v>
      </c>
      <c r="L643">
        <v>603990</v>
      </c>
      <c r="M643" t="s">
        <v>2381</v>
      </c>
      <c r="P643" t="s">
        <v>8802</v>
      </c>
      <c r="Q643" t="s">
        <v>2383</v>
      </c>
      <c r="R643">
        <v>1</v>
      </c>
      <c r="S643" t="s">
        <v>2380</v>
      </c>
      <c r="T643" t="s">
        <v>2383</v>
      </c>
      <c r="U643" s="8">
        <v>45954.561053240737</v>
      </c>
      <c r="V643" s="8">
        <v>45960.958333333336</v>
      </c>
      <c r="W643">
        <v>1</v>
      </c>
      <c r="X643">
        <v>4.0788541670000003</v>
      </c>
      <c r="Y643" t="s">
        <v>2579</v>
      </c>
      <c r="Z643" t="s">
        <v>8907</v>
      </c>
      <c r="AA643" t="s">
        <v>8908</v>
      </c>
      <c r="AB643" t="s">
        <v>1278</v>
      </c>
      <c r="AC643" t="s">
        <v>2387</v>
      </c>
      <c r="AD643" t="s">
        <v>2708</v>
      </c>
      <c r="AE643">
        <v>1</v>
      </c>
      <c r="AF643">
        <v>2</v>
      </c>
      <c r="AH643" t="s">
        <v>2723</v>
      </c>
      <c r="AI643" s="8">
        <v>45960.637048611112</v>
      </c>
      <c r="AK643" t="s">
        <v>2719</v>
      </c>
      <c r="AL643" t="s">
        <v>2724</v>
      </c>
      <c r="AO643" t="s">
        <v>3644</v>
      </c>
      <c r="AP643" t="s">
        <v>2401</v>
      </c>
    </row>
    <row r="644" spans="1:42">
      <c r="A644" t="s">
        <v>265</v>
      </c>
      <c r="B644" t="s">
        <v>2377</v>
      </c>
      <c r="C644" t="s">
        <v>2447</v>
      </c>
      <c r="D644" t="s">
        <v>2379</v>
      </c>
      <c r="E644" t="s">
        <v>33</v>
      </c>
      <c r="F644" t="s">
        <v>2588</v>
      </c>
      <c r="G644" t="s">
        <v>33</v>
      </c>
      <c r="H644" t="b">
        <v>1</v>
      </c>
      <c r="I644" s="8">
        <v>45960.635462962964</v>
      </c>
      <c r="J644" t="s">
        <v>2380</v>
      </c>
      <c r="L644">
        <v>602197</v>
      </c>
      <c r="M644" t="s">
        <v>2381</v>
      </c>
      <c r="P644" t="s">
        <v>8802</v>
      </c>
      <c r="Q644" t="s">
        <v>2383</v>
      </c>
      <c r="R644">
        <v>1</v>
      </c>
      <c r="S644" t="s">
        <v>2380</v>
      </c>
      <c r="T644" t="s">
        <v>2383</v>
      </c>
      <c r="U644" s="8">
        <v>45954.562881944446</v>
      </c>
      <c r="V644" s="8">
        <v>45960.958333333336</v>
      </c>
      <c r="W644">
        <v>1</v>
      </c>
      <c r="X644">
        <v>4.0725810190000002</v>
      </c>
      <c r="Y644" t="s">
        <v>2579</v>
      </c>
      <c r="Z644" t="s">
        <v>8803</v>
      </c>
      <c r="AA644" t="s">
        <v>8804</v>
      </c>
      <c r="AB644" t="s">
        <v>1278</v>
      </c>
      <c r="AC644" t="s">
        <v>2387</v>
      </c>
      <c r="AD644" t="s">
        <v>2708</v>
      </c>
      <c r="AE644">
        <v>1</v>
      </c>
      <c r="AH644" t="s">
        <v>24</v>
      </c>
      <c r="AI644" s="8">
        <v>45960.633587962962</v>
      </c>
      <c r="AK644" t="s">
        <v>2719</v>
      </c>
      <c r="AL644" t="s">
        <v>2719</v>
      </c>
      <c r="AO644" t="s">
        <v>3644</v>
      </c>
      <c r="AP644" t="s">
        <v>2401</v>
      </c>
    </row>
    <row r="645" spans="1:42">
      <c r="A645" t="s">
        <v>303</v>
      </c>
      <c r="B645" t="s">
        <v>2377</v>
      </c>
      <c r="C645" t="s">
        <v>2447</v>
      </c>
      <c r="D645" t="s">
        <v>2379</v>
      </c>
      <c r="E645" t="s">
        <v>33</v>
      </c>
      <c r="F645" t="s">
        <v>2417</v>
      </c>
      <c r="G645" t="s">
        <v>33</v>
      </c>
      <c r="H645" t="b">
        <v>1</v>
      </c>
      <c r="I645" s="8">
        <v>45960.624606481484</v>
      </c>
      <c r="J645" t="s">
        <v>2380</v>
      </c>
      <c r="L645">
        <v>603439</v>
      </c>
      <c r="M645" t="s">
        <v>2381</v>
      </c>
      <c r="P645" t="s">
        <v>8888</v>
      </c>
      <c r="Q645" t="s">
        <v>2383</v>
      </c>
      <c r="R645">
        <v>1</v>
      </c>
      <c r="S645" t="s">
        <v>2380</v>
      </c>
      <c r="T645" t="s">
        <v>2383</v>
      </c>
      <c r="U645" s="8">
        <v>45954.563402777778</v>
      </c>
      <c r="V645" s="8">
        <v>45960.958333333336</v>
      </c>
      <c r="W645">
        <v>1</v>
      </c>
      <c r="X645">
        <v>4.0612037040000004</v>
      </c>
      <c r="Y645" t="s">
        <v>2418</v>
      </c>
      <c r="Z645" t="s">
        <v>8889</v>
      </c>
      <c r="AA645" t="s">
        <v>8890</v>
      </c>
      <c r="AB645" t="s">
        <v>1278</v>
      </c>
      <c r="AC645" t="s">
        <v>2387</v>
      </c>
      <c r="AD645" t="s">
        <v>2708</v>
      </c>
      <c r="AE645">
        <v>1</v>
      </c>
      <c r="AF645">
        <v>2</v>
      </c>
      <c r="AH645" t="s">
        <v>2723</v>
      </c>
      <c r="AI645" s="8">
        <v>45960.623506944445</v>
      </c>
      <c r="AK645" t="s">
        <v>2719</v>
      </c>
      <c r="AL645" t="s">
        <v>2724</v>
      </c>
      <c r="AO645" t="s">
        <v>4121</v>
      </c>
      <c r="AP645" t="s">
        <v>2401</v>
      </c>
    </row>
    <row r="646" spans="1:42">
      <c r="A646" t="s">
        <v>678</v>
      </c>
      <c r="B646" t="s">
        <v>2377</v>
      </c>
      <c r="C646" t="s">
        <v>2447</v>
      </c>
      <c r="D646" t="s">
        <v>2379</v>
      </c>
      <c r="E646" t="s">
        <v>33</v>
      </c>
      <c r="F646" t="s">
        <v>2578</v>
      </c>
      <c r="G646" t="s">
        <v>33</v>
      </c>
      <c r="H646" t="b">
        <v>1</v>
      </c>
      <c r="I646" s="8">
        <v>45960.639849537038</v>
      </c>
      <c r="J646" t="s">
        <v>2380</v>
      </c>
      <c r="L646">
        <v>602833</v>
      </c>
      <c r="M646" t="s">
        <v>2381</v>
      </c>
      <c r="P646" t="s">
        <v>6557</v>
      </c>
      <c r="Q646" t="s">
        <v>2383</v>
      </c>
      <c r="R646">
        <v>1</v>
      </c>
      <c r="S646" t="s">
        <v>2380</v>
      </c>
      <c r="T646" t="s">
        <v>2383</v>
      </c>
      <c r="U646" s="8">
        <v>45954.563877314817</v>
      </c>
      <c r="V646" s="8">
        <v>45960.958333333336</v>
      </c>
      <c r="W646">
        <v>1</v>
      </c>
      <c r="X646">
        <v>4.0759722219999999</v>
      </c>
      <c r="Y646" t="s">
        <v>2579</v>
      </c>
      <c r="Z646" t="s">
        <v>8877</v>
      </c>
      <c r="AA646" t="s">
        <v>6559</v>
      </c>
      <c r="AB646" t="s">
        <v>1278</v>
      </c>
      <c r="AC646" t="s">
        <v>8878</v>
      </c>
      <c r="AD646" t="s">
        <v>2708</v>
      </c>
      <c r="AE646">
        <v>1</v>
      </c>
      <c r="AF646">
        <v>2</v>
      </c>
      <c r="AH646" t="s">
        <v>2723</v>
      </c>
      <c r="AI646" s="8">
        <v>45960.63590277778</v>
      </c>
      <c r="AK646" t="s">
        <v>2719</v>
      </c>
      <c r="AL646" t="s">
        <v>2724</v>
      </c>
      <c r="AO646" t="s">
        <v>2388</v>
      </c>
      <c r="AP646" t="s">
        <v>2401</v>
      </c>
    </row>
    <row r="647" spans="1:42">
      <c r="A647" t="s">
        <v>10235</v>
      </c>
      <c r="B647" t="s">
        <v>2377</v>
      </c>
      <c r="C647" t="s">
        <v>2447</v>
      </c>
      <c r="D647" t="s">
        <v>2379</v>
      </c>
      <c r="E647" t="s">
        <v>33</v>
      </c>
      <c r="F647" t="s">
        <v>3339</v>
      </c>
      <c r="G647" t="s">
        <v>33</v>
      </c>
      <c r="H647" t="b">
        <v>1</v>
      </c>
      <c r="I647" s="8">
        <v>45960.624537037038</v>
      </c>
      <c r="J647" t="s">
        <v>2380</v>
      </c>
      <c r="L647">
        <v>605117</v>
      </c>
      <c r="M647" t="s">
        <v>2381</v>
      </c>
      <c r="P647" t="s">
        <v>3477</v>
      </c>
      <c r="Q647" t="s">
        <v>2383</v>
      </c>
      <c r="R647">
        <v>1</v>
      </c>
      <c r="S647" t="s">
        <v>2380</v>
      </c>
      <c r="T647" t="s">
        <v>2383</v>
      </c>
      <c r="U647" s="8">
        <v>45954.567997685182</v>
      </c>
      <c r="V647" s="8">
        <v>45960.958333333336</v>
      </c>
      <c r="W647">
        <v>1</v>
      </c>
      <c r="X647">
        <v>4.0565393519999997</v>
      </c>
      <c r="Y647" t="s">
        <v>3340</v>
      </c>
      <c r="Z647" t="s">
        <v>10236</v>
      </c>
      <c r="AA647" t="s">
        <v>3484</v>
      </c>
      <c r="AB647" t="s">
        <v>1278</v>
      </c>
      <c r="AC647" t="s">
        <v>10237</v>
      </c>
      <c r="AE647">
        <v>1</v>
      </c>
      <c r="AF647">
        <v>2</v>
      </c>
      <c r="AH647" t="s">
        <v>2723</v>
      </c>
      <c r="AI647" s="8">
        <v>45960.62290509259</v>
      </c>
      <c r="AK647" t="s">
        <v>2719</v>
      </c>
      <c r="AL647" t="s">
        <v>2724</v>
      </c>
      <c r="AO647" t="s">
        <v>2957</v>
      </c>
      <c r="AP647" t="s">
        <v>2401</v>
      </c>
    </row>
    <row r="648" spans="1:42">
      <c r="A648" t="s">
        <v>3478</v>
      </c>
      <c r="B648" t="s">
        <v>2377</v>
      </c>
      <c r="C648" t="s">
        <v>2378</v>
      </c>
      <c r="D648" t="s">
        <v>2379</v>
      </c>
      <c r="E648" t="s">
        <v>28</v>
      </c>
      <c r="F648" t="s">
        <v>3339</v>
      </c>
      <c r="G648" t="s">
        <v>28</v>
      </c>
      <c r="H648" t="b">
        <v>1</v>
      </c>
      <c r="I648" s="8">
        <v>45959.667025462964</v>
      </c>
      <c r="J648" t="s">
        <v>2380</v>
      </c>
      <c r="L648">
        <v>603714</v>
      </c>
      <c r="M648" t="s">
        <v>2381</v>
      </c>
      <c r="P648" t="s">
        <v>3477</v>
      </c>
      <c r="Q648" t="s">
        <v>2383</v>
      </c>
      <c r="R648">
        <v>1</v>
      </c>
      <c r="S648" t="s">
        <v>2380</v>
      </c>
      <c r="T648" t="s">
        <v>2383</v>
      </c>
      <c r="U648" s="8">
        <v>45954.568576388891</v>
      </c>
      <c r="V648" s="8">
        <v>45960.958333333336</v>
      </c>
      <c r="W648">
        <v>1</v>
      </c>
      <c r="X648">
        <v>3.0984490739999999</v>
      </c>
      <c r="Y648" t="s">
        <v>3340</v>
      </c>
      <c r="Z648" t="s">
        <v>3479</v>
      </c>
      <c r="AA648" t="s">
        <v>3480</v>
      </c>
      <c r="AB648" t="s">
        <v>1278</v>
      </c>
      <c r="AC648" t="s">
        <v>3481</v>
      </c>
      <c r="AE648">
        <v>1</v>
      </c>
      <c r="AO648" t="s">
        <v>2957</v>
      </c>
      <c r="AP648" t="s">
        <v>2401</v>
      </c>
    </row>
    <row r="649" spans="1:42">
      <c r="A649" t="s">
        <v>676</v>
      </c>
      <c r="B649" t="s">
        <v>2377</v>
      </c>
      <c r="C649" t="s">
        <v>2378</v>
      </c>
      <c r="D649" t="s">
        <v>2379</v>
      </c>
      <c r="E649" t="s">
        <v>28</v>
      </c>
      <c r="F649" t="s">
        <v>2578</v>
      </c>
      <c r="G649" t="s">
        <v>28</v>
      </c>
      <c r="H649" t="b">
        <v>1</v>
      </c>
      <c r="I649" s="8">
        <v>45959.672164351854</v>
      </c>
      <c r="J649" t="s">
        <v>2380</v>
      </c>
      <c r="L649">
        <v>606719</v>
      </c>
      <c r="M649" t="s">
        <v>2381</v>
      </c>
      <c r="N649">
        <v>15</v>
      </c>
      <c r="P649" t="s">
        <v>4543</v>
      </c>
      <c r="Q649" t="s">
        <v>2383</v>
      </c>
      <c r="R649">
        <v>1</v>
      </c>
      <c r="S649" t="s">
        <v>2380</v>
      </c>
      <c r="T649" t="s">
        <v>2383</v>
      </c>
      <c r="U649" s="8">
        <v>45954.58016203704</v>
      </c>
      <c r="V649" s="8">
        <v>45960.958333333336</v>
      </c>
      <c r="W649">
        <v>1</v>
      </c>
      <c r="X649">
        <v>3.0920023149999998</v>
      </c>
      <c r="Y649" t="s">
        <v>2579</v>
      </c>
      <c r="Z649" t="s">
        <v>4547</v>
      </c>
      <c r="AA649" t="s">
        <v>4545</v>
      </c>
      <c r="AB649" t="s">
        <v>1278</v>
      </c>
      <c r="AC649" t="s">
        <v>4548</v>
      </c>
      <c r="AD649" t="s">
        <v>2708</v>
      </c>
      <c r="AE649">
        <v>1</v>
      </c>
      <c r="AO649" t="s">
        <v>2388</v>
      </c>
      <c r="AP649" t="s">
        <v>2401</v>
      </c>
    </row>
    <row r="650" spans="1:42">
      <c r="A650" t="s">
        <v>673</v>
      </c>
      <c r="B650" t="s">
        <v>2377</v>
      </c>
      <c r="C650" t="s">
        <v>2378</v>
      </c>
      <c r="D650" t="s">
        <v>2379</v>
      </c>
      <c r="E650" t="s">
        <v>28</v>
      </c>
      <c r="F650" t="s">
        <v>3249</v>
      </c>
      <c r="G650" t="s">
        <v>28</v>
      </c>
      <c r="H650" t="b">
        <v>1</v>
      </c>
      <c r="I650" s="8">
        <v>45959.665555555555</v>
      </c>
      <c r="J650" t="s">
        <v>2380</v>
      </c>
      <c r="L650">
        <v>605043</v>
      </c>
      <c r="M650" t="s">
        <v>2381</v>
      </c>
      <c r="N650">
        <v>15</v>
      </c>
      <c r="P650" t="s">
        <v>4540</v>
      </c>
      <c r="Q650" t="s">
        <v>2383</v>
      </c>
      <c r="R650">
        <v>1</v>
      </c>
      <c r="S650" t="s">
        <v>2380</v>
      </c>
      <c r="T650" t="s">
        <v>2383</v>
      </c>
      <c r="U650" s="8">
        <v>45954.590081018519</v>
      </c>
      <c r="V650" s="8">
        <v>45960.958333333336</v>
      </c>
      <c r="W650">
        <v>1</v>
      </c>
      <c r="X650">
        <v>3.0754745369999998</v>
      </c>
      <c r="Y650" t="s">
        <v>3250</v>
      </c>
      <c r="Z650" t="s">
        <v>4541</v>
      </c>
      <c r="AA650" t="s">
        <v>1329</v>
      </c>
      <c r="AB650" t="s">
        <v>1278</v>
      </c>
      <c r="AC650" t="s">
        <v>4542</v>
      </c>
      <c r="AD650" t="s">
        <v>2708</v>
      </c>
      <c r="AE650">
        <v>1</v>
      </c>
      <c r="AO650" t="s">
        <v>2388</v>
      </c>
      <c r="AP650" t="s">
        <v>2401</v>
      </c>
    </row>
    <row r="651" spans="1:42">
      <c r="A651" t="s">
        <v>1119</v>
      </c>
      <c r="B651" t="s">
        <v>2377</v>
      </c>
      <c r="C651" t="s">
        <v>2447</v>
      </c>
      <c r="D651" t="s">
        <v>2379</v>
      </c>
      <c r="E651" t="s">
        <v>33</v>
      </c>
      <c r="F651" t="s">
        <v>3891</v>
      </c>
      <c r="G651" t="s">
        <v>33</v>
      </c>
      <c r="H651" t="b">
        <v>1</v>
      </c>
      <c r="I651" s="8">
        <v>45960.63559027778</v>
      </c>
      <c r="J651" t="s">
        <v>2380</v>
      </c>
      <c r="L651">
        <v>603097</v>
      </c>
      <c r="M651" t="s">
        <v>2381</v>
      </c>
      <c r="P651" t="s">
        <v>8851</v>
      </c>
      <c r="Q651" t="s">
        <v>2383</v>
      </c>
      <c r="R651">
        <v>1</v>
      </c>
      <c r="S651" t="s">
        <v>2380</v>
      </c>
      <c r="T651" t="s">
        <v>2383</v>
      </c>
      <c r="U651" s="8">
        <v>45954.593634259261</v>
      </c>
      <c r="V651" s="8">
        <v>45960.958333333336</v>
      </c>
      <c r="W651">
        <v>1</v>
      </c>
      <c r="X651">
        <v>4.0419560189999997</v>
      </c>
      <c r="Y651" t="s">
        <v>3892</v>
      </c>
      <c r="Z651" t="s">
        <v>8852</v>
      </c>
      <c r="AA651" t="s">
        <v>1296</v>
      </c>
      <c r="AB651" t="s">
        <v>1278</v>
      </c>
      <c r="AC651" t="s">
        <v>2387</v>
      </c>
      <c r="AD651" t="s">
        <v>2708</v>
      </c>
      <c r="AE651">
        <v>1</v>
      </c>
      <c r="AH651" t="s">
        <v>24</v>
      </c>
      <c r="AI651" s="8">
        <v>45960.634201388886</v>
      </c>
      <c r="AK651" t="s">
        <v>2719</v>
      </c>
      <c r="AL651" t="s">
        <v>2719</v>
      </c>
      <c r="AO651" t="s">
        <v>2715</v>
      </c>
      <c r="AP651" t="s">
        <v>2401</v>
      </c>
    </row>
    <row r="652" spans="1:42">
      <c r="A652" t="s">
        <v>1173</v>
      </c>
      <c r="B652" t="s">
        <v>2377</v>
      </c>
      <c r="C652" t="s">
        <v>2438</v>
      </c>
      <c r="D652" t="s">
        <v>2379</v>
      </c>
      <c r="E652" t="s">
        <v>28</v>
      </c>
      <c r="F652" t="s">
        <v>4112</v>
      </c>
      <c r="G652" t="s">
        <v>28</v>
      </c>
      <c r="H652" t="b">
        <v>1</v>
      </c>
      <c r="I652" s="8">
        <v>45954.624212962961</v>
      </c>
      <c r="J652" t="s">
        <v>2380</v>
      </c>
      <c r="L652">
        <v>606913</v>
      </c>
      <c r="M652" t="s">
        <v>2381</v>
      </c>
      <c r="N652">
        <v>20</v>
      </c>
      <c r="P652" t="s">
        <v>2704</v>
      </c>
      <c r="Q652" t="s">
        <v>2383</v>
      </c>
      <c r="R652">
        <v>1</v>
      </c>
      <c r="S652" t="s">
        <v>2380</v>
      </c>
      <c r="T652" t="s">
        <v>2383</v>
      </c>
      <c r="U652" s="8">
        <v>45954.605312500003</v>
      </c>
      <c r="V652" s="8">
        <v>45960.958333333336</v>
      </c>
      <c r="W652">
        <v>1</v>
      </c>
      <c r="X652">
        <v>1.8900462999999999E-2</v>
      </c>
      <c r="Y652" t="s">
        <v>3901</v>
      </c>
      <c r="Z652" t="s">
        <v>8704</v>
      </c>
      <c r="AA652" t="s">
        <v>8705</v>
      </c>
      <c r="AB652" t="s">
        <v>1278</v>
      </c>
      <c r="AC652" t="s">
        <v>4542</v>
      </c>
      <c r="AD652" t="s">
        <v>2708</v>
      </c>
      <c r="AE652">
        <v>1</v>
      </c>
      <c r="AO652" t="s">
        <v>2715</v>
      </c>
      <c r="AP652" t="s">
        <v>2401</v>
      </c>
    </row>
    <row r="653" spans="1:42">
      <c r="A653" t="s">
        <v>10184</v>
      </c>
      <c r="B653" t="s">
        <v>2377</v>
      </c>
      <c r="C653" t="s">
        <v>2378</v>
      </c>
      <c r="D653" t="s">
        <v>2379</v>
      </c>
      <c r="E653" t="s">
        <v>24</v>
      </c>
      <c r="F653" t="s">
        <v>3891</v>
      </c>
      <c r="G653" t="s">
        <v>24</v>
      </c>
      <c r="H653" t="b">
        <v>1</v>
      </c>
      <c r="I653" s="8">
        <v>45960.599340277775</v>
      </c>
      <c r="J653" t="s">
        <v>2380</v>
      </c>
      <c r="L653">
        <v>603381</v>
      </c>
      <c r="M653" t="s">
        <v>2381</v>
      </c>
      <c r="P653" t="s">
        <v>2670</v>
      </c>
      <c r="Q653" t="s">
        <v>2383</v>
      </c>
      <c r="R653">
        <v>1</v>
      </c>
      <c r="S653" t="s">
        <v>2380</v>
      </c>
      <c r="T653" t="s">
        <v>2383</v>
      </c>
      <c r="U653" s="8">
        <v>45954.609629629631</v>
      </c>
      <c r="V653" s="8">
        <v>45960.958333333336</v>
      </c>
      <c r="W653">
        <v>1</v>
      </c>
      <c r="X653">
        <v>3.989710648</v>
      </c>
      <c r="Y653" t="s">
        <v>3892</v>
      </c>
      <c r="Z653" t="s">
        <v>10185</v>
      </c>
      <c r="AA653" t="s">
        <v>2714</v>
      </c>
      <c r="AB653" t="s">
        <v>1278</v>
      </c>
      <c r="AC653" t="s">
        <v>8033</v>
      </c>
      <c r="AE653">
        <v>1</v>
      </c>
      <c r="AO653" t="s">
        <v>2715</v>
      </c>
      <c r="AP653" t="s">
        <v>2401</v>
      </c>
    </row>
    <row r="654" spans="1:42">
      <c r="A654" t="s">
        <v>1124</v>
      </c>
      <c r="B654" t="s">
        <v>2377</v>
      </c>
      <c r="C654" t="s">
        <v>2378</v>
      </c>
      <c r="D654" t="s">
        <v>2379</v>
      </c>
      <c r="E654" t="s">
        <v>28</v>
      </c>
      <c r="F654" t="s">
        <v>2578</v>
      </c>
      <c r="G654" t="s">
        <v>28</v>
      </c>
      <c r="H654" t="b">
        <v>1</v>
      </c>
      <c r="I654" s="8">
        <v>45960.426585648151</v>
      </c>
      <c r="J654" t="s">
        <v>2380</v>
      </c>
      <c r="L654">
        <v>606719</v>
      </c>
      <c r="M654" t="s">
        <v>2381</v>
      </c>
      <c r="N654">
        <v>15</v>
      </c>
      <c r="P654" t="s">
        <v>4543</v>
      </c>
      <c r="Q654" t="s">
        <v>2383</v>
      </c>
      <c r="R654">
        <v>1</v>
      </c>
      <c r="S654" t="s">
        <v>2380</v>
      </c>
      <c r="T654" t="s">
        <v>2383</v>
      </c>
      <c r="U654" s="8">
        <v>45954.613425925927</v>
      </c>
      <c r="V654" s="8">
        <v>45960.958333333336</v>
      </c>
      <c r="W654">
        <v>1</v>
      </c>
      <c r="X654">
        <v>3.813159722</v>
      </c>
      <c r="Y654" t="s">
        <v>2579</v>
      </c>
      <c r="Z654" t="s">
        <v>4549</v>
      </c>
      <c r="AA654" t="s">
        <v>4545</v>
      </c>
      <c r="AB654" t="s">
        <v>1278</v>
      </c>
      <c r="AC654" t="s">
        <v>3068</v>
      </c>
      <c r="AD654" t="s">
        <v>2708</v>
      </c>
      <c r="AE654">
        <v>1</v>
      </c>
      <c r="AO654" t="s">
        <v>2388</v>
      </c>
      <c r="AP654" t="s">
        <v>2401</v>
      </c>
    </row>
    <row r="655" spans="1:42">
      <c r="A655" t="s">
        <v>4395</v>
      </c>
      <c r="B655" t="s">
        <v>2377</v>
      </c>
      <c r="C655" t="s">
        <v>2378</v>
      </c>
      <c r="D655" t="s">
        <v>2379</v>
      </c>
      <c r="E655" t="s">
        <v>24</v>
      </c>
      <c r="F655" t="s">
        <v>2588</v>
      </c>
      <c r="G655" t="s">
        <v>24</v>
      </c>
      <c r="H655" t="b">
        <v>1</v>
      </c>
      <c r="I655" s="8">
        <v>45960.588437500002</v>
      </c>
      <c r="J655" t="s">
        <v>2380</v>
      </c>
      <c r="L655">
        <v>603959</v>
      </c>
      <c r="M655" t="s">
        <v>2381</v>
      </c>
      <c r="P655" t="s">
        <v>2589</v>
      </c>
      <c r="Q655" t="s">
        <v>2383</v>
      </c>
      <c r="R655">
        <v>1</v>
      </c>
      <c r="S655" t="s">
        <v>2380</v>
      </c>
      <c r="T655" t="s">
        <v>2383</v>
      </c>
      <c r="U655" s="8">
        <v>45954.628101851849</v>
      </c>
      <c r="V655" s="8">
        <v>45960.958333333336</v>
      </c>
      <c r="W655">
        <v>1</v>
      </c>
      <c r="X655">
        <v>3.960335648</v>
      </c>
      <c r="Y655" t="s">
        <v>2579</v>
      </c>
      <c r="Z655" t="s">
        <v>4396</v>
      </c>
      <c r="AA655" t="s">
        <v>2592</v>
      </c>
      <c r="AB655" t="s">
        <v>1278</v>
      </c>
      <c r="AC655" t="s">
        <v>2387</v>
      </c>
      <c r="AD655" t="s">
        <v>2708</v>
      </c>
      <c r="AE655">
        <v>1</v>
      </c>
      <c r="AO655" t="s">
        <v>2388</v>
      </c>
      <c r="AP655" t="s">
        <v>2401</v>
      </c>
    </row>
    <row r="656" spans="1:42">
      <c r="A656" t="s">
        <v>2599</v>
      </c>
      <c r="B656" t="s">
        <v>2377</v>
      </c>
      <c r="C656" t="s">
        <v>2378</v>
      </c>
      <c r="D656" t="s">
        <v>2379</v>
      </c>
      <c r="E656" t="s">
        <v>24</v>
      </c>
      <c r="F656" t="s">
        <v>2588</v>
      </c>
      <c r="G656" t="s">
        <v>24</v>
      </c>
      <c r="H656" t="b">
        <v>1</v>
      </c>
      <c r="I656" s="8">
        <v>45960.585636574076</v>
      </c>
      <c r="J656" t="s">
        <v>2380</v>
      </c>
      <c r="L656">
        <v>603959</v>
      </c>
      <c r="M656" t="s">
        <v>2381</v>
      </c>
      <c r="P656" t="s">
        <v>2589</v>
      </c>
      <c r="Q656" t="s">
        <v>2383</v>
      </c>
      <c r="R656">
        <v>1</v>
      </c>
      <c r="S656" t="s">
        <v>2380</v>
      </c>
      <c r="T656" t="s">
        <v>2383</v>
      </c>
      <c r="U656" s="8">
        <v>45954.629583333335</v>
      </c>
      <c r="V656" s="8">
        <v>45960.958333333336</v>
      </c>
      <c r="W656">
        <v>1</v>
      </c>
      <c r="X656">
        <v>3.9560532410000002</v>
      </c>
      <c r="Y656" t="s">
        <v>2579</v>
      </c>
      <c r="Z656" t="s">
        <v>2600</v>
      </c>
      <c r="AA656" t="s">
        <v>2592</v>
      </c>
      <c r="AB656" t="s">
        <v>1278</v>
      </c>
      <c r="AC656" t="s">
        <v>2387</v>
      </c>
      <c r="AE656">
        <v>1</v>
      </c>
      <c r="AO656" t="s">
        <v>2388</v>
      </c>
      <c r="AP656" t="s">
        <v>2401</v>
      </c>
    </row>
    <row r="657" spans="1:42">
      <c r="A657" t="s">
        <v>1061</v>
      </c>
      <c r="B657" t="s">
        <v>2377</v>
      </c>
      <c r="C657" t="s">
        <v>2378</v>
      </c>
      <c r="D657" t="s">
        <v>2379</v>
      </c>
      <c r="E657" t="s">
        <v>24</v>
      </c>
      <c r="F657" t="s">
        <v>4644</v>
      </c>
      <c r="G657" t="s">
        <v>24</v>
      </c>
      <c r="H657" t="b">
        <v>1</v>
      </c>
      <c r="I657" s="8">
        <v>45960.494375000002</v>
      </c>
      <c r="J657" t="s">
        <v>2380</v>
      </c>
      <c r="L657">
        <v>603773</v>
      </c>
      <c r="M657" t="s">
        <v>2381</v>
      </c>
      <c r="P657" t="s">
        <v>4645</v>
      </c>
      <c r="Q657" t="s">
        <v>2383</v>
      </c>
      <c r="R657">
        <v>1</v>
      </c>
      <c r="S657" t="s">
        <v>2380</v>
      </c>
      <c r="T657" t="s">
        <v>2383</v>
      </c>
      <c r="U657" s="8">
        <v>45954.6565625</v>
      </c>
      <c r="V657" s="8">
        <v>45960.958333333336</v>
      </c>
      <c r="W657">
        <v>1</v>
      </c>
      <c r="X657">
        <v>3.8378125000000001</v>
      </c>
      <c r="Y657" t="s">
        <v>3578</v>
      </c>
      <c r="Z657" t="s">
        <v>4649</v>
      </c>
      <c r="AA657" t="s">
        <v>4647</v>
      </c>
      <c r="AB657" t="s">
        <v>1278</v>
      </c>
      <c r="AC657" t="s">
        <v>4650</v>
      </c>
      <c r="AD657" t="s">
        <v>2708</v>
      </c>
      <c r="AE657">
        <v>1</v>
      </c>
      <c r="AO657" t="s">
        <v>2957</v>
      </c>
      <c r="AP657" t="s">
        <v>2401</v>
      </c>
    </row>
    <row r="658" spans="1:42">
      <c r="A658" t="s">
        <v>230</v>
      </c>
      <c r="B658" t="s">
        <v>2377</v>
      </c>
      <c r="C658" t="s">
        <v>2438</v>
      </c>
      <c r="D658" t="s">
        <v>2379</v>
      </c>
      <c r="E658" t="s">
        <v>28</v>
      </c>
      <c r="F658" t="s">
        <v>4141</v>
      </c>
      <c r="G658" t="s">
        <v>28</v>
      </c>
      <c r="H658" t="b">
        <v>1</v>
      </c>
      <c r="I658" s="8">
        <v>45954.698958333334</v>
      </c>
      <c r="J658" t="s">
        <v>2380</v>
      </c>
      <c r="L658">
        <v>605020</v>
      </c>
      <c r="M658" t="s">
        <v>2381</v>
      </c>
      <c r="N658">
        <v>20</v>
      </c>
      <c r="P658" t="s">
        <v>2704</v>
      </c>
      <c r="Q658" t="s">
        <v>2383</v>
      </c>
      <c r="R658">
        <v>1</v>
      </c>
      <c r="S658" t="s">
        <v>2380</v>
      </c>
      <c r="T658" t="s">
        <v>2383</v>
      </c>
      <c r="U658" s="8">
        <v>45954.686909722222</v>
      </c>
      <c r="V658" s="8">
        <v>45960.958333333336</v>
      </c>
      <c r="W658">
        <v>1</v>
      </c>
      <c r="X658">
        <v>1.2048611000000001E-2</v>
      </c>
      <c r="Y658" t="s">
        <v>4142</v>
      </c>
      <c r="Z658" t="s">
        <v>8357</v>
      </c>
      <c r="AA658" t="s">
        <v>8358</v>
      </c>
      <c r="AB658" t="s">
        <v>1278</v>
      </c>
      <c r="AC658" t="s">
        <v>3066</v>
      </c>
      <c r="AD658" t="s">
        <v>2708</v>
      </c>
      <c r="AE658">
        <v>1</v>
      </c>
      <c r="AO658" t="s">
        <v>2957</v>
      </c>
      <c r="AP658" t="s">
        <v>2401</v>
      </c>
    </row>
    <row r="659" spans="1:42">
      <c r="A659" t="s">
        <v>681</v>
      </c>
      <c r="B659" t="s">
        <v>2377</v>
      </c>
      <c r="C659" t="s">
        <v>2378</v>
      </c>
      <c r="D659" t="s">
        <v>2379</v>
      </c>
      <c r="E659" t="s">
        <v>33</v>
      </c>
      <c r="F659" t="s">
        <v>2578</v>
      </c>
      <c r="G659" t="s">
        <v>33</v>
      </c>
      <c r="H659" t="b">
        <v>1</v>
      </c>
      <c r="I659" s="8">
        <v>45960.639976851853</v>
      </c>
      <c r="J659" t="s">
        <v>2380</v>
      </c>
      <c r="L659">
        <v>602833</v>
      </c>
      <c r="M659" t="s">
        <v>2381</v>
      </c>
      <c r="P659" t="s">
        <v>6557</v>
      </c>
      <c r="Q659" t="s">
        <v>2383</v>
      </c>
      <c r="R659">
        <v>1</v>
      </c>
      <c r="S659" t="s">
        <v>2380</v>
      </c>
      <c r="T659" t="s">
        <v>2383</v>
      </c>
      <c r="U659" s="8">
        <v>45954.691562499997</v>
      </c>
      <c r="V659" s="8">
        <v>45960.958333333336</v>
      </c>
      <c r="W659">
        <v>1</v>
      </c>
      <c r="X659">
        <v>3.9484143519999999</v>
      </c>
      <c r="Y659" t="s">
        <v>2579</v>
      </c>
      <c r="Z659" t="s">
        <v>8879</v>
      </c>
      <c r="AA659" t="s">
        <v>6559</v>
      </c>
      <c r="AB659" t="s">
        <v>1278</v>
      </c>
      <c r="AC659" t="s">
        <v>2387</v>
      </c>
      <c r="AD659" t="s">
        <v>2708</v>
      </c>
      <c r="AE659">
        <v>1</v>
      </c>
      <c r="AF659">
        <v>2</v>
      </c>
      <c r="AH659" t="s">
        <v>2723</v>
      </c>
      <c r="AI659" s="8">
        <v>45960.636203703703</v>
      </c>
      <c r="AK659" t="s">
        <v>2719</v>
      </c>
      <c r="AL659" t="s">
        <v>2724</v>
      </c>
      <c r="AO659" t="s">
        <v>2388</v>
      </c>
      <c r="AP659" t="s">
        <v>2401</v>
      </c>
    </row>
    <row r="660" spans="1:42">
      <c r="A660" t="s">
        <v>305</v>
      </c>
      <c r="B660" t="s">
        <v>2377</v>
      </c>
      <c r="C660" t="s">
        <v>2378</v>
      </c>
      <c r="D660" t="s">
        <v>2379</v>
      </c>
      <c r="E660" t="s">
        <v>28</v>
      </c>
      <c r="F660" t="s">
        <v>2402</v>
      </c>
      <c r="G660" t="s">
        <v>28</v>
      </c>
      <c r="H660" t="b">
        <v>1</v>
      </c>
      <c r="I660" s="8">
        <v>45960.47252314815</v>
      </c>
      <c r="J660" t="s">
        <v>2380</v>
      </c>
      <c r="L660">
        <v>603485</v>
      </c>
      <c r="M660" t="s">
        <v>2381</v>
      </c>
      <c r="N660">
        <v>15</v>
      </c>
      <c r="P660" t="s">
        <v>2861</v>
      </c>
      <c r="Q660" t="s">
        <v>2383</v>
      </c>
      <c r="R660">
        <v>1</v>
      </c>
      <c r="S660" t="s">
        <v>2380</v>
      </c>
      <c r="T660" t="s">
        <v>2383</v>
      </c>
      <c r="U660" s="8">
        <v>45954.736168981479</v>
      </c>
      <c r="V660" s="8">
        <v>45960.958333333336</v>
      </c>
      <c r="W660">
        <v>1</v>
      </c>
      <c r="X660">
        <v>3.736354167</v>
      </c>
      <c r="Y660" t="s">
        <v>2403</v>
      </c>
      <c r="Z660" t="s">
        <v>3067</v>
      </c>
      <c r="AA660" t="s">
        <v>2863</v>
      </c>
      <c r="AB660" t="s">
        <v>1278</v>
      </c>
      <c r="AC660" t="s">
        <v>3068</v>
      </c>
      <c r="AD660" t="s">
        <v>2708</v>
      </c>
      <c r="AE660">
        <v>1</v>
      </c>
      <c r="AO660" t="s">
        <v>2408</v>
      </c>
      <c r="AP660" t="s">
        <v>2401</v>
      </c>
    </row>
    <row r="661" spans="1:42">
      <c r="A661" t="s">
        <v>1193</v>
      </c>
      <c r="B661" t="s">
        <v>2377</v>
      </c>
      <c r="C661" t="s">
        <v>2438</v>
      </c>
      <c r="D661" t="s">
        <v>2379</v>
      </c>
      <c r="E661" t="s">
        <v>18</v>
      </c>
      <c r="F661" t="s">
        <v>3747</v>
      </c>
      <c r="G661" t="s">
        <v>2416</v>
      </c>
      <c r="H661" t="b">
        <v>1</v>
      </c>
      <c r="I661" s="8">
        <v>45956.431527777779</v>
      </c>
      <c r="J661" t="s">
        <v>2380</v>
      </c>
      <c r="L661">
        <v>606823</v>
      </c>
      <c r="M661" t="s">
        <v>2381</v>
      </c>
      <c r="P661" t="s">
        <v>2704</v>
      </c>
      <c r="Q661" t="s">
        <v>2383</v>
      </c>
      <c r="R661">
        <v>1</v>
      </c>
      <c r="S661" t="s">
        <v>2380</v>
      </c>
      <c r="T661" t="s">
        <v>2383</v>
      </c>
      <c r="U661" s="8">
        <v>45956.406898148147</v>
      </c>
      <c r="V661" s="8">
        <v>45960.958333333336</v>
      </c>
      <c r="W661">
        <v>1</v>
      </c>
      <c r="X661">
        <v>2.462963E-2</v>
      </c>
      <c r="Y661" t="s">
        <v>3748</v>
      </c>
      <c r="Z661" t="s">
        <v>8637</v>
      </c>
      <c r="AA661" t="s">
        <v>3883</v>
      </c>
      <c r="AB661" t="s">
        <v>1278</v>
      </c>
      <c r="AC661" t="s">
        <v>8638</v>
      </c>
      <c r="AD661" t="s">
        <v>2708</v>
      </c>
      <c r="AE661">
        <v>1</v>
      </c>
      <c r="AO661" t="s">
        <v>2712</v>
      </c>
      <c r="AP661" t="s">
        <v>2401</v>
      </c>
    </row>
    <row r="662" spans="1:42">
      <c r="A662" t="s">
        <v>9900</v>
      </c>
      <c r="B662" t="s">
        <v>2377</v>
      </c>
      <c r="C662" t="s">
        <v>2378</v>
      </c>
      <c r="D662" t="s">
        <v>2379</v>
      </c>
      <c r="E662" t="s">
        <v>28</v>
      </c>
      <c r="F662" t="s">
        <v>2402</v>
      </c>
      <c r="G662" t="s">
        <v>28</v>
      </c>
      <c r="H662" t="b">
        <v>1</v>
      </c>
      <c r="I662" s="8">
        <v>45960.508344907408</v>
      </c>
      <c r="J662" t="s">
        <v>2380</v>
      </c>
      <c r="L662">
        <v>603626</v>
      </c>
      <c r="M662" t="s">
        <v>2381</v>
      </c>
      <c r="P662" t="s">
        <v>9899</v>
      </c>
      <c r="Q662" t="s">
        <v>2383</v>
      </c>
      <c r="R662">
        <v>1</v>
      </c>
      <c r="S662" t="s">
        <v>2380</v>
      </c>
      <c r="T662" t="s">
        <v>2383</v>
      </c>
      <c r="U662" s="8">
        <v>45957.435231481482</v>
      </c>
      <c r="V662" s="8">
        <v>45960.958333333336</v>
      </c>
      <c r="W662">
        <v>1</v>
      </c>
      <c r="X662">
        <v>3.0731134259999999</v>
      </c>
      <c r="Y662" t="s">
        <v>2403</v>
      </c>
      <c r="Z662" t="s">
        <v>9901</v>
      </c>
      <c r="AA662" t="s">
        <v>8557</v>
      </c>
      <c r="AB662" t="s">
        <v>1278</v>
      </c>
      <c r="AC662" t="s">
        <v>9902</v>
      </c>
      <c r="AE662">
        <v>1</v>
      </c>
      <c r="AO662" t="s">
        <v>3586</v>
      </c>
      <c r="AP662" t="s">
        <v>2401</v>
      </c>
    </row>
    <row r="663" spans="1:42">
      <c r="A663" t="s">
        <v>4657</v>
      </c>
      <c r="B663" t="s">
        <v>2377</v>
      </c>
      <c r="C663" t="s">
        <v>2378</v>
      </c>
      <c r="D663" t="s">
        <v>2379</v>
      </c>
      <c r="E663" t="s">
        <v>18</v>
      </c>
      <c r="F663" t="s">
        <v>3539</v>
      </c>
      <c r="G663" t="s">
        <v>2416</v>
      </c>
      <c r="H663" t="b">
        <v>1</v>
      </c>
      <c r="I663" s="8">
        <v>45960.599143518521</v>
      </c>
      <c r="J663" t="s">
        <v>2380</v>
      </c>
      <c r="L663">
        <v>605044</v>
      </c>
      <c r="M663" t="s">
        <v>2381</v>
      </c>
      <c r="P663" t="s">
        <v>4656</v>
      </c>
      <c r="Q663" t="s">
        <v>2383</v>
      </c>
      <c r="R663">
        <v>1</v>
      </c>
      <c r="S663" t="s">
        <v>2380</v>
      </c>
      <c r="T663" t="s">
        <v>2383</v>
      </c>
      <c r="U663" s="8">
        <v>45957.441504629627</v>
      </c>
      <c r="V663" s="8">
        <v>45960.958333333336</v>
      </c>
      <c r="W663">
        <v>1</v>
      </c>
      <c r="X663">
        <v>3.1576388889999998</v>
      </c>
      <c r="Y663" t="s">
        <v>3521</v>
      </c>
      <c r="Z663" t="s">
        <v>4658</v>
      </c>
      <c r="AA663" t="s">
        <v>4659</v>
      </c>
      <c r="AB663" t="s">
        <v>1278</v>
      </c>
      <c r="AC663" t="s">
        <v>4660</v>
      </c>
      <c r="AD663" t="s">
        <v>2708</v>
      </c>
      <c r="AE663">
        <v>1</v>
      </c>
      <c r="AO663" t="s">
        <v>2957</v>
      </c>
      <c r="AP663" t="s">
        <v>2401</v>
      </c>
    </row>
    <row r="664" spans="1:42">
      <c r="A664" t="s">
        <v>1085</v>
      </c>
      <c r="B664" t="s">
        <v>2377</v>
      </c>
      <c r="C664" t="s">
        <v>2390</v>
      </c>
      <c r="D664" t="s">
        <v>2379</v>
      </c>
      <c r="E664" t="s">
        <v>33</v>
      </c>
      <c r="F664" t="s">
        <v>3261</v>
      </c>
      <c r="G664" t="s">
        <v>33</v>
      </c>
      <c r="H664" t="b">
        <v>1</v>
      </c>
      <c r="I664" s="8">
        <v>45960.624537037038</v>
      </c>
      <c r="J664" t="s">
        <v>2380</v>
      </c>
      <c r="L664">
        <v>603495</v>
      </c>
      <c r="M664" t="s">
        <v>2381</v>
      </c>
      <c r="P664" t="s">
        <v>8881</v>
      </c>
      <c r="Q664" t="s">
        <v>2383</v>
      </c>
      <c r="R664">
        <v>1</v>
      </c>
      <c r="S664" t="s">
        <v>2380</v>
      </c>
      <c r="T664" t="s">
        <v>2383</v>
      </c>
      <c r="U664" s="8">
        <v>45957.872708333336</v>
      </c>
      <c r="V664" s="8">
        <v>45960.958333333336</v>
      </c>
      <c r="W664">
        <v>1</v>
      </c>
      <c r="X664">
        <v>2.7518287039999998</v>
      </c>
      <c r="Y664" t="s">
        <v>3262</v>
      </c>
      <c r="Z664" t="s">
        <v>8882</v>
      </c>
      <c r="AA664" t="s">
        <v>3508</v>
      </c>
      <c r="AB664" t="s">
        <v>1278</v>
      </c>
      <c r="AC664" t="s">
        <v>8883</v>
      </c>
      <c r="AD664" t="s">
        <v>2708</v>
      </c>
      <c r="AE664">
        <v>1</v>
      </c>
      <c r="AF664">
        <v>2</v>
      </c>
      <c r="AH664" t="s">
        <v>2723</v>
      </c>
      <c r="AI664" s="8">
        <v>45960.621053240742</v>
      </c>
      <c r="AK664" t="s">
        <v>2719</v>
      </c>
      <c r="AL664" t="s">
        <v>2724</v>
      </c>
      <c r="AO664" t="s">
        <v>2957</v>
      </c>
      <c r="AP664" t="s">
        <v>2401</v>
      </c>
    </row>
    <row r="665" spans="1:42">
      <c r="A665" t="s">
        <v>807</v>
      </c>
      <c r="B665" t="s">
        <v>2377</v>
      </c>
      <c r="C665" t="s">
        <v>2415</v>
      </c>
      <c r="D665" t="s">
        <v>2379</v>
      </c>
      <c r="E665" t="s">
        <v>25</v>
      </c>
      <c r="F665" t="s">
        <v>3249</v>
      </c>
      <c r="G665" t="s">
        <v>25</v>
      </c>
      <c r="H665" t="b">
        <v>1</v>
      </c>
      <c r="I665" s="8">
        <v>45959.35050925926</v>
      </c>
      <c r="J665" t="s">
        <v>2380</v>
      </c>
      <c r="L665">
        <v>602303</v>
      </c>
      <c r="M665" t="s">
        <v>2381</v>
      </c>
      <c r="N665">
        <v>30</v>
      </c>
      <c r="P665" t="s">
        <v>2704</v>
      </c>
      <c r="Q665" t="s">
        <v>2383</v>
      </c>
      <c r="R665">
        <v>1</v>
      </c>
      <c r="S665" t="s">
        <v>2380</v>
      </c>
      <c r="T665" t="s">
        <v>2383</v>
      </c>
      <c r="U665" s="8">
        <v>45958.348483796297</v>
      </c>
      <c r="V665" s="8">
        <v>45961.958333333336</v>
      </c>
      <c r="W665">
        <v>1</v>
      </c>
      <c r="X665">
        <v>1.0020254630000001</v>
      </c>
      <c r="Y665" t="s">
        <v>3250</v>
      </c>
      <c r="Z665" t="s">
        <v>8771</v>
      </c>
      <c r="AA665" t="s">
        <v>3253</v>
      </c>
      <c r="AB665" t="s">
        <v>1278</v>
      </c>
      <c r="AC665" t="s">
        <v>2387</v>
      </c>
      <c r="AD665" t="s">
        <v>2708</v>
      </c>
      <c r="AE665">
        <v>1</v>
      </c>
      <c r="AH665" t="s">
        <v>33</v>
      </c>
      <c r="AI665" s="8">
        <v>45958.645104166666</v>
      </c>
      <c r="AK665" t="s">
        <v>2719</v>
      </c>
      <c r="AL665" t="s">
        <v>2719</v>
      </c>
      <c r="AO665" t="s">
        <v>2388</v>
      </c>
      <c r="AP665" t="s">
        <v>2401</v>
      </c>
    </row>
    <row r="666" spans="1:42">
      <c r="A666" t="s">
        <v>242</v>
      </c>
      <c r="B666" t="s">
        <v>2377</v>
      </c>
      <c r="C666" t="s">
        <v>2438</v>
      </c>
      <c r="D666" t="s">
        <v>2379</v>
      </c>
      <c r="E666" t="s">
        <v>25</v>
      </c>
      <c r="F666" t="s">
        <v>2457</v>
      </c>
      <c r="G666" t="s">
        <v>25</v>
      </c>
      <c r="H666" t="b">
        <v>1</v>
      </c>
      <c r="I666" s="8">
        <v>45959.349675925929</v>
      </c>
      <c r="J666" t="s">
        <v>2380</v>
      </c>
      <c r="L666">
        <v>602915</v>
      </c>
      <c r="M666" t="s">
        <v>2381</v>
      </c>
      <c r="N666">
        <v>1000</v>
      </c>
      <c r="P666" t="s">
        <v>2704</v>
      </c>
      <c r="Q666" t="s">
        <v>2383</v>
      </c>
      <c r="R666">
        <v>1</v>
      </c>
      <c r="S666" t="s">
        <v>2380</v>
      </c>
      <c r="T666" t="s">
        <v>2383</v>
      </c>
      <c r="U666" s="8">
        <v>45958.392569444448</v>
      </c>
      <c r="V666" s="8">
        <v>45961.958333333336</v>
      </c>
      <c r="W666">
        <v>1</v>
      </c>
      <c r="X666">
        <v>0.95710648099999995</v>
      </c>
      <c r="Y666" t="s">
        <v>2403</v>
      </c>
      <c r="Z666" t="s">
        <v>8747</v>
      </c>
      <c r="AA666" t="s">
        <v>3095</v>
      </c>
      <c r="AB666" t="s">
        <v>1278</v>
      </c>
      <c r="AC666" t="s">
        <v>2387</v>
      </c>
      <c r="AD666" t="s">
        <v>2708</v>
      </c>
      <c r="AE666">
        <v>1</v>
      </c>
      <c r="AH666" t="s">
        <v>33</v>
      </c>
      <c r="AI666" s="8">
        <v>45958.644976851851</v>
      </c>
      <c r="AK666" t="s">
        <v>2719</v>
      </c>
      <c r="AL666" t="s">
        <v>2719</v>
      </c>
      <c r="AO666" t="s">
        <v>2408</v>
      </c>
      <c r="AP666" t="s">
        <v>2401</v>
      </c>
    </row>
    <row r="667" spans="1:42">
      <c r="A667" t="s">
        <v>1224</v>
      </c>
      <c r="B667" t="s">
        <v>2377</v>
      </c>
      <c r="C667" t="s">
        <v>2438</v>
      </c>
      <c r="D667" t="s">
        <v>2379</v>
      </c>
      <c r="E667" t="s">
        <v>25</v>
      </c>
      <c r="F667" t="s">
        <v>4815</v>
      </c>
      <c r="G667" t="s">
        <v>25</v>
      </c>
      <c r="H667" t="b">
        <v>1</v>
      </c>
      <c r="I667" s="8">
        <v>45958.476030092592</v>
      </c>
      <c r="J667" t="s">
        <v>2380</v>
      </c>
      <c r="L667">
        <v>603706</v>
      </c>
      <c r="M667" t="s">
        <v>2381</v>
      </c>
      <c r="N667">
        <v>10</v>
      </c>
      <c r="P667" t="s">
        <v>2704</v>
      </c>
      <c r="Q667" t="s">
        <v>2383</v>
      </c>
      <c r="R667">
        <v>1</v>
      </c>
      <c r="S667" t="s">
        <v>2380</v>
      </c>
      <c r="T667" t="s">
        <v>2383</v>
      </c>
      <c r="U667" s="8">
        <v>45958.402430555558</v>
      </c>
      <c r="V667" s="8">
        <v>45961.958333333336</v>
      </c>
      <c r="W667">
        <v>1</v>
      </c>
      <c r="X667">
        <v>7.3599537000000007E-2</v>
      </c>
      <c r="Y667" t="s">
        <v>4816</v>
      </c>
      <c r="Z667" t="s">
        <v>4817</v>
      </c>
      <c r="AA667" t="s">
        <v>4818</v>
      </c>
      <c r="AB667" t="s">
        <v>1278</v>
      </c>
      <c r="AC667" t="s">
        <v>2387</v>
      </c>
      <c r="AD667" t="s">
        <v>2708</v>
      </c>
      <c r="AE667">
        <v>1</v>
      </c>
      <c r="AO667" t="s">
        <v>2957</v>
      </c>
      <c r="AP667" t="s">
        <v>2401</v>
      </c>
    </row>
    <row r="668" spans="1:42">
      <c r="A668" t="s">
        <v>240</v>
      </c>
      <c r="B668" t="s">
        <v>2377</v>
      </c>
      <c r="C668" t="s">
        <v>2438</v>
      </c>
      <c r="D668" t="s">
        <v>2379</v>
      </c>
      <c r="E668" t="s">
        <v>28</v>
      </c>
      <c r="F668" t="s">
        <v>3891</v>
      </c>
      <c r="G668" t="s">
        <v>28</v>
      </c>
      <c r="H668" t="b">
        <v>1</v>
      </c>
      <c r="I668" s="8">
        <v>45958.435532407406</v>
      </c>
      <c r="J668" t="s">
        <v>2380</v>
      </c>
      <c r="L668">
        <v>602475</v>
      </c>
      <c r="M668" t="s">
        <v>2381</v>
      </c>
      <c r="N668">
        <v>20</v>
      </c>
      <c r="P668" t="s">
        <v>2704</v>
      </c>
      <c r="Q668" t="s">
        <v>2383</v>
      </c>
      <c r="R668">
        <v>1</v>
      </c>
      <c r="S668" t="s">
        <v>2380</v>
      </c>
      <c r="T668" t="s">
        <v>2383</v>
      </c>
      <c r="U668" s="8">
        <v>45958.416539351849</v>
      </c>
      <c r="V668" s="8">
        <v>45961.958333333336</v>
      </c>
      <c r="W668">
        <v>1</v>
      </c>
      <c r="X668">
        <v>1.8993056000000001E-2</v>
      </c>
      <c r="Y668" t="s">
        <v>3892</v>
      </c>
      <c r="Z668" t="s">
        <v>8706</v>
      </c>
      <c r="AA668" t="s">
        <v>5067</v>
      </c>
      <c r="AB668" t="s">
        <v>1278</v>
      </c>
      <c r="AC668" t="s">
        <v>3066</v>
      </c>
      <c r="AD668" t="s">
        <v>2708</v>
      </c>
      <c r="AE668">
        <v>1</v>
      </c>
      <c r="AO668" t="s">
        <v>2715</v>
      </c>
      <c r="AP668" t="s">
        <v>2401</v>
      </c>
    </row>
    <row r="669" spans="1:42">
      <c r="A669" t="s">
        <v>271</v>
      </c>
      <c r="B669" t="s">
        <v>2377</v>
      </c>
      <c r="C669" t="s">
        <v>2390</v>
      </c>
      <c r="D669" t="s">
        <v>2379</v>
      </c>
      <c r="E669" t="s">
        <v>33</v>
      </c>
      <c r="F669" t="s">
        <v>3921</v>
      </c>
      <c r="G669" t="s">
        <v>33</v>
      </c>
      <c r="H669" t="b">
        <v>1</v>
      </c>
      <c r="I669" s="8">
        <v>45960.647997685184</v>
      </c>
      <c r="J669" t="s">
        <v>2380</v>
      </c>
      <c r="L669">
        <v>608029</v>
      </c>
      <c r="M669" t="s">
        <v>2381</v>
      </c>
      <c r="P669" t="s">
        <v>3936</v>
      </c>
      <c r="Q669" t="s">
        <v>2383</v>
      </c>
      <c r="R669">
        <v>1</v>
      </c>
      <c r="S669" t="s">
        <v>2380</v>
      </c>
      <c r="T669" t="s">
        <v>2383</v>
      </c>
      <c r="U669" s="8">
        <v>45958.434155092589</v>
      </c>
      <c r="V669" s="8">
        <v>45961.958333333336</v>
      </c>
      <c r="W669">
        <v>1</v>
      </c>
      <c r="X669">
        <v>2.2138425929999999</v>
      </c>
      <c r="Y669" t="s">
        <v>1352</v>
      </c>
      <c r="Z669" t="s">
        <v>8909</v>
      </c>
      <c r="AA669" t="s">
        <v>3923</v>
      </c>
      <c r="AB669" t="s">
        <v>1278</v>
      </c>
      <c r="AC669" t="s">
        <v>8910</v>
      </c>
      <c r="AD669" t="s">
        <v>2708</v>
      </c>
      <c r="AE669">
        <v>1</v>
      </c>
      <c r="AF669">
        <v>2</v>
      </c>
      <c r="AH669" t="s">
        <v>2723</v>
      </c>
      <c r="AI669" s="8">
        <v>45960.646793981483</v>
      </c>
      <c r="AK669" t="s">
        <v>2719</v>
      </c>
      <c r="AL669" t="s">
        <v>2724</v>
      </c>
      <c r="AO669" t="s">
        <v>2720</v>
      </c>
      <c r="AP669" t="s">
        <v>2401</v>
      </c>
    </row>
    <row r="670" spans="1:42">
      <c r="A670" t="s">
        <v>617</v>
      </c>
      <c r="B670" t="s">
        <v>2377</v>
      </c>
      <c r="C670" t="s">
        <v>2390</v>
      </c>
      <c r="D670" t="s">
        <v>2379</v>
      </c>
      <c r="E670" t="s">
        <v>33</v>
      </c>
      <c r="F670" t="s">
        <v>3921</v>
      </c>
      <c r="G670" t="s">
        <v>33</v>
      </c>
      <c r="H670" t="b">
        <v>1</v>
      </c>
      <c r="I670" s="8">
        <v>45960.647870370369</v>
      </c>
      <c r="J670" t="s">
        <v>2380</v>
      </c>
      <c r="L670">
        <v>608029</v>
      </c>
      <c r="M670" t="s">
        <v>2381</v>
      </c>
      <c r="P670" t="s">
        <v>3936</v>
      </c>
      <c r="Q670" t="s">
        <v>2383</v>
      </c>
      <c r="R670">
        <v>1</v>
      </c>
      <c r="S670" t="s">
        <v>2380</v>
      </c>
      <c r="T670" t="s">
        <v>2383</v>
      </c>
      <c r="U670" s="8">
        <v>45958.434641203705</v>
      </c>
      <c r="V670" s="8">
        <v>45961.958333333336</v>
      </c>
      <c r="W670">
        <v>1</v>
      </c>
      <c r="X670">
        <v>2.2132291670000002</v>
      </c>
      <c r="Y670" t="s">
        <v>1352</v>
      </c>
      <c r="Z670" t="s">
        <v>8911</v>
      </c>
      <c r="AA670" t="s">
        <v>3923</v>
      </c>
      <c r="AB670" t="s">
        <v>1278</v>
      </c>
      <c r="AC670" t="s">
        <v>8912</v>
      </c>
      <c r="AD670" t="s">
        <v>2708</v>
      </c>
      <c r="AE670">
        <v>1</v>
      </c>
      <c r="AF670">
        <v>2</v>
      </c>
      <c r="AH670" t="s">
        <v>2723</v>
      </c>
      <c r="AI670" s="8">
        <v>45960.646458333336</v>
      </c>
      <c r="AK670" t="s">
        <v>2719</v>
      </c>
      <c r="AL670" t="s">
        <v>2724</v>
      </c>
      <c r="AO670" t="s">
        <v>2720</v>
      </c>
      <c r="AP670" t="s">
        <v>2401</v>
      </c>
    </row>
    <row r="671" spans="1:42">
      <c r="A671" t="s">
        <v>10221</v>
      </c>
      <c r="B671" t="s">
        <v>2377</v>
      </c>
      <c r="C671" t="s">
        <v>2390</v>
      </c>
      <c r="D671" t="s">
        <v>2379</v>
      </c>
      <c r="E671" t="s">
        <v>33</v>
      </c>
      <c r="F671" t="s">
        <v>3921</v>
      </c>
      <c r="G671" t="s">
        <v>33</v>
      </c>
      <c r="H671" t="b">
        <v>1</v>
      </c>
      <c r="I671" s="8">
        <v>45960.632187499999</v>
      </c>
      <c r="J671" t="s">
        <v>2380</v>
      </c>
      <c r="L671">
        <v>608029</v>
      </c>
      <c r="M671" t="s">
        <v>2381</v>
      </c>
      <c r="P671" t="s">
        <v>3936</v>
      </c>
      <c r="Q671" t="s">
        <v>2383</v>
      </c>
      <c r="R671">
        <v>1</v>
      </c>
      <c r="S671" t="s">
        <v>2380</v>
      </c>
      <c r="T671" t="s">
        <v>2383</v>
      </c>
      <c r="U671" s="8">
        <v>45958.43540509259</v>
      </c>
      <c r="V671" s="8">
        <v>45961.958333333336</v>
      </c>
      <c r="W671">
        <v>1</v>
      </c>
      <c r="X671">
        <v>2.1967824070000002</v>
      </c>
      <c r="Y671" t="s">
        <v>1352</v>
      </c>
      <c r="Z671" t="s">
        <v>10222</v>
      </c>
      <c r="AA671" t="s">
        <v>3923</v>
      </c>
      <c r="AB671" t="s">
        <v>1278</v>
      </c>
      <c r="AC671" t="s">
        <v>10223</v>
      </c>
      <c r="AE671">
        <v>1</v>
      </c>
      <c r="AH671" t="s">
        <v>24</v>
      </c>
      <c r="AI671" s="8">
        <v>45960.63077546296</v>
      </c>
      <c r="AK671" t="s">
        <v>2719</v>
      </c>
      <c r="AL671" t="s">
        <v>2719</v>
      </c>
      <c r="AO671" t="s">
        <v>2720</v>
      </c>
      <c r="AP671" t="s">
        <v>2401</v>
      </c>
    </row>
    <row r="672" spans="1:42">
      <c r="A672" t="s">
        <v>8687</v>
      </c>
      <c r="B672" t="s">
        <v>2389</v>
      </c>
      <c r="C672" t="s">
        <v>2390</v>
      </c>
      <c r="D672" t="s">
        <v>2379</v>
      </c>
      <c r="E672" t="s">
        <v>2601</v>
      </c>
      <c r="F672" t="s">
        <v>4897</v>
      </c>
      <c r="G672" t="s">
        <v>2601</v>
      </c>
      <c r="H672" t="b">
        <v>1</v>
      </c>
      <c r="I672" s="8">
        <v>45960.620752314811</v>
      </c>
      <c r="J672" t="s">
        <v>2380</v>
      </c>
      <c r="K672">
        <v>1205860</v>
      </c>
      <c r="L672">
        <v>602922</v>
      </c>
      <c r="M672" t="s">
        <v>2381</v>
      </c>
      <c r="P672" t="s">
        <v>2670</v>
      </c>
      <c r="Q672" t="s">
        <v>2383</v>
      </c>
      <c r="R672">
        <v>1</v>
      </c>
      <c r="S672" t="s">
        <v>2380</v>
      </c>
      <c r="T672" t="s">
        <v>2383</v>
      </c>
      <c r="U672" s="8">
        <v>45958.437858796293</v>
      </c>
      <c r="V672" s="8">
        <v>45961.958333333336</v>
      </c>
      <c r="W672">
        <v>1</v>
      </c>
      <c r="X672">
        <v>2.1828935189999998</v>
      </c>
      <c r="Y672" t="s">
        <v>4898</v>
      </c>
      <c r="Z672" t="s">
        <v>8688</v>
      </c>
      <c r="AA672" t="s">
        <v>8689</v>
      </c>
      <c r="AB672" t="s">
        <v>1278</v>
      </c>
      <c r="AC672" t="s">
        <v>8690</v>
      </c>
      <c r="AD672" t="s">
        <v>2708</v>
      </c>
      <c r="AE672">
        <v>1</v>
      </c>
      <c r="AO672" t="s">
        <v>2715</v>
      </c>
      <c r="AP672" t="s">
        <v>2401</v>
      </c>
    </row>
    <row r="673" spans="1:42">
      <c r="A673" t="s">
        <v>1052</v>
      </c>
      <c r="B673" t="s">
        <v>2377</v>
      </c>
      <c r="C673" t="s">
        <v>2390</v>
      </c>
      <c r="D673" t="s">
        <v>2379</v>
      </c>
      <c r="E673" t="s">
        <v>33</v>
      </c>
      <c r="F673" t="s">
        <v>3891</v>
      </c>
      <c r="G673" t="s">
        <v>33</v>
      </c>
      <c r="H673" t="b">
        <v>1</v>
      </c>
      <c r="I673" s="8">
        <v>45960.653078703705</v>
      </c>
      <c r="J673" t="s">
        <v>2380</v>
      </c>
      <c r="L673">
        <v>603640</v>
      </c>
      <c r="M673" t="s">
        <v>2381</v>
      </c>
      <c r="P673" t="s">
        <v>2704</v>
      </c>
      <c r="Q673" t="s">
        <v>2383</v>
      </c>
      <c r="R673">
        <v>1</v>
      </c>
      <c r="S673" t="s">
        <v>2380</v>
      </c>
      <c r="T673" t="s">
        <v>2383</v>
      </c>
      <c r="U673" s="8">
        <v>45958.464953703704</v>
      </c>
      <c r="V673" s="8">
        <v>45961.958333333336</v>
      </c>
      <c r="W673">
        <v>1</v>
      </c>
      <c r="X673">
        <v>2.1881249999999999</v>
      </c>
      <c r="Y673" t="s">
        <v>3892</v>
      </c>
      <c r="Z673" t="s">
        <v>8916</v>
      </c>
      <c r="AA673" t="s">
        <v>4926</v>
      </c>
      <c r="AB673" t="s">
        <v>1278</v>
      </c>
      <c r="AC673" t="s">
        <v>8917</v>
      </c>
      <c r="AD673" t="s">
        <v>2708</v>
      </c>
      <c r="AE673">
        <v>1</v>
      </c>
      <c r="AF673">
        <v>2</v>
      </c>
      <c r="AH673" t="s">
        <v>2723</v>
      </c>
      <c r="AI673" s="8">
        <v>45960.652361111112</v>
      </c>
      <c r="AK673" t="s">
        <v>2719</v>
      </c>
      <c r="AL673" t="s">
        <v>2724</v>
      </c>
      <c r="AO673" t="s">
        <v>2715</v>
      </c>
      <c r="AP673" t="s">
        <v>2401</v>
      </c>
    </row>
    <row r="674" spans="1:42">
      <c r="A674" t="s">
        <v>246</v>
      </c>
      <c r="B674" t="s">
        <v>2377</v>
      </c>
      <c r="C674" t="s">
        <v>2390</v>
      </c>
      <c r="D674" t="s">
        <v>2379</v>
      </c>
      <c r="E674" t="s">
        <v>33</v>
      </c>
      <c r="F674" t="s">
        <v>4897</v>
      </c>
      <c r="G674" t="s">
        <v>33</v>
      </c>
      <c r="H674" t="b">
        <v>1</v>
      </c>
      <c r="I674" s="8">
        <v>45960.654652777775</v>
      </c>
      <c r="J674" t="s">
        <v>2380</v>
      </c>
      <c r="L674">
        <v>609717</v>
      </c>
      <c r="M674" t="s">
        <v>2381</v>
      </c>
      <c r="P674" t="s">
        <v>2704</v>
      </c>
      <c r="Q674" t="s">
        <v>2383</v>
      </c>
      <c r="R674">
        <v>1</v>
      </c>
      <c r="S674" t="s">
        <v>2380</v>
      </c>
      <c r="T674" t="s">
        <v>2383</v>
      </c>
      <c r="U674" s="8">
        <v>45958.46670138889</v>
      </c>
      <c r="V674" s="8">
        <v>45961.958333333336</v>
      </c>
      <c r="W674">
        <v>1</v>
      </c>
      <c r="X674">
        <v>2.1879513890000002</v>
      </c>
      <c r="Y674" t="s">
        <v>4898</v>
      </c>
      <c r="Z674" t="s">
        <v>8918</v>
      </c>
      <c r="AA674" t="s">
        <v>8919</v>
      </c>
      <c r="AB674" t="s">
        <v>1278</v>
      </c>
      <c r="AC674" t="s">
        <v>8920</v>
      </c>
      <c r="AD674" t="s">
        <v>2708</v>
      </c>
      <c r="AE674">
        <v>1</v>
      </c>
      <c r="AF674">
        <v>2</v>
      </c>
      <c r="AH674" t="s">
        <v>2723</v>
      </c>
      <c r="AI674" s="8">
        <v>45960.653784722221</v>
      </c>
      <c r="AK674" t="s">
        <v>2719</v>
      </c>
      <c r="AL674" t="s">
        <v>2724</v>
      </c>
      <c r="AO674" t="s">
        <v>2715</v>
      </c>
      <c r="AP674" t="s">
        <v>2401</v>
      </c>
    </row>
    <row r="675" spans="1:42">
      <c r="A675" t="s">
        <v>1054</v>
      </c>
      <c r="B675" t="s">
        <v>2377</v>
      </c>
      <c r="C675" t="s">
        <v>2438</v>
      </c>
      <c r="D675" t="s">
        <v>2379</v>
      </c>
      <c r="E675" t="s">
        <v>33</v>
      </c>
      <c r="F675" t="s">
        <v>2409</v>
      </c>
      <c r="G675" t="s">
        <v>33</v>
      </c>
      <c r="H675" t="b">
        <v>1</v>
      </c>
      <c r="I675" s="8">
        <v>45959.372256944444</v>
      </c>
      <c r="J675" t="s">
        <v>2380</v>
      </c>
      <c r="L675">
        <v>608028</v>
      </c>
      <c r="M675" t="s">
        <v>2381</v>
      </c>
      <c r="P675" t="s">
        <v>2704</v>
      </c>
      <c r="Q675" t="s">
        <v>2383</v>
      </c>
      <c r="R675">
        <v>1</v>
      </c>
      <c r="S675" t="s">
        <v>2380</v>
      </c>
      <c r="T675" t="s">
        <v>2383</v>
      </c>
      <c r="U675" s="8">
        <v>45958.470254629632</v>
      </c>
      <c r="V675" s="8">
        <v>45961.958333333336</v>
      </c>
      <c r="W675">
        <v>1</v>
      </c>
      <c r="X675">
        <v>0.90200231500000005</v>
      </c>
      <c r="Y675" t="s">
        <v>2410</v>
      </c>
      <c r="Z675" t="s">
        <v>8813</v>
      </c>
      <c r="AA675" t="s">
        <v>8806</v>
      </c>
      <c r="AB675" t="s">
        <v>1278</v>
      </c>
      <c r="AC675" t="s">
        <v>8814</v>
      </c>
      <c r="AD675" t="s">
        <v>2708</v>
      </c>
      <c r="AE675">
        <v>1</v>
      </c>
      <c r="AH675" t="s">
        <v>2723</v>
      </c>
      <c r="AI675" s="8">
        <v>45958.706574074073</v>
      </c>
      <c r="AK675" t="s">
        <v>2719</v>
      </c>
      <c r="AL675" t="s">
        <v>2719</v>
      </c>
      <c r="AO675" t="s">
        <v>3644</v>
      </c>
      <c r="AP675" t="s">
        <v>2401</v>
      </c>
    </row>
    <row r="676" spans="1:42">
      <c r="A676" t="s">
        <v>1218</v>
      </c>
      <c r="B676" t="s">
        <v>2377</v>
      </c>
      <c r="C676" t="s">
        <v>2438</v>
      </c>
      <c r="D676" t="s">
        <v>2379</v>
      </c>
      <c r="E676" t="s">
        <v>33</v>
      </c>
      <c r="F676" t="s">
        <v>2409</v>
      </c>
      <c r="G676" t="s">
        <v>33</v>
      </c>
      <c r="H676" t="b">
        <v>1</v>
      </c>
      <c r="I676" s="8">
        <v>45959.372199074074</v>
      </c>
      <c r="J676" t="s">
        <v>2380</v>
      </c>
      <c r="L676">
        <v>608028</v>
      </c>
      <c r="M676" t="s">
        <v>2381</v>
      </c>
      <c r="P676" t="s">
        <v>2704</v>
      </c>
      <c r="Q676" t="s">
        <v>2383</v>
      </c>
      <c r="R676">
        <v>1</v>
      </c>
      <c r="S676" t="s">
        <v>2380</v>
      </c>
      <c r="T676" t="s">
        <v>2383</v>
      </c>
      <c r="U676" s="8">
        <v>45958.470636574071</v>
      </c>
      <c r="V676" s="8">
        <v>45961.958333333336</v>
      </c>
      <c r="W676">
        <v>1</v>
      </c>
      <c r="X676">
        <v>0.90156250000000004</v>
      </c>
      <c r="Y676" t="s">
        <v>2410</v>
      </c>
      <c r="Z676" t="s">
        <v>8815</v>
      </c>
      <c r="AA676" t="s">
        <v>8806</v>
      </c>
      <c r="AB676" t="s">
        <v>1278</v>
      </c>
      <c r="AC676" t="s">
        <v>8816</v>
      </c>
      <c r="AD676" t="s">
        <v>2708</v>
      </c>
      <c r="AE676">
        <v>1</v>
      </c>
      <c r="AH676" t="s">
        <v>2723</v>
      </c>
      <c r="AI676" s="8">
        <v>45958.706516203703</v>
      </c>
      <c r="AK676" t="s">
        <v>2719</v>
      </c>
      <c r="AL676" t="s">
        <v>2719</v>
      </c>
      <c r="AO676" t="s">
        <v>3644</v>
      </c>
      <c r="AP676" t="s">
        <v>2401</v>
      </c>
    </row>
    <row r="677" spans="1:42">
      <c r="A677" t="s">
        <v>805</v>
      </c>
      <c r="B677" t="s">
        <v>2377</v>
      </c>
      <c r="C677" t="s">
        <v>2438</v>
      </c>
      <c r="D677" t="s">
        <v>2379</v>
      </c>
      <c r="E677" t="s">
        <v>28</v>
      </c>
      <c r="F677" t="s">
        <v>3891</v>
      </c>
      <c r="G677" t="s">
        <v>28</v>
      </c>
      <c r="H677" t="b">
        <v>1</v>
      </c>
      <c r="I677" s="8">
        <v>45958.486145833333</v>
      </c>
      <c r="J677" t="s">
        <v>2380</v>
      </c>
      <c r="L677">
        <v>603779</v>
      </c>
      <c r="M677" t="s">
        <v>2381</v>
      </c>
      <c r="N677">
        <v>20</v>
      </c>
      <c r="P677" t="s">
        <v>2704</v>
      </c>
      <c r="Q677" t="s">
        <v>2383</v>
      </c>
      <c r="R677">
        <v>1</v>
      </c>
      <c r="S677" t="s">
        <v>2380</v>
      </c>
      <c r="T677" t="s">
        <v>2383</v>
      </c>
      <c r="U677" s="8">
        <v>45958.470856481479</v>
      </c>
      <c r="V677" s="8">
        <v>45961.958333333336</v>
      </c>
      <c r="W677">
        <v>1</v>
      </c>
      <c r="X677">
        <v>1.5289352000000001E-2</v>
      </c>
      <c r="Y677" t="s">
        <v>3892</v>
      </c>
      <c r="Z677" t="s">
        <v>8707</v>
      </c>
      <c r="AA677" t="s">
        <v>8708</v>
      </c>
      <c r="AB677" t="s">
        <v>1278</v>
      </c>
      <c r="AC677" t="s">
        <v>3066</v>
      </c>
      <c r="AD677" t="s">
        <v>2708</v>
      </c>
      <c r="AE677">
        <v>1</v>
      </c>
      <c r="AO677" t="s">
        <v>2715</v>
      </c>
      <c r="AP677" t="s">
        <v>2401</v>
      </c>
    </row>
    <row r="678" spans="1:42">
      <c r="A678" t="s">
        <v>812</v>
      </c>
      <c r="B678" t="s">
        <v>2377</v>
      </c>
      <c r="C678" t="s">
        <v>2438</v>
      </c>
      <c r="D678" t="s">
        <v>2379</v>
      </c>
      <c r="E678" t="s">
        <v>28</v>
      </c>
      <c r="F678" t="s">
        <v>3747</v>
      </c>
      <c r="G678" t="s">
        <v>28</v>
      </c>
      <c r="H678" t="b">
        <v>1</v>
      </c>
      <c r="I678" s="8">
        <v>45958.511435185188</v>
      </c>
      <c r="J678" t="s">
        <v>2380</v>
      </c>
      <c r="L678">
        <v>606849</v>
      </c>
      <c r="M678" t="s">
        <v>2381</v>
      </c>
      <c r="N678">
        <v>20</v>
      </c>
      <c r="P678" t="s">
        <v>2704</v>
      </c>
      <c r="Q678" t="s">
        <v>2383</v>
      </c>
      <c r="R678">
        <v>1</v>
      </c>
      <c r="S678" t="s">
        <v>2380</v>
      </c>
      <c r="T678" t="s">
        <v>2383</v>
      </c>
      <c r="U678" s="8">
        <v>45958.49622685185</v>
      </c>
      <c r="V678" s="8">
        <v>45961.958333333336</v>
      </c>
      <c r="W678">
        <v>1</v>
      </c>
      <c r="X678">
        <v>1.5208332999999999E-2</v>
      </c>
      <c r="Y678" t="s">
        <v>3748</v>
      </c>
      <c r="Z678" t="s">
        <v>8670</v>
      </c>
      <c r="AA678" t="s">
        <v>3755</v>
      </c>
      <c r="AB678" t="s">
        <v>1278</v>
      </c>
      <c r="AC678" t="s">
        <v>3066</v>
      </c>
      <c r="AD678" t="s">
        <v>2708</v>
      </c>
      <c r="AE678">
        <v>1</v>
      </c>
      <c r="AO678" t="s">
        <v>2712</v>
      </c>
      <c r="AP678" t="s">
        <v>2401</v>
      </c>
    </row>
    <row r="679" spans="1:42">
      <c r="A679" t="s">
        <v>607</v>
      </c>
      <c r="B679" t="s">
        <v>2377</v>
      </c>
      <c r="C679" t="s">
        <v>2438</v>
      </c>
      <c r="D679" t="s">
        <v>2379</v>
      </c>
      <c r="E679" t="s">
        <v>12</v>
      </c>
      <c r="F679" t="s">
        <v>5085</v>
      </c>
      <c r="G679" t="s">
        <v>12</v>
      </c>
      <c r="H679" t="b">
        <v>1</v>
      </c>
      <c r="I679" s="8">
        <v>45958.640659722223</v>
      </c>
      <c r="J679" t="s">
        <v>2380</v>
      </c>
      <c r="L679">
        <v>602945</v>
      </c>
      <c r="M679" t="s">
        <v>2381</v>
      </c>
      <c r="P679" t="s">
        <v>2704</v>
      </c>
      <c r="Q679" t="s">
        <v>2383</v>
      </c>
      <c r="R679">
        <v>1</v>
      </c>
      <c r="S679" t="s">
        <v>2380</v>
      </c>
      <c r="T679" t="s">
        <v>5117</v>
      </c>
      <c r="U679" s="8">
        <v>45958.531458333331</v>
      </c>
      <c r="V679" s="8">
        <v>45961.958333333336</v>
      </c>
      <c r="W679">
        <v>1</v>
      </c>
      <c r="X679">
        <v>0.109201389</v>
      </c>
      <c r="Y679" t="s">
        <v>5087</v>
      </c>
      <c r="Z679" t="s">
        <v>8724</v>
      </c>
      <c r="AA679" t="s">
        <v>5090</v>
      </c>
      <c r="AB679" t="s">
        <v>1278</v>
      </c>
      <c r="AC679" t="s">
        <v>8725</v>
      </c>
      <c r="AD679" t="s">
        <v>2708</v>
      </c>
      <c r="AE679">
        <v>1</v>
      </c>
      <c r="AO679" t="s">
        <v>2720</v>
      </c>
      <c r="AP679" t="s">
        <v>2401</v>
      </c>
    </row>
    <row r="680" spans="1:42">
      <c r="A680" t="s">
        <v>248</v>
      </c>
      <c r="B680" t="s">
        <v>2377</v>
      </c>
      <c r="C680" t="s">
        <v>2438</v>
      </c>
      <c r="D680" t="s">
        <v>2379</v>
      </c>
      <c r="E680" t="s">
        <v>33</v>
      </c>
      <c r="F680" t="s">
        <v>2588</v>
      </c>
      <c r="G680" t="s">
        <v>33</v>
      </c>
      <c r="H680" t="b">
        <v>1</v>
      </c>
      <c r="I680" s="8">
        <v>45959.372199074074</v>
      </c>
      <c r="J680" t="s">
        <v>2380</v>
      </c>
      <c r="L680">
        <v>603881</v>
      </c>
      <c r="M680" t="s">
        <v>2381</v>
      </c>
      <c r="N680">
        <v>40</v>
      </c>
      <c r="P680" t="s">
        <v>2704</v>
      </c>
      <c r="Q680" t="s">
        <v>2383</v>
      </c>
      <c r="R680">
        <v>1</v>
      </c>
      <c r="S680" t="s">
        <v>2380</v>
      </c>
      <c r="T680" t="s">
        <v>2383</v>
      </c>
      <c r="U680" s="8">
        <v>45958.541979166665</v>
      </c>
      <c r="V680" s="8">
        <v>45961.958333333336</v>
      </c>
      <c r="W680">
        <v>1</v>
      </c>
      <c r="X680">
        <v>0.83021990700000003</v>
      </c>
      <c r="Y680" t="s">
        <v>2579</v>
      </c>
      <c r="Z680" t="s">
        <v>8844</v>
      </c>
      <c r="AA680" t="s">
        <v>3950</v>
      </c>
      <c r="AB680" t="s">
        <v>1278</v>
      </c>
      <c r="AC680" t="s">
        <v>8845</v>
      </c>
      <c r="AD680" t="s">
        <v>2708</v>
      </c>
      <c r="AE680">
        <v>1</v>
      </c>
      <c r="AH680" t="s">
        <v>2723</v>
      </c>
      <c r="AI680" s="8">
        <v>45958.708136574074</v>
      </c>
      <c r="AK680" t="s">
        <v>2719</v>
      </c>
      <c r="AL680" t="s">
        <v>2719</v>
      </c>
      <c r="AO680" t="s">
        <v>2720</v>
      </c>
      <c r="AP680" t="s">
        <v>2401</v>
      </c>
    </row>
    <row r="681" spans="1:42">
      <c r="A681" t="s">
        <v>613</v>
      </c>
      <c r="B681" t="s">
        <v>2377</v>
      </c>
      <c r="C681" t="s">
        <v>2415</v>
      </c>
      <c r="D681" t="s">
        <v>2379</v>
      </c>
      <c r="E681" t="s">
        <v>33</v>
      </c>
      <c r="F681" t="s">
        <v>2588</v>
      </c>
      <c r="G681" t="s">
        <v>33</v>
      </c>
      <c r="H681" t="b">
        <v>1</v>
      </c>
      <c r="I681" s="8">
        <v>45960.377349537041</v>
      </c>
      <c r="J681" t="s">
        <v>2380</v>
      </c>
      <c r="L681">
        <v>609706</v>
      </c>
      <c r="M681" t="s">
        <v>2381</v>
      </c>
      <c r="P681" t="s">
        <v>8823</v>
      </c>
      <c r="Q681" t="s">
        <v>2383</v>
      </c>
      <c r="R681">
        <v>1</v>
      </c>
      <c r="S681" t="s">
        <v>2380</v>
      </c>
      <c r="T681" t="s">
        <v>2383</v>
      </c>
      <c r="U681" s="8">
        <v>45958.552581018521</v>
      </c>
      <c r="V681" s="8">
        <v>45961.958333333336</v>
      </c>
      <c r="W681">
        <v>1</v>
      </c>
      <c r="X681">
        <v>1.824768519</v>
      </c>
      <c r="Y681" t="s">
        <v>2579</v>
      </c>
      <c r="Z681" t="s">
        <v>8824</v>
      </c>
      <c r="AA681" t="s">
        <v>8825</v>
      </c>
      <c r="AB681" t="s">
        <v>1278</v>
      </c>
      <c r="AC681" t="s">
        <v>8826</v>
      </c>
      <c r="AD681" t="s">
        <v>2708</v>
      </c>
      <c r="AE681">
        <v>1</v>
      </c>
      <c r="AH681" t="s">
        <v>2723</v>
      </c>
      <c r="AI681" s="8">
        <v>45959.689687500002</v>
      </c>
      <c r="AK681" t="s">
        <v>2719</v>
      </c>
      <c r="AL681" t="s">
        <v>2719</v>
      </c>
      <c r="AO681" t="s">
        <v>3644</v>
      </c>
      <c r="AP681" t="s">
        <v>2401</v>
      </c>
    </row>
    <row r="682" spans="1:42">
      <c r="A682" t="s">
        <v>252</v>
      </c>
      <c r="B682" t="s">
        <v>2377</v>
      </c>
      <c r="C682" t="s">
        <v>2438</v>
      </c>
      <c r="D682" t="s">
        <v>2379</v>
      </c>
      <c r="E682" t="s">
        <v>25</v>
      </c>
      <c r="F682" t="s">
        <v>3891</v>
      </c>
      <c r="G682" t="s">
        <v>25</v>
      </c>
      <c r="H682" t="b">
        <v>1</v>
      </c>
      <c r="I682" s="8">
        <v>45958.584988425922</v>
      </c>
      <c r="J682" t="s">
        <v>2380</v>
      </c>
      <c r="L682">
        <v>603381</v>
      </c>
      <c r="M682" t="s">
        <v>2381</v>
      </c>
      <c r="N682">
        <v>10</v>
      </c>
      <c r="P682" t="s">
        <v>2704</v>
      </c>
      <c r="Q682" t="s">
        <v>2383</v>
      </c>
      <c r="R682">
        <v>1</v>
      </c>
      <c r="S682" t="s">
        <v>2380</v>
      </c>
      <c r="T682" t="s">
        <v>2383</v>
      </c>
      <c r="U682" s="8">
        <v>45958.557430555556</v>
      </c>
      <c r="V682" s="8">
        <v>45961.958333333336</v>
      </c>
      <c r="W682">
        <v>1</v>
      </c>
      <c r="X682">
        <v>2.7557870000000002E-2</v>
      </c>
      <c r="Y682" t="s">
        <v>3892</v>
      </c>
      <c r="Z682" t="s">
        <v>8694</v>
      </c>
      <c r="AA682" t="s">
        <v>2714</v>
      </c>
      <c r="AB682" t="s">
        <v>1278</v>
      </c>
      <c r="AC682" t="s">
        <v>2387</v>
      </c>
      <c r="AD682" t="s">
        <v>2708</v>
      </c>
      <c r="AE682">
        <v>1</v>
      </c>
      <c r="AO682" t="s">
        <v>2715</v>
      </c>
      <c r="AP682" t="s">
        <v>2401</v>
      </c>
    </row>
    <row r="683" spans="1:42">
      <c r="A683" t="s">
        <v>250</v>
      </c>
      <c r="B683" t="s">
        <v>2377</v>
      </c>
      <c r="C683" t="s">
        <v>2438</v>
      </c>
      <c r="D683" t="s">
        <v>2379</v>
      </c>
      <c r="E683" t="s">
        <v>25</v>
      </c>
      <c r="F683" t="s">
        <v>3249</v>
      </c>
      <c r="G683" t="s">
        <v>25</v>
      </c>
      <c r="H683" t="b">
        <v>1</v>
      </c>
      <c r="I683" s="8">
        <v>45958.579016203701</v>
      </c>
      <c r="J683" t="s">
        <v>2380</v>
      </c>
      <c r="L683">
        <v>602303</v>
      </c>
      <c r="M683" t="s">
        <v>2381</v>
      </c>
      <c r="N683">
        <v>10</v>
      </c>
      <c r="P683" t="s">
        <v>2704</v>
      </c>
      <c r="Q683" t="s">
        <v>2383</v>
      </c>
      <c r="R683">
        <v>1</v>
      </c>
      <c r="S683" t="s">
        <v>2380</v>
      </c>
      <c r="T683" t="s">
        <v>2383</v>
      </c>
      <c r="U683" s="8">
        <v>45958.562777777777</v>
      </c>
      <c r="V683" s="8">
        <v>45961.958333333336</v>
      </c>
      <c r="W683">
        <v>1</v>
      </c>
      <c r="X683">
        <v>1.6238426E-2</v>
      </c>
      <c r="Y683" t="s">
        <v>3250</v>
      </c>
      <c r="Z683" t="s">
        <v>4535</v>
      </c>
      <c r="AA683" t="s">
        <v>3253</v>
      </c>
      <c r="AB683" t="s">
        <v>1278</v>
      </c>
      <c r="AC683" t="s">
        <v>2387</v>
      </c>
      <c r="AD683" t="s">
        <v>2708</v>
      </c>
      <c r="AE683">
        <v>1</v>
      </c>
      <c r="AO683" t="s">
        <v>2388</v>
      </c>
      <c r="AP683" t="s">
        <v>2401</v>
      </c>
    </row>
    <row r="684" spans="1:42">
      <c r="A684" t="s">
        <v>1222</v>
      </c>
      <c r="B684" t="s">
        <v>2377</v>
      </c>
      <c r="C684" t="s">
        <v>2415</v>
      </c>
      <c r="D684" t="s">
        <v>2379</v>
      </c>
      <c r="E684" t="s">
        <v>25</v>
      </c>
      <c r="F684" t="s">
        <v>2627</v>
      </c>
      <c r="G684" t="s">
        <v>25</v>
      </c>
      <c r="H684" t="b">
        <v>1</v>
      </c>
      <c r="I684" s="8">
        <v>45959.739120370374</v>
      </c>
      <c r="J684" t="s">
        <v>2380</v>
      </c>
      <c r="L684">
        <v>609739</v>
      </c>
      <c r="M684" t="s">
        <v>2381</v>
      </c>
      <c r="N684">
        <v>5</v>
      </c>
      <c r="P684" t="s">
        <v>2704</v>
      </c>
      <c r="Q684" t="s">
        <v>2383</v>
      </c>
      <c r="R684">
        <v>1</v>
      </c>
      <c r="S684" t="s">
        <v>2380</v>
      </c>
      <c r="T684" t="s">
        <v>2383</v>
      </c>
      <c r="U684" s="8">
        <v>45958.60050925926</v>
      </c>
      <c r="V684" s="8">
        <v>45961.958333333336</v>
      </c>
      <c r="W684">
        <v>1</v>
      </c>
      <c r="X684">
        <v>1.1386111109999999</v>
      </c>
      <c r="Y684" t="s">
        <v>2628</v>
      </c>
      <c r="Z684" t="s">
        <v>8558</v>
      </c>
      <c r="AA684" t="s">
        <v>8549</v>
      </c>
      <c r="AB684" t="s">
        <v>1278</v>
      </c>
      <c r="AC684" t="s">
        <v>2387</v>
      </c>
      <c r="AD684" t="s">
        <v>2708</v>
      </c>
      <c r="AE684">
        <v>1</v>
      </c>
      <c r="AO684" t="s">
        <v>3586</v>
      </c>
      <c r="AP684" t="s">
        <v>2401</v>
      </c>
    </row>
    <row r="685" spans="1:42">
      <c r="A685" t="s">
        <v>298</v>
      </c>
      <c r="B685" t="s">
        <v>2377</v>
      </c>
      <c r="C685" t="s">
        <v>2415</v>
      </c>
      <c r="D685" t="s">
        <v>2379</v>
      </c>
      <c r="E685" t="s">
        <v>25</v>
      </c>
      <c r="F685" t="s">
        <v>4112</v>
      </c>
      <c r="G685" t="s">
        <v>25</v>
      </c>
      <c r="H685" t="b">
        <v>1</v>
      </c>
      <c r="I685" s="8">
        <v>45959.741956018515</v>
      </c>
      <c r="J685" t="s">
        <v>2380</v>
      </c>
      <c r="L685">
        <v>605042</v>
      </c>
      <c r="M685" t="s">
        <v>2381</v>
      </c>
      <c r="N685">
        <v>5</v>
      </c>
      <c r="P685" t="s">
        <v>2704</v>
      </c>
      <c r="Q685" t="s">
        <v>2383</v>
      </c>
      <c r="R685">
        <v>1</v>
      </c>
      <c r="S685" t="s">
        <v>2380</v>
      </c>
      <c r="T685" t="s">
        <v>2383</v>
      </c>
      <c r="U685" s="8">
        <v>45958.60733796296</v>
      </c>
      <c r="V685" s="8">
        <v>45961.958333333336</v>
      </c>
      <c r="W685">
        <v>1</v>
      </c>
      <c r="X685">
        <v>1.1346180560000001</v>
      </c>
      <c r="Y685" t="s">
        <v>3901</v>
      </c>
      <c r="Z685" t="s">
        <v>8713</v>
      </c>
      <c r="AA685" t="s">
        <v>8714</v>
      </c>
      <c r="AB685" t="s">
        <v>1278</v>
      </c>
      <c r="AC685" t="s">
        <v>2387</v>
      </c>
      <c r="AD685" t="s">
        <v>2708</v>
      </c>
      <c r="AE685">
        <v>1</v>
      </c>
      <c r="AO685" t="s">
        <v>2715</v>
      </c>
      <c r="AP685" t="s">
        <v>2401</v>
      </c>
    </row>
    <row r="686" spans="1:42">
      <c r="A686" t="s">
        <v>998</v>
      </c>
      <c r="B686" t="s">
        <v>2377</v>
      </c>
      <c r="C686" t="s">
        <v>2438</v>
      </c>
      <c r="D686" t="s">
        <v>2379</v>
      </c>
      <c r="E686" t="s">
        <v>28</v>
      </c>
      <c r="F686" t="s">
        <v>3891</v>
      </c>
      <c r="G686" t="s">
        <v>28</v>
      </c>
      <c r="H686" t="b">
        <v>1</v>
      </c>
      <c r="I686" s="8">
        <v>45958.672847222224</v>
      </c>
      <c r="J686" t="s">
        <v>2380</v>
      </c>
      <c r="L686">
        <v>609793</v>
      </c>
      <c r="M686" t="s">
        <v>2381</v>
      </c>
      <c r="N686">
        <v>15</v>
      </c>
      <c r="P686" t="s">
        <v>2704</v>
      </c>
      <c r="Q686" t="s">
        <v>2383</v>
      </c>
      <c r="R686">
        <v>1</v>
      </c>
      <c r="S686" t="s">
        <v>2380</v>
      </c>
      <c r="T686" t="s">
        <v>2383</v>
      </c>
      <c r="U686" s="8">
        <v>45958.649247685185</v>
      </c>
      <c r="V686" s="8">
        <v>45961.958333333336</v>
      </c>
      <c r="W686">
        <v>1</v>
      </c>
      <c r="X686">
        <v>2.3599537E-2</v>
      </c>
      <c r="Y686" t="s">
        <v>3892</v>
      </c>
      <c r="Z686" t="s">
        <v>8699</v>
      </c>
      <c r="AA686" t="s">
        <v>8700</v>
      </c>
      <c r="AB686" t="s">
        <v>1278</v>
      </c>
      <c r="AC686" t="s">
        <v>4548</v>
      </c>
      <c r="AD686" t="s">
        <v>2708</v>
      </c>
      <c r="AE686">
        <v>1</v>
      </c>
      <c r="AO686" t="s">
        <v>2715</v>
      </c>
      <c r="AP686" t="s">
        <v>2401</v>
      </c>
    </row>
    <row r="687" spans="1:42">
      <c r="A687" t="s">
        <v>685</v>
      </c>
      <c r="B687" t="s">
        <v>2377</v>
      </c>
      <c r="C687" t="s">
        <v>2415</v>
      </c>
      <c r="D687" t="s">
        <v>2379</v>
      </c>
      <c r="E687" t="s">
        <v>33</v>
      </c>
      <c r="F687" t="s">
        <v>2402</v>
      </c>
      <c r="G687" t="s">
        <v>33</v>
      </c>
      <c r="H687" t="b">
        <v>1</v>
      </c>
      <c r="I687" s="8">
        <v>45960.632256944446</v>
      </c>
      <c r="J687" t="s">
        <v>2380</v>
      </c>
      <c r="L687">
        <v>606856</v>
      </c>
      <c r="M687" t="s">
        <v>2381</v>
      </c>
      <c r="P687" t="s">
        <v>2704</v>
      </c>
      <c r="Q687" t="s">
        <v>2383</v>
      </c>
      <c r="R687">
        <v>1</v>
      </c>
      <c r="S687" t="s">
        <v>2380</v>
      </c>
      <c r="T687" t="s">
        <v>2383</v>
      </c>
      <c r="U687" s="8">
        <v>45959.381099537037</v>
      </c>
      <c r="V687" s="8">
        <v>45964.958333333336</v>
      </c>
      <c r="W687">
        <v>1</v>
      </c>
      <c r="X687">
        <v>1.251157407</v>
      </c>
      <c r="Y687" t="s">
        <v>2403</v>
      </c>
      <c r="Z687" t="s">
        <v>8739</v>
      </c>
      <c r="AA687" t="s">
        <v>2758</v>
      </c>
      <c r="AB687" t="s">
        <v>1278</v>
      </c>
      <c r="AC687" t="s">
        <v>2746</v>
      </c>
      <c r="AD687" t="s">
        <v>2708</v>
      </c>
      <c r="AE687">
        <v>1</v>
      </c>
      <c r="AH687" t="s">
        <v>24</v>
      </c>
      <c r="AI687" s="8">
        <v>45960.63144675926</v>
      </c>
      <c r="AK687" t="s">
        <v>2719</v>
      </c>
      <c r="AL687" t="s">
        <v>2719</v>
      </c>
      <c r="AO687" t="s">
        <v>2408</v>
      </c>
      <c r="AP687" t="s">
        <v>2401</v>
      </c>
    </row>
    <row r="688" spans="1:42">
      <c r="A688" t="s">
        <v>1129</v>
      </c>
      <c r="B688" t="s">
        <v>2377</v>
      </c>
      <c r="C688" t="s">
        <v>2415</v>
      </c>
      <c r="D688" t="s">
        <v>2379</v>
      </c>
      <c r="E688" t="s">
        <v>33</v>
      </c>
      <c r="F688" t="s">
        <v>4141</v>
      </c>
      <c r="G688" t="s">
        <v>33</v>
      </c>
      <c r="H688" t="b">
        <v>1</v>
      </c>
      <c r="I688" s="8">
        <v>45960.630833333336</v>
      </c>
      <c r="J688" t="s">
        <v>2380</v>
      </c>
      <c r="L688">
        <v>605168</v>
      </c>
      <c r="M688" t="s">
        <v>2381</v>
      </c>
      <c r="P688" t="s">
        <v>2704</v>
      </c>
      <c r="Q688" t="s">
        <v>2383</v>
      </c>
      <c r="R688">
        <v>1</v>
      </c>
      <c r="S688" t="s">
        <v>2380</v>
      </c>
      <c r="T688" t="s">
        <v>2383</v>
      </c>
      <c r="U688" s="8">
        <v>45959.408865740741</v>
      </c>
      <c r="V688" s="8">
        <v>45964.958333333336</v>
      </c>
      <c r="W688">
        <v>1</v>
      </c>
      <c r="X688">
        <v>1.221967593</v>
      </c>
      <c r="Y688" t="s">
        <v>4142</v>
      </c>
      <c r="Z688" t="s">
        <v>8778</v>
      </c>
      <c r="AA688" t="s">
        <v>8779</v>
      </c>
      <c r="AB688" t="s">
        <v>1278</v>
      </c>
      <c r="AC688" t="s">
        <v>2746</v>
      </c>
      <c r="AD688" t="s">
        <v>2708</v>
      </c>
      <c r="AE688">
        <v>1</v>
      </c>
      <c r="AH688" t="s">
        <v>24</v>
      </c>
      <c r="AI688" s="8">
        <v>45960.628148148149</v>
      </c>
      <c r="AK688" t="s">
        <v>2719</v>
      </c>
      <c r="AL688" t="s">
        <v>2719</v>
      </c>
      <c r="AO688" t="s">
        <v>2957</v>
      </c>
      <c r="AP688" t="s">
        <v>2401</v>
      </c>
    </row>
    <row r="689" spans="1:42">
      <c r="A689" t="s">
        <v>1117</v>
      </c>
      <c r="B689" t="s">
        <v>2377</v>
      </c>
      <c r="C689" t="s">
        <v>2438</v>
      </c>
      <c r="D689" t="s">
        <v>2379</v>
      </c>
      <c r="E689" t="s">
        <v>28</v>
      </c>
      <c r="F689" t="s">
        <v>2578</v>
      </c>
      <c r="G689" t="s">
        <v>28</v>
      </c>
      <c r="H689" t="b">
        <v>1</v>
      </c>
      <c r="I689" s="8">
        <v>45960.408587962964</v>
      </c>
      <c r="J689" t="s">
        <v>2380</v>
      </c>
      <c r="L689">
        <v>603645</v>
      </c>
      <c r="M689" t="s">
        <v>2381</v>
      </c>
      <c r="N689">
        <v>15</v>
      </c>
      <c r="P689" t="s">
        <v>3659</v>
      </c>
      <c r="Q689" t="s">
        <v>2383</v>
      </c>
      <c r="R689">
        <v>1</v>
      </c>
      <c r="S689" t="s">
        <v>2380</v>
      </c>
      <c r="T689" t="s">
        <v>2383</v>
      </c>
      <c r="U689" s="8">
        <v>45959.433831018519</v>
      </c>
      <c r="V689" s="8">
        <v>45964.958333333336</v>
      </c>
      <c r="W689">
        <v>1</v>
      </c>
      <c r="X689">
        <v>0.97475694400000001</v>
      </c>
      <c r="Y689" t="s">
        <v>2579</v>
      </c>
      <c r="Z689" t="s">
        <v>8614</v>
      </c>
      <c r="AA689" t="s">
        <v>3661</v>
      </c>
      <c r="AB689" t="s">
        <v>1278</v>
      </c>
      <c r="AC689" t="s">
        <v>8615</v>
      </c>
      <c r="AD689" t="s">
        <v>2708</v>
      </c>
      <c r="AE689">
        <v>1</v>
      </c>
      <c r="AO689" t="s">
        <v>3644</v>
      </c>
      <c r="AP689" t="s">
        <v>2401</v>
      </c>
    </row>
    <row r="690" spans="1:42">
      <c r="A690" t="s">
        <v>296</v>
      </c>
      <c r="B690" t="s">
        <v>2377</v>
      </c>
      <c r="C690" t="s">
        <v>2438</v>
      </c>
      <c r="D690" t="s">
        <v>2379</v>
      </c>
      <c r="E690" t="s">
        <v>25</v>
      </c>
      <c r="F690" t="s">
        <v>3891</v>
      </c>
      <c r="G690" t="s">
        <v>25</v>
      </c>
      <c r="H690" t="b">
        <v>1</v>
      </c>
      <c r="I690" s="8">
        <v>45959.700185185182</v>
      </c>
      <c r="J690" t="s">
        <v>2380</v>
      </c>
      <c r="L690">
        <v>603381</v>
      </c>
      <c r="M690" t="s">
        <v>2381</v>
      </c>
      <c r="N690">
        <v>10</v>
      </c>
      <c r="P690" t="s">
        <v>2704</v>
      </c>
      <c r="Q690" t="s">
        <v>2383</v>
      </c>
      <c r="R690">
        <v>1</v>
      </c>
      <c r="S690" t="s">
        <v>2380</v>
      </c>
      <c r="T690" t="s">
        <v>2383</v>
      </c>
      <c r="U690" s="8">
        <v>45959.505335648151</v>
      </c>
      <c r="V690" s="8">
        <v>45964.958333333336</v>
      </c>
      <c r="W690">
        <v>1</v>
      </c>
      <c r="X690">
        <v>0.19484953699999999</v>
      </c>
      <c r="Y690" t="s">
        <v>3892</v>
      </c>
      <c r="Z690" t="s">
        <v>8695</v>
      </c>
      <c r="AA690" t="s">
        <v>2714</v>
      </c>
      <c r="AB690" t="s">
        <v>1278</v>
      </c>
      <c r="AC690" t="s">
        <v>2387</v>
      </c>
      <c r="AD690" t="s">
        <v>2708</v>
      </c>
      <c r="AE690">
        <v>1</v>
      </c>
      <c r="AO690" t="s">
        <v>2715</v>
      </c>
      <c r="AP690" t="s">
        <v>2401</v>
      </c>
    </row>
    <row r="691" spans="1:42">
      <c r="A691" t="s">
        <v>1088</v>
      </c>
      <c r="B691" t="s">
        <v>2377</v>
      </c>
      <c r="C691" t="s">
        <v>2438</v>
      </c>
      <c r="D691" t="s">
        <v>2379</v>
      </c>
      <c r="E691" t="s">
        <v>33</v>
      </c>
      <c r="F691" t="s">
        <v>2409</v>
      </c>
      <c r="G691" t="s">
        <v>33</v>
      </c>
      <c r="H691" t="b">
        <v>1</v>
      </c>
      <c r="I691" s="8">
        <v>45960.37740740741</v>
      </c>
      <c r="J691" t="s">
        <v>2380</v>
      </c>
      <c r="L691">
        <v>608028</v>
      </c>
      <c r="M691" t="s">
        <v>2381</v>
      </c>
      <c r="P691" t="s">
        <v>2704</v>
      </c>
      <c r="Q691" t="s">
        <v>2383</v>
      </c>
      <c r="R691">
        <v>1</v>
      </c>
      <c r="S691" t="s">
        <v>2380</v>
      </c>
      <c r="T691" t="s">
        <v>2383</v>
      </c>
      <c r="U691" s="8">
        <v>45959.586111111108</v>
      </c>
      <c r="V691" s="8">
        <v>45964.958333333336</v>
      </c>
      <c r="W691">
        <v>1</v>
      </c>
      <c r="X691">
        <v>0.79129629599999995</v>
      </c>
      <c r="Y691" t="s">
        <v>2410</v>
      </c>
      <c r="Z691" t="s">
        <v>8817</v>
      </c>
      <c r="AA691" t="s">
        <v>8806</v>
      </c>
      <c r="AB691" t="s">
        <v>1278</v>
      </c>
      <c r="AC691" t="s">
        <v>8818</v>
      </c>
      <c r="AD691" t="s">
        <v>2708</v>
      </c>
      <c r="AE691">
        <v>1</v>
      </c>
      <c r="AH691" t="s">
        <v>2723</v>
      </c>
      <c r="AI691" s="8">
        <v>45959.689560185187</v>
      </c>
      <c r="AK691" t="s">
        <v>2719</v>
      </c>
      <c r="AL691" t="s">
        <v>2719</v>
      </c>
      <c r="AO691" t="s">
        <v>3644</v>
      </c>
      <c r="AP691" t="s">
        <v>2401</v>
      </c>
    </row>
    <row r="692" spans="1:42">
      <c r="A692" t="s">
        <v>8905</v>
      </c>
      <c r="B692" t="s">
        <v>2377</v>
      </c>
      <c r="C692" t="s">
        <v>2415</v>
      </c>
      <c r="D692" t="s">
        <v>2379</v>
      </c>
      <c r="E692" t="s">
        <v>33</v>
      </c>
      <c r="F692" t="s">
        <v>2588</v>
      </c>
      <c r="G692" t="s">
        <v>33</v>
      </c>
      <c r="H692" t="b">
        <v>1</v>
      </c>
      <c r="I692" s="8">
        <v>45960.662233796298</v>
      </c>
      <c r="J692" t="s">
        <v>2380</v>
      </c>
      <c r="L692">
        <v>603616</v>
      </c>
      <c r="M692" t="s">
        <v>2381</v>
      </c>
      <c r="P692" t="s">
        <v>2704</v>
      </c>
      <c r="Q692" t="s">
        <v>2383</v>
      </c>
      <c r="R692">
        <v>1</v>
      </c>
      <c r="S692" t="s">
        <v>2380</v>
      </c>
      <c r="T692" t="s">
        <v>2383</v>
      </c>
      <c r="U692" s="8">
        <v>45959.621562499997</v>
      </c>
      <c r="V692" s="8">
        <v>45964.958333333336</v>
      </c>
      <c r="W692">
        <v>1</v>
      </c>
      <c r="X692">
        <v>1.040671296</v>
      </c>
      <c r="Y692" t="s">
        <v>2579</v>
      </c>
      <c r="Z692" t="s">
        <v>8906</v>
      </c>
      <c r="AA692" t="s">
        <v>3643</v>
      </c>
      <c r="AB692" t="s">
        <v>1278</v>
      </c>
      <c r="AC692" t="s">
        <v>2387</v>
      </c>
      <c r="AD692" t="s">
        <v>2708</v>
      </c>
      <c r="AE692">
        <v>1</v>
      </c>
      <c r="AF692">
        <v>2</v>
      </c>
      <c r="AH692" t="s">
        <v>2723</v>
      </c>
      <c r="AI692" s="8">
        <v>45960.65730324074</v>
      </c>
      <c r="AK692" t="s">
        <v>2719</v>
      </c>
      <c r="AL692" t="s">
        <v>2724</v>
      </c>
      <c r="AO692" t="s">
        <v>3644</v>
      </c>
      <c r="AP692" t="s">
        <v>2401</v>
      </c>
    </row>
    <row r="693" spans="1:42">
      <c r="A693" t="s">
        <v>1220</v>
      </c>
      <c r="B693" t="s">
        <v>2377</v>
      </c>
      <c r="C693" t="s">
        <v>2438</v>
      </c>
      <c r="D693" t="s">
        <v>2379</v>
      </c>
      <c r="E693" t="s">
        <v>18</v>
      </c>
      <c r="F693" t="s">
        <v>3747</v>
      </c>
      <c r="G693" t="s">
        <v>2416</v>
      </c>
      <c r="H693" t="b">
        <v>1</v>
      </c>
      <c r="I693" s="8">
        <v>45959.714212962965</v>
      </c>
      <c r="J693" t="s">
        <v>2380</v>
      </c>
      <c r="L693">
        <v>601522</v>
      </c>
      <c r="M693" t="s">
        <v>2381</v>
      </c>
      <c r="P693" t="s">
        <v>2704</v>
      </c>
      <c r="Q693" t="s">
        <v>2383</v>
      </c>
      <c r="R693">
        <v>1</v>
      </c>
      <c r="S693" t="s">
        <v>2380</v>
      </c>
      <c r="T693" t="s">
        <v>2383</v>
      </c>
      <c r="U693" s="8">
        <v>45959.692719907405</v>
      </c>
      <c r="V693" s="8">
        <v>45964.958333333336</v>
      </c>
      <c r="W693">
        <v>1</v>
      </c>
      <c r="X693">
        <v>2.1493056E-2</v>
      </c>
      <c r="Y693" t="s">
        <v>3748</v>
      </c>
      <c r="Z693" t="s">
        <v>8639</v>
      </c>
      <c r="AA693" t="s">
        <v>8640</v>
      </c>
      <c r="AB693" t="s">
        <v>1278</v>
      </c>
      <c r="AC693" t="s">
        <v>2978</v>
      </c>
      <c r="AD693" t="s">
        <v>2708</v>
      </c>
      <c r="AE693">
        <v>1</v>
      </c>
      <c r="AO693" t="s">
        <v>2712</v>
      </c>
      <c r="AP693" t="s">
        <v>2401</v>
      </c>
    </row>
    <row r="694" spans="1:42">
      <c r="A694" t="s">
        <v>8701</v>
      </c>
      <c r="B694" t="s">
        <v>2377</v>
      </c>
      <c r="C694" t="s">
        <v>2438</v>
      </c>
      <c r="D694" t="s">
        <v>2379</v>
      </c>
      <c r="E694" t="s">
        <v>28</v>
      </c>
      <c r="F694" t="s">
        <v>3891</v>
      </c>
      <c r="G694" t="s">
        <v>28</v>
      </c>
      <c r="H694" t="b">
        <v>1</v>
      </c>
      <c r="I694" s="8">
        <v>45960.603900462964</v>
      </c>
      <c r="J694" t="s">
        <v>2380</v>
      </c>
      <c r="L694">
        <v>603640</v>
      </c>
      <c r="M694" t="s">
        <v>2381</v>
      </c>
      <c r="N694">
        <v>15</v>
      </c>
      <c r="P694" t="s">
        <v>2704</v>
      </c>
      <c r="Q694" t="s">
        <v>2383</v>
      </c>
      <c r="R694">
        <v>1</v>
      </c>
      <c r="S694" t="s">
        <v>2380</v>
      </c>
      <c r="T694" t="s">
        <v>2383</v>
      </c>
      <c r="U694" s="8">
        <v>45960.592164351852</v>
      </c>
      <c r="V694" s="8">
        <v>45965.958333333336</v>
      </c>
      <c r="W694">
        <v>1</v>
      </c>
      <c r="X694">
        <v>1.1736111E-2</v>
      </c>
      <c r="Y694" t="s">
        <v>3892</v>
      </c>
      <c r="Z694" t="s">
        <v>8702</v>
      </c>
      <c r="AA694" t="s">
        <v>4926</v>
      </c>
      <c r="AB694" t="s">
        <v>1278</v>
      </c>
      <c r="AC694" t="s">
        <v>3066</v>
      </c>
      <c r="AD694" t="s">
        <v>2708</v>
      </c>
      <c r="AE694">
        <v>1</v>
      </c>
      <c r="AO694" t="s">
        <v>2715</v>
      </c>
      <c r="AP694" t="s">
        <v>2401</v>
      </c>
    </row>
    <row r="695" spans="1:42">
      <c r="A695" t="s">
        <v>4826</v>
      </c>
      <c r="B695" t="s">
        <v>2377</v>
      </c>
      <c r="C695" t="s">
        <v>2438</v>
      </c>
      <c r="D695" t="s">
        <v>2379</v>
      </c>
      <c r="E695" t="s">
        <v>28</v>
      </c>
      <c r="F695" t="s">
        <v>3472</v>
      </c>
      <c r="G695" t="s">
        <v>28</v>
      </c>
      <c r="H695" t="b">
        <v>1</v>
      </c>
      <c r="I695" s="8">
        <v>45960.619201388887</v>
      </c>
      <c r="J695" t="s">
        <v>2380</v>
      </c>
      <c r="L695">
        <v>609747</v>
      </c>
      <c r="M695" t="s">
        <v>2381</v>
      </c>
      <c r="N695">
        <v>15</v>
      </c>
      <c r="P695" t="s">
        <v>2704</v>
      </c>
      <c r="Q695" t="s">
        <v>2383</v>
      </c>
      <c r="R695">
        <v>1</v>
      </c>
      <c r="S695" t="s">
        <v>2380</v>
      </c>
      <c r="T695" t="s">
        <v>2383</v>
      </c>
      <c r="U695" s="8">
        <v>45960.605833333335</v>
      </c>
      <c r="V695" s="8">
        <v>45965.958333333336</v>
      </c>
      <c r="W695">
        <v>1</v>
      </c>
      <c r="X695">
        <v>1.3368056E-2</v>
      </c>
      <c r="Y695" t="s">
        <v>3473</v>
      </c>
      <c r="Z695" t="s">
        <v>4827</v>
      </c>
      <c r="AA695" t="s">
        <v>3476</v>
      </c>
      <c r="AB695" t="s">
        <v>1278</v>
      </c>
      <c r="AC695" t="s">
        <v>3076</v>
      </c>
      <c r="AD695" t="s">
        <v>2708</v>
      </c>
      <c r="AE695">
        <v>1</v>
      </c>
      <c r="AO695" t="s">
        <v>2957</v>
      </c>
      <c r="AP695" t="s">
        <v>2401</v>
      </c>
    </row>
    <row r="696" spans="1:42">
      <c r="A696" t="s">
        <v>8353</v>
      </c>
      <c r="B696" t="s">
        <v>2377</v>
      </c>
      <c r="C696" t="s">
        <v>2438</v>
      </c>
      <c r="D696" t="s">
        <v>2379</v>
      </c>
      <c r="E696" t="s">
        <v>28</v>
      </c>
      <c r="F696" t="s">
        <v>3301</v>
      </c>
      <c r="G696" t="s">
        <v>28</v>
      </c>
      <c r="H696" t="b">
        <v>1</v>
      </c>
      <c r="I696" s="8">
        <v>45960.630462962959</v>
      </c>
      <c r="J696" t="s">
        <v>2380</v>
      </c>
      <c r="L696">
        <v>606875</v>
      </c>
      <c r="M696" t="s">
        <v>2381</v>
      </c>
      <c r="N696">
        <v>20</v>
      </c>
      <c r="P696" t="s">
        <v>2704</v>
      </c>
      <c r="Q696" t="s">
        <v>2383</v>
      </c>
      <c r="R696">
        <v>1</v>
      </c>
      <c r="S696" t="s">
        <v>2380</v>
      </c>
      <c r="T696" t="s">
        <v>2383</v>
      </c>
      <c r="U696" s="8">
        <v>45960.618877314817</v>
      </c>
      <c r="V696" s="8">
        <v>45965.958333333336</v>
      </c>
      <c r="W696">
        <v>1</v>
      </c>
      <c r="X696">
        <v>1.1585648E-2</v>
      </c>
      <c r="Y696" t="s">
        <v>3302</v>
      </c>
      <c r="Z696" t="s">
        <v>8354</v>
      </c>
      <c r="AA696" t="s">
        <v>3470</v>
      </c>
      <c r="AB696" t="s">
        <v>1278</v>
      </c>
      <c r="AC696" t="s">
        <v>3066</v>
      </c>
      <c r="AD696" t="s">
        <v>2708</v>
      </c>
      <c r="AE696">
        <v>1</v>
      </c>
      <c r="AO696" t="s">
        <v>2957</v>
      </c>
      <c r="AP696" t="s">
        <v>2401</v>
      </c>
    </row>
    <row r="697" spans="1:42">
      <c r="A697" t="s">
        <v>8711</v>
      </c>
      <c r="B697" t="s">
        <v>2377</v>
      </c>
      <c r="C697" t="s">
        <v>2438</v>
      </c>
      <c r="D697" t="s">
        <v>2379</v>
      </c>
      <c r="E697" t="s">
        <v>28</v>
      </c>
      <c r="F697" t="s">
        <v>4897</v>
      </c>
      <c r="G697" t="s">
        <v>28</v>
      </c>
      <c r="H697" t="b">
        <v>1</v>
      </c>
      <c r="I697" s="8">
        <v>45960.659108796295</v>
      </c>
      <c r="J697" t="s">
        <v>2380</v>
      </c>
      <c r="L697">
        <v>603929</v>
      </c>
      <c r="M697" t="s">
        <v>2381</v>
      </c>
      <c r="N697">
        <v>20</v>
      </c>
      <c r="P697" t="s">
        <v>2704</v>
      </c>
      <c r="Q697" t="s">
        <v>2383</v>
      </c>
      <c r="R697">
        <v>1</v>
      </c>
      <c r="S697" t="s">
        <v>2380</v>
      </c>
      <c r="T697" t="s">
        <v>2383</v>
      </c>
      <c r="U697" s="8">
        <v>45960.648125</v>
      </c>
      <c r="V697" s="8">
        <v>45965.958333333336</v>
      </c>
      <c r="W697">
        <v>1</v>
      </c>
      <c r="X697">
        <v>1.0983796000000001E-2</v>
      </c>
      <c r="Y697" t="s">
        <v>4898</v>
      </c>
      <c r="Z697" t="s">
        <v>8712</v>
      </c>
      <c r="AA697" t="s">
        <v>5025</v>
      </c>
      <c r="AB697" t="s">
        <v>1278</v>
      </c>
      <c r="AC697" t="s">
        <v>3066</v>
      </c>
      <c r="AD697" t="s">
        <v>2708</v>
      </c>
      <c r="AE697">
        <v>1</v>
      </c>
      <c r="AO697" t="s">
        <v>2715</v>
      </c>
      <c r="AP697" t="s">
        <v>2401</v>
      </c>
    </row>
    <row r="698" spans="1:42">
      <c r="A698" t="s">
        <v>10194</v>
      </c>
      <c r="B698" t="s">
        <v>2377</v>
      </c>
      <c r="C698" t="s">
        <v>2438</v>
      </c>
      <c r="D698" t="s">
        <v>2379</v>
      </c>
      <c r="E698" t="s">
        <v>2416</v>
      </c>
      <c r="F698" t="s">
        <v>3891</v>
      </c>
      <c r="G698" t="s">
        <v>2416</v>
      </c>
      <c r="H698" t="b">
        <v>1</v>
      </c>
      <c r="I698" s="8">
        <v>45960.752013888887</v>
      </c>
      <c r="J698" t="s">
        <v>2380</v>
      </c>
      <c r="L698">
        <v>609793</v>
      </c>
      <c r="M698" t="s">
        <v>2381</v>
      </c>
      <c r="P698" t="s">
        <v>2704</v>
      </c>
      <c r="Q698" t="s">
        <v>2383</v>
      </c>
      <c r="R698">
        <v>1</v>
      </c>
      <c r="S698" t="s">
        <v>2380</v>
      </c>
      <c r="T698" t="s">
        <v>2383</v>
      </c>
      <c r="U698" s="8">
        <v>45960.727951388886</v>
      </c>
      <c r="V698" s="8">
        <v>45965.958333333336</v>
      </c>
      <c r="W698">
        <v>1</v>
      </c>
      <c r="X698">
        <v>2.4062500000000001E-2</v>
      </c>
      <c r="Y698" t="s">
        <v>3892</v>
      </c>
      <c r="Z698" t="s">
        <v>10195</v>
      </c>
      <c r="AA698" t="s">
        <v>8700</v>
      </c>
      <c r="AB698" t="s">
        <v>1278</v>
      </c>
      <c r="AC698" t="s">
        <v>10196</v>
      </c>
      <c r="AE698">
        <v>1</v>
      </c>
      <c r="AO698" t="s">
        <v>2715</v>
      </c>
      <c r="AP698" t="s">
        <v>2401</v>
      </c>
    </row>
    <row r="699" spans="1:42">
      <c r="A699" t="s">
        <v>1020</v>
      </c>
      <c r="B699" t="s">
        <v>2377</v>
      </c>
      <c r="C699" t="s">
        <v>2691</v>
      </c>
      <c r="D699" t="s">
        <v>2379</v>
      </c>
      <c r="E699" t="s">
        <v>33</v>
      </c>
      <c r="F699" t="s">
        <v>2402</v>
      </c>
      <c r="G699" t="s">
        <v>33</v>
      </c>
      <c r="H699" t="b">
        <v>1</v>
      </c>
      <c r="I699" s="8">
        <v>45947.615798611114</v>
      </c>
      <c r="J699" t="s">
        <v>2380</v>
      </c>
      <c r="L699">
        <v>605277</v>
      </c>
      <c r="M699" t="s">
        <v>2381</v>
      </c>
      <c r="P699" t="s">
        <v>2704</v>
      </c>
      <c r="Q699" t="s">
        <v>2383</v>
      </c>
      <c r="R699">
        <v>1</v>
      </c>
      <c r="S699" t="s">
        <v>2380</v>
      </c>
      <c r="T699" t="s">
        <v>2383</v>
      </c>
      <c r="U699" s="8">
        <v>45895.449976851851</v>
      </c>
      <c r="V699" s="8">
        <v>45950.958333333336</v>
      </c>
      <c r="W699">
        <v>1</v>
      </c>
      <c r="X699">
        <v>38.165821759000004</v>
      </c>
      <c r="Y699" t="s">
        <v>2403</v>
      </c>
      <c r="Z699" t="s">
        <v>9308</v>
      </c>
      <c r="AA699" t="s">
        <v>4226</v>
      </c>
      <c r="AB699" t="s">
        <v>1278</v>
      </c>
      <c r="AC699" t="s">
        <v>9309</v>
      </c>
      <c r="AD699" t="s">
        <v>2708</v>
      </c>
      <c r="AE699">
        <v>1</v>
      </c>
      <c r="AF699">
        <v>2</v>
      </c>
      <c r="AH699" t="s">
        <v>2723</v>
      </c>
      <c r="AI699" s="8">
        <v>45947.614791666667</v>
      </c>
      <c r="AK699" t="s">
        <v>2719</v>
      </c>
      <c r="AL699" t="s">
        <v>2724</v>
      </c>
      <c r="AO699" t="s">
        <v>2408</v>
      </c>
      <c r="AP699" t="s">
        <v>2401</v>
      </c>
    </row>
    <row r="700" spans="1:42">
      <c r="A700" t="s">
        <v>336</v>
      </c>
      <c r="B700" t="s">
        <v>2377</v>
      </c>
      <c r="C700" t="s">
        <v>2691</v>
      </c>
      <c r="D700" t="s">
        <v>2379</v>
      </c>
      <c r="E700" t="s">
        <v>18</v>
      </c>
      <c r="F700" t="s">
        <v>2588</v>
      </c>
      <c r="G700" t="s">
        <v>2416</v>
      </c>
      <c r="H700" t="b">
        <v>1</v>
      </c>
      <c r="I700" s="8">
        <v>45933.406712962962</v>
      </c>
      <c r="J700" t="s">
        <v>2380</v>
      </c>
      <c r="L700">
        <v>603959</v>
      </c>
      <c r="M700" t="s">
        <v>2381</v>
      </c>
      <c r="P700" t="s">
        <v>2589</v>
      </c>
      <c r="Q700" t="s">
        <v>2383</v>
      </c>
      <c r="R700">
        <v>1</v>
      </c>
      <c r="S700" t="s">
        <v>2380</v>
      </c>
      <c r="T700" t="s">
        <v>2383</v>
      </c>
      <c r="U700" s="8">
        <v>45911.331226851849</v>
      </c>
      <c r="V700" s="8">
        <v>45933.958333333336</v>
      </c>
      <c r="W700">
        <v>1</v>
      </c>
      <c r="X700">
        <v>16.075486111</v>
      </c>
      <c r="Y700" t="s">
        <v>2579</v>
      </c>
      <c r="Z700" t="s">
        <v>6575</v>
      </c>
      <c r="AA700" t="s">
        <v>2592</v>
      </c>
      <c r="AB700" t="s">
        <v>1278</v>
      </c>
      <c r="AC700" t="s">
        <v>6576</v>
      </c>
      <c r="AD700" t="s">
        <v>2708</v>
      </c>
      <c r="AE700">
        <v>1</v>
      </c>
      <c r="AO700" t="s">
        <v>2388</v>
      </c>
      <c r="AP700" t="s">
        <v>2401</v>
      </c>
    </row>
    <row r="701" spans="1:42">
      <c r="A701" t="s">
        <v>9612</v>
      </c>
      <c r="B701" t="s">
        <v>2389</v>
      </c>
      <c r="C701" t="s">
        <v>2691</v>
      </c>
      <c r="D701" t="s">
        <v>2379</v>
      </c>
      <c r="E701" t="s">
        <v>2452</v>
      </c>
      <c r="F701" t="s">
        <v>2627</v>
      </c>
      <c r="G701" t="s">
        <v>2452</v>
      </c>
      <c r="H701" t="b">
        <v>1</v>
      </c>
      <c r="I701" s="8">
        <v>45951.417349537034</v>
      </c>
      <c r="J701" t="s">
        <v>2380</v>
      </c>
      <c r="K701">
        <v>1203717</v>
      </c>
      <c r="L701">
        <v>609563</v>
      </c>
      <c r="M701" t="s">
        <v>2381</v>
      </c>
      <c r="P701" t="s">
        <v>9611</v>
      </c>
      <c r="Q701" t="s">
        <v>2383</v>
      </c>
      <c r="R701">
        <v>1</v>
      </c>
      <c r="S701" t="s">
        <v>2380</v>
      </c>
      <c r="T701" t="s">
        <v>2383</v>
      </c>
      <c r="U701" s="8">
        <v>45915.409768518519</v>
      </c>
      <c r="V701" s="8">
        <v>45954.958333333336</v>
      </c>
      <c r="W701">
        <v>1</v>
      </c>
      <c r="X701">
        <v>26.007581019</v>
      </c>
      <c r="Y701" t="s">
        <v>2628</v>
      </c>
      <c r="Z701" t="s">
        <v>9613</v>
      </c>
      <c r="AA701" t="s">
        <v>9614</v>
      </c>
      <c r="AB701" t="s">
        <v>1278</v>
      </c>
      <c r="AC701" t="s">
        <v>9615</v>
      </c>
      <c r="AD701" t="s">
        <v>2708</v>
      </c>
      <c r="AE701">
        <v>1</v>
      </c>
      <c r="AO701" t="s">
        <v>3586</v>
      </c>
      <c r="AP701" t="s">
        <v>2401</v>
      </c>
    </row>
    <row r="702" spans="1:42">
      <c r="A702" t="s">
        <v>7386</v>
      </c>
      <c r="B702" t="s">
        <v>2389</v>
      </c>
      <c r="C702" t="s">
        <v>2443</v>
      </c>
      <c r="D702" t="s">
        <v>2443</v>
      </c>
      <c r="E702" t="s">
        <v>25</v>
      </c>
      <c r="F702" t="s">
        <v>2588</v>
      </c>
      <c r="G702" t="s">
        <v>25</v>
      </c>
      <c r="H702" t="b">
        <v>1</v>
      </c>
      <c r="I702" s="8">
        <v>45950.398298611108</v>
      </c>
      <c r="J702" t="s">
        <v>2380</v>
      </c>
      <c r="K702">
        <v>1203502</v>
      </c>
      <c r="L702">
        <v>602147</v>
      </c>
      <c r="M702" t="s">
        <v>2381</v>
      </c>
      <c r="N702">
        <v>5</v>
      </c>
      <c r="P702" t="s">
        <v>7385</v>
      </c>
      <c r="Q702" t="s">
        <v>2383</v>
      </c>
      <c r="R702">
        <v>1</v>
      </c>
      <c r="S702" t="s">
        <v>2380</v>
      </c>
      <c r="T702" t="s">
        <v>2383</v>
      </c>
      <c r="U702" s="8">
        <v>45915.412152777775</v>
      </c>
      <c r="V702" s="8">
        <v>45947.958333333336</v>
      </c>
      <c r="W702">
        <v>1</v>
      </c>
      <c r="X702">
        <v>24.986145832999998</v>
      </c>
      <c r="Y702" t="s">
        <v>2579</v>
      </c>
      <c r="Z702" t="s">
        <v>7387</v>
      </c>
      <c r="AA702" t="s">
        <v>7388</v>
      </c>
      <c r="AB702" t="s">
        <v>1278</v>
      </c>
      <c r="AC702" t="s">
        <v>7389</v>
      </c>
      <c r="AD702" t="s">
        <v>2708</v>
      </c>
      <c r="AE702">
        <v>1</v>
      </c>
      <c r="AO702" t="s">
        <v>2388</v>
      </c>
      <c r="AP702" t="s">
        <v>2401</v>
      </c>
    </row>
    <row r="703" spans="1:42">
      <c r="A703" t="s">
        <v>1676</v>
      </c>
      <c r="B703" t="s">
        <v>2389</v>
      </c>
      <c r="C703" t="s">
        <v>2691</v>
      </c>
      <c r="D703" t="s">
        <v>2379</v>
      </c>
      <c r="E703" t="s">
        <v>12</v>
      </c>
      <c r="F703" t="s">
        <v>3735</v>
      </c>
      <c r="G703" t="s">
        <v>12</v>
      </c>
      <c r="H703" t="b">
        <v>1</v>
      </c>
      <c r="I703" s="8">
        <v>45943.579016203701</v>
      </c>
      <c r="J703" t="s">
        <v>2380</v>
      </c>
      <c r="K703">
        <v>1201940</v>
      </c>
      <c r="L703">
        <v>601379</v>
      </c>
      <c r="M703" t="s">
        <v>2381</v>
      </c>
      <c r="P703" t="s">
        <v>3736</v>
      </c>
      <c r="Q703" t="s">
        <v>2383</v>
      </c>
      <c r="R703">
        <v>1</v>
      </c>
      <c r="S703" t="s">
        <v>2380</v>
      </c>
      <c r="T703" t="s">
        <v>2383</v>
      </c>
      <c r="U703" s="8">
        <v>45916.449780092589</v>
      </c>
      <c r="V703" s="8">
        <v>45943.958333333336</v>
      </c>
      <c r="W703">
        <v>1</v>
      </c>
      <c r="X703">
        <v>19.129236111000001</v>
      </c>
      <c r="Y703" t="s">
        <v>1352</v>
      </c>
      <c r="Z703" t="s">
        <v>3976</v>
      </c>
      <c r="AA703" t="s">
        <v>3738</v>
      </c>
      <c r="AB703" t="s">
        <v>1278</v>
      </c>
      <c r="AC703" t="s">
        <v>3977</v>
      </c>
      <c r="AD703" t="s">
        <v>2708</v>
      </c>
      <c r="AE703">
        <v>1</v>
      </c>
      <c r="AO703" t="s">
        <v>2720</v>
      </c>
      <c r="AP703" t="s">
        <v>2401</v>
      </c>
    </row>
    <row r="704" spans="1:42">
      <c r="A704" t="s">
        <v>338</v>
      </c>
      <c r="B704" t="s">
        <v>2377</v>
      </c>
      <c r="C704" t="s">
        <v>2691</v>
      </c>
      <c r="D704" t="s">
        <v>2379</v>
      </c>
      <c r="E704" t="s">
        <v>2416</v>
      </c>
      <c r="F704" t="s">
        <v>3747</v>
      </c>
      <c r="G704" t="s">
        <v>2416</v>
      </c>
      <c r="H704" t="b">
        <v>1</v>
      </c>
      <c r="I704" s="8">
        <v>45936.596446759257</v>
      </c>
      <c r="J704" t="s">
        <v>2380</v>
      </c>
      <c r="L704">
        <v>601299</v>
      </c>
      <c r="M704" t="s">
        <v>2381</v>
      </c>
      <c r="P704" t="s">
        <v>2704</v>
      </c>
      <c r="Q704" t="s">
        <v>2383</v>
      </c>
      <c r="R704">
        <v>1</v>
      </c>
      <c r="S704" t="s">
        <v>2380</v>
      </c>
      <c r="T704" t="s">
        <v>2383</v>
      </c>
      <c r="U704" s="8">
        <v>45916.717962962961</v>
      </c>
      <c r="V704" s="8">
        <v>45936.958333333336</v>
      </c>
      <c r="W704">
        <v>1</v>
      </c>
      <c r="X704">
        <v>13.878483795999999</v>
      </c>
      <c r="Y704" t="s">
        <v>3748</v>
      </c>
      <c r="Z704" t="s">
        <v>9242</v>
      </c>
      <c r="AA704" t="s">
        <v>3758</v>
      </c>
      <c r="AB704" t="s">
        <v>1278</v>
      </c>
      <c r="AC704" t="s">
        <v>9243</v>
      </c>
      <c r="AD704" t="s">
        <v>2708</v>
      </c>
      <c r="AE704">
        <v>1</v>
      </c>
      <c r="AH704" t="s">
        <v>33</v>
      </c>
      <c r="AI704" s="8">
        <v>45936.580023148148</v>
      </c>
      <c r="AK704" t="s">
        <v>2719</v>
      </c>
      <c r="AL704" t="s">
        <v>2719</v>
      </c>
      <c r="AO704" t="s">
        <v>2712</v>
      </c>
      <c r="AP704" t="s">
        <v>2401</v>
      </c>
    </row>
    <row r="705" spans="1:42">
      <c r="A705" t="s">
        <v>757</v>
      </c>
      <c r="B705" t="s">
        <v>2377</v>
      </c>
      <c r="C705" t="s">
        <v>2691</v>
      </c>
      <c r="D705" t="s">
        <v>2379</v>
      </c>
      <c r="E705" t="s">
        <v>12</v>
      </c>
      <c r="F705" t="s">
        <v>4141</v>
      </c>
      <c r="G705" t="s">
        <v>12</v>
      </c>
      <c r="H705" t="b">
        <v>1</v>
      </c>
      <c r="I705" s="8">
        <v>45933.496053240742</v>
      </c>
      <c r="J705" t="s">
        <v>2380</v>
      </c>
      <c r="L705">
        <v>605017</v>
      </c>
      <c r="M705" t="s">
        <v>2381</v>
      </c>
      <c r="P705" t="s">
        <v>2704</v>
      </c>
      <c r="Q705" t="s">
        <v>2383</v>
      </c>
      <c r="R705">
        <v>1</v>
      </c>
      <c r="S705" t="s">
        <v>2380</v>
      </c>
      <c r="T705" t="s">
        <v>2383</v>
      </c>
      <c r="U705" s="8">
        <v>45917.450821759259</v>
      </c>
      <c r="V705" s="8">
        <v>45933.958333333336</v>
      </c>
      <c r="W705">
        <v>1</v>
      </c>
      <c r="X705">
        <v>12.045231481</v>
      </c>
      <c r="Y705" t="s">
        <v>4142</v>
      </c>
      <c r="Z705" t="s">
        <v>7499</v>
      </c>
      <c r="AA705" t="s">
        <v>7500</v>
      </c>
      <c r="AB705" t="s">
        <v>1278</v>
      </c>
      <c r="AC705" t="s">
        <v>7501</v>
      </c>
      <c r="AD705" t="s">
        <v>2708</v>
      </c>
      <c r="AE705">
        <v>1</v>
      </c>
      <c r="AO705" t="s">
        <v>2957</v>
      </c>
      <c r="AP705" t="s">
        <v>2401</v>
      </c>
    </row>
    <row r="706" spans="1:42">
      <c r="A706" t="s">
        <v>1966</v>
      </c>
      <c r="B706" t="s">
        <v>2377</v>
      </c>
      <c r="C706" t="s">
        <v>2691</v>
      </c>
      <c r="D706" t="s">
        <v>2379</v>
      </c>
      <c r="E706" t="s">
        <v>2416</v>
      </c>
      <c r="F706" t="s">
        <v>3213</v>
      </c>
      <c r="G706" t="s">
        <v>2416</v>
      </c>
      <c r="H706" t="b">
        <v>1</v>
      </c>
      <c r="I706" s="8">
        <v>45938.760995370372</v>
      </c>
      <c r="J706" t="s">
        <v>2380</v>
      </c>
      <c r="L706">
        <v>603358</v>
      </c>
      <c r="M706" t="s">
        <v>2381</v>
      </c>
      <c r="P706" t="s">
        <v>2704</v>
      </c>
      <c r="Q706" t="s">
        <v>2383</v>
      </c>
      <c r="R706">
        <v>1</v>
      </c>
      <c r="S706" t="s">
        <v>2380</v>
      </c>
      <c r="T706" t="s">
        <v>2383</v>
      </c>
      <c r="U706" s="8">
        <v>45917.693715277775</v>
      </c>
      <c r="V706" s="8">
        <v>45943.958333333336</v>
      </c>
      <c r="W706">
        <v>1</v>
      </c>
      <c r="X706">
        <v>15.067280093000001</v>
      </c>
      <c r="Y706" t="s">
        <v>3214</v>
      </c>
      <c r="Z706" t="s">
        <v>3228</v>
      </c>
      <c r="AA706" t="s">
        <v>2302</v>
      </c>
      <c r="AB706" t="s">
        <v>1278</v>
      </c>
      <c r="AC706" t="s">
        <v>3229</v>
      </c>
      <c r="AE706">
        <v>1</v>
      </c>
      <c r="AO706" t="s">
        <v>2388</v>
      </c>
      <c r="AP706" t="s">
        <v>2401</v>
      </c>
    </row>
    <row r="707" spans="1:42">
      <c r="A707" t="s">
        <v>2215</v>
      </c>
      <c r="B707" t="s">
        <v>2389</v>
      </c>
      <c r="C707" t="s">
        <v>2691</v>
      </c>
      <c r="D707" t="s">
        <v>2379</v>
      </c>
      <c r="E707" t="s">
        <v>2452</v>
      </c>
      <c r="F707" t="s">
        <v>3747</v>
      </c>
      <c r="G707" t="s">
        <v>2452</v>
      </c>
      <c r="H707" t="b">
        <v>1</v>
      </c>
      <c r="I707" s="8">
        <v>45932.596226851849</v>
      </c>
      <c r="J707" t="s">
        <v>2380</v>
      </c>
      <c r="K707">
        <v>1199939</v>
      </c>
      <c r="L707">
        <v>601454</v>
      </c>
      <c r="M707" t="s">
        <v>2381</v>
      </c>
      <c r="P707" t="s">
        <v>3896</v>
      </c>
      <c r="Q707" t="s">
        <v>2383</v>
      </c>
      <c r="R707">
        <v>1</v>
      </c>
      <c r="S707" t="s">
        <v>2380</v>
      </c>
      <c r="T707" t="s">
        <v>2383</v>
      </c>
      <c r="U707" s="8">
        <v>45918.632974537039</v>
      </c>
      <c r="V707" s="8">
        <v>45937.958333333336</v>
      </c>
      <c r="W707">
        <v>1</v>
      </c>
      <c r="X707">
        <v>9.9632523150000001</v>
      </c>
      <c r="Y707" t="s">
        <v>3748</v>
      </c>
      <c r="Z707" t="s">
        <v>4092</v>
      </c>
      <c r="AA707" t="s">
        <v>4083</v>
      </c>
      <c r="AB707" t="s">
        <v>1278</v>
      </c>
      <c r="AC707" t="s">
        <v>4093</v>
      </c>
      <c r="AD707" t="s">
        <v>2708</v>
      </c>
      <c r="AE707">
        <v>1</v>
      </c>
      <c r="AO707" t="s">
        <v>2712</v>
      </c>
      <c r="AP707" t="s">
        <v>2401</v>
      </c>
    </row>
    <row r="708" spans="1:42">
      <c r="A708" t="s">
        <v>2109</v>
      </c>
      <c r="B708" t="s">
        <v>2389</v>
      </c>
      <c r="C708" t="s">
        <v>2691</v>
      </c>
      <c r="D708" t="s">
        <v>2379</v>
      </c>
      <c r="E708" t="s">
        <v>2452</v>
      </c>
      <c r="F708" t="s">
        <v>3747</v>
      </c>
      <c r="G708" t="s">
        <v>2452</v>
      </c>
      <c r="H708" t="b">
        <v>1</v>
      </c>
      <c r="I708" s="8">
        <v>45936.528136574074</v>
      </c>
      <c r="J708" t="s">
        <v>2380</v>
      </c>
      <c r="K708">
        <v>1200352</v>
      </c>
      <c r="L708">
        <v>601527</v>
      </c>
      <c r="M708" t="s">
        <v>2381</v>
      </c>
      <c r="P708" t="s">
        <v>4089</v>
      </c>
      <c r="Q708" t="s">
        <v>2383</v>
      </c>
      <c r="R708">
        <v>1</v>
      </c>
      <c r="S708" t="s">
        <v>2380</v>
      </c>
      <c r="T708" t="s">
        <v>2383</v>
      </c>
      <c r="U708" s="8">
        <v>45918.680868055555</v>
      </c>
      <c r="V708" s="8">
        <v>45939.958333333336</v>
      </c>
      <c r="W708">
        <v>1</v>
      </c>
      <c r="X708">
        <v>11.847268519</v>
      </c>
      <c r="Y708" t="s">
        <v>3748</v>
      </c>
      <c r="Z708" t="s">
        <v>4090</v>
      </c>
      <c r="AA708" t="s">
        <v>3815</v>
      </c>
      <c r="AB708" t="s">
        <v>1278</v>
      </c>
      <c r="AC708" t="s">
        <v>4091</v>
      </c>
      <c r="AD708" t="s">
        <v>2708</v>
      </c>
      <c r="AE708">
        <v>1</v>
      </c>
      <c r="AO708" t="s">
        <v>2712</v>
      </c>
      <c r="AP708" t="s">
        <v>2401</v>
      </c>
    </row>
    <row r="709" spans="1:42">
      <c r="A709" t="s">
        <v>750</v>
      </c>
      <c r="B709" t="s">
        <v>2377</v>
      </c>
      <c r="C709" t="s">
        <v>2691</v>
      </c>
      <c r="D709" t="s">
        <v>2379</v>
      </c>
      <c r="E709" t="s">
        <v>25</v>
      </c>
      <c r="F709" t="s">
        <v>3339</v>
      </c>
      <c r="G709" t="s">
        <v>25</v>
      </c>
      <c r="H709" t="b">
        <v>1</v>
      </c>
      <c r="I709" s="8">
        <v>45931.671493055554</v>
      </c>
      <c r="J709" t="s">
        <v>2380</v>
      </c>
      <c r="L709">
        <v>605117</v>
      </c>
      <c r="M709" t="s">
        <v>2381</v>
      </c>
      <c r="N709">
        <v>20</v>
      </c>
      <c r="P709" t="s">
        <v>3477</v>
      </c>
      <c r="Q709" t="s">
        <v>2383</v>
      </c>
      <c r="R709">
        <v>1</v>
      </c>
      <c r="S709" t="s">
        <v>2380</v>
      </c>
      <c r="T709" t="s">
        <v>2383</v>
      </c>
      <c r="U709" s="8">
        <v>45919.495671296296</v>
      </c>
      <c r="V709" s="8">
        <v>45932.958333333336</v>
      </c>
      <c r="W709">
        <v>1</v>
      </c>
      <c r="X709">
        <v>8.1758217589999997</v>
      </c>
      <c r="Y709" t="s">
        <v>3340</v>
      </c>
      <c r="Z709" t="s">
        <v>7963</v>
      </c>
      <c r="AA709" t="s">
        <v>3484</v>
      </c>
      <c r="AB709" t="s">
        <v>1278</v>
      </c>
      <c r="AC709" t="s">
        <v>2387</v>
      </c>
      <c r="AD709" t="s">
        <v>2708</v>
      </c>
      <c r="AE709">
        <v>1</v>
      </c>
      <c r="AO709" t="s">
        <v>2957</v>
      </c>
      <c r="AP709" t="s">
        <v>2401</v>
      </c>
    </row>
    <row r="710" spans="1:42">
      <c r="A710" t="s">
        <v>2128</v>
      </c>
      <c r="B710" t="s">
        <v>2389</v>
      </c>
      <c r="C710" t="s">
        <v>2691</v>
      </c>
      <c r="D710" t="s">
        <v>2379</v>
      </c>
      <c r="E710" t="s">
        <v>2452</v>
      </c>
      <c r="F710" t="s">
        <v>2578</v>
      </c>
      <c r="G710" t="s">
        <v>2452</v>
      </c>
      <c r="H710" t="b">
        <v>1</v>
      </c>
      <c r="I710" s="8">
        <v>45936.362581018519</v>
      </c>
      <c r="J710" t="s">
        <v>2380</v>
      </c>
      <c r="K710">
        <v>1200244</v>
      </c>
      <c r="L710">
        <v>602598</v>
      </c>
      <c r="M710" t="s">
        <v>2381</v>
      </c>
      <c r="P710" t="s">
        <v>7458</v>
      </c>
      <c r="Q710" t="s">
        <v>2383</v>
      </c>
      <c r="R710">
        <v>1</v>
      </c>
      <c r="S710" t="s">
        <v>2380</v>
      </c>
      <c r="T710" t="s">
        <v>2383</v>
      </c>
      <c r="U710" s="8">
        <v>45922.535995370374</v>
      </c>
      <c r="V710" s="8">
        <v>45939.958333333336</v>
      </c>
      <c r="W710">
        <v>1</v>
      </c>
      <c r="X710">
        <v>9.826585648</v>
      </c>
      <c r="Y710" t="s">
        <v>2579</v>
      </c>
      <c r="Z710" t="s">
        <v>7842</v>
      </c>
      <c r="AA710" t="s">
        <v>7460</v>
      </c>
      <c r="AB710" t="s">
        <v>1278</v>
      </c>
      <c r="AC710" t="s">
        <v>7843</v>
      </c>
      <c r="AD710" t="s">
        <v>2708</v>
      </c>
      <c r="AE710">
        <v>1</v>
      </c>
      <c r="AO710" t="s">
        <v>2957</v>
      </c>
      <c r="AP710" t="s">
        <v>2401</v>
      </c>
    </row>
    <row r="711" spans="1:42">
      <c r="A711" t="s">
        <v>1698</v>
      </c>
      <c r="B711" t="s">
        <v>2389</v>
      </c>
      <c r="C711" t="s">
        <v>2691</v>
      </c>
      <c r="D711" t="s">
        <v>2379</v>
      </c>
      <c r="E711" t="s">
        <v>2452</v>
      </c>
      <c r="F711" t="s">
        <v>2578</v>
      </c>
      <c r="G711" t="s">
        <v>2452</v>
      </c>
      <c r="H711" t="b">
        <v>1</v>
      </c>
      <c r="I711" s="8">
        <v>45943.454606481479</v>
      </c>
      <c r="J711" t="s">
        <v>2380</v>
      </c>
      <c r="L711">
        <v>602598</v>
      </c>
      <c r="M711" t="s">
        <v>2381</v>
      </c>
      <c r="P711" t="s">
        <v>7458</v>
      </c>
      <c r="Q711" t="s">
        <v>2383</v>
      </c>
      <c r="R711">
        <v>1</v>
      </c>
      <c r="S711" t="s">
        <v>2380</v>
      </c>
      <c r="T711" t="s">
        <v>2383</v>
      </c>
      <c r="U711" s="8">
        <v>45922.536643518521</v>
      </c>
      <c r="V711" s="8">
        <v>45943.958333333336</v>
      </c>
      <c r="W711">
        <v>1</v>
      </c>
      <c r="X711">
        <v>14.917962963000001</v>
      </c>
      <c r="Y711" t="s">
        <v>2579</v>
      </c>
      <c r="Z711" t="s">
        <v>10121</v>
      </c>
      <c r="AA711" t="s">
        <v>7460</v>
      </c>
      <c r="AB711" t="s">
        <v>1278</v>
      </c>
      <c r="AC711" t="s">
        <v>10122</v>
      </c>
      <c r="AE711">
        <v>1</v>
      </c>
      <c r="AO711" t="s">
        <v>2957</v>
      </c>
      <c r="AP711" t="s">
        <v>2401</v>
      </c>
    </row>
    <row r="712" spans="1:42">
      <c r="A712" t="s">
        <v>2117</v>
      </c>
      <c r="B712" t="s">
        <v>2389</v>
      </c>
      <c r="C712" t="s">
        <v>2691</v>
      </c>
      <c r="D712" t="s">
        <v>2379</v>
      </c>
      <c r="E712" t="s">
        <v>2452</v>
      </c>
      <c r="F712" t="s">
        <v>3339</v>
      </c>
      <c r="G712" t="s">
        <v>2452</v>
      </c>
      <c r="H712" t="b">
        <v>1</v>
      </c>
      <c r="I712" s="8">
        <v>45936.42769675926</v>
      </c>
      <c r="J712" t="s">
        <v>2380</v>
      </c>
      <c r="K712">
        <v>1200259</v>
      </c>
      <c r="L712">
        <v>602488</v>
      </c>
      <c r="M712" t="s">
        <v>2381</v>
      </c>
      <c r="P712" t="s">
        <v>3477</v>
      </c>
      <c r="Q712" t="s">
        <v>2383</v>
      </c>
      <c r="R712">
        <v>1</v>
      </c>
      <c r="S712" t="s">
        <v>2380</v>
      </c>
      <c r="T712" t="s">
        <v>2383</v>
      </c>
      <c r="U712" s="8">
        <v>45923.506342592591</v>
      </c>
      <c r="V712" s="8">
        <v>45939.958333333336</v>
      </c>
      <c r="W712">
        <v>1</v>
      </c>
      <c r="X712">
        <v>8.9213541670000005</v>
      </c>
      <c r="Y712" t="s">
        <v>3340</v>
      </c>
      <c r="Z712" t="s">
        <v>9691</v>
      </c>
      <c r="AA712" t="s">
        <v>3631</v>
      </c>
      <c r="AB712" t="s">
        <v>1278</v>
      </c>
      <c r="AC712" t="s">
        <v>9692</v>
      </c>
      <c r="AD712" t="s">
        <v>2708</v>
      </c>
      <c r="AE712">
        <v>1</v>
      </c>
      <c r="AO712" t="s">
        <v>3608</v>
      </c>
      <c r="AP712" t="s">
        <v>2401</v>
      </c>
    </row>
    <row r="713" spans="1:42">
      <c r="A713" t="s">
        <v>753</v>
      </c>
      <c r="B713" t="s">
        <v>2377</v>
      </c>
      <c r="C713" t="s">
        <v>2691</v>
      </c>
      <c r="D713" t="s">
        <v>2379</v>
      </c>
      <c r="E713" t="s">
        <v>12</v>
      </c>
      <c r="F713" t="s">
        <v>2588</v>
      </c>
      <c r="G713" t="s">
        <v>12</v>
      </c>
      <c r="H713" t="b">
        <v>1</v>
      </c>
      <c r="I713" s="8">
        <v>45932.573923611111</v>
      </c>
      <c r="J713" t="s">
        <v>2380</v>
      </c>
      <c r="L713">
        <v>603757</v>
      </c>
      <c r="M713" t="s">
        <v>2381</v>
      </c>
      <c r="P713" t="s">
        <v>8955</v>
      </c>
      <c r="Q713" t="s">
        <v>2383</v>
      </c>
      <c r="R713">
        <v>1</v>
      </c>
      <c r="S713" t="s">
        <v>2380</v>
      </c>
      <c r="T713" t="s">
        <v>2383</v>
      </c>
      <c r="U713" s="8">
        <v>45923.613356481481</v>
      </c>
      <c r="V713" s="8">
        <v>45932.958333333336</v>
      </c>
      <c r="W713">
        <v>1</v>
      </c>
      <c r="X713">
        <v>6.9605671300000003</v>
      </c>
      <c r="Y713" t="s">
        <v>2579</v>
      </c>
      <c r="Z713" t="s">
        <v>9759</v>
      </c>
      <c r="AA713" t="s">
        <v>9752</v>
      </c>
      <c r="AB713" t="s">
        <v>1278</v>
      </c>
      <c r="AC713" t="s">
        <v>9760</v>
      </c>
      <c r="AD713" t="s">
        <v>2708</v>
      </c>
      <c r="AE713">
        <v>1</v>
      </c>
      <c r="AO713" t="s">
        <v>3644</v>
      </c>
      <c r="AP713" t="s">
        <v>2401</v>
      </c>
    </row>
    <row r="714" spans="1:42">
      <c r="A714" t="s">
        <v>826</v>
      </c>
      <c r="B714" t="s">
        <v>2377</v>
      </c>
      <c r="C714" t="s">
        <v>2691</v>
      </c>
      <c r="D714" t="s">
        <v>2379</v>
      </c>
      <c r="E714" t="s">
        <v>33</v>
      </c>
      <c r="F714" t="s">
        <v>2578</v>
      </c>
      <c r="G714" t="s">
        <v>33</v>
      </c>
      <c r="H714" t="b">
        <v>1</v>
      </c>
      <c r="I714" s="8">
        <v>45938.576331018521</v>
      </c>
      <c r="J714" t="s">
        <v>2380</v>
      </c>
      <c r="L714">
        <v>602833</v>
      </c>
      <c r="M714" t="s">
        <v>2381</v>
      </c>
      <c r="P714" t="s">
        <v>6557</v>
      </c>
      <c r="Q714" t="s">
        <v>2383</v>
      </c>
      <c r="R714">
        <v>1</v>
      </c>
      <c r="S714" t="s">
        <v>2380</v>
      </c>
      <c r="T714" t="s">
        <v>2383</v>
      </c>
      <c r="U714" s="8">
        <v>45924.488032407404</v>
      </c>
      <c r="V714" s="8">
        <v>45939.958333333336</v>
      </c>
      <c r="W714">
        <v>1</v>
      </c>
      <c r="X714">
        <v>10.088298611000001</v>
      </c>
      <c r="Y714" t="s">
        <v>2579</v>
      </c>
      <c r="Z714" t="s">
        <v>9045</v>
      </c>
      <c r="AA714" t="s">
        <v>6559</v>
      </c>
      <c r="AB714" t="s">
        <v>1278</v>
      </c>
      <c r="AC714" t="s">
        <v>9046</v>
      </c>
      <c r="AD714" t="s">
        <v>2708</v>
      </c>
      <c r="AE714">
        <v>1</v>
      </c>
      <c r="AH714" t="s">
        <v>4895</v>
      </c>
      <c r="AI714" s="8">
        <v>45938.575092592589</v>
      </c>
      <c r="AK714" t="s">
        <v>2719</v>
      </c>
      <c r="AL714" t="s">
        <v>2719</v>
      </c>
      <c r="AO714" t="s">
        <v>2388</v>
      </c>
      <c r="AP714" t="s">
        <v>2401</v>
      </c>
    </row>
    <row r="715" spans="1:42">
      <c r="A715" t="s">
        <v>583</v>
      </c>
      <c r="B715" t="s">
        <v>2377</v>
      </c>
      <c r="C715" t="s">
        <v>2691</v>
      </c>
      <c r="D715" t="s">
        <v>2379</v>
      </c>
      <c r="E715" t="s">
        <v>18</v>
      </c>
      <c r="F715" t="s">
        <v>2578</v>
      </c>
      <c r="G715" t="s">
        <v>2416</v>
      </c>
      <c r="H715" t="b">
        <v>1</v>
      </c>
      <c r="I715" s="8">
        <v>45938.498182870368</v>
      </c>
      <c r="J715" t="s">
        <v>2380</v>
      </c>
      <c r="L715">
        <v>608231</v>
      </c>
      <c r="M715" t="s">
        <v>2381</v>
      </c>
      <c r="P715" t="s">
        <v>2704</v>
      </c>
      <c r="Q715" t="s">
        <v>2383</v>
      </c>
      <c r="R715">
        <v>1</v>
      </c>
      <c r="S715" t="s">
        <v>2380</v>
      </c>
      <c r="T715" t="s">
        <v>2383</v>
      </c>
      <c r="U715" s="8">
        <v>45925.485254629632</v>
      </c>
      <c r="V715" s="8">
        <v>45940.958333333336</v>
      </c>
      <c r="W715">
        <v>1</v>
      </c>
      <c r="X715">
        <v>9.0129282409999991</v>
      </c>
      <c r="Y715" t="s">
        <v>2579</v>
      </c>
      <c r="Z715" t="s">
        <v>6589</v>
      </c>
      <c r="AA715" t="s">
        <v>6590</v>
      </c>
      <c r="AB715" t="s">
        <v>1278</v>
      </c>
      <c r="AC715" t="s">
        <v>6591</v>
      </c>
      <c r="AD715" t="s">
        <v>2708</v>
      </c>
      <c r="AE715">
        <v>1</v>
      </c>
      <c r="AO715" t="s">
        <v>2388</v>
      </c>
      <c r="AP715" t="s">
        <v>2401</v>
      </c>
    </row>
    <row r="716" spans="1:42">
      <c r="A716" t="s">
        <v>548</v>
      </c>
      <c r="B716" t="s">
        <v>2377</v>
      </c>
      <c r="C716" t="s">
        <v>2691</v>
      </c>
      <c r="D716" t="s">
        <v>2379</v>
      </c>
      <c r="E716" t="s">
        <v>12</v>
      </c>
      <c r="F716" t="s">
        <v>2588</v>
      </c>
      <c r="G716" t="s">
        <v>12</v>
      </c>
      <c r="H716" t="b">
        <v>1</v>
      </c>
      <c r="I716" s="8">
        <v>45933.580393518518</v>
      </c>
      <c r="J716" t="s">
        <v>2380</v>
      </c>
      <c r="L716">
        <v>603757</v>
      </c>
      <c r="M716" t="s">
        <v>2381</v>
      </c>
      <c r="P716" t="s">
        <v>8955</v>
      </c>
      <c r="Q716" t="s">
        <v>2383</v>
      </c>
      <c r="R716">
        <v>1</v>
      </c>
      <c r="S716" t="s">
        <v>2380</v>
      </c>
      <c r="T716" t="s">
        <v>2383</v>
      </c>
      <c r="U716" s="8">
        <v>45925.49759259259</v>
      </c>
      <c r="V716" s="8">
        <v>45933.958333333336</v>
      </c>
      <c r="W716">
        <v>1</v>
      </c>
      <c r="X716">
        <v>6.082800926</v>
      </c>
      <c r="Y716" t="s">
        <v>2579</v>
      </c>
      <c r="Z716" t="s">
        <v>9761</v>
      </c>
      <c r="AA716" t="s">
        <v>9752</v>
      </c>
      <c r="AB716" t="s">
        <v>1278</v>
      </c>
      <c r="AC716" t="s">
        <v>9762</v>
      </c>
      <c r="AD716" t="s">
        <v>2708</v>
      </c>
      <c r="AE716">
        <v>1</v>
      </c>
      <c r="AO716" t="s">
        <v>3644</v>
      </c>
      <c r="AP716" t="s">
        <v>2401</v>
      </c>
    </row>
    <row r="717" spans="1:42">
      <c r="A717" t="s">
        <v>2227</v>
      </c>
      <c r="B717" t="s">
        <v>2389</v>
      </c>
      <c r="C717" t="s">
        <v>2447</v>
      </c>
      <c r="D717" t="s">
        <v>2379</v>
      </c>
      <c r="E717" t="s">
        <v>24</v>
      </c>
      <c r="F717">
        <v>6316</v>
      </c>
      <c r="G717" t="s">
        <v>24</v>
      </c>
      <c r="H717" t="b">
        <v>1</v>
      </c>
      <c r="I717" s="8">
        <v>45932.499756944446</v>
      </c>
      <c r="J717" t="s">
        <v>2380</v>
      </c>
      <c r="K717">
        <v>1199896</v>
      </c>
      <c r="L717">
        <v>603821</v>
      </c>
      <c r="M717" t="s">
        <v>2381</v>
      </c>
      <c r="P717" t="s">
        <v>6647</v>
      </c>
      <c r="Q717" t="s">
        <v>2383</v>
      </c>
      <c r="R717">
        <v>1</v>
      </c>
      <c r="S717" t="s">
        <v>2380</v>
      </c>
      <c r="T717" t="s">
        <v>2383</v>
      </c>
      <c r="U717" s="8">
        <v>45925.616018518522</v>
      </c>
      <c r="V717" s="8">
        <v>45936.958333333336</v>
      </c>
      <c r="W717">
        <v>1</v>
      </c>
      <c r="X717">
        <v>4.8837384259999999</v>
      </c>
      <c r="Y717" t="s">
        <v>6648</v>
      </c>
      <c r="Z717" t="s">
        <v>6649</v>
      </c>
      <c r="AA717" t="s">
        <v>6650</v>
      </c>
      <c r="AB717" t="s">
        <v>1278</v>
      </c>
      <c r="AC717" t="s">
        <v>6651</v>
      </c>
      <c r="AD717" t="s">
        <v>2708</v>
      </c>
      <c r="AE717">
        <v>1</v>
      </c>
      <c r="AO717" t="s">
        <v>2388</v>
      </c>
      <c r="AP717" t="s">
        <v>2401</v>
      </c>
    </row>
    <row r="718" spans="1:42">
      <c r="A718" t="s">
        <v>3906</v>
      </c>
      <c r="B718" t="s">
        <v>2377</v>
      </c>
      <c r="C718" t="s">
        <v>2378</v>
      </c>
      <c r="D718" t="s">
        <v>2379</v>
      </c>
      <c r="E718" t="s">
        <v>24</v>
      </c>
      <c r="F718" t="s">
        <v>3891</v>
      </c>
      <c r="G718" t="s">
        <v>24</v>
      </c>
      <c r="H718" t="b">
        <v>1</v>
      </c>
      <c r="I718" s="8">
        <v>45931.553761574076</v>
      </c>
      <c r="J718" t="s">
        <v>2380</v>
      </c>
      <c r="L718">
        <v>603836</v>
      </c>
      <c r="M718" t="s">
        <v>2381</v>
      </c>
      <c r="P718" t="s">
        <v>2670</v>
      </c>
      <c r="Q718" t="s">
        <v>2383</v>
      </c>
      <c r="R718">
        <v>1</v>
      </c>
      <c r="S718" t="s">
        <v>2380</v>
      </c>
      <c r="T718" t="s">
        <v>2383</v>
      </c>
      <c r="U718" s="8">
        <v>45926.370300925926</v>
      </c>
      <c r="V718" s="8">
        <v>45931.958333333336</v>
      </c>
      <c r="W718">
        <v>1</v>
      </c>
      <c r="X718">
        <v>3.1834606480000001</v>
      </c>
      <c r="Y718" t="s">
        <v>3892</v>
      </c>
      <c r="Z718" t="s">
        <v>3907</v>
      </c>
      <c r="AA718" t="s">
        <v>3908</v>
      </c>
      <c r="AB718" t="s">
        <v>1278</v>
      </c>
      <c r="AC718" t="s">
        <v>3187</v>
      </c>
      <c r="AE718">
        <v>1</v>
      </c>
      <c r="AO718" t="s">
        <v>2715</v>
      </c>
      <c r="AP718" t="s">
        <v>2401</v>
      </c>
    </row>
    <row r="719" spans="1:42">
      <c r="A719" t="s">
        <v>533</v>
      </c>
      <c r="B719" t="s">
        <v>2377</v>
      </c>
      <c r="C719" t="s">
        <v>2378</v>
      </c>
      <c r="D719" t="s">
        <v>2379</v>
      </c>
      <c r="E719" t="s">
        <v>12</v>
      </c>
      <c r="F719" t="s">
        <v>2588</v>
      </c>
      <c r="G719" t="s">
        <v>12</v>
      </c>
      <c r="H719" t="b">
        <v>1</v>
      </c>
      <c r="I719" s="8">
        <v>45931.584548611114</v>
      </c>
      <c r="J719" t="s">
        <v>2380</v>
      </c>
      <c r="L719">
        <v>603616</v>
      </c>
      <c r="M719" t="s">
        <v>2381</v>
      </c>
      <c r="P719" t="s">
        <v>2704</v>
      </c>
      <c r="Q719" t="s">
        <v>2383</v>
      </c>
      <c r="R719">
        <v>1</v>
      </c>
      <c r="S719" t="s">
        <v>2380</v>
      </c>
      <c r="T719" t="s">
        <v>2383</v>
      </c>
      <c r="U719" s="8">
        <v>45926.388032407405</v>
      </c>
      <c r="V719" s="8">
        <v>45931.958333333336</v>
      </c>
      <c r="W719">
        <v>1</v>
      </c>
      <c r="X719">
        <v>3.1965162039999999</v>
      </c>
      <c r="Y719" t="s">
        <v>2579</v>
      </c>
      <c r="Z719" t="s">
        <v>9776</v>
      </c>
      <c r="AA719" t="s">
        <v>3643</v>
      </c>
      <c r="AB719" t="s">
        <v>1278</v>
      </c>
      <c r="AC719" t="s">
        <v>9777</v>
      </c>
      <c r="AD719" t="s">
        <v>2708</v>
      </c>
      <c r="AE719">
        <v>1</v>
      </c>
      <c r="AO719" t="s">
        <v>3644</v>
      </c>
      <c r="AP719" t="s">
        <v>2401</v>
      </c>
    </row>
    <row r="720" spans="1:42">
      <c r="A720" t="s">
        <v>156</v>
      </c>
      <c r="B720" t="s">
        <v>2377</v>
      </c>
      <c r="C720" t="s">
        <v>2378</v>
      </c>
      <c r="D720" t="s">
        <v>2379</v>
      </c>
      <c r="E720" t="s">
        <v>25</v>
      </c>
      <c r="F720" t="s">
        <v>2402</v>
      </c>
      <c r="G720" t="s">
        <v>25</v>
      </c>
      <c r="H720" t="b">
        <v>1</v>
      </c>
      <c r="I720" s="8">
        <v>45931.430312500001</v>
      </c>
      <c r="J720" t="s">
        <v>2380</v>
      </c>
      <c r="L720">
        <v>609834</v>
      </c>
      <c r="M720" t="s">
        <v>2381</v>
      </c>
      <c r="N720">
        <v>10</v>
      </c>
      <c r="P720" t="s">
        <v>2704</v>
      </c>
      <c r="Q720" t="s">
        <v>2383</v>
      </c>
      <c r="R720">
        <v>1</v>
      </c>
      <c r="S720" t="s">
        <v>2380</v>
      </c>
      <c r="T720" t="s">
        <v>2383</v>
      </c>
      <c r="U720" s="8">
        <v>45926.426724537036</v>
      </c>
      <c r="V720" s="8">
        <v>45931.958333333336</v>
      </c>
      <c r="W720">
        <v>1</v>
      </c>
      <c r="X720">
        <v>3.0035879630000002</v>
      </c>
      <c r="Y720" t="s">
        <v>2403</v>
      </c>
      <c r="Z720" t="s">
        <v>5455</v>
      </c>
      <c r="AA720" t="s">
        <v>2310</v>
      </c>
      <c r="AB720" t="s">
        <v>1278</v>
      </c>
      <c r="AC720" t="s">
        <v>5456</v>
      </c>
      <c r="AD720" t="s">
        <v>2708</v>
      </c>
      <c r="AE720">
        <v>1</v>
      </c>
      <c r="AO720" t="s">
        <v>2408</v>
      </c>
      <c r="AP720" t="s">
        <v>2401</v>
      </c>
    </row>
    <row r="721" spans="1:42">
      <c r="A721" t="s">
        <v>2286</v>
      </c>
      <c r="B721" t="s">
        <v>2389</v>
      </c>
      <c r="C721" t="s">
        <v>2378</v>
      </c>
      <c r="D721" t="s">
        <v>2379</v>
      </c>
      <c r="E721" t="s">
        <v>2416</v>
      </c>
      <c r="F721" t="s">
        <v>2417</v>
      </c>
      <c r="G721" t="s">
        <v>2416</v>
      </c>
      <c r="H721" t="b">
        <v>1</v>
      </c>
      <c r="I721" s="8">
        <v>45931.508043981485</v>
      </c>
      <c r="J721" t="s">
        <v>2380</v>
      </c>
      <c r="K721">
        <v>1199670</v>
      </c>
      <c r="L721">
        <v>602944</v>
      </c>
      <c r="M721" t="s">
        <v>2381</v>
      </c>
      <c r="P721" t="s">
        <v>2743</v>
      </c>
      <c r="Q721" t="s">
        <v>2383</v>
      </c>
      <c r="R721">
        <v>1</v>
      </c>
      <c r="S721" t="s">
        <v>2380</v>
      </c>
      <c r="T721" t="s">
        <v>2383</v>
      </c>
      <c r="U721" s="8">
        <v>45926.453460648147</v>
      </c>
      <c r="V721" s="8">
        <v>45931.958333333336</v>
      </c>
      <c r="W721">
        <v>1</v>
      </c>
      <c r="X721">
        <v>3.0545833330000001</v>
      </c>
      <c r="Y721" t="s">
        <v>2418</v>
      </c>
      <c r="Z721" t="s">
        <v>5438</v>
      </c>
      <c r="AA721" t="s">
        <v>2745</v>
      </c>
      <c r="AB721" t="s">
        <v>1278</v>
      </c>
      <c r="AC721" t="s">
        <v>5439</v>
      </c>
      <c r="AD721" t="s">
        <v>2708</v>
      </c>
      <c r="AE721">
        <v>1</v>
      </c>
      <c r="AO721" t="s">
        <v>2408</v>
      </c>
      <c r="AP721" t="s">
        <v>2401</v>
      </c>
    </row>
    <row r="722" spans="1:42">
      <c r="A722" t="s">
        <v>2268</v>
      </c>
      <c r="B722" t="s">
        <v>2389</v>
      </c>
      <c r="C722" t="s">
        <v>2378</v>
      </c>
      <c r="D722" t="s">
        <v>2379</v>
      </c>
      <c r="E722" t="s">
        <v>24</v>
      </c>
      <c r="F722" t="s">
        <v>2402</v>
      </c>
      <c r="G722" t="s">
        <v>24</v>
      </c>
      <c r="H722" t="b">
        <v>1</v>
      </c>
      <c r="I722" s="8">
        <v>45931.664143518516</v>
      </c>
      <c r="J722" t="s">
        <v>2380</v>
      </c>
      <c r="K722">
        <v>1199751</v>
      </c>
      <c r="L722">
        <v>602982</v>
      </c>
      <c r="M722" t="s">
        <v>2381</v>
      </c>
      <c r="P722" t="s">
        <v>2486</v>
      </c>
      <c r="Q722" t="s">
        <v>2383</v>
      </c>
      <c r="R722">
        <v>1</v>
      </c>
      <c r="S722" t="s">
        <v>2380</v>
      </c>
      <c r="T722" t="s">
        <v>2383</v>
      </c>
      <c r="U722" s="8">
        <v>45926.47583333333</v>
      </c>
      <c r="V722" s="8">
        <v>45931.958333333336</v>
      </c>
      <c r="W722">
        <v>1</v>
      </c>
      <c r="X722">
        <v>3.1883101850000002</v>
      </c>
      <c r="Y722" t="s">
        <v>2403</v>
      </c>
      <c r="Z722" t="s">
        <v>4213</v>
      </c>
      <c r="AA722" t="s">
        <v>4214</v>
      </c>
      <c r="AB722" t="s">
        <v>1278</v>
      </c>
      <c r="AC722" t="s">
        <v>4215</v>
      </c>
      <c r="AD722" t="s">
        <v>2708</v>
      </c>
      <c r="AE722">
        <v>1</v>
      </c>
      <c r="AO722" t="s">
        <v>2408</v>
      </c>
      <c r="AP722" t="s">
        <v>2401</v>
      </c>
    </row>
    <row r="723" spans="1:42">
      <c r="A723" t="s">
        <v>2292</v>
      </c>
      <c r="B723" t="s">
        <v>2389</v>
      </c>
      <c r="C723" t="s">
        <v>2390</v>
      </c>
      <c r="D723" t="s">
        <v>2379</v>
      </c>
      <c r="E723" t="s">
        <v>25</v>
      </c>
      <c r="F723" t="s">
        <v>2417</v>
      </c>
      <c r="G723" t="s">
        <v>25</v>
      </c>
      <c r="H723" t="b">
        <v>1</v>
      </c>
      <c r="I723" s="8">
        <v>45931.47997685185</v>
      </c>
      <c r="J723" t="s">
        <v>2380</v>
      </c>
      <c r="K723">
        <v>1199663</v>
      </c>
      <c r="L723">
        <v>606920</v>
      </c>
      <c r="M723" t="s">
        <v>2381</v>
      </c>
      <c r="N723">
        <v>5</v>
      </c>
      <c r="P723" t="s">
        <v>2501</v>
      </c>
      <c r="Q723" t="s">
        <v>2383</v>
      </c>
      <c r="R723">
        <v>1</v>
      </c>
      <c r="S723" t="s">
        <v>2380</v>
      </c>
      <c r="T723" t="s">
        <v>2383</v>
      </c>
      <c r="U723" s="8">
        <v>45926.480798611112</v>
      </c>
      <c r="V723" s="8">
        <v>45931.958333333336</v>
      </c>
      <c r="W723">
        <v>1</v>
      </c>
      <c r="X723">
        <v>2.9991782410000001</v>
      </c>
      <c r="Y723" t="s">
        <v>2418</v>
      </c>
      <c r="Z723" t="s">
        <v>5563</v>
      </c>
      <c r="AA723" t="s">
        <v>2504</v>
      </c>
      <c r="AB723" t="s">
        <v>1278</v>
      </c>
      <c r="AC723" t="s">
        <v>5564</v>
      </c>
      <c r="AD723" t="s">
        <v>2708</v>
      </c>
      <c r="AE723">
        <v>1</v>
      </c>
      <c r="AO723" t="s">
        <v>2408</v>
      </c>
      <c r="AP723" t="s">
        <v>2401</v>
      </c>
    </row>
    <row r="724" spans="1:42">
      <c r="A724" t="s">
        <v>311</v>
      </c>
      <c r="B724" t="s">
        <v>2377</v>
      </c>
      <c r="C724" t="s">
        <v>2390</v>
      </c>
      <c r="D724" t="s">
        <v>2379</v>
      </c>
      <c r="E724" t="s">
        <v>25</v>
      </c>
      <c r="F724" t="s">
        <v>3747</v>
      </c>
      <c r="G724" t="s">
        <v>25</v>
      </c>
      <c r="H724" t="b">
        <v>1</v>
      </c>
      <c r="I724" s="8">
        <v>45931.366932870369</v>
      </c>
      <c r="J724" t="s">
        <v>2380</v>
      </c>
      <c r="L724">
        <v>609911</v>
      </c>
      <c r="M724" t="s">
        <v>2381</v>
      </c>
      <c r="N724">
        <v>10</v>
      </c>
      <c r="P724" t="s">
        <v>3896</v>
      </c>
      <c r="Q724" t="s">
        <v>2383</v>
      </c>
      <c r="R724">
        <v>1</v>
      </c>
      <c r="S724" t="s">
        <v>2380</v>
      </c>
      <c r="T724" t="s">
        <v>2383</v>
      </c>
      <c r="U724" s="8">
        <v>45926.480902777781</v>
      </c>
      <c r="V724" s="8">
        <v>45931.958333333336</v>
      </c>
      <c r="W724">
        <v>1</v>
      </c>
      <c r="X724">
        <v>2.886030093</v>
      </c>
      <c r="Y724" t="s">
        <v>3748</v>
      </c>
      <c r="Z724" t="s">
        <v>4105</v>
      </c>
      <c r="AA724" t="s">
        <v>4106</v>
      </c>
      <c r="AB724" t="s">
        <v>1278</v>
      </c>
      <c r="AC724" t="s">
        <v>4107</v>
      </c>
      <c r="AD724" t="s">
        <v>2708</v>
      </c>
      <c r="AE724">
        <v>1</v>
      </c>
      <c r="AO724" t="s">
        <v>2712</v>
      </c>
      <c r="AP724" t="s">
        <v>2401</v>
      </c>
    </row>
    <row r="725" spans="1:42">
      <c r="A725" t="s">
        <v>746</v>
      </c>
      <c r="B725" t="s">
        <v>2377</v>
      </c>
      <c r="C725" t="s">
        <v>2378</v>
      </c>
      <c r="D725" t="s">
        <v>2379</v>
      </c>
      <c r="E725" t="s">
        <v>12</v>
      </c>
      <c r="F725" t="s">
        <v>2588</v>
      </c>
      <c r="G725" t="s">
        <v>12</v>
      </c>
      <c r="H725" t="b">
        <v>1</v>
      </c>
      <c r="I725" s="8">
        <v>45931.632060185184</v>
      </c>
      <c r="J725" t="s">
        <v>2380</v>
      </c>
      <c r="L725">
        <v>603990</v>
      </c>
      <c r="M725" t="s">
        <v>2381</v>
      </c>
      <c r="P725" t="s">
        <v>8802</v>
      </c>
      <c r="Q725" t="s">
        <v>2383</v>
      </c>
      <c r="R725">
        <v>1</v>
      </c>
      <c r="S725" t="s">
        <v>2380</v>
      </c>
      <c r="T725" t="s">
        <v>2383</v>
      </c>
      <c r="U725" s="8">
        <v>45926.512569444443</v>
      </c>
      <c r="V725" s="8">
        <v>45931.958333333336</v>
      </c>
      <c r="W725">
        <v>1</v>
      </c>
      <c r="X725">
        <v>3.1194907409999999</v>
      </c>
      <c r="Y725" t="s">
        <v>2579</v>
      </c>
      <c r="Z725" t="s">
        <v>9811</v>
      </c>
      <c r="AA725" t="s">
        <v>8908</v>
      </c>
      <c r="AB725" t="s">
        <v>1278</v>
      </c>
      <c r="AC725" t="s">
        <v>9812</v>
      </c>
      <c r="AD725" t="s">
        <v>2708</v>
      </c>
      <c r="AE725">
        <v>1</v>
      </c>
      <c r="AO725" t="s">
        <v>3644</v>
      </c>
      <c r="AP725" t="s">
        <v>2401</v>
      </c>
    </row>
    <row r="726" spans="1:42">
      <c r="A726" t="s">
        <v>534</v>
      </c>
      <c r="B726" t="s">
        <v>2377</v>
      </c>
      <c r="C726" t="s">
        <v>2443</v>
      </c>
      <c r="D726" t="s">
        <v>2443</v>
      </c>
      <c r="E726" t="s">
        <v>12</v>
      </c>
      <c r="F726" t="s">
        <v>2588</v>
      </c>
      <c r="G726" t="s">
        <v>12</v>
      </c>
      <c r="H726" t="b">
        <v>1</v>
      </c>
      <c r="I726" s="8">
        <v>45932.597233796296</v>
      </c>
      <c r="J726" t="s">
        <v>2380</v>
      </c>
      <c r="L726">
        <v>602197</v>
      </c>
      <c r="M726" t="s">
        <v>2381</v>
      </c>
      <c r="P726" t="s">
        <v>8802</v>
      </c>
      <c r="Q726" t="s">
        <v>2383</v>
      </c>
      <c r="R726">
        <v>1</v>
      </c>
      <c r="S726" t="s">
        <v>2380</v>
      </c>
      <c r="T726" t="s">
        <v>2383</v>
      </c>
      <c r="U726" s="8">
        <v>45926.513171296298</v>
      </c>
      <c r="V726" s="8">
        <v>45931.958333333336</v>
      </c>
      <c r="W726">
        <v>1</v>
      </c>
      <c r="X726">
        <v>4.0840624999999999</v>
      </c>
      <c r="Y726" t="s">
        <v>2579</v>
      </c>
      <c r="Z726" t="s">
        <v>9209</v>
      </c>
      <c r="AA726" t="s">
        <v>8804</v>
      </c>
      <c r="AB726" t="s">
        <v>1278</v>
      </c>
      <c r="AC726" t="s">
        <v>9210</v>
      </c>
      <c r="AD726" t="s">
        <v>2708</v>
      </c>
      <c r="AE726">
        <v>1</v>
      </c>
      <c r="AH726" t="s">
        <v>33</v>
      </c>
      <c r="AI726" s="8">
        <v>45932.589629629627</v>
      </c>
      <c r="AK726" t="s">
        <v>2719</v>
      </c>
      <c r="AL726" t="s">
        <v>2719</v>
      </c>
      <c r="AO726" t="s">
        <v>3644</v>
      </c>
      <c r="AP726" t="s">
        <v>2401</v>
      </c>
    </row>
    <row r="727" spans="1:42">
      <c r="A727" t="s">
        <v>2290</v>
      </c>
      <c r="B727" t="s">
        <v>2389</v>
      </c>
      <c r="C727" t="s">
        <v>2390</v>
      </c>
      <c r="D727" t="s">
        <v>2379</v>
      </c>
      <c r="E727" t="s">
        <v>25</v>
      </c>
      <c r="F727" t="s">
        <v>3747</v>
      </c>
      <c r="G727" t="s">
        <v>25</v>
      </c>
      <c r="H727" t="b">
        <v>1</v>
      </c>
      <c r="I727" s="8">
        <v>45931.49622685185</v>
      </c>
      <c r="J727" t="s">
        <v>2380</v>
      </c>
      <c r="K727">
        <v>1199668</v>
      </c>
      <c r="L727">
        <v>601527</v>
      </c>
      <c r="M727" t="s">
        <v>2381</v>
      </c>
      <c r="N727">
        <v>5</v>
      </c>
      <c r="P727" t="s">
        <v>4089</v>
      </c>
      <c r="Q727" t="s">
        <v>2383</v>
      </c>
      <c r="R727">
        <v>1</v>
      </c>
      <c r="S727" t="s">
        <v>2380</v>
      </c>
      <c r="T727" t="s">
        <v>2383</v>
      </c>
      <c r="U727" s="8">
        <v>45926.532627314817</v>
      </c>
      <c r="V727" s="8">
        <v>45936.958333333336</v>
      </c>
      <c r="W727">
        <v>1</v>
      </c>
      <c r="X727">
        <v>2.9635995369999999</v>
      </c>
      <c r="Y727" t="s">
        <v>3748</v>
      </c>
      <c r="Z727" t="s">
        <v>4879</v>
      </c>
      <c r="AA727" t="s">
        <v>3815</v>
      </c>
      <c r="AB727" t="s">
        <v>1278</v>
      </c>
      <c r="AC727" t="s">
        <v>4880</v>
      </c>
      <c r="AD727" t="s">
        <v>2708</v>
      </c>
      <c r="AE727">
        <v>1</v>
      </c>
      <c r="AO727" t="s">
        <v>2712</v>
      </c>
      <c r="AP727" t="s">
        <v>2401</v>
      </c>
    </row>
    <row r="728" spans="1:42">
      <c r="A728" t="s">
        <v>2212</v>
      </c>
      <c r="B728" t="s">
        <v>2389</v>
      </c>
      <c r="C728" t="s">
        <v>2443</v>
      </c>
      <c r="D728" t="s">
        <v>2443</v>
      </c>
      <c r="E728" t="s">
        <v>25</v>
      </c>
      <c r="F728" t="s">
        <v>3747</v>
      </c>
      <c r="G728" t="s">
        <v>25</v>
      </c>
      <c r="H728" t="b">
        <v>1</v>
      </c>
      <c r="I728" s="8">
        <v>45932.597858796296</v>
      </c>
      <c r="J728" t="s">
        <v>2380</v>
      </c>
      <c r="K728">
        <v>1199677</v>
      </c>
      <c r="L728">
        <v>601527</v>
      </c>
      <c r="M728" t="s">
        <v>2381</v>
      </c>
      <c r="N728">
        <v>5</v>
      </c>
      <c r="P728" t="s">
        <v>4089</v>
      </c>
      <c r="Q728" t="s">
        <v>2383</v>
      </c>
      <c r="R728">
        <v>1</v>
      </c>
      <c r="S728" t="s">
        <v>2380</v>
      </c>
      <c r="T728" t="s">
        <v>2383</v>
      </c>
      <c r="U728" s="8">
        <v>45926.534826388888</v>
      </c>
      <c r="V728" s="8">
        <v>45931.958333333336</v>
      </c>
      <c r="W728">
        <v>1</v>
      </c>
      <c r="X728">
        <v>4.0630324069999997</v>
      </c>
      <c r="Y728" t="s">
        <v>3748</v>
      </c>
      <c r="Z728" t="s">
        <v>9259</v>
      </c>
      <c r="AA728" t="s">
        <v>3815</v>
      </c>
      <c r="AB728" t="s">
        <v>1278</v>
      </c>
      <c r="AC728" t="s">
        <v>9260</v>
      </c>
      <c r="AD728" t="s">
        <v>2708</v>
      </c>
      <c r="AE728">
        <v>1</v>
      </c>
      <c r="AH728" t="s">
        <v>33</v>
      </c>
      <c r="AI728" s="8">
        <v>45932.589490740742</v>
      </c>
      <c r="AK728" t="s">
        <v>2719</v>
      </c>
      <c r="AL728" t="s">
        <v>2719</v>
      </c>
      <c r="AO728" t="s">
        <v>2712</v>
      </c>
      <c r="AP728" t="s">
        <v>2401</v>
      </c>
    </row>
    <row r="729" spans="1:42">
      <c r="A729" t="s">
        <v>2282</v>
      </c>
      <c r="B729" t="s">
        <v>2389</v>
      </c>
      <c r="C729" t="s">
        <v>2390</v>
      </c>
      <c r="D729" t="s">
        <v>2379</v>
      </c>
      <c r="E729" t="s">
        <v>25</v>
      </c>
      <c r="F729" t="s">
        <v>2417</v>
      </c>
      <c r="G729" t="s">
        <v>25</v>
      </c>
      <c r="H729" t="b">
        <v>1</v>
      </c>
      <c r="I729" s="8">
        <v>45931.537349537037</v>
      </c>
      <c r="J729" t="s">
        <v>2380</v>
      </c>
      <c r="K729">
        <v>1199675</v>
      </c>
      <c r="L729">
        <v>606920</v>
      </c>
      <c r="M729" t="s">
        <v>2381</v>
      </c>
      <c r="N729">
        <v>5</v>
      </c>
      <c r="P729" t="s">
        <v>2501</v>
      </c>
      <c r="Q729" t="s">
        <v>2383</v>
      </c>
      <c r="R729">
        <v>1</v>
      </c>
      <c r="S729" t="s">
        <v>2380</v>
      </c>
      <c r="T729" t="s">
        <v>2383</v>
      </c>
      <c r="U729" s="8">
        <v>45926.55908564815</v>
      </c>
      <c r="V729" s="8">
        <v>45931.958333333336</v>
      </c>
      <c r="W729">
        <v>1</v>
      </c>
      <c r="X729">
        <v>2.9782638889999999</v>
      </c>
      <c r="Y729" t="s">
        <v>2418</v>
      </c>
      <c r="Z729" t="s">
        <v>5565</v>
      </c>
      <c r="AA729" t="s">
        <v>2504</v>
      </c>
      <c r="AB729" t="s">
        <v>1278</v>
      </c>
      <c r="AC729" t="s">
        <v>5566</v>
      </c>
      <c r="AD729" t="s">
        <v>2708</v>
      </c>
      <c r="AE729">
        <v>1</v>
      </c>
      <c r="AO729" t="s">
        <v>2408</v>
      </c>
      <c r="AP729" t="s">
        <v>2401</v>
      </c>
    </row>
    <row r="730" spans="1:42">
      <c r="A730" t="s">
        <v>2288</v>
      </c>
      <c r="B730" t="s">
        <v>2389</v>
      </c>
      <c r="C730" t="s">
        <v>2390</v>
      </c>
      <c r="D730" t="s">
        <v>2379</v>
      </c>
      <c r="E730" t="s">
        <v>2416</v>
      </c>
      <c r="F730" t="s">
        <v>2417</v>
      </c>
      <c r="G730" t="s">
        <v>2416</v>
      </c>
      <c r="H730" t="b">
        <v>1</v>
      </c>
      <c r="I730" s="8">
        <v>45931.50377314815</v>
      </c>
      <c r="J730" t="s">
        <v>2380</v>
      </c>
      <c r="K730">
        <v>1199669</v>
      </c>
      <c r="L730">
        <v>602944</v>
      </c>
      <c r="M730" t="s">
        <v>2381</v>
      </c>
      <c r="P730" t="s">
        <v>2743</v>
      </c>
      <c r="Q730" t="s">
        <v>2383</v>
      </c>
      <c r="R730">
        <v>1</v>
      </c>
      <c r="S730" t="s">
        <v>2380</v>
      </c>
      <c r="T730" t="s">
        <v>2383</v>
      </c>
      <c r="U730" s="8">
        <v>45926.613043981481</v>
      </c>
      <c r="V730" s="8">
        <v>45931.958333333336</v>
      </c>
      <c r="W730">
        <v>1</v>
      </c>
      <c r="X730">
        <v>2.8907291669999999</v>
      </c>
      <c r="Y730" t="s">
        <v>2418</v>
      </c>
      <c r="Z730" t="s">
        <v>5440</v>
      </c>
      <c r="AA730" t="s">
        <v>2745</v>
      </c>
      <c r="AB730" t="s">
        <v>1278</v>
      </c>
      <c r="AC730" t="s">
        <v>5441</v>
      </c>
      <c r="AD730" t="s">
        <v>2708</v>
      </c>
      <c r="AE730">
        <v>1</v>
      </c>
      <c r="AO730" t="s">
        <v>2408</v>
      </c>
      <c r="AP730" t="s">
        <v>2401</v>
      </c>
    </row>
    <row r="731" spans="1:42">
      <c r="A731" t="s">
        <v>2297</v>
      </c>
      <c r="B731" t="s">
        <v>2389</v>
      </c>
      <c r="C731" t="s">
        <v>2390</v>
      </c>
      <c r="D731" t="s">
        <v>2379</v>
      </c>
      <c r="E731" t="s">
        <v>2416</v>
      </c>
      <c r="F731" t="s">
        <v>2417</v>
      </c>
      <c r="G731" t="s">
        <v>2416</v>
      </c>
      <c r="H731" t="b">
        <v>1</v>
      </c>
      <c r="I731" s="8">
        <v>45931.428842592592</v>
      </c>
      <c r="J731" t="s">
        <v>2380</v>
      </c>
      <c r="K731">
        <v>1199641</v>
      </c>
      <c r="L731">
        <v>602944</v>
      </c>
      <c r="M731" t="s">
        <v>2381</v>
      </c>
      <c r="N731">
        <v>10</v>
      </c>
      <c r="P731" t="s">
        <v>2743</v>
      </c>
      <c r="Q731" t="s">
        <v>2383</v>
      </c>
      <c r="R731">
        <v>1</v>
      </c>
      <c r="S731" t="s">
        <v>2380</v>
      </c>
      <c r="T731" t="s">
        <v>2383</v>
      </c>
      <c r="U731" s="8">
        <v>45926.613356481481</v>
      </c>
      <c r="V731" s="8">
        <v>45931.958333333336</v>
      </c>
      <c r="W731">
        <v>1</v>
      </c>
      <c r="X731">
        <v>2.8154861109999998</v>
      </c>
      <c r="Y731" t="s">
        <v>2418</v>
      </c>
      <c r="Z731" t="s">
        <v>5458</v>
      </c>
      <c r="AA731" t="s">
        <v>2745</v>
      </c>
      <c r="AB731" t="s">
        <v>1278</v>
      </c>
      <c r="AC731" t="s">
        <v>5459</v>
      </c>
      <c r="AD731" t="s">
        <v>2708</v>
      </c>
      <c r="AE731">
        <v>1</v>
      </c>
      <c r="AO731" t="s">
        <v>2408</v>
      </c>
      <c r="AP731" t="s">
        <v>2401</v>
      </c>
    </row>
    <row r="732" spans="1:42">
      <c r="A732" t="s">
        <v>2266</v>
      </c>
      <c r="B732" t="s">
        <v>2389</v>
      </c>
      <c r="C732" t="s">
        <v>2378</v>
      </c>
      <c r="D732" t="s">
        <v>2379</v>
      </c>
      <c r="E732" t="s">
        <v>24</v>
      </c>
      <c r="F732" t="s">
        <v>2402</v>
      </c>
      <c r="G732" t="s">
        <v>24</v>
      </c>
      <c r="H732" t="b">
        <v>1</v>
      </c>
      <c r="I732" s="8">
        <v>45931.666273148148</v>
      </c>
      <c r="J732" t="s">
        <v>2380</v>
      </c>
      <c r="K732">
        <v>1199752</v>
      </c>
      <c r="L732">
        <v>603416</v>
      </c>
      <c r="M732" t="s">
        <v>2381</v>
      </c>
      <c r="P732" t="s">
        <v>8060</v>
      </c>
      <c r="Q732" t="s">
        <v>2383</v>
      </c>
      <c r="R732">
        <v>1</v>
      </c>
      <c r="S732" t="s">
        <v>2380</v>
      </c>
      <c r="T732" t="s">
        <v>2383</v>
      </c>
      <c r="U732" s="8">
        <v>45926.619201388887</v>
      </c>
      <c r="V732" s="8">
        <v>45931.958333333336</v>
      </c>
      <c r="W732">
        <v>1</v>
      </c>
      <c r="X732">
        <v>3.047071759</v>
      </c>
      <c r="Y732" t="s">
        <v>2403</v>
      </c>
      <c r="Z732" t="s">
        <v>8061</v>
      </c>
      <c r="AA732" t="s">
        <v>2264</v>
      </c>
      <c r="AB732" t="s">
        <v>1278</v>
      </c>
      <c r="AC732" t="s">
        <v>8062</v>
      </c>
      <c r="AD732" t="s">
        <v>2708</v>
      </c>
      <c r="AE732">
        <v>1</v>
      </c>
      <c r="AO732" t="s">
        <v>4121</v>
      </c>
      <c r="AP732" t="s">
        <v>2401</v>
      </c>
    </row>
    <row r="733" spans="1:42">
      <c r="A733" t="s">
        <v>2060</v>
      </c>
      <c r="B733" t="s">
        <v>2377</v>
      </c>
      <c r="C733" t="s">
        <v>2443</v>
      </c>
      <c r="D733" t="s">
        <v>2443</v>
      </c>
      <c r="E733" t="s">
        <v>28</v>
      </c>
      <c r="F733" t="s">
        <v>4112</v>
      </c>
      <c r="G733" t="s">
        <v>28</v>
      </c>
      <c r="H733" t="b">
        <v>1</v>
      </c>
      <c r="I733" s="8">
        <v>45937.511967592596</v>
      </c>
      <c r="J733" t="s">
        <v>2380</v>
      </c>
      <c r="L733">
        <v>603799</v>
      </c>
      <c r="M733" t="s">
        <v>2381</v>
      </c>
      <c r="N733">
        <v>15</v>
      </c>
      <c r="P733" t="s">
        <v>2704</v>
      </c>
      <c r="Q733" t="s">
        <v>2383</v>
      </c>
      <c r="R733">
        <v>1</v>
      </c>
      <c r="S733" t="s">
        <v>2380</v>
      </c>
      <c r="T733" t="s">
        <v>2383</v>
      </c>
      <c r="U733" s="8">
        <v>45926.677546296298</v>
      </c>
      <c r="V733" s="8">
        <v>45936.958333333336</v>
      </c>
      <c r="W733">
        <v>1</v>
      </c>
      <c r="X733">
        <v>6.8344212960000004</v>
      </c>
      <c r="Y733" t="s">
        <v>3901</v>
      </c>
      <c r="Z733" t="s">
        <v>5042</v>
      </c>
      <c r="AA733" t="s">
        <v>4115</v>
      </c>
      <c r="AB733" t="s">
        <v>1278</v>
      </c>
      <c r="AC733" t="s">
        <v>5043</v>
      </c>
      <c r="AD733" t="s">
        <v>2708</v>
      </c>
      <c r="AE733">
        <v>1</v>
      </c>
      <c r="AO733" t="s">
        <v>2715</v>
      </c>
      <c r="AP733" t="s">
        <v>2401</v>
      </c>
    </row>
    <row r="734" spans="1:42">
      <c r="A734" t="s">
        <v>1828</v>
      </c>
      <c r="B734" t="s">
        <v>2377</v>
      </c>
      <c r="C734" t="s">
        <v>2443</v>
      </c>
      <c r="D734" t="s">
        <v>2443</v>
      </c>
      <c r="E734" t="s">
        <v>2416</v>
      </c>
      <c r="F734" t="s">
        <v>4112</v>
      </c>
      <c r="G734" t="s">
        <v>2416</v>
      </c>
      <c r="H734" t="b">
        <v>1</v>
      </c>
      <c r="I734" s="8">
        <v>45939.626261574071</v>
      </c>
      <c r="J734" t="s">
        <v>2380</v>
      </c>
      <c r="L734">
        <v>603799</v>
      </c>
      <c r="M734" t="s">
        <v>2381</v>
      </c>
      <c r="P734" t="s">
        <v>2704</v>
      </c>
      <c r="Q734" t="s">
        <v>2383</v>
      </c>
      <c r="R734">
        <v>1</v>
      </c>
      <c r="S734" t="s">
        <v>2380</v>
      </c>
      <c r="T734" t="s">
        <v>2383</v>
      </c>
      <c r="U734" s="8">
        <v>45926.677812499998</v>
      </c>
      <c r="V734" s="8">
        <v>45937.958333333336</v>
      </c>
      <c r="W734">
        <v>1</v>
      </c>
      <c r="X734">
        <v>8.9484490739999991</v>
      </c>
      <c r="Y734" t="s">
        <v>3901</v>
      </c>
      <c r="Z734" t="s">
        <v>10332</v>
      </c>
      <c r="AA734" t="s">
        <v>4115</v>
      </c>
      <c r="AB734" t="s">
        <v>1278</v>
      </c>
      <c r="AC734" t="s">
        <v>10333</v>
      </c>
      <c r="AE734">
        <v>1</v>
      </c>
      <c r="AO734" t="s">
        <v>2715</v>
      </c>
      <c r="AP734" t="s">
        <v>2401</v>
      </c>
    </row>
    <row r="735" spans="1:42">
      <c r="A735" t="s">
        <v>3909</v>
      </c>
      <c r="B735" t="s">
        <v>2377</v>
      </c>
      <c r="C735" t="s">
        <v>2390</v>
      </c>
      <c r="D735" t="s">
        <v>2379</v>
      </c>
      <c r="E735" t="s">
        <v>24</v>
      </c>
      <c r="F735" t="s">
        <v>3891</v>
      </c>
      <c r="G735" t="s">
        <v>24</v>
      </c>
      <c r="H735" t="b">
        <v>1</v>
      </c>
      <c r="I735" s="8">
        <v>45931.553946759261</v>
      </c>
      <c r="J735" t="s">
        <v>2380</v>
      </c>
      <c r="L735">
        <v>603560</v>
      </c>
      <c r="M735" t="s">
        <v>2381</v>
      </c>
      <c r="P735" t="s">
        <v>2670</v>
      </c>
      <c r="Q735" t="s">
        <v>2383</v>
      </c>
      <c r="R735">
        <v>1</v>
      </c>
      <c r="S735" t="s">
        <v>2380</v>
      </c>
      <c r="T735" t="s">
        <v>2383</v>
      </c>
      <c r="U735" s="8">
        <v>45926.686388888891</v>
      </c>
      <c r="V735" s="8">
        <v>45931.958333333336</v>
      </c>
      <c r="W735">
        <v>1</v>
      </c>
      <c r="X735">
        <v>2.8675578700000002</v>
      </c>
      <c r="Y735" t="s">
        <v>3892</v>
      </c>
      <c r="Z735" t="s">
        <v>3910</v>
      </c>
      <c r="AA735" t="s">
        <v>3911</v>
      </c>
      <c r="AB735" t="s">
        <v>1278</v>
      </c>
      <c r="AC735" t="s">
        <v>3187</v>
      </c>
      <c r="AE735">
        <v>1</v>
      </c>
      <c r="AO735" t="s">
        <v>2715</v>
      </c>
      <c r="AP735" t="s">
        <v>2401</v>
      </c>
    </row>
    <row r="736" spans="1:42">
      <c r="A736" t="s">
        <v>2294</v>
      </c>
      <c r="B736" t="s">
        <v>2389</v>
      </c>
      <c r="C736" t="s">
        <v>2390</v>
      </c>
      <c r="D736" t="s">
        <v>2379</v>
      </c>
      <c r="E736" t="s">
        <v>2416</v>
      </c>
      <c r="F736" t="s">
        <v>2417</v>
      </c>
      <c r="G736" t="s">
        <v>2416</v>
      </c>
      <c r="H736" t="b">
        <v>1</v>
      </c>
      <c r="I736" s="8">
        <v>45931.466053240743</v>
      </c>
      <c r="J736" t="s">
        <v>2380</v>
      </c>
      <c r="K736">
        <v>1199657</v>
      </c>
      <c r="L736">
        <v>602944</v>
      </c>
      <c r="M736" t="s">
        <v>2381</v>
      </c>
      <c r="P736" t="s">
        <v>2743</v>
      </c>
      <c r="Q736" t="s">
        <v>2383</v>
      </c>
      <c r="R736">
        <v>1</v>
      </c>
      <c r="S736" t="s">
        <v>2380</v>
      </c>
      <c r="T736" t="s">
        <v>2383</v>
      </c>
      <c r="U736" s="8">
        <v>45926.696250000001</v>
      </c>
      <c r="V736" s="8">
        <v>45931.958333333336</v>
      </c>
      <c r="W736">
        <v>1</v>
      </c>
      <c r="X736">
        <v>2.769803241</v>
      </c>
      <c r="Y736" t="s">
        <v>2418</v>
      </c>
      <c r="Z736" t="s">
        <v>5442</v>
      </c>
      <c r="AA736" t="s">
        <v>2745</v>
      </c>
      <c r="AB736" t="s">
        <v>1278</v>
      </c>
      <c r="AC736" t="s">
        <v>5443</v>
      </c>
      <c r="AD736" t="s">
        <v>2708</v>
      </c>
      <c r="AE736">
        <v>1</v>
      </c>
      <c r="AO736" t="s">
        <v>2408</v>
      </c>
      <c r="AP736" t="s">
        <v>2401</v>
      </c>
    </row>
    <row r="737" spans="1:42">
      <c r="A737" t="s">
        <v>2006</v>
      </c>
      <c r="B737" t="s">
        <v>2377</v>
      </c>
      <c r="C737" t="s">
        <v>2691</v>
      </c>
      <c r="D737" t="s">
        <v>2379</v>
      </c>
      <c r="E737" t="s">
        <v>2416</v>
      </c>
      <c r="F737" t="s">
        <v>3339</v>
      </c>
      <c r="G737" t="s">
        <v>2416</v>
      </c>
      <c r="H737" t="b">
        <v>1</v>
      </c>
      <c r="I737" s="8">
        <v>45938.542222222219</v>
      </c>
      <c r="J737" t="s">
        <v>2380</v>
      </c>
      <c r="L737">
        <v>605267</v>
      </c>
      <c r="M737" t="s">
        <v>2381</v>
      </c>
      <c r="P737" t="s">
        <v>9992</v>
      </c>
      <c r="Q737" t="s">
        <v>2383</v>
      </c>
      <c r="R737">
        <v>1</v>
      </c>
      <c r="S737" t="s">
        <v>2380</v>
      </c>
      <c r="T737" t="s">
        <v>2383</v>
      </c>
      <c r="U737" s="8">
        <v>45926.698923611111</v>
      </c>
      <c r="V737" s="8">
        <v>45938.958333333336</v>
      </c>
      <c r="W737">
        <v>1</v>
      </c>
      <c r="X737">
        <v>7.8432986109999998</v>
      </c>
      <c r="Y737" t="s">
        <v>3340</v>
      </c>
      <c r="Z737" t="s">
        <v>9993</v>
      </c>
      <c r="AA737" t="s">
        <v>2004</v>
      </c>
      <c r="AB737" t="s">
        <v>1278</v>
      </c>
      <c r="AC737" t="s">
        <v>9994</v>
      </c>
      <c r="AE737">
        <v>1</v>
      </c>
      <c r="AO737" t="s">
        <v>2957</v>
      </c>
      <c r="AP737" t="s">
        <v>2401</v>
      </c>
    </row>
    <row r="738" spans="1:42">
      <c r="A738" t="s">
        <v>2284</v>
      </c>
      <c r="B738" t="s">
        <v>2389</v>
      </c>
      <c r="C738" t="s">
        <v>2390</v>
      </c>
      <c r="D738" t="s">
        <v>2379</v>
      </c>
      <c r="E738" t="s">
        <v>2416</v>
      </c>
      <c r="F738" t="s">
        <v>2417</v>
      </c>
      <c r="G738" t="s">
        <v>2416</v>
      </c>
      <c r="H738" t="b">
        <v>1</v>
      </c>
      <c r="I738" s="8">
        <v>45931.514108796298</v>
      </c>
      <c r="J738" t="s">
        <v>2380</v>
      </c>
      <c r="K738">
        <v>1199671</v>
      </c>
      <c r="L738">
        <v>602712</v>
      </c>
      <c r="M738" t="s">
        <v>2381</v>
      </c>
      <c r="P738" t="s">
        <v>3096</v>
      </c>
      <c r="Q738" t="s">
        <v>2383</v>
      </c>
      <c r="R738">
        <v>1</v>
      </c>
      <c r="S738" t="s">
        <v>2380</v>
      </c>
      <c r="T738" t="s">
        <v>2383</v>
      </c>
      <c r="U738" s="8">
        <v>45926.703842592593</v>
      </c>
      <c r="V738" s="8">
        <v>45931.958333333336</v>
      </c>
      <c r="W738">
        <v>1</v>
      </c>
      <c r="X738">
        <v>2.8102662039999999</v>
      </c>
      <c r="Y738" t="s">
        <v>2418</v>
      </c>
      <c r="Z738" t="s">
        <v>5621</v>
      </c>
      <c r="AA738" t="s">
        <v>3099</v>
      </c>
      <c r="AB738" t="s">
        <v>1278</v>
      </c>
      <c r="AC738" t="s">
        <v>5622</v>
      </c>
      <c r="AD738" t="s">
        <v>2708</v>
      </c>
      <c r="AE738">
        <v>1</v>
      </c>
      <c r="AO738" t="s">
        <v>2540</v>
      </c>
      <c r="AP738" t="s">
        <v>2401</v>
      </c>
    </row>
    <row r="739" spans="1:42">
      <c r="A739" t="s">
        <v>744</v>
      </c>
      <c r="B739" t="s">
        <v>2377</v>
      </c>
      <c r="C739" t="s">
        <v>2390</v>
      </c>
      <c r="D739" t="s">
        <v>2379</v>
      </c>
      <c r="E739" t="s">
        <v>12</v>
      </c>
      <c r="F739" t="s">
        <v>2588</v>
      </c>
      <c r="G739" t="s">
        <v>12</v>
      </c>
      <c r="H739" t="b">
        <v>1</v>
      </c>
      <c r="I739" s="8">
        <v>45931.629907407405</v>
      </c>
      <c r="J739" t="s">
        <v>2380</v>
      </c>
      <c r="L739">
        <v>603756</v>
      </c>
      <c r="M739" t="s">
        <v>2381</v>
      </c>
      <c r="P739" t="s">
        <v>8955</v>
      </c>
      <c r="Q739" t="s">
        <v>2383</v>
      </c>
      <c r="R739">
        <v>1</v>
      </c>
      <c r="S739" t="s">
        <v>2380</v>
      </c>
      <c r="T739" t="s">
        <v>2383</v>
      </c>
      <c r="U739" s="8">
        <v>45926.738622685189</v>
      </c>
      <c r="V739" s="8">
        <v>45931.958333333336</v>
      </c>
      <c r="W739">
        <v>1</v>
      </c>
      <c r="X739">
        <v>2.891284722</v>
      </c>
      <c r="Y739" t="s">
        <v>2579</v>
      </c>
      <c r="Z739" t="s">
        <v>9493</v>
      </c>
      <c r="AA739" t="s">
        <v>1290</v>
      </c>
      <c r="AB739" t="s">
        <v>1278</v>
      </c>
      <c r="AC739" t="s">
        <v>9494</v>
      </c>
      <c r="AD739" t="s">
        <v>2708</v>
      </c>
      <c r="AE739">
        <v>1</v>
      </c>
      <c r="AO739" t="s">
        <v>3644</v>
      </c>
      <c r="AP739" t="s">
        <v>8931</v>
      </c>
    </row>
    <row r="740" spans="1:42">
      <c r="A740" t="s">
        <v>814</v>
      </c>
      <c r="B740" t="s">
        <v>2377</v>
      </c>
      <c r="C740" t="s">
        <v>2390</v>
      </c>
      <c r="D740" t="s">
        <v>2379</v>
      </c>
      <c r="E740" t="s">
        <v>33</v>
      </c>
      <c r="F740" t="s">
        <v>3520</v>
      </c>
      <c r="G740" t="s">
        <v>33</v>
      </c>
      <c r="H740" t="b">
        <v>1</v>
      </c>
      <c r="I740" s="8">
        <v>45931.563831018517</v>
      </c>
      <c r="J740" t="s">
        <v>2380</v>
      </c>
      <c r="L740">
        <v>603223</v>
      </c>
      <c r="M740" t="s">
        <v>2381</v>
      </c>
      <c r="P740" t="s">
        <v>2704</v>
      </c>
      <c r="Q740" t="s">
        <v>2383</v>
      </c>
      <c r="R740">
        <v>1</v>
      </c>
      <c r="S740" t="s">
        <v>2380</v>
      </c>
      <c r="T740" t="s">
        <v>2383</v>
      </c>
      <c r="U740" s="8">
        <v>45927.430312500001</v>
      </c>
      <c r="V740" s="8">
        <v>45931.958333333336</v>
      </c>
      <c r="W740">
        <v>1</v>
      </c>
      <c r="X740">
        <v>2.1335185189999999</v>
      </c>
      <c r="Y740" t="s">
        <v>3521</v>
      </c>
      <c r="Z740" t="s">
        <v>9089</v>
      </c>
      <c r="AA740" t="s">
        <v>3524</v>
      </c>
      <c r="AB740" t="s">
        <v>1278</v>
      </c>
      <c r="AC740" t="s">
        <v>9090</v>
      </c>
      <c r="AD740" t="s">
        <v>2708</v>
      </c>
      <c r="AE740">
        <v>1</v>
      </c>
      <c r="AH740" t="s">
        <v>12</v>
      </c>
      <c r="AI740" s="8">
        <v>45931.519502314812</v>
      </c>
      <c r="AK740" t="s">
        <v>2719</v>
      </c>
      <c r="AL740" t="s">
        <v>2719</v>
      </c>
      <c r="AO740" t="s">
        <v>2957</v>
      </c>
      <c r="AP740" t="s">
        <v>2401</v>
      </c>
    </row>
    <row r="741" spans="1:42">
      <c r="A741" t="s">
        <v>815</v>
      </c>
      <c r="B741" t="s">
        <v>2377</v>
      </c>
      <c r="C741" t="s">
        <v>2390</v>
      </c>
      <c r="D741" t="s">
        <v>2379</v>
      </c>
      <c r="E741" t="s">
        <v>33</v>
      </c>
      <c r="F741" t="s">
        <v>9091</v>
      </c>
      <c r="G741" t="s">
        <v>33</v>
      </c>
      <c r="H741" t="b">
        <v>1</v>
      </c>
      <c r="I741" s="8">
        <v>45931.564120370371</v>
      </c>
      <c r="J741" t="s">
        <v>2380</v>
      </c>
      <c r="L741">
        <v>603718</v>
      </c>
      <c r="M741" t="s">
        <v>2381</v>
      </c>
      <c r="P741" t="s">
        <v>2704</v>
      </c>
      <c r="Q741" t="s">
        <v>2383</v>
      </c>
      <c r="R741">
        <v>1</v>
      </c>
      <c r="S741" t="s">
        <v>2380</v>
      </c>
      <c r="T741" t="s">
        <v>2383</v>
      </c>
      <c r="U741" s="8">
        <v>45927.448923611111</v>
      </c>
      <c r="V741" s="8">
        <v>45931.958333333336</v>
      </c>
      <c r="W741">
        <v>1</v>
      </c>
      <c r="X741">
        <v>2.1151967589999998</v>
      </c>
      <c r="Y741" t="s">
        <v>9092</v>
      </c>
      <c r="Z741" t="s">
        <v>9093</v>
      </c>
      <c r="AA741" t="s">
        <v>9094</v>
      </c>
      <c r="AB741" t="s">
        <v>1278</v>
      </c>
      <c r="AC741" t="s">
        <v>9095</v>
      </c>
      <c r="AD741" t="s">
        <v>2708</v>
      </c>
      <c r="AE741">
        <v>1</v>
      </c>
      <c r="AH741" t="s">
        <v>12</v>
      </c>
      <c r="AI741" s="8">
        <v>45931.520196759258</v>
      </c>
      <c r="AK741" t="s">
        <v>2719</v>
      </c>
      <c r="AL741" t="s">
        <v>2719</v>
      </c>
      <c r="AO741" t="s">
        <v>2957</v>
      </c>
      <c r="AP741" t="s">
        <v>2401</v>
      </c>
    </row>
    <row r="742" spans="1:42">
      <c r="A742" t="s">
        <v>816</v>
      </c>
      <c r="B742" t="s">
        <v>2377</v>
      </c>
      <c r="C742" t="s">
        <v>2390</v>
      </c>
      <c r="D742" t="s">
        <v>2379</v>
      </c>
      <c r="E742" t="s">
        <v>33</v>
      </c>
      <c r="F742" t="s">
        <v>7432</v>
      </c>
      <c r="G742" t="s">
        <v>33</v>
      </c>
      <c r="H742" t="b">
        <v>1</v>
      </c>
      <c r="I742" s="8">
        <v>45931.564189814817</v>
      </c>
      <c r="J742" t="s">
        <v>2380</v>
      </c>
      <c r="L742">
        <v>603768</v>
      </c>
      <c r="M742" t="s">
        <v>2381</v>
      </c>
      <c r="P742" t="s">
        <v>2704</v>
      </c>
      <c r="Q742" t="s">
        <v>2383</v>
      </c>
      <c r="R742">
        <v>1</v>
      </c>
      <c r="S742" t="s">
        <v>2380</v>
      </c>
      <c r="T742" t="s">
        <v>2383</v>
      </c>
      <c r="U742" s="8">
        <v>45927.46303240741</v>
      </c>
      <c r="V742" s="8">
        <v>45931.958333333336</v>
      </c>
      <c r="W742">
        <v>1</v>
      </c>
      <c r="X742">
        <v>2.1011574070000001</v>
      </c>
      <c r="Y742" t="s">
        <v>7433</v>
      </c>
      <c r="Z742" t="s">
        <v>9086</v>
      </c>
      <c r="AA742" t="s">
        <v>9087</v>
      </c>
      <c r="AB742" t="s">
        <v>1278</v>
      </c>
      <c r="AC742" t="s">
        <v>9088</v>
      </c>
      <c r="AD742" t="s">
        <v>2708</v>
      </c>
      <c r="AE742">
        <v>1</v>
      </c>
      <c r="AH742" t="s">
        <v>12</v>
      </c>
      <c r="AI742" s="8">
        <v>45931.527442129627</v>
      </c>
      <c r="AK742" t="s">
        <v>2719</v>
      </c>
      <c r="AL742" t="s">
        <v>2719</v>
      </c>
      <c r="AO742" t="s">
        <v>2957</v>
      </c>
      <c r="AP742" t="s">
        <v>2401</v>
      </c>
    </row>
    <row r="743" spans="1:42">
      <c r="A743" t="s">
        <v>1226</v>
      </c>
      <c r="B743" t="s">
        <v>2377</v>
      </c>
      <c r="C743" t="s">
        <v>2390</v>
      </c>
      <c r="D743" t="s">
        <v>2379</v>
      </c>
      <c r="E743" t="s">
        <v>33</v>
      </c>
      <c r="F743" t="s">
        <v>2588</v>
      </c>
      <c r="G743" t="s">
        <v>33</v>
      </c>
      <c r="H743" t="b">
        <v>1</v>
      </c>
      <c r="I743" s="8">
        <v>45931.564305555556</v>
      </c>
      <c r="J743" t="s">
        <v>2380</v>
      </c>
      <c r="L743">
        <v>603661</v>
      </c>
      <c r="M743" t="s">
        <v>2381</v>
      </c>
      <c r="P743" t="s">
        <v>2704</v>
      </c>
      <c r="Q743" t="s">
        <v>2383</v>
      </c>
      <c r="R743">
        <v>1</v>
      </c>
      <c r="S743" t="s">
        <v>2380</v>
      </c>
      <c r="T743" t="s">
        <v>2383</v>
      </c>
      <c r="U743" s="8">
        <v>45927.474444444444</v>
      </c>
      <c r="V743" s="8">
        <v>45931.958333333336</v>
      </c>
      <c r="W743">
        <v>1</v>
      </c>
      <c r="X743">
        <v>2.0898611109999998</v>
      </c>
      <c r="Y743" t="s">
        <v>2579</v>
      </c>
      <c r="Z743" t="s">
        <v>9052</v>
      </c>
      <c r="AA743" t="s">
        <v>9053</v>
      </c>
      <c r="AB743" t="s">
        <v>1278</v>
      </c>
      <c r="AC743" t="s">
        <v>9054</v>
      </c>
      <c r="AD743" t="s">
        <v>2708</v>
      </c>
      <c r="AE743">
        <v>1</v>
      </c>
      <c r="AH743" t="s">
        <v>12</v>
      </c>
      <c r="AI743" s="8">
        <v>45931.521932870368</v>
      </c>
      <c r="AK743" t="s">
        <v>2719</v>
      </c>
      <c r="AL743" t="s">
        <v>2719</v>
      </c>
      <c r="AO743" t="s">
        <v>2388</v>
      </c>
      <c r="AP743" t="s">
        <v>2401</v>
      </c>
    </row>
    <row r="744" spans="1:42">
      <c r="A744" t="s">
        <v>2235</v>
      </c>
      <c r="B744" t="s">
        <v>2389</v>
      </c>
      <c r="C744" t="s">
        <v>2443</v>
      </c>
      <c r="D744" t="s">
        <v>2443</v>
      </c>
      <c r="E744" t="s">
        <v>24</v>
      </c>
      <c r="F744" t="s">
        <v>2417</v>
      </c>
      <c r="G744" t="s">
        <v>24</v>
      </c>
      <c r="H744" t="b">
        <v>1</v>
      </c>
      <c r="I744" s="8">
        <v>45932.462187500001</v>
      </c>
      <c r="J744" t="s">
        <v>2380</v>
      </c>
      <c r="L744">
        <v>603026</v>
      </c>
      <c r="M744" t="s">
        <v>2381</v>
      </c>
      <c r="P744" t="s">
        <v>3597</v>
      </c>
      <c r="Q744" t="s">
        <v>2383</v>
      </c>
      <c r="R744">
        <v>1</v>
      </c>
      <c r="S744" t="s">
        <v>2380</v>
      </c>
      <c r="T744" t="s">
        <v>2383</v>
      </c>
      <c r="U744" s="8">
        <v>45929.288703703707</v>
      </c>
      <c r="V744" s="8">
        <v>45931.958333333336</v>
      </c>
      <c r="W744">
        <v>1</v>
      </c>
      <c r="X744">
        <v>3.1734837960000002</v>
      </c>
      <c r="Y744" t="s">
        <v>2418</v>
      </c>
      <c r="Z744" t="s">
        <v>3598</v>
      </c>
      <c r="AA744" t="s">
        <v>1533</v>
      </c>
      <c r="AB744" t="s">
        <v>1278</v>
      </c>
      <c r="AC744" t="s">
        <v>3599</v>
      </c>
      <c r="AE744">
        <v>1</v>
      </c>
      <c r="AO744" t="s">
        <v>3586</v>
      </c>
      <c r="AP744" t="s">
        <v>2401</v>
      </c>
    </row>
    <row r="745" spans="1:42">
      <c r="A745" t="s">
        <v>2239</v>
      </c>
      <c r="B745" t="s">
        <v>2389</v>
      </c>
      <c r="C745" t="s">
        <v>2378</v>
      </c>
      <c r="D745" t="s">
        <v>2379</v>
      </c>
      <c r="E745" t="s">
        <v>28</v>
      </c>
      <c r="F745" t="s">
        <v>2417</v>
      </c>
      <c r="G745" t="s">
        <v>28</v>
      </c>
      <c r="H745" t="b">
        <v>1</v>
      </c>
      <c r="I745" s="8">
        <v>45932.456377314818</v>
      </c>
      <c r="J745" t="s">
        <v>2380</v>
      </c>
      <c r="K745">
        <v>1199855</v>
      </c>
      <c r="L745">
        <v>602944</v>
      </c>
      <c r="M745" t="s">
        <v>2381</v>
      </c>
      <c r="N745">
        <v>15</v>
      </c>
      <c r="P745" t="s">
        <v>2743</v>
      </c>
      <c r="Q745" t="s">
        <v>2383</v>
      </c>
      <c r="R745">
        <v>1</v>
      </c>
      <c r="S745" t="s">
        <v>2380</v>
      </c>
      <c r="T745" t="s">
        <v>2383</v>
      </c>
      <c r="U745" s="8">
        <v>45929.357858796298</v>
      </c>
      <c r="V745" s="8">
        <v>45932.958333333336</v>
      </c>
      <c r="W745">
        <v>1</v>
      </c>
      <c r="X745">
        <v>3.0985185190000002</v>
      </c>
      <c r="Y745" t="s">
        <v>2418</v>
      </c>
      <c r="Z745" t="s">
        <v>5496</v>
      </c>
      <c r="AA745" t="s">
        <v>2745</v>
      </c>
      <c r="AB745" t="s">
        <v>1278</v>
      </c>
      <c r="AC745" t="s">
        <v>5497</v>
      </c>
      <c r="AD745" t="s">
        <v>2708</v>
      </c>
      <c r="AE745">
        <v>1</v>
      </c>
      <c r="AO745" t="s">
        <v>2408</v>
      </c>
      <c r="AP745" t="s">
        <v>2401</v>
      </c>
    </row>
    <row r="746" spans="1:42">
      <c r="A746" t="s">
        <v>2229</v>
      </c>
      <c r="B746" t="s">
        <v>2389</v>
      </c>
      <c r="C746" t="s">
        <v>2378</v>
      </c>
      <c r="D746" t="s">
        <v>2379</v>
      </c>
      <c r="E746" t="s">
        <v>28</v>
      </c>
      <c r="F746" t="s">
        <v>2417</v>
      </c>
      <c r="G746" t="s">
        <v>28</v>
      </c>
      <c r="H746" t="b">
        <v>1</v>
      </c>
      <c r="I746" s="8">
        <v>45932.477384259262</v>
      </c>
      <c r="J746" t="s">
        <v>2380</v>
      </c>
      <c r="K746">
        <v>1199861</v>
      </c>
      <c r="L746">
        <v>602944</v>
      </c>
      <c r="M746" t="s">
        <v>2381</v>
      </c>
      <c r="N746">
        <v>15</v>
      </c>
      <c r="P746" t="s">
        <v>2743</v>
      </c>
      <c r="Q746" t="s">
        <v>2383</v>
      </c>
      <c r="R746">
        <v>1</v>
      </c>
      <c r="S746" t="s">
        <v>2380</v>
      </c>
      <c r="T746" t="s">
        <v>2383</v>
      </c>
      <c r="U746" s="8">
        <v>45929.434189814812</v>
      </c>
      <c r="V746" s="8">
        <v>45932.958333333336</v>
      </c>
      <c r="W746">
        <v>1</v>
      </c>
      <c r="X746">
        <v>3.0431944440000001</v>
      </c>
      <c r="Y746" t="s">
        <v>2418</v>
      </c>
      <c r="Z746" t="s">
        <v>5498</v>
      </c>
      <c r="AA746" t="s">
        <v>2745</v>
      </c>
      <c r="AB746" t="s">
        <v>1278</v>
      </c>
      <c r="AC746" t="s">
        <v>5499</v>
      </c>
      <c r="AD746" t="s">
        <v>2708</v>
      </c>
      <c r="AE746">
        <v>1</v>
      </c>
      <c r="AO746" t="s">
        <v>2408</v>
      </c>
      <c r="AP746" t="s">
        <v>2401</v>
      </c>
    </row>
    <row r="747" spans="1:42">
      <c r="A747" t="s">
        <v>2256</v>
      </c>
      <c r="B747" t="s">
        <v>2389</v>
      </c>
      <c r="C747" t="s">
        <v>2390</v>
      </c>
      <c r="D747" t="s">
        <v>2379</v>
      </c>
      <c r="E747" t="s">
        <v>2452</v>
      </c>
      <c r="F747">
        <v>4271</v>
      </c>
      <c r="G747" t="s">
        <v>2452</v>
      </c>
      <c r="H747" t="b">
        <v>1</v>
      </c>
      <c r="I747" s="8">
        <v>45932.395682870374</v>
      </c>
      <c r="J747" t="s">
        <v>2380</v>
      </c>
      <c r="K747">
        <v>1199799</v>
      </c>
      <c r="L747">
        <v>603200</v>
      </c>
      <c r="M747" t="s">
        <v>2381</v>
      </c>
      <c r="P747" t="s">
        <v>2704</v>
      </c>
      <c r="Q747" t="s">
        <v>2383</v>
      </c>
      <c r="R747">
        <v>1</v>
      </c>
      <c r="S747" t="s">
        <v>2380</v>
      </c>
      <c r="T747" t="s">
        <v>2383</v>
      </c>
      <c r="U747" s="8">
        <v>45929.488067129627</v>
      </c>
      <c r="V747" s="8">
        <v>45932.958333333336</v>
      </c>
      <c r="W747">
        <v>1</v>
      </c>
      <c r="X747">
        <v>2.9076157409999999</v>
      </c>
      <c r="Y747" t="s">
        <v>4550</v>
      </c>
      <c r="Z747" t="s">
        <v>7089</v>
      </c>
      <c r="AA747" t="s">
        <v>4553</v>
      </c>
      <c r="AB747" t="s">
        <v>1278</v>
      </c>
      <c r="AC747" t="s">
        <v>7090</v>
      </c>
      <c r="AD747" t="s">
        <v>2708</v>
      </c>
      <c r="AE747">
        <v>1</v>
      </c>
      <c r="AO747" t="s">
        <v>2388</v>
      </c>
      <c r="AP747" t="s">
        <v>2401</v>
      </c>
    </row>
    <row r="748" spans="1:42">
      <c r="A748" t="s">
        <v>1236</v>
      </c>
      <c r="B748" t="s">
        <v>2377</v>
      </c>
      <c r="C748" t="s">
        <v>2378</v>
      </c>
      <c r="D748" t="s">
        <v>2379</v>
      </c>
      <c r="E748" t="s">
        <v>12</v>
      </c>
      <c r="F748" t="s">
        <v>2588</v>
      </c>
      <c r="G748" t="s">
        <v>12</v>
      </c>
      <c r="H748" t="b">
        <v>1</v>
      </c>
      <c r="I748" s="8">
        <v>45932.603321759256</v>
      </c>
      <c r="J748" t="s">
        <v>2380</v>
      </c>
      <c r="L748">
        <v>609708</v>
      </c>
      <c r="M748" t="s">
        <v>2381</v>
      </c>
      <c r="P748" t="s">
        <v>9798</v>
      </c>
      <c r="Q748" t="s">
        <v>2383</v>
      </c>
      <c r="R748">
        <v>1</v>
      </c>
      <c r="S748" t="s">
        <v>2380</v>
      </c>
      <c r="T748" t="s">
        <v>2383</v>
      </c>
      <c r="U748" s="8">
        <v>45929.512638888889</v>
      </c>
      <c r="V748" s="8">
        <v>45932.958333333336</v>
      </c>
      <c r="W748">
        <v>1</v>
      </c>
      <c r="X748">
        <v>3.0906828700000002</v>
      </c>
      <c r="Y748" t="s">
        <v>2579</v>
      </c>
      <c r="Z748" t="s">
        <v>9799</v>
      </c>
      <c r="AA748" t="s">
        <v>9800</v>
      </c>
      <c r="AB748" t="s">
        <v>1278</v>
      </c>
      <c r="AC748" t="s">
        <v>9801</v>
      </c>
      <c r="AD748" t="s">
        <v>2708</v>
      </c>
      <c r="AE748">
        <v>1</v>
      </c>
      <c r="AO748" t="s">
        <v>3644</v>
      </c>
      <c r="AP748" t="s">
        <v>2401</v>
      </c>
    </row>
    <row r="749" spans="1:42">
      <c r="A749" t="s">
        <v>748</v>
      </c>
      <c r="B749" t="s">
        <v>2377</v>
      </c>
      <c r="C749" t="s">
        <v>2390</v>
      </c>
      <c r="D749" t="s">
        <v>2379</v>
      </c>
      <c r="E749" t="s">
        <v>28</v>
      </c>
      <c r="F749" t="s">
        <v>2578</v>
      </c>
      <c r="G749" t="s">
        <v>28</v>
      </c>
      <c r="H749" t="b">
        <v>1</v>
      </c>
      <c r="I749" s="8">
        <v>45931.662326388891</v>
      </c>
      <c r="J749" t="s">
        <v>2380</v>
      </c>
      <c r="L749">
        <v>603471</v>
      </c>
      <c r="M749" t="s">
        <v>2381</v>
      </c>
      <c r="N749">
        <v>15</v>
      </c>
      <c r="P749" t="s">
        <v>6611</v>
      </c>
      <c r="Q749" t="s">
        <v>2383</v>
      </c>
      <c r="R749">
        <v>1</v>
      </c>
      <c r="S749" t="s">
        <v>2380</v>
      </c>
      <c r="T749" t="s">
        <v>2383</v>
      </c>
      <c r="U749" s="8">
        <v>45929.5466087963</v>
      </c>
      <c r="V749" s="8">
        <v>45932.958333333336</v>
      </c>
      <c r="W749">
        <v>1</v>
      </c>
      <c r="X749">
        <v>2.1157175929999998</v>
      </c>
      <c r="Y749" t="s">
        <v>2579</v>
      </c>
      <c r="Z749" t="s">
        <v>7210</v>
      </c>
      <c r="AA749" t="s">
        <v>1527</v>
      </c>
      <c r="AB749" t="s">
        <v>1278</v>
      </c>
      <c r="AC749" t="s">
        <v>3066</v>
      </c>
      <c r="AD749" t="s">
        <v>2708</v>
      </c>
      <c r="AE749">
        <v>1</v>
      </c>
      <c r="AO749" t="s">
        <v>2388</v>
      </c>
      <c r="AP749" t="s">
        <v>2401</v>
      </c>
    </row>
    <row r="750" spans="1:42">
      <c r="A750" t="s">
        <v>328</v>
      </c>
      <c r="B750" t="s">
        <v>2377</v>
      </c>
      <c r="C750" t="s">
        <v>2390</v>
      </c>
      <c r="D750" t="s">
        <v>2379</v>
      </c>
      <c r="E750" t="s">
        <v>28</v>
      </c>
      <c r="F750" t="s">
        <v>2578</v>
      </c>
      <c r="G750" t="s">
        <v>28</v>
      </c>
      <c r="H750" t="b">
        <v>1</v>
      </c>
      <c r="I750" s="8">
        <v>45932.510879629626</v>
      </c>
      <c r="J750" t="s">
        <v>2380</v>
      </c>
      <c r="L750">
        <v>603471</v>
      </c>
      <c r="M750" t="s">
        <v>2381</v>
      </c>
      <c r="N750">
        <v>15</v>
      </c>
      <c r="P750" t="s">
        <v>6611</v>
      </c>
      <c r="Q750" t="s">
        <v>2383</v>
      </c>
      <c r="R750">
        <v>1</v>
      </c>
      <c r="S750" t="s">
        <v>2380</v>
      </c>
      <c r="T750" t="s">
        <v>2383</v>
      </c>
      <c r="U750" s="8">
        <v>45929.586238425924</v>
      </c>
      <c r="V750" s="8">
        <v>45932.958333333336</v>
      </c>
      <c r="W750">
        <v>1</v>
      </c>
      <c r="X750">
        <v>2.9246412039999998</v>
      </c>
      <c r="Y750" t="s">
        <v>2579</v>
      </c>
      <c r="Z750" t="s">
        <v>7211</v>
      </c>
      <c r="AA750" t="s">
        <v>1527</v>
      </c>
      <c r="AB750" t="s">
        <v>1278</v>
      </c>
      <c r="AC750" t="s">
        <v>3066</v>
      </c>
      <c r="AD750" t="s">
        <v>2708</v>
      </c>
      <c r="AE750">
        <v>1</v>
      </c>
      <c r="AO750" t="s">
        <v>2388</v>
      </c>
      <c r="AP750" t="s">
        <v>2401</v>
      </c>
    </row>
    <row r="751" spans="1:42">
      <c r="A751" t="s">
        <v>10358</v>
      </c>
      <c r="B751" t="s">
        <v>2389</v>
      </c>
      <c r="C751" t="s">
        <v>2390</v>
      </c>
      <c r="D751" t="s">
        <v>2379</v>
      </c>
      <c r="E751" t="s">
        <v>2452</v>
      </c>
      <c r="F751" t="s">
        <v>4897</v>
      </c>
      <c r="G751" t="s">
        <v>2452</v>
      </c>
      <c r="H751" t="b">
        <v>1</v>
      </c>
      <c r="I751" s="8">
        <v>45932.376180555555</v>
      </c>
      <c r="J751" t="s">
        <v>2380</v>
      </c>
      <c r="L751">
        <v>602408</v>
      </c>
      <c r="M751" t="s">
        <v>2381</v>
      </c>
      <c r="P751" t="s">
        <v>2670</v>
      </c>
      <c r="Q751" t="s">
        <v>2383</v>
      </c>
      <c r="R751">
        <v>1</v>
      </c>
      <c r="S751" t="s">
        <v>2380</v>
      </c>
      <c r="T751" t="s">
        <v>2383</v>
      </c>
      <c r="U751" s="8">
        <v>45929.593969907408</v>
      </c>
      <c r="V751" s="8">
        <v>45932.958333333336</v>
      </c>
      <c r="W751">
        <v>1</v>
      </c>
      <c r="X751">
        <v>2.782210648</v>
      </c>
      <c r="Y751" t="s">
        <v>4898</v>
      </c>
      <c r="Z751" t="s">
        <v>10359</v>
      </c>
      <c r="AA751" t="s">
        <v>1233</v>
      </c>
      <c r="AB751" t="s">
        <v>1278</v>
      </c>
      <c r="AC751" t="s">
        <v>3857</v>
      </c>
      <c r="AE751">
        <v>1</v>
      </c>
      <c r="AO751" t="s">
        <v>2715</v>
      </c>
      <c r="AP751" t="s">
        <v>2401</v>
      </c>
    </row>
    <row r="752" spans="1:42">
      <c r="A752" t="s">
        <v>755</v>
      </c>
      <c r="B752" t="s">
        <v>2377</v>
      </c>
      <c r="C752" t="s">
        <v>2390</v>
      </c>
      <c r="D752" t="s">
        <v>2379</v>
      </c>
      <c r="E752" t="s">
        <v>24</v>
      </c>
      <c r="F752" t="s">
        <v>2715</v>
      </c>
      <c r="G752" t="s">
        <v>24</v>
      </c>
      <c r="H752" t="b">
        <v>1</v>
      </c>
      <c r="I752" s="8">
        <v>45932.601782407408</v>
      </c>
      <c r="J752" t="s">
        <v>2380</v>
      </c>
      <c r="L752">
        <v>602843</v>
      </c>
      <c r="M752" t="s">
        <v>2381</v>
      </c>
      <c r="P752" t="s">
        <v>4823</v>
      </c>
      <c r="Q752" t="s">
        <v>2383</v>
      </c>
      <c r="R752">
        <v>1</v>
      </c>
      <c r="S752" t="s">
        <v>2380</v>
      </c>
      <c r="T752" t="s">
        <v>2383</v>
      </c>
      <c r="U752" s="8">
        <v>45929.622430555559</v>
      </c>
      <c r="V752" s="8">
        <v>45932.958333333336</v>
      </c>
      <c r="W752">
        <v>1</v>
      </c>
      <c r="X752">
        <v>2.9793518520000002</v>
      </c>
      <c r="Y752" t="s">
        <v>4653</v>
      </c>
      <c r="Z752" t="s">
        <v>7408</v>
      </c>
      <c r="AA752" t="s">
        <v>261</v>
      </c>
      <c r="AB752" t="s">
        <v>1278</v>
      </c>
      <c r="AC752" t="s">
        <v>2437</v>
      </c>
      <c r="AD752" t="s">
        <v>2708</v>
      </c>
      <c r="AE752">
        <v>1</v>
      </c>
      <c r="AO752" t="s">
        <v>2957</v>
      </c>
      <c r="AP752" t="s">
        <v>2401</v>
      </c>
    </row>
    <row r="753" spans="1:42">
      <c r="A753" t="s">
        <v>342</v>
      </c>
      <c r="B753" t="s">
        <v>2377</v>
      </c>
      <c r="C753" t="s">
        <v>2390</v>
      </c>
      <c r="D753" t="s">
        <v>2379</v>
      </c>
      <c r="E753" t="s">
        <v>18</v>
      </c>
      <c r="F753" t="s">
        <v>2578</v>
      </c>
      <c r="G753" t="s">
        <v>2416</v>
      </c>
      <c r="H753" t="b">
        <v>1</v>
      </c>
      <c r="I753" s="8">
        <v>45932.56863425926</v>
      </c>
      <c r="J753" t="s">
        <v>2380</v>
      </c>
      <c r="L753">
        <v>603408</v>
      </c>
      <c r="M753" t="s">
        <v>2381</v>
      </c>
      <c r="P753" t="s">
        <v>6570</v>
      </c>
      <c r="Q753" t="s">
        <v>2383</v>
      </c>
      <c r="R753">
        <v>1</v>
      </c>
      <c r="S753" t="s">
        <v>2380</v>
      </c>
      <c r="T753" t="s">
        <v>2383</v>
      </c>
      <c r="U753" s="8">
        <v>45929.63790509259</v>
      </c>
      <c r="V753" s="8">
        <v>45932.958333333336</v>
      </c>
      <c r="W753">
        <v>1</v>
      </c>
      <c r="X753">
        <v>2.930729167</v>
      </c>
      <c r="Y753" t="s">
        <v>2579</v>
      </c>
      <c r="Z753" t="s">
        <v>6609</v>
      </c>
      <c r="AA753" t="s">
        <v>2177</v>
      </c>
      <c r="AB753" t="s">
        <v>1278</v>
      </c>
      <c r="AC753" t="s">
        <v>6610</v>
      </c>
      <c r="AD753" t="s">
        <v>2708</v>
      </c>
      <c r="AE753">
        <v>1</v>
      </c>
      <c r="AO753" t="s">
        <v>2388</v>
      </c>
      <c r="AP753" t="s">
        <v>2401</v>
      </c>
    </row>
    <row r="754" spans="1:42">
      <c r="A754" t="s">
        <v>2260</v>
      </c>
      <c r="B754" t="s">
        <v>2389</v>
      </c>
      <c r="C754" t="s">
        <v>2390</v>
      </c>
      <c r="D754" t="s">
        <v>2379</v>
      </c>
      <c r="E754" t="s">
        <v>2452</v>
      </c>
      <c r="F754">
        <v>4271</v>
      </c>
      <c r="G754" t="s">
        <v>2452</v>
      </c>
      <c r="H754" t="b">
        <v>1</v>
      </c>
      <c r="I754" s="8">
        <v>45932.38890046296</v>
      </c>
      <c r="J754" t="s">
        <v>2380</v>
      </c>
      <c r="K754">
        <v>1199795</v>
      </c>
      <c r="L754">
        <v>603200</v>
      </c>
      <c r="M754" t="s">
        <v>2381</v>
      </c>
      <c r="P754" t="s">
        <v>2704</v>
      </c>
      <c r="Q754" t="s">
        <v>2383</v>
      </c>
      <c r="R754">
        <v>1</v>
      </c>
      <c r="S754" t="s">
        <v>2380</v>
      </c>
      <c r="T754" t="s">
        <v>2383</v>
      </c>
      <c r="U754" s="8">
        <v>45929.647673611114</v>
      </c>
      <c r="V754" s="8">
        <v>45932.958333333336</v>
      </c>
      <c r="W754">
        <v>1</v>
      </c>
      <c r="X754">
        <v>2.741226852</v>
      </c>
      <c r="Y754" t="s">
        <v>4550</v>
      </c>
      <c r="Z754" t="s">
        <v>7091</v>
      </c>
      <c r="AA754" t="s">
        <v>4553</v>
      </c>
      <c r="AB754" t="s">
        <v>1278</v>
      </c>
      <c r="AC754" t="s">
        <v>7092</v>
      </c>
      <c r="AD754" t="s">
        <v>2708</v>
      </c>
      <c r="AE754">
        <v>1</v>
      </c>
      <c r="AO754" t="s">
        <v>2388</v>
      </c>
      <c r="AP754" t="s">
        <v>2401</v>
      </c>
    </row>
    <row r="755" spans="1:42">
      <c r="A755" t="s">
        <v>2231</v>
      </c>
      <c r="B755" t="s">
        <v>2389</v>
      </c>
      <c r="C755" t="s">
        <v>2390</v>
      </c>
      <c r="D755" t="s">
        <v>2379</v>
      </c>
      <c r="E755" t="s">
        <v>28</v>
      </c>
      <c r="F755" t="s">
        <v>4122</v>
      </c>
      <c r="G755" t="s">
        <v>28</v>
      </c>
      <c r="H755" t="b">
        <v>1</v>
      </c>
      <c r="I755" s="8">
        <v>45932.47314814815</v>
      </c>
      <c r="J755" t="s">
        <v>2380</v>
      </c>
      <c r="K755">
        <v>1199859</v>
      </c>
      <c r="L755">
        <v>602719</v>
      </c>
      <c r="M755" t="s">
        <v>2381</v>
      </c>
      <c r="N755">
        <v>15</v>
      </c>
      <c r="P755" t="s">
        <v>8099</v>
      </c>
      <c r="Q755" t="s">
        <v>2383</v>
      </c>
      <c r="R755">
        <v>1</v>
      </c>
      <c r="S755" t="s">
        <v>2380</v>
      </c>
      <c r="T755" t="s">
        <v>2383</v>
      </c>
      <c r="U755" s="8">
        <v>45929.66915509259</v>
      </c>
      <c r="V755" s="8">
        <v>45932.958333333336</v>
      </c>
      <c r="W755">
        <v>1</v>
      </c>
      <c r="X755">
        <v>2.8039930559999999</v>
      </c>
      <c r="Y755" t="s">
        <v>1352</v>
      </c>
      <c r="Z755" t="s">
        <v>8100</v>
      </c>
      <c r="AA755" t="s">
        <v>1699</v>
      </c>
      <c r="AB755" t="s">
        <v>1278</v>
      </c>
      <c r="AC755" t="s">
        <v>8101</v>
      </c>
      <c r="AD755" t="s">
        <v>2708</v>
      </c>
      <c r="AE755">
        <v>1</v>
      </c>
      <c r="AO755" t="s">
        <v>4121</v>
      </c>
      <c r="AP755" t="s">
        <v>2401</v>
      </c>
    </row>
    <row r="756" spans="1:42">
      <c r="A756" t="s">
        <v>1066</v>
      </c>
      <c r="B756" t="s">
        <v>2377</v>
      </c>
      <c r="C756" t="s">
        <v>2390</v>
      </c>
      <c r="D756" t="s">
        <v>2379</v>
      </c>
      <c r="E756" t="s">
        <v>12</v>
      </c>
      <c r="F756" t="s">
        <v>6616</v>
      </c>
      <c r="G756" t="s">
        <v>12</v>
      </c>
      <c r="H756" t="b">
        <v>1</v>
      </c>
      <c r="I756" s="8">
        <v>45932.524155092593</v>
      </c>
      <c r="J756" t="s">
        <v>2380</v>
      </c>
      <c r="L756">
        <v>603001</v>
      </c>
      <c r="M756" t="s">
        <v>2381</v>
      </c>
      <c r="P756" t="s">
        <v>6617</v>
      </c>
      <c r="Q756" t="s">
        <v>2383</v>
      </c>
      <c r="R756">
        <v>1</v>
      </c>
      <c r="S756" t="s">
        <v>2380</v>
      </c>
      <c r="T756" t="s">
        <v>2383</v>
      </c>
      <c r="U756" s="8">
        <v>45929.669363425928</v>
      </c>
      <c r="V756" s="8">
        <v>45932.958333333336</v>
      </c>
      <c r="W756">
        <v>1</v>
      </c>
      <c r="X756">
        <v>2.8547916670000002</v>
      </c>
      <c r="Y756" t="s">
        <v>6618</v>
      </c>
      <c r="Z756" t="s">
        <v>6619</v>
      </c>
      <c r="AA756" t="s">
        <v>262</v>
      </c>
      <c r="AB756" t="s">
        <v>1278</v>
      </c>
      <c r="AC756" t="s">
        <v>6620</v>
      </c>
      <c r="AD756" t="s">
        <v>2708</v>
      </c>
      <c r="AE756">
        <v>1</v>
      </c>
      <c r="AO756" t="s">
        <v>2388</v>
      </c>
      <c r="AP756" t="s">
        <v>2401</v>
      </c>
    </row>
    <row r="757" spans="1:42">
      <c r="A757" t="s">
        <v>326</v>
      </c>
      <c r="B757" t="s">
        <v>2377</v>
      </c>
      <c r="C757" t="s">
        <v>2390</v>
      </c>
      <c r="D757" t="s">
        <v>2379</v>
      </c>
      <c r="E757" t="s">
        <v>12</v>
      </c>
      <c r="F757" t="s">
        <v>6616</v>
      </c>
      <c r="G757" t="s">
        <v>12</v>
      </c>
      <c r="H757" t="b">
        <v>1</v>
      </c>
      <c r="I757" s="8">
        <v>45932.510381944441</v>
      </c>
      <c r="J757" t="s">
        <v>2380</v>
      </c>
      <c r="L757">
        <v>603001</v>
      </c>
      <c r="M757" t="s">
        <v>2381</v>
      </c>
      <c r="P757" t="s">
        <v>6617</v>
      </c>
      <c r="Q757" t="s">
        <v>2383</v>
      </c>
      <c r="R757">
        <v>1</v>
      </c>
      <c r="S757" t="s">
        <v>2380</v>
      </c>
      <c r="T757" t="s">
        <v>2383</v>
      </c>
      <c r="U757" s="8">
        <v>45929.669791666667</v>
      </c>
      <c r="V757" s="8">
        <v>45932.958333333336</v>
      </c>
      <c r="W757">
        <v>1</v>
      </c>
      <c r="X757">
        <v>2.8405902780000001</v>
      </c>
      <c r="Y757" t="s">
        <v>6618</v>
      </c>
      <c r="Z757" t="s">
        <v>6621</v>
      </c>
      <c r="AA757" t="s">
        <v>262</v>
      </c>
      <c r="AB757" t="s">
        <v>1278</v>
      </c>
      <c r="AC757" t="s">
        <v>6622</v>
      </c>
      <c r="AD757" t="s">
        <v>2708</v>
      </c>
      <c r="AE757">
        <v>1</v>
      </c>
      <c r="AO757" t="s">
        <v>2388</v>
      </c>
      <c r="AP757" t="s">
        <v>2401</v>
      </c>
    </row>
    <row r="758" spans="1:42">
      <c r="A758" t="s">
        <v>2200</v>
      </c>
      <c r="B758" t="s">
        <v>2389</v>
      </c>
      <c r="C758" t="s">
        <v>2378</v>
      </c>
      <c r="D758" t="s">
        <v>2379</v>
      </c>
      <c r="E758" t="s">
        <v>24</v>
      </c>
      <c r="F758" t="s">
        <v>2779</v>
      </c>
      <c r="G758" t="s">
        <v>24</v>
      </c>
      <c r="H758" t="b">
        <v>1</v>
      </c>
      <c r="I758" s="8">
        <v>45932.676458333335</v>
      </c>
      <c r="J758" t="s">
        <v>2380</v>
      </c>
      <c r="K758">
        <v>1199992</v>
      </c>
      <c r="L758">
        <v>603483</v>
      </c>
      <c r="M758" t="s">
        <v>2381</v>
      </c>
      <c r="P758" t="s">
        <v>4216</v>
      </c>
      <c r="Q758" t="s">
        <v>2383</v>
      </c>
      <c r="R758">
        <v>1</v>
      </c>
      <c r="S758" t="s">
        <v>2380</v>
      </c>
      <c r="T758" t="s">
        <v>2383</v>
      </c>
      <c r="U758" s="8">
        <v>45929.673854166664</v>
      </c>
      <c r="V758" s="8">
        <v>45932.958333333336</v>
      </c>
      <c r="W758">
        <v>1</v>
      </c>
      <c r="X758">
        <v>3.0026041669999999</v>
      </c>
      <c r="Y758" t="s">
        <v>1352</v>
      </c>
      <c r="Z758" t="s">
        <v>4217</v>
      </c>
      <c r="AA758" t="s">
        <v>2198</v>
      </c>
      <c r="AB758" t="s">
        <v>1278</v>
      </c>
      <c r="AC758" t="s">
        <v>4218</v>
      </c>
      <c r="AD758" t="s">
        <v>2708</v>
      </c>
      <c r="AE758">
        <v>1</v>
      </c>
      <c r="AO758" t="s">
        <v>2408</v>
      </c>
      <c r="AP758" t="s">
        <v>2401</v>
      </c>
    </row>
    <row r="759" spans="1:42">
      <c r="A759" t="s">
        <v>7078</v>
      </c>
      <c r="B759" t="s">
        <v>2389</v>
      </c>
      <c r="C759" t="s">
        <v>2415</v>
      </c>
      <c r="D759" t="s">
        <v>2379</v>
      </c>
      <c r="E759" t="s">
        <v>2452</v>
      </c>
      <c r="F759" t="s">
        <v>2578</v>
      </c>
      <c r="G759" t="s">
        <v>2452</v>
      </c>
      <c r="H759" t="b">
        <v>1</v>
      </c>
      <c r="I759" s="8">
        <v>45931.619351851848</v>
      </c>
      <c r="J759" t="s">
        <v>2380</v>
      </c>
      <c r="K759">
        <v>1199712</v>
      </c>
      <c r="L759">
        <v>606840</v>
      </c>
      <c r="M759" t="s">
        <v>2381</v>
      </c>
      <c r="P759" t="s">
        <v>2670</v>
      </c>
      <c r="Q759" t="s">
        <v>2383</v>
      </c>
      <c r="R759">
        <v>1</v>
      </c>
      <c r="S759" t="s">
        <v>2380</v>
      </c>
      <c r="T759" t="s">
        <v>2383</v>
      </c>
      <c r="U759" s="8">
        <v>45929.682199074072</v>
      </c>
      <c r="V759" s="8">
        <v>45932.958333333336</v>
      </c>
      <c r="W759">
        <v>1</v>
      </c>
      <c r="X759">
        <v>1.937152778</v>
      </c>
      <c r="Y759" t="s">
        <v>2579</v>
      </c>
      <c r="Z759" t="s">
        <v>7079</v>
      </c>
      <c r="AA759" t="s">
        <v>3240</v>
      </c>
      <c r="AB759" t="s">
        <v>1278</v>
      </c>
      <c r="AC759" t="s">
        <v>7080</v>
      </c>
      <c r="AD759" t="s">
        <v>2708</v>
      </c>
      <c r="AE759">
        <v>1</v>
      </c>
      <c r="AO759" t="s">
        <v>2388</v>
      </c>
      <c r="AP759" t="s">
        <v>2401</v>
      </c>
    </row>
    <row r="760" spans="1:42">
      <c r="A760" t="s">
        <v>2237</v>
      </c>
      <c r="B760" t="s">
        <v>2389</v>
      </c>
      <c r="C760" t="s">
        <v>2390</v>
      </c>
      <c r="D760" t="s">
        <v>2379</v>
      </c>
      <c r="E760" t="s">
        <v>28</v>
      </c>
      <c r="F760" t="s">
        <v>2409</v>
      </c>
      <c r="G760" t="s">
        <v>28</v>
      </c>
      <c r="H760" t="b">
        <v>1</v>
      </c>
      <c r="I760" s="8">
        <v>45932.461481481485</v>
      </c>
      <c r="J760" t="s">
        <v>2380</v>
      </c>
      <c r="K760">
        <v>1199857</v>
      </c>
      <c r="L760">
        <v>608068</v>
      </c>
      <c r="M760" t="s">
        <v>2381</v>
      </c>
      <c r="N760">
        <v>15</v>
      </c>
      <c r="P760" t="s">
        <v>2486</v>
      </c>
      <c r="Q760" t="s">
        <v>2383</v>
      </c>
      <c r="R760">
        <v>1</v>
      </c>
      <c r="S760" t="s">
        <v>2380</v>
      </c>
      <c r="T760" t="s">
        <v>2383</v>
      </c>
      <c r="U760" s="8">
        <v>45929.711041666669</v>
      </c>
      <c r="V760" s="8">
        <v>45932.958333333336</v>
      </c>
      <c r="W760">
        <v>1</v>
      </c>
      <c r="X760">
        <v>2.750439815</v>
      </c>
      <c r="Y760" t="s">
        <v>2410</v>
      </c>
      <c r="Z760" t="s">
        <v>5489</v>
      </c>
      <c r="AA760" t="s">
        <v>2471</v>
      </c>
      <c r="AB760" t="s">
        <v>1278</v>
      </c>
      <c r="AC760" t="s">
        <v>5490</v>
      </c>
      <c r="AD760" t="s">
        <v>2708</v>
      </c>
      <c r="AE760">
        <v>1</v>
      </c>
      <c r="AO760" t="s">
        <v>2408</v>
      </c>
      <c r="AP760" t="s">
        <v>2401</v>
      </c>
    </row>
    <row r="761" spans="1:42">
      <c r="A761" t="s">
        <v>324</v>
      </c>
      <c r="B761" t="s">
        <v>2377</v>
      </c>
      <c r="C761" t="s">
        <v>2390</v>
      </c>
      <c r="D761" t="s">
        <v>2379</v>
      </c>
      <c r="E761" t="s">
        <v>2416</v>
      </c>
      <c r="F761" t="s">
        <v>2578</v>
      </c>
      <c r="G761" t="s">
        <v>2416</v>
      </c>
      <c r="H761" t="b">
        <v>1</v>
      </c>
      <c r="I761" s="8">
        <v>45932.540451388886</v>
      </c>
      <c r="J761" t="s">
        <v>2380</v>
      </c>
      <c r="L761">
        <v>602943</v>
      </c>
      <c r="M761" t="s">
        <v>2381</v>
      </c>
      <c r="P761" t="s">
        <v>5072</v>
      </c>
      <c r="Q761" t="s">
        <v>2383</v>
      </c>
      <c r="R761">
        <v>1</v>
      </c>
      <c r="S761" t="s">
        <v>2380</v>
      </c>
      <c r="T761" t="s">
        <v>2383</v>
      </c>
      <c r="U761" s="8">
        <v>45929.842013888891</v>
      </c>
      <c r="V761" s="8">
        <v>45932.958333333336</v>
      </c>
      <c r="W761">
        <v>1</v>
      </c>
      <c r="X761">
        <v>2.6984374999999998</v>
      </c>
      <c r="Y761" t="s">
        <v>2579</v>
      </c>
      <c r="Z761" t="s">
        <v>5073</v>
      </c>
      <c r="AA761" t="s">
        <v>2220</v>
      </c>
      <c r="AB761" t="s">
        <v>1278</v>
      </c>
      <c r="AC761" t="s">
        <v>5074</v>
      </c>
      <c r="AD761" t="s">
        <v>2708</v>
      </c>
      <c r="AE761">
        <v>1</v>
      </c>
      <c r="AG761" t="s">
        <v>5075</v>
      </c>
      <c r="AO761" t="s">
        <v>2388</v>
      </c>
      <c r="AP761" t="s">
        <v>2401</v>
      </c>
    </row>
    <row r="762" spans="1:42">
      <c r="A762" t="s">
        <v>820</v>
      </c>
      <c r="B762" t="s">
        <v>2377</v>
      </c>
      <c r="C762" t="s">
        <v>2390</v>
      </c>
      <c r="D762" t="s">
        <v>2379</v>
      </c>
      <c r="E762" t="s">
        <v>12</v>
      </c>
      <c r="F762" t="s">
        <v>2578</v>
      </c>
      <c r="G762" t="s">
        <v>12</v>
      </c>
      <c r="H762" t="b">
        <v>1</v>
      </c>
      <c r="I762" s="8">
        <v>45932.558553240742</v>
      </c>
      <c r="J762" t="s">
        <v>2380</v>
      </c>
      <c r="L762">
        <v>603484</v>
      </c>
      <c r="M762" t="s">
        <v>2381</v>
      </c>
      <c r="P762" t="s">
        <v>9830</v>
      </c>
      <c r="Q762" t="s">
        <v>2383</v>
      </c>
      <c r="R762">
        <v>1</v>
      </c>
      <c r="S762" t="s">
        <v>2380</v>
      </c>
      <c r="T762" t="s">
        <v>2383</v>
      </c>
      <c r="U762" s="8">
        <v>45929.853425925925</v>
      </c>
      <c r="V762" s="8">
        <v>45932.958333333336</v>
      </c>
      <c r="W762">
        <v>1</v>
      </c>
      <c r="X762">
        <v>2.7051273149999999</v>
      </c>
      <c r="Y762" t="s">
        <v>2579</v>
      </c>
      <c r="Z762" t="s">
        <v>9831</v>
      </c>
      <c r="AA762" t="s">
        <v>9832</v>
      </c>
      <c r="AB762" t="s">
        <v>1278</v>
      </c>
      <c r="AC762" t="s">
        <v>9833</v>
      </c>
      <c r="AD762" t="s">
        <v>2708</v>
      </c>
      <c r="AE762">
        <v>1</v>
      </c>
      <c r="AO762" t="s">
        <v>3644</v>
      </c>
      <c r="AP762" t="s">
        <v>2401</v>
      </c>
    </row>
    <row r="763" spans="1:42">
      <c r="A763" t="s">
        <v>353</v>
      </c>
      <c r="B763" t="s">
        <v>2377</v>
      </c>
      <c r="C763" t="s">
        <v>2378</v>
      </c>
      <c r="D763" t="s">
        <v>2379</v>
      </c>
      <c r="E763" t="s">
        <v>12</v>
      </c>
      <c r="F763" t="s">
        <v>3921</v>
      </c>
      <c r="G763" t="s">
        <v>12</v>
      </c>
      <c r="H763" t="b">
        <v>1</v>
      </c>
      <c r="I763" s="8">
        <v>45933.604351851849</v>
      </c>
      <c r="J763" t="s">
        <v>2380</v>
      </c>
      <c r="L763">
        <v>608029</v>
      </c>
      <c r="M763" t="s">
        <v>2381</v>
      </c>
      <c r="P763" t="s">
        <v>3936</v>
      </c>
      <c r="Q763" t="s">
        <v>2383</v>
      </c>
      <c r="R763">
        <v>1</v>
      </c>
      <c r="S763" t="s">
        <v>2380</v>
      </c>
      <c r="T763" t="s">
        <v>2383</v>
      </c>
      <c r="U763" s="8">
        <v>45930.362835648149</v>
      </c>
      <c r="V763" s="8">
        <v>45933.958333333336</v>
      </c>
      <c r="W763">
        <v>1</v>
      </c>
      <c r="X763">
        <v>3.2415162039999998</v>
      </c>
      <c r="Y763" t="s">
        <v>1352</v>
      </c>
      <c r="Z763" t="s">
        <v>9231</v>
      </c>
      <c r="AA763" t="s">
        <v>3923</v>
      </c>
      <c r="AB763" t="s">
        <v>1278</v>
      </c>
      <c r="AC763" t="s">
        <v>352</v>
      </c>
      <c r="AD763" t="s">
        <v>2708</v>
      </c>
      <c r="AE763">
        <v>1</v>
      </c>
      <c r="AH763" t="s">
        <v>33</v>
      </c>
      <c r="AI763" s="8">
        <v>45933.602071759262</v>
      </c>
      <c r="AK763" t="s">
        <v>2719</v>
      </c>
      <c r="AL763" t="s">
        <v>2719</v>
      </c>
      <c r="AO763" t="s">
        <v>2720</v>
      </c>
      <c r="AP763" t="s">
        <v>2401</v>
      </c>
    </row>
    <row r="764" spans="1:42">
      <c r="A764" t="s">
        <v>351</v>
      </c>
      <c r="B764" t="s">
        <v>2377</v>
      </c>
      <c r="C764" t="s">
        <v>2378</v>
      </c>
      <c r="D764" t="s">
        <v>2379</v>
      </c>
      <c r="E764" t="s">
        <v>12</v>
      </c>
      <c r="F764" t="s">
        <v>3921</v>
      </c>
      <c r="G764" t="s">
        <v>12</v>
      </c>
      <c r="H764" t="b">
        <v>1</v>
      </c>
      <c r="I764" s="8">
        <v>45933.413831018515</v>
      </c>
      <c r="J764" t="s">
        <v>2380</v>
      </c>
      <c r="L764">
        <v>608029</v>
      </c>
      <c r="M764" t="s">
        <v>2381</v>
      </c>
      <c r="P764" t="s">
        <v>3936</v>
      </c>
      <c r="Q764" t="s">
        <v>2383</v>
      </c>
      <c r="R764">
        <v>1</v>
      </c>
      <c r="S764" t="s">
        <v>2380</v>
      </c>
      <c r="T764" t="s">
        <v>2383</v>
      </c>
      <c r="U764" s="8">
        <v>45930.363356481481</v>
      </c>
      <c r="V764" s="8">
        <v>45933.958333333336</v>
      </c>
      <c r="W764">
        <v>1</v>
      </c>
      <c r="X764">
        <v>3.0504745369999999</v>
      </c>
      <c r="Y764" t="s">
        <v>1352</v>
      </c>
      <c r="Z764" t="s">
        <v>3937</v>
      </c>
      <c r="AA764" t="s">
        <v>3923</v>
      </c>
      <c r="AB764" t="s">
        <v>1278</v>
      </c>
      <c r="AC764" t="s">
        <v>3938</v>
      </c>
      <c r="AD764" t="s">
        <v>2708</v>
      </c>
      <c r="AE764">
        <v>1</v>
      </c>
      <c r="AO764" t="s">
        <v>2720</v>
      </c>
      <c r="AP764" t="s">
        <v>2401</v>
      </c>
    </row>
    <row r="765" spans="1:42">
      <c r="A765" t="s">
        <v>2191</v>
      </c>
      <c r="B765" t="s">
        <v>2377</v>
      </c>
      <c r="C765" t="s">
        <v>2378</v>
      </c>
      <c r="D765" t="s">
        <v>2379</v>
      </c>
      <c r="E765" t="s">
        <v>2416</v>
      </c>
      <c r="F765" t="s">
        <v>2588</v>
      </c>
      <c r="G765" t="s">
        <v>2416</v>
      </c>
      <c r="H765" t="b">
        <v>1</v>
      </c>
      <c r="I765" s="8">
        <v>45933.401759259257</v>
      </c>
      <c r="J765" t="s">
        <v>2380</v>
      </c>
      <c r="L765">
        <v>603525</v>
      </c>
      <c r="M765" t="s">
        <v>2381</v>
      </c>
      <c r="P765" t="s">
        <v>2704</v>
      </c>
      <c r="Q765" t="s">
        <v>2383</v>
      </c>
      <c r="R765">
        <v>1</v>
      </c>
      <c r="S765" t="s">
        <v>2380</v>
      </c>
      <c r="T765" t="s">
        <v>2383</v>
      </c>
      <c r="U765" s="8">
        <v>45930.363541666666</v>
      </c>
      <c r="V765" s="8">
        <v>45933.958333333336</v>
      </c>
      <c r="W765">
        <v>1</v>
      </c>
      <c r="X765">
        <v>3.0382175930000002</v>
      </c>
      <c r="Y765" t="s">
        <v>2579</v>
      </c>
      <c r="Z765" t="s">
        <v>3230</v>
      </c>
      <c r="AA765" t="s">
        <v>2699</v>
      </c>
      <c r="AB765" t="s">
        <v>1278</v>
      </c>
      <c r="AC765" t="s">
        <v>3231</v>
      </c>
      <c r="AE765">
        <v>1</v>
      </c>
      <c r="AO765" t="s">
        <v>2388</v>
      </c>
      <c r="AP765" t="s">
        <v>2401</v>
      </c>
    </row>
    <row r="766" spans="1:42">
      <c r="A766" t="s">
        <v>346</v>
      </c>
      <c r="B766" t="s">
        <v>2377</v>
      </c>
      <c r="C766" t="s">
        <v>2378</v>
      </c>
      <c r="D766" t="s">
        <v>2379</v>
      </c>
      <c r="E766" t="s">
        <v>12</v>
      </c>
      <c r="F766" t="s">
        <v>3921</v>
      </c>
      <c r="G766" t="s">
        <v>12</v>
      </c>
      <c r="H766" t="b">
        <v>1</v>
      </c>
      <c r="I766" s="8">
        <v>45933.410104166665</v>
      </c>
      <c r="J766" t="s">
        <v>2380</v>
      </c>
      <c r="L766">
        <v>608029</v>
      </c>
      <c r="M766" t="s">
        <v>2381</v>
      </c>
      <c r="P766" t="s">
        <v>3936</v>
      </c>
      <c r="Q766" t="s">
        <v>2383</v>
      </c>
      <c r="R766">
        <v>1</v>
      </c>
      <c r="S766" t="s">
        <v>2380</v>
      </c>
      <c r="T766" t="s">
        <v>2383</v>
      </c>
      <c r="U766" s="8">
        <v>45930.364085648151</v>
      </c>
      <c r="V766" s="8">
        <v>45933.958333333336</v>
      </c>
      <c r="W766">
        <v>1</v>
      </c>
      <c r="X766">
        <v>3.046018519</v>
      </c>
      <c r="Y766" t="s">
        <v>1352</v>
      </c>
      <c r="Z766" t="s">
        <v>3939</v>
      </c>
      <c r="AA766" t="s">
        <v>3923</v>
      </c>
      <c r="AB766" t="s">
        <v>1278</v>
      </c>
      <c r="AC766" t="s">
        <v>3940</v>
      </c>
      <c r="AD766" t="s">
        <v>2708</v>
      </c>
      <c r="AE766">
        <v>1</v>
      </c>
      <c r="AO766" t="s">
        <v>2720</v>
      </c>
      <c r="AP766" t="s">
        <v>2401</v>
      </c>
    </row>
    <row r="767" spans="1:42">
      <c r="A767" t="s">
        <v>2210</v>
      </c>
      <c r="B767" t="s">
        <v>2389</v>
      </c>
      <c r="C767" t="s">
        <v>2390</v>
      </c>
      <c r="D767" t="s">
        <v>2379</v>
      </c>
      <c r="E767" t="s">
        <v>25</v>
      </c>
      <c r="F767" t="s">
        <v>2417</v>
      </c>
      <c r="G767" t="s">
        <v>25</v>
      </c>
      <c r="H767" t="b">
        <v>1</v>
      </c>
      <c r="I767" s="8">
        <v>45932.597997685189</v>
      </c>
      <c r="J767" t="s">
        <v>2380</v>
      </c>
      <c r="K767">
        <v>1199848</v>
      </c>
      <c r="L767">
        <v>602944</v>
      </c>
      <c r="M767" t="s">
        <v>2381</v>
      </c>
      <c r="N767">
        <v>5</v>
      </c>
      <c r="P767" t="s">
        <v>2743</v>
      </c>
      <c r="Q767" t="s">
        <v>2383</v>
      </c>
      <c r="R767">
        <v>1</v>
      </c>
      <c r="S767" t="s">
        <v>2380</v>
      </c>
      <c r="T767" t="s">
        <v>2383</v>
      </c>
      <c r="U767" s="8">
        <v>45930.380486111113</v>
      </c>
      <c r="V767" s="8">
        <v>45933.958333333336</v>
      </c>
      <c r="W767">
        <v>1</v>
      </c>
      <c r="X767">
        <v>2.217511574</v>
      </c>
      <c r="Y767" t="s">
        <v>2418</v>
      </c>
      <c r="Z767" t="s">
        <v>5232</v>
      </c>
      <c r="AA767" t="s">
        <v>2745</v>
      </c>
      <c r="AB767" t="s">
        <v>1278</v>
      </c>
      <c r="AC767" t="s">
        <v>2802</v>
      </c>
      <c r="AD767" t="s">
        <v>2708</v>
      </c>
      <c r="AE767">
        <v>1</v>
      </c>
      <c r="AH767" t="s">
        <v>33</v>
      </c>
      <c r="AI767" s="8">
        <v>45932.594525462962</v>
      </c>
      <c r="AK767" t="s">
        <v>2719</v>
      </c>
      <c r="AL767" t="s">
        <v>2719</v>
      </c>
      <c r="AO767" t="s">
        <v>2408</v>
      </c>
      <c r="AP767" t="s">
        <v>2401</v>
      </c>
    </row>
    <row r="768" spans="1:42">
      <c r="A768" t="s">
        <v>2244</v>
      </c>
      <c r="B768" t="s">
        <v>2389</v>
      </c>
      <c r="C768" t="s">
        <v>2390</v>
      </c>
      <c r="D768" t="s">
        <v>2379</v>
      </c>
      <c r="E768" t="s">
        <v>25</v>
      </c>
      <c r="F768" t="s">
        <v>2417</v>
      </c>
      <c r="G768" t="s">
        <v>25</v>
      </c>
      <c r="H768" t="b">
        <v>1</v>
      </c>
      <c r="I768" s="8">
        <v>45932.448946759258</v>
      </c>
      <c r="J768" t="s">
        <v>2380</v>
      </c>
      <c r="K768">
        <v>1199851</v>
      </c>
      <c r="L768">
        <v>602944</v>
      </c>
      <c r="M768" t="s">
        <v>2381</v>
      </c>
      <c r="N768">
        <v>5</v>
      </c>
      <c r="P768" t="s">
        <v>2743</v>
      </c>
      <c r="Q768" t="s">
        <v>2383</v>
      </c>
      <c r="R768">
        <v>1</v>
      </c>
      <c r="S768" t="s">
        <v>2380</v>
      </c>
      <c r="T768" t="s">
        <v>2383</v>
      </c>
      <c r="U768" s="8">
        <v>45930.380682870367</v>
      </c>
      <c r="V768" s="8">
        <v>45933.958333333336</v>
      </c>
      <c r="W768">
        <v>1</v>
      </c>
      <c r="X768">
        <v>2.0682638889999998</v>
      </c>
      <c r="Y768" t="s">
        <v>2418</v>
      </c>
      <c r="Z768" t="s">
        <v>5568</v>
      </c>
      <c r="AA768" t="s">
        <v>2745</v>
      </c>
      <c r="AB768" t="s">
        <v>1278</v>
      </c>
      <c r="AC768" t="s">
        <v>5569</v>
      </c>
      <c r="AD768" t="s">
        <v>2708</v>
      </c>
      <c r="AE768">
        <v>1</v>
      </c>
      <c r="AO768" t="s">
        <v>2408</v>
      </c>
      <c r="AP768" t="s">
        <v>2401</v>
      </c>
    </row>
    <row r="769" spans="1:42">
      <c r="A769" t="s">
        <v>361</v>
      </c>
      <c r="B769" t="s">
        <v>2377</v>
      </c>
      <c r="C769" t="s">
        <v>2378</v>
      </c>
      <c r="D769" t="s">
        <v>2379</v>
      </c>
      <c r="E769" t="s">
        <v>12</v>
      </c>
      <c r="F769" t="s">
        <v>2409</v>
      </c>
      <c r="G769" t="s">
        <v>12</v>
      </c>
      <c r="H769" t="b">
        <v>1</v>
      </c>
      <c r="I769" s="8">
        <v>45933.464594907404</v>
      </c>
      <c r="J769" t="s">
        <v>2380</v>
      </c>
      <c r="L769">
        <v>608028</v>
      </c>
      <c r="M769" t="s">
        <v>2381</v>
      </c>
      <c r="P769" t="s">
        <v>2704</v>
      </c>
      <c r="Q769" t="s">
        <v>2383</v>
      </c>
      <c r="R769">
        <v>1</v>
      </c>
      <c r="S769" t="s">
        <v>2380</v>
      </c>
      <c r="T769" t="s">
        <v>2383</v>
      </c>
      <c r="U769" s="8">
        <v>45930.394224537034</v>
      </c>
      <c r="V769" s="8">
        <v>45933.958333333336</v>
      </c>
      <c r="W769">
        <v>1</v>
      </c>
      <c r="X769">
        <v>3.07037037</v>
      </c>
      <c r="Y769" t="s">
        <v>2410</v>
      </c>
      <c r="Z769" t="s">
        <v>9768</v>
      </c>
      <c r="AA769" t="s">
        <v>8806</v>
      </c>
      <c r="AB769" t="s">
        <v>1278</v>
      </c>
      <c r="AC769" t="s">
        <v>9769</v>
      </c>
      <c r="AD769" t="s">
        <v>2708</v>
      </c>
      <c r="AE769">
        <v>1</v>
      </c>
      <c r="AO769" t="s">
        <v>3644</v>
      </c>
      <c r="AP769" t="s">
        <v>2401</v>
      </c>
    </row>
    <row r="770" spans="1:42">
      <c r="A770" t="s">
        <v>10305</v>
      </c>
      <c r="B770" t="s">
        <v>2377</v>
      </c>
      <c r="C770" t="s">
        <v>2378</v>
      </c>
      <c r="D770" t="s">
        <v>2379</v>
      </c>
      <c r="E770" t="s">
        <v>24</v>
      </c>
      <c r="F770" t="s">
        <v>4897</v>
      </c>
      <c r="G770" t="s">
        <v>24</v>
      </c>
      <c r="H770" t="b">
        <v>1</v>
      </c>
      <c r="I770" s="8">
        <v>45933.423333333332</v>
      </c>
      <c r="J770" t="s">
        <v>2380</v>
      </c>
      <c r="L770">
        <v>603929</v>
      </c>
      <c r="M770" t="s">
        <v>2381</v>
      </c>
      <c r="P770" t="s">
        <v>2670</v>
      </c>
      <c r="Q770" t="s">
        <v>2383</v>
      </c>
      <c r="R770">
        <v>1</v>
      </c>
      <c r="S770" t="s">
        <v>2380</v>
      </c>
      <c r="T770" t="s">
        <v>2383</v>
      </c>
      <c r="U770" s="8">
        <v>45930.39738425926</v>
      </c>
      <c r="V770" s="8">
        <v>45933.958333333336</v>
      </c>
      <c r="W770">
        <v>1</v>
      </c>
      <c r="X770">
        <v>3.0259490740000001</v>
      </c>
      <c r="Y770" t="s">
        <v>4898</v>
      </c>
      <c r="Z770" t="s">
        <v>10306</v>
      </c>
      <c r="AA770" t="s">
        <v>5025</v>
      </c>
      <c r="AB770" t="s">
        <v>1278</v>
      </c>
      <c r="AE770">
        <v>1</v>
      </c>
      <c r="AO770" t="s">
        <v>2715</v>
      </c>
      <c r="AP770" t="s">
        <v>2401</v>
      </c>
    </row>
    <row r="771" spans="1:42">
      <c r="A771" t="s">
        <v>5023</v>
      </c>
      <c r="B771" t="s">
        <v>2389</v>
      </c>
      <c r="C771" t="s">
        <v>2378</v>
      </c>
      <c r="D771" t="s">
        <v>2379</v>
      </c>
      <c r="E771" t="s">
        <v>12</v>
      </c>
      <c r="F771" t="s">
        <v>4897</v>
      </c>
      <c r="G771" t="s">
        <v>12</v>
      </c>
      <c r="H771" t="b">
        <v>1</v>
      </c>
      <c r="I771" s="8">
        <v>45933.584594907406</v>
      </c>
      <c r="J771" t="s">
        <v>2380</v>
      </c>
      <c r="K771">
        <v>1200135</v>
      </c>
      <c r="L771">
        <v>603929</v>
      </c>
      <c r="M771" t="s">
        <v>2381</v>
      </c>
      <c r="P771" t="s">
        <v>2670</v>
      </c>
      <c r="Q771" t="s">
        <v>2383</v>
      </c>
      <c r="R771">
        <v>1</v>
      </c>
      <c r="S771" t="s">
        <v>2380</v>
      </c>
      <c r="T771" t="s">
        <v>2383</v>
      </c>
      <c r="U771" s="8">
        <v>45930.402939814812</v>
      </c>
      <c r="V771" s="8">
        <v>45933.958333333336</v>
      </c>
      <c r="W771">
        <v>1</v>
      </c>
      <c r="X771">
        <v>3.1816550929999998</v>
      </c>
      <c r="Y771" t="s">
        <v>4898</v>
      </c>
      <c r="Z771" t="s">
        <v>5024</v>
      </c>
      <c r="AA771" t="s">
        <v>5025</v>
      </c>
      <c r="AB771" t="s">
        <v>1278</v>
      </c>
      <c r="AC771" t="s">
        <v>5026</v>
      </c>
      <c r="AD771" t="s">
        <v>2708</v>
      </c>
      <c r="AE771">
        <v>1</v>
      </c>
      <c r="AO771" t="s">
        <v>2715</v>
      </c>
      <c r="AP771" t="s">
        <v>2401</v>
      </c>
    </row>
    <row r="772" spans="1:42">
      <c r="A772" t="s">
        <v>933</v>
      </c>
      <c r="B772" t="s">
        <v>2377</v>
      </c>
      <c r="C772" t="s">
        <v>2438</v>
      </c>
      <c r="D772" t="s">
        <v>2379</v>
      </c>
      <c r="E772" t="s">
        <v>25</v>
      </c>
      <c r="F772" t="s">
        <v>3747</v>
      </c>
      <c r="G772" t="s">
        <v>25</v>
      </c>
      <c r="H772" t="b">
        <v>1</v>
      </c>
      <c r="I772" s="8">
        <v>45931.37771990741</v>
      </c>
      <c r="J772" t="s">
        <v>2380</v>
      </c>
      <c r="L772">
        <v>606879</v>
      </c>
      <c r="M772" t="s">
        <v>2381</v>
      </c>
      <c r="N772">
        <v>10</v>
      </c>
      <c r="P772" t="s">
        <v>2704</v>
      </c>
      <c r="Q772" t="s">
        <v>2383</v>
      </c>
      <c r="R772">
        <v>1</v>
      </c>
      <c r="S772" t="s">
        <v>2380</v>
      </c>
      <c r="T772" t="s">
        <v>2383</v>
      </c>
      <c r="U772" s="8">
        <v>45930.40415509259</v>
      </c>
      <c r="V772" s="8">
        <v>45933.958333333336</v>
      </c>
      <c r="W772">
        <v>1</v>
      </c>
      <c r="X772">
        <v>0.97356481500000003</v>
      </c>
      <c r="Y772" t="s">
        <v>3748</v>
      </c>
      <c r="Z772" t="s">
        <v>4100</v>
      </c>
      <c r="AA772" t="s">
        <v>2710</v>
      </c>
      <c r="AB772" t="s">
        <v>1278</v>
      </c>
      <c r="AC772" t="s">
        <v>4101</v>
      </c>
      <c r="AD772" t="s">
        <v>2708</v>
      </c>
      <c r="AE772">
        <v>1</v>
      </c>
      <c r="AO772" t="s">
        <v>2712</v>
      </c>
      <c r="AP772" t="s">
        <v>2401</v>
      </c>
    </row>
    <row r="773" spans="1:42">
      <c r="A773" t="s">
        <v>2205</v>
      </c>
      <c r="B773" t="s">
        <v>2389</v>
      </c>
      <c r="C773" t="s">
        <v>2390</v>
      </c>
      <c r="D773" t="s">
        <v>2379</v>
      </c>
      <c r="E773" t="s">
        <v>25</v>
      </c>
      <c r="F773" t="s">
        <v>2417</v>
      </c>
      <c r="G773" t="s">
        <v>2601</v>
      </c>
      <c r="H773" t="b">
        <v>1</v>
      </c>
      <c r="I773" s="8">
        <v>45932.632453703707</v>
      </c>
      <c r="J773" t="s">
        <v>2380</v>
      </c>
      <c r="L773">
        <v>602944</v>
      </c>
      <c r="M773" t="s">
        <v>2381</v>
      </c>
      <c r="P773" t="s">
        <v>2743</v>
      </c>
      <c r="Q773" t="s">
        <v>2383</v>
      </c>
      <c r="R773">
        <v>1</v>
      </c>
      <c r="S773" t="s">
        <v>2380</v>
      </c>
      <c r="T773" t="s">
        <v>2383</v>
      </c>
      <c r="U773" s="8">
        <v>45930.408391203702</v>
      </c>
      <c r="V773" s="8">
        <v>45933.958333333336</v>
      </c>
      <c r="W773">
        <v>1</v>
      </c>
      <c r="X773">
        <v>2.2240625000000001</v>
      </c>
      <c r="Y773" t="s">
        <v>2418</v>
      </c>
      <c r="Z773" t="s">
        <v>2801</v>
      </c>
      <c r="AA773" t="s">
        <v>2745</v>
      </c>
      <c r="AB773" t="s">
        <v>1278</v>
      </c>
      <c r="AC773" t="s">
        <v>2802</v>
      </c>
      <c r="AE773">
        <v>1</v>
      </c>
      <c r="AO773" t="s">
        <v>2408</v>
      </c>
      <c r="AP773" t="s">
        <v>2401</v>
      </c>
    </row>
    <row r="774" spans="1:42">
      <c r="A774" t="s">
        <v>347</v>
      </c>
      <c r="B774" t="s">
        <v>2377</v>
      </c>
      <c r="C774" t="s">
        <v>2390</v>
      </c>
      <c r="D774" t="s">
        <v>2379</v>
      </c>
      <c r="E774" t="s">
        <v>18</v>
      </c>
      <c r="F774" t="s">
        <v>2588</v>
      </c>
      <c r="G774" t="s">
        <v>2416</v>
      </c>
      <c r="H774" t="b">
        <v>1</v>
      </c>
      <c r="I774" s="8">
        <v>45933.414212962962</v>
      </c>
      <c r="J774" t="s">
        <v>2380</v>
      </c>
      <c r="L774">
        <v>603959</v>
      </c>
      <c r="M774" t="s">
        <v>2381</v>
      </c>
      <c r="P774" t="s">
        <v>2589</v>
      </c>
      <c r="Q774" t="s">
        <v>2383</v>
      </c>
      <c r="R774">
        <v>1</v>
      </c>
      <c r="S774" t="s">
        <v>2380</v>
      </c>
      <c r="T774" t="s">
        <v>2383</v>
      </c>
      <c r="U774" s="8">
        <v>45930.414305555554</v>
      </c>
      <c r="V774" s="8">
        <v>45933.958333333336</v>
      </c>
      <c r="W774">
        <v>1</v>
      </c>
      <c r="X774">
        <v>2.9999074069999998</v>
      </c>
      <c r="Y774" t="s">
        <v>2579</v>
      </c>
      <c r="Z774" t="s">
        <v>6577</v>
      </c>
      <c r="AA774" t="s">
        <v>2592</v>
      </c>
      <c r="AB774" t="s">
        <v>1278</v>
      </c>
      <c r="AC774" t="s">
        <v>6578</v>
      </c>
      <c r="AD774" t="s">
        <v>2708</v>
      </c>
      <c r="AE774">
        <v>1</v>
      </c>
      <c r="AO774" t="s">
        <v>2388</v>
      </c>
      <c r="AP774" t="s">
        <v>2401</v>
      </c>
    </row>
    <row r="775" spans="1:42">
      <c r="A775" t="s">
        <v>340</v>
      </c>
      <c r="B775" t="s">
        <v>2377</v>
      </c>
      <c r="C775" t="s">
        <v>2378</v>
      </c>
      <c r="D775" t="s">
        <v>2379</v>
      </c>
      <c r="E775" t="s">
        <v>33</v>
      </c>
      <c r="F775" t="s">
        <v>2578</v>
      </c>
      <c r="G775" t="s">
        <v>33</v>
      </c>
      <c r="H775" t="b">
        <v>1</v>
      </c>
      <c r="I775" s="8">
        <v>45933.605868055558</v>
      </c>
      <c r="J775" t="s">
        <v>2380</v>
      </c>
      <c r="L775">
        <v>603471</v>
      </c>
      <c r="M775" t="s">
        <v>2381</v>
      </c>
      <c r="P775" t="s">
        <v>6611</v>
      </c>
      <c r="Q775" t="s">
        <v>2383</v>
      </c>
      <c r="R775">
        <v>1</v>
      </c>
      <c r="S775" t="s">
        <v>2380</v>
      </c>
      <c r="T775" t="s">
        <v>2383</v>
      </c>
      <c r="U775" s="8">
        <v>45930.414340277777</v>
      </c>
      <c r="V775" s="8">
        <v>45933.958333333336</v>
      </c>
      <c r="W775">
        <v>1</v>
      </c>
      <c r="X775">
        <v>3.1915277780000002</v>
      </c>
      <c r="Y775" t="s">
        <v>2579</v>
      </c>
      <c r="Z775" t="s">
        <v>9047</v>
      </c>
      <c r="AA775" t="s">
        <v>1527</v>
      </c>
      <c r="AB775" t="s">
        <v>1278</v>
      </c>
      <c r="AC775" t="s">
        <v>2746</v>
      </c>
      <c r="AD775" t="s">
        <v>2708</v>
      </c>
      <c r="AE775">
        <v>1</v>
      </c>
      <c r="AH775" t="s">
        <v>4895</v>
      </c>
      <c r="AI775" s="8">
        <v>45933.603333333333</v>
      </c>
      <c r="AK775" t="s">
        <v>2719</v>
      </c>
      <c r="AL775" t="s">
        <v>2719</v>
      </c>
      <c r="AO775" t="s">
        <v>2388</v>
      </c>
      <c r="AP775" t="s">
        <v>2401</v>
      </c>
    </row>
    <row r="776" spans="1:42">
      <c r="A776" t="s">
        <v>320</v>
      </c>
      <c r="B776" t="s">
        <v>2377</v>
      </c>
      <c r="C776" t="s">
        <v>2378</v>
      </c>
      <c r="D776" t="s">
        <v>2379</v>
      </c>
      <c r="E776" t="s">
        <v>33</v>
      </c>
      <c r="F776" t="s">
        <v>2402</v>
      </c>
      <c r="G776" t="s">
        <v>33</v>
      </c>
      <c r="H776" t="b">
        <v>1</v>
      </c>
      <c r="I776" s="8">
        <v>45933.605497685188</v>
      </c>
      <c r="J776" t="s">
        <v>2380</v>
      </c>
      <c r="L776">
        <v>609839</v>
      </c>
      <c r="M776" t="s">
        <v>2381</v>
      </c>
      <c r="P776" t="s">
        <v>2486</v>
      </c>
      <c r="Q776" t="s">
        <v>2383</v>
      </c>
      <c r="R776">
        <v>1</v>
      </c>
      <c r="S776" t="s">
        <v>2380</v>
      </c>
      <c r="T776" t="s">
        <v>2383</v>
      </c>
      <c r="U776" s="8">
        <v>45930.415011574078</v>
      </c>
      <c r="V776" s="8">
        <v>45933.958333333336</v>
      </c>
      <c r="W776">
        <v>1</v>
      </c>
      <c r="X776">
        <v>3.1904861109999998</v>
      </c>
      <c r="Y776" t="s">
        <v>2403</v>
      </c>
      <c r="Z776" t="s">
        <v>5203</v>
      </c>
      <c r="AA776" t="s">
        <v>2760</v>
      </c>
      <c r="AB776" t="s">
        <v>1278</v>
      </c>
      <c r="AC776" t="s">
        <v>5204</v>
      </c>
      <c r="AD776" t="s">
        <v>2708</v>
      </c>
      <c r="AE776">
        <v>1</v>
      </c>
      <c r="AH776" t="s">
        <v>4895</v>
      </c>
      <c r="AI776" s="8">
        <v>45933.604398148149</v>
      </c>
      <c r="AK776" t="s">
        <v>2719</v>
      </c>
      <c r="AL776" t="s">
        <v>2719</v>
      </c>
      <c r="AO776" t="s">
        <v>2408</v>
      </c>
      <c r="AP776" t="s">
        <v>2401</v>
      </c>
    </row>
    <row r="777" spans="1:42">
      <c r="A777" t="s">
        <v>9989</v>
      </c>
      <c r="B777" t="s">
        <v>2377</v>
      </c>
      <c r="C777" t="s">
        <v>2378</v>
      </c>
      <c r="D777" t="s">
        <v>2379</v>
      </c>
      <c r="E777" t="s">
        <v>2416</v>
      </c>
      <c r="F777" t="s">
        <v>2627</v>
      </c>
      <c r="G777" t="s">
        <v>2416</v>
      </c>
      <c r="H777" t="b">
        <v>1</v>
      </c>
      <c r="I777" s="8">
        <v>45933.437152777777</v>
      </c>
      <c r="J777" t="s">
        <v>2380</v>
      </c>
      <c r="L777">
        <v>605347</v>
      </c>
      <c r="M777" t="s">
        <v>2381</v>
      </c>
      <c r="P777" t="s">
        <v>2670</v>
      </c>
      <c r="Q777" t="s">
        <v>2383</v>
      </c>
      <c r="R777">
        <v>1</v>
      </c>
      <c r="S777" t="s">
        <v>2380</v>
      </c>
      <c r="T777" t="s">
        <v>2383</v>
      </c>
      <c r="U777" s="8">
        <v>45930.434861111113</v>
      </c>
      <c r="V777" s="8">
        <v>45933.958333333336</v>
      </c>
      <c r="W777">
        <v>1</v>
      </c>
      <c r="X777">
        <v>3.0022916670000002</v>
      </c>
      <c r="Y777" t="s">
        <v>2628</v>
      </c>
      <c r="Z777" t="s">
        <v>9990</v>
      </c>
      <c r="AA777" t="s">
        <v>7609</v>
      </c>
      <c r="AB777" t="s">
        <v>1278</v>
      </c>
      <c r="AC777" t="s">
        <v>9991</v>
      </c>
      <c r="AE777">
        <v>1</v>
      </c>
      <c r="AO777" t="s">
        <v>2957</v>
      </c>
      <c r="AP777" t="s">
        <v>2401</v>
      </c>
    </row>
    <row r="778" spans="1:42">
      <c r="A778" t="s">
        <v>7607</v>
      </c>
      <c r="B778" t="s">
        <v>2389</v>
      </c>
      <c r="C778" t="s">
        <v>2390</v>
      </c>
      <c r="D778" t="s">
        <v>2379</v>
      </c>
      <c r="E778" t="s">
        <v>2601</v>
      </c>
      <c r="F778" t="s">
        <v>2627</v>
      </c>
      <c r="G778" t="s">
        <v>2601</v>
      </c>
      <c r="H778" t="b">
        <v>1</v>
      </c>
      <c r="I778" s="8">
        <v>45932.606238425928</v>
      </c>
      <c r="J778" t="s">
        <v>2380</v>
      </c>
      <c r="K778">
        <v>1199944</v>
      </c>
      <c r="L778">
        <v>605347</v>
      </c>
      <c r="M778" t="s">
        <v>2381</v>
      </c>
      <c r="P778" t="s">
        <v>2670</v>
      </c>
      <c r="Q778" t="s">
        <v>2383</v>
      </c>
      <c r="R778">
        <v>1</v>
      </c>
      <c r="S778" t="s">
        <v>2380</v>
      </c>
      <c r="T778" t="s">
        <v>2383</v>
      </c>
      <c r="U778" s="8">
        <v>45930.435601851852</v>
      </c>
      <c r="V778" s="8">
        <v>45933.958333333336</v>
      </c>
      <c r="W778">
        <v>1</v>
      </c>
      <c r="X778">
        <v>2.170636574</v>
      </c>
      <c r="Y778" t="s">
        <v>2628</v>
      </c>
      <c r="Z778" t="s">
        <v>7608</v>
      </c>
      <c r="AA778" t="s">
        <v>7609</v>
      </c>
      <c r="AB778" t="s">
        <v>1278</v>
      </c>
      <c r="AC778" t="s">
        <v>7610</v>
      </c>
      <c r="AD778" t="s">
        <v>2708</v>
      </c>
      <c r="AE778">
        <v>1</v>
      </c>
      <c r="AO778" t="s">
        <v>2957</v>
      </c>
      <c r="AP778" t="s">
        <v>2401</v>
      </c>
    </row>
    <row r="779" spans="1:42">
      <c r="A779" t="s">
        <v>2203</v>
      </c>
      <c r="B779" t="s">
        <v>2377</v>
      </c>
      <c r="C779" t="s">
        <v>2390</v>
      </c>
      <c r="D779" t="s">
        <v>2379</v>
      </c>
      <c r="E779" t="s">
        <v>24</v>
      </c>
      <c r="F779" t="s">
        <v>3747</v>
      </c>
      <c r="G779" t="s">
        <v>24</v>
      </c>
      <c r="H779" t="b">
        <v>1</v>
      </c>
      <c r="I779" s="8">
        <v>45932.641388888886</v>
      </c>
      <c r="J779" t="s">
        <v>2380</v>
      </c>
      <c r="L779">
        <v>602438</v>
      </c>
      <c r="M779" t="s">
        <v>2381</v>
      </c>
      <c r="P779" t="s">
        <v>3763</v>
      </c>
      <c r="Q779" t="s">
        <v>2383</v>
      </c>
      <c r="R779">
        <v>1</v>
      </c>
      <c r="S779" t="s">
        <v>2380</v>
      </c>
      <c r="T779" t="s">
        <v>2383</v>
      </c>
      <c r="U779" s="8">
        <v>45930.443333333336</v>
      </c>
      <c r="V779" s="8">
        <v>45933.958333333336</v>
      </c>
      <c r="W779">
        <v>1</v>
      </c>
      <c r="X779">
        <v>2.1980555559999999</v>
      </c>
      <c r="Y779" t="s">
        <v>3748</v>
      </c>
      <c r="Z779" t="s">
        <v>3764</v>
      </c>
      <c r="AA779" t="s">
        <v>1742</v>
      </c>
      <c r="AB779" t="s">
        <v>1278</v>
      </c>
      <c r="AC779" t="s">
        <v>3765</v>
      </c>
      <c r="AE779">
        <v>1</v>
      </c>
      <c r="AO779" t="s">
        <v>2712</v>
      </c>
      <c r="AP779" t="s">
        <v>2401</v>
      </c>
    </row>
    <row r="780" spans="1:42">
      <c r="A780" t="s">
        <v>538</v>
      </c>
      <c r="B780" t="s">
        <v>2377</v>
      </c>
      <c r="C780" t="s">
        <v>2390</v>
      </c>
      <c r="D780" t="s">
        <v>2379</v>
      </c>
      <c r="E780" t="s">
        <v>12</v>
      </c>
      <c r="F780" t="s">
        <v>2588</v>
      </c>
      <c r="G780" t="s">
        <v>12</v>
      </c>
      <c r="H780" t="b">
        <v>1</v>
      </c>
      <c r="I780" s="8">
        <v>45933.458425925928</v>
      </c>
      <c r="J780" t="s">
        <v>2380</v>
      </c>
      <c r="L780">
        <v>603757</v>
      </c>
      <c r="M780" t="s">
        <v>2381</v>
      </c>
      <c r="P780" t="s">
        <v>8955</v>
      </c>
      <c r="Q780" t="s">
        <v>2383</v>
      </c>
      <c r="R780">
        <v>1</v>
      </c>
      <c r="S780" t="s">
        <v>2380</v>
      </c>
      <c r="T780" t="s">
        <v>2383</v>
      </c>
      <c r="U780" s="8">
        <v>45930.46943287037</v>
      </c>
      <c r="V780" s="8">
        <v>45933.958333333336</v>
      </c>
      <c r="W780">
        <v>1</v>
      </c>
      <c r="X780">
        <v>2.988993056</v>
      </c>
      <c r="Y780" t="s">
        <v>2579</v>
      </c>
      <c r="Z780" t="s">
        <v>9763</v>
      </c>
      <c r="AA780" t="s">
        <v>9752</v>
      </c>
      <c r="AB780" t="s">
        <v>1278</v>
      </c>
      <c r="AC780" t="s">
        <v>9764</v>
      </c>
      <c r="AD780" t="s">
        <v>2708</v>
      </c>
      <c r="AE780">
        <v>1</v>
      </c>
      <c r="AO780" t="s">
        <v>3644</v>
      </c>
      <c r="AP780" t="s">
        <v>2401</v>
      </c>
    </row>
    <row r="781" spans="1:42">
      <c r="A781" t="s">
        <v>315</v>
      </c>
      <c r="B781" t="s">
        <v>2377</v>
      </c>
      <c r="C781" t="s">
        <v>2378</v>
      </c>
      <c r="D781" t="s">
        <v>2379</v>
      </c>
      <c r="E781" t="s">
        <v>33</v>
      </c>
      <c r="F781" t="s">
        <v>4897</v>
      </c>
      <c r="G781" t="s">
        <v>33</v>
      </c>
      <c r="H781" t="b">
        <v>1</v>
      </c>
      <c r="I781" s="8">
        <v>45933.605497685188</v>
      </c>
      <c r="J781" t="s">
        <v>2380</v>
      </c>
      <c r="L781">
        <v>602408</v>
      </c>
      <c r="M781" t="s">
        <v>2381</v>
      </c>
      <c r="P781" t="s">
        <v>2704</v>
      </c>
      <c r="Q781" t="s">
        <v>2383</v>
      </c>
      <c r="R781">
        <v>1</v>
      </c>
      <c r="S781" t="s">
        <v>2380</v>
      </c>
      <c r="T781" t="s">
        <v>2383</v>
      </c>
      <c r="U781" s="8">
        <v>45930.472418981481</v>
      </c>
      <c r="V781" s="8">
        <v>45933.958333333336</v>
      </c>
      <c r="W781">
        <v>1</v>
      </c>
      <c r="X781">
        <v>3.1330787039999999</v>
      </c>
      <c r="Y781" t="s">
        <v>4898</v>
      </c>
      <c r="Z781" t="s">
        <v>9265</v>
      </c>
      <c r="AA781" t="s">
        <v>1233</v>
      </c>
      <c r="AB781" t="s">
        <v>1278</v>
      </c>
      <c r="AC781" t="s">
        <v>9266</v>
      </c>
      <c r="AD781" t="s">
        <v>2708</v>
      </c>
      <c r="AE781">
        <v>1</v>
      </c>
      <c r="AH781" t="s">
        <v>4895</v>
      </c>
      <c r="AI781" s="8">
        <v>45933.602696759262</v>
      </c>
      <c r="AK781" t="s">
        <v>2719</v>
      </c>
      <c r="AL781" t="s">
        <v>2719</v>
      </c>
      <c r="AO781" t="s">
        <v>2715</v>
      </c>
      <c r="AP781" t="s">
        <v>2401</v>
      </c>
    </row>
    <row r="782" spans="1:42">
      <c r="A782" t="s">
        <v>2171</v>
      </c>
      <c r="B782" t="s">
        <v>2389</v>
      </c>
      <c r="C782" t="s">
        <v>2390</v>
      </c>
      <c r="D782" t="s">
        <v>2379</v>
      </c>
      <c r="E782" t="s">
        <v>2416</v>
      </c>
      <c r="F782" t="s">
        <v>2588</v>
      </c>
      <c r="G782" t="s">
        <v>2416</v>
      </c>
      <c r="H782" t="b">
        <v>1</v>
      </c>
      <c r="I782" s="8">
        <v>45933.469675925924</v>
      </c>
      <c r="J782" t="s">
        <v>2380</v>
      </c>
      <c r="K782">
        <v>1200055</v>
      </c>
      <c r="L782">
        <v>603479</v>
      </c>
      <c r="M782" t="s">
        <v>2381</v>
      </c>
      <c r="P782" t="s">
        <v>7144</v>
      </c>
      <c r="Q782" t="s">
        <v>2383</v>
      </c>
      <c r="R782">
        <v>1</v>
      </c>
      <c r="S782" t="s">
        <v>2380</v>
      </c>
      <c r="T782" t="s">
        <v>2383</v>
      </c>
      <c r="U782" s="8">
        <v>45930.531539351854</v>
      </c>
      <c r="V782" s="8">
        <v>45933.958333333336</v>
      </c>
      <c r="W782">
        <v>1</v>
      </c>
      <c r="X782">
        <v>2.9381365740000001</v>
      </c>
      <c r="Y782" t="s">
        <v>2579</v>
      </c>
      <c r="Z782" t="s">
        <v>7145</v>
      </c>
      <c r="AA782" t="s">
        <v>7146</v>
      </c>
      <c r="AB782" t="s">
        <v>1278</v>
      </c>
      <c r="AC782" t="s">
        <v>7147</v>
      </c>
      <c r="AD782" t="s">
        <v>2708</v>
      </c>
      <c r="AE782">
        <v>1</v>
      </c>
      <c r="AO782" t="s">
        <v>2388</v>
      </c>
      <c r="AP782" t="s">
        <v>2401</v>
      </c>
    </row>
    <row r="783" spans="1:42">
      <c r="A783" t="s">
        <v>822</v>
      </c>
      <c r="B783" t="s">
        <v>2377</v>
      </c>
      <c r="C783" t="s">
        <v>2378</v>
      </c>
      <c r="D783" t="s">
        <v>2379</v>
      </c>
      <c r="E783" t="s">
        <v>28</v>
      </c>
      <c r="F783" t="s">
        <v>2402</v>
      </c>
      <c r="G783" t="s">
        <v>28</v>
      </c>
      <c r="H783" t="b">
        <v>1</v>
      </c>
      <c r="I783" s="8">
        <v>45933.661180555559</v>
      </c>
      <c r="J783" t="s">
        <v>2380</v>
      </c>
      <c r="L783">
        <v>605307</v>
      </c>
      <c r="M783" t="s">
        <v>2381</v>
      </c>
      <c r="N783">
        <v>20</v>
      </c>
      <c r="P783" t="s">
        <v>3074</v>
      </c>
      <c r="Q783" t="s">
        <v>2383</v>
      </c>
      <c r="R783">
        <v>1</v>
      </c>
      <c r="S783" t="s">
        <v>2380</v>
      </c>
      <c r="T783" t="s">
        <v>2383</v>
      </c>
      <c r="U783" s="8">
        <v>45930.56077546296</v>
      </c>
      <c r="V783" s="8">
        <v>45933.958333333336</v>
      </c>
      <c r="W783">
        <v>1</v>
      </c>
      <c r="X783">
        <v>3.100405093</v>
      </c>
      <c r="Y783" t="s">
        <v>2403</v>
      </c>
      <c r="Z783" t="s">
        <v>5511</v>
      </c>
      <c r="AA783" t="s">
        <v>2150</v>
      </c>
      <c r="AB783" t="s">
        <v>1278</v>
      </c>
      <c r="AC783" t="s">
        <v>4548</v>
      </c>
      <c r="AD783" t="s">
        <v>2708</v>
      </c>
      <c r="AE783">
        <v>1</v>
      </c>
      <c r="AO783" t="s">
        <v>2408</v>
      </c>
      <c r="AP783" t="s">
        <v>2401</v>
      </c>
    </row>
    <row r="784" spans="1:42">
      <c r="A784" t="s">
        <v>357</v>
      </c>
      <c r="B784" t="s">
        <v>2377</v>
      </c>
      <c r="C784" t="s">
        <v>2390</v>
      </c>
      <c r="D784" t="s">
        <v>2379</v>
      </c>
      <c r="E784" t="s">
        <v>18</v>
      </c>
      <c r="F784" t="s">
        <v>2417</v>
      </c>
      <c r="G784" t="s">
        <v>2416</v>
      </c>
      <c r="H784" t="b">
        <v>1</v>
      </c>
      <c r="I784" s="8">
        <v>45933.446388888886</v>
      </c>
      <c r="J784" t="s">
        <v>2380</v>
      </c>
      <c r="L784">
        <v>603652</v>
      </c>
      <c r="M784" t="s">
        <v>2381</v>
      </c>
      <c r="P784" t="s">
        <v>2738</v>
      </c>
      <c r="Q784" t="s">
        <v>2383</v>
      </c>
      <c r="R784">
        <v>1</v>
      </c>
      <c r="S784" t="s">
        <v>2380</v>
      </c>
      <c r="T784" t="s">
        <v>2383</v>
      </c>
      <c r="U784" s="8">
        <v>45930.564618055556</v>
      </c>
      <c r="V784" s="8">
        <v>45933.958333333336</v>
      </c>
      <c r="W784">
        <v>1</v>
      </c>
      <c r="X784">
        <v>2.881770833</v>
      </c>
      <c r="Y784" t="s">
        <v>2418</v>
      </c>
      <c r="Z784" t="s">
        <v>4185</v>
      </c>
      <c r="AA784" t="s">
        <v>2741</v>
      </c>
      <c r="AB784" t="s">
        <v>1278</v>
      </c>
      <c r="AC784" t="s">
        <v>4186</v>
      </c>
      <c r="AD784" t="s">
        <v>2708</v>
      </c>
      <c r="AE784">
        <v>1</v>
      </c>
      <c r="AO784" t="s">
        <v>2408</v>
      </c>
      <c r="AP784" t="s">
        <v>2401</v>
      </c>
    </row>
    <row r="785" spans="1:42">
      <c r="A785" t="s">
        <v>544</v>
      </c>
      <c r="B785" t="s">
        <v>2377</v>
      </c>
      <c r="C785" t="s">
        <v>2390</v>
      </c>
      <c r="D785" t="s">
        <v>2379</v>
      </c>
      <c r="E785" t="s">
        <v>12</v>
      </c>
      <c r="F785" t="s">
        <v>2588</v>
      </c>
      <c r="G785" t="s">
        <v>12</v>
      </c>
      <c r="H785" t="b">
        <v>1</v>
      </c>
      <c r="I785" s="8">
        <v>45933.486307870371</v>
      </c>
      <c r="J785" t="s">
        <v>2380</v>
      </c>
      <c r="L785">
        <v>603757</v>
      </c>
      <c r="M785" t="s">
        <v>2381</v>
      </c>
      <c r="P785" t="s">
        <v>8955</v>
      </c>
      <c r="Q785" t="s">
        <v>2383</v>
      </c>
      <c r="R785">
        <v>1</v>
      </c>
      <c r="S785" t="s">
        <v>2380</v>
      </c>
      <c r="T785" t="s">
        <v>2383</v>
      </c>
      <c r="U785" s="8">
        <v>45930.566817129627</v>
      </c>
      <c r="V785" s="8">
        <v>45933.958333333336</v>
      </c>
      <c r="W785">
        <v>1</v>
      </c>
      <c r="X785">
        <v>2.9194907410000002</v>
      </c>
      <c r="Y785" t="s">
        <v>2579</v>
      </c>
      <c r="Z785" t="s">
        <v>9765</v>
      </c>
      <c r="AA785" t="s">
        <v>9752</v>
      </c>
      <c r="AB785" t="s">
        <v>1278</v>
      </c>
      <c r="AC785" t="s">
        <v>9766</v>
      </c>
      <c r="AD785" t="s">
        <v>2708</v>
      </c>
      <c r="AE785">
        <v>1</v>
      </c>
      <c r="AO785" t="s">
        <v>3644</v>
      </c>
      <c r="AP785" t="s">
        <v>2401</v>
      </c>
    </row>
    <row r="786" spans="1:42">
      <c r="A786" t="s">
        <v>2233</v>
      </c>
      <c r="B786" t="s">
        <v>2389</v>
      </c>
      <c r="C786" t="s">
        <v>2415</v>
      </c>
      <c r="D786" t="s">
        <v>2379</v>
      </c>
      <c r="E786" t="s">
        <v>25</v>
      </c>
      <c r="F786" t="s">
        <v>2417</v>
      </c>
      <c r="G786" t="s">
        <v>25</v>
      </c>
      <c r="H786" t="b">
        <v>1</v>
      </c>
      <c r="I786" s="8">
        <v>45932.466238425928</v>
      </c>
      <c r="J786" t="s">
        <v>2380</v>
      </c>
      <c r="K786">
        <v>1199858</v>
      </c>
      <c r="L786">
        <v>602944</v>
      </c>
      <c r="M786" t="s">
        <v>2381</v>
      </c>
      <c r="N786">
        <v>5</v>
      </c>
      <c r="P786" t="s">
        <v>2743</v>
      </c>
      <c r="Q786" t="s">
        <v>2383</v>
      </c>
      <c r="R786">
        <v>1</v>
      </c>
      <c r="S786" t="s">
        <v>2380</v>
      </c>
      <c r="T786" t="s">
        <v>2383</v>
      </c>
      <c r="U786" s="8">
        <v>45930.578310185185</v>
      </c>
      <c r="V786" s="8">
        <v>45933.958333333336</v>
      </c>
      <c r="W786">
        <v>1</v>
      </c>
      <c r="X786">
        <v>1.887928241</v>
      </c>
      <c r="Y786" t="s">
        <v>2418</v>
      </c>
      <c r="Z786" t="s">
        <v>5570</v>
      </c>
      <c r="AA786" t="s">
        <v>2745</v>
      </c>
      <c r="AB786" t="s">
        <v>1278</v>
      </c>
      <c r="AC786" t="s">
        <v>5571</v>
      </c>
      <c r="AD786" t="s">
        <v>2708</v>
      </c>
      <c r="AE786">
        <v>1</v>
      </c>
      <c r="AO786" t="s">
        <v>2408</v>
      </c>
      <c r="AP786" t="s">
        <v>2401</v>
      </c>
    </row>
    <row r="787" spans="1:42">
      <c r="A787" t="s">
        <v>349</v>
      </c>
      <c r="B787" t="s">
        <v>2377</v>
      </c>
      <c r="C787" t="s">
        <v>2390</v>
      </c>
      <c r="D787" t="s">
        <v>2379</v>
      </c>
      <c r="E787" t="s">
        <v>18</v>
      </c>
      <c r="F787" t="s">
        <v>3261</v>
      </c>
      <c r="G787" t="s">
        <v>2416</v>
      </c>
      <c r="H787" t="b">
        <v>1</v>
      </c>
      <c r="I787" s="8">
        <v>45933.421886574077</v>
      </c>
      <c r="J787" t="s">
        <v>2380</v>
      </c>
      <c r="L787">
        <v>602093</v>
      </c>
      <c r="M787" t="s">
        <v>2381</v>
      </c>
      <c r="P787" t="s">
        <v>7440</v>
      </c>
      <c r="Q787" t="s">
        <v>2383</v>
      </c>
      <c r="R787">
        <v>1</v>
      </c>
      <c r="S787" t="s">
        <v>2380</v>
      </c>
      <c r="T787" t="s">
        <v>2383</v>
      </c>
      <c r="U787" s="8">
        <v>45930.613425925927</v>
      </c>
      <c r="V787" s="8">
        <v>45933.958333333336</v>
      </c>
      <c r="W787">
        <v>1</v>
      </c>
      <c r="X787">
        <v>2.8084606480000001</v>
      </c>
      <c r="Y787" t="s">
        <v>3262</v>
      </c>
      <c r="Z787" t="s">
        <v>7441</v>
      </c>
      <c r="AA787" t="s">
        <v>2184</v>
      </c>
      <c r="AB787" t="s">
        <v>1278</v>
      </c>
      <c r="AC787" t="s">
        <v>7442</v>
      </c>
      <c r="AD787" t="s">
        <v>2708</v>
      </c>
      <c r="AE787">
        <v>1</v>
      </c>
      <c r="AO787" t="s">
        <v>2957</v>
      </c>
      <c r="AP787" t="s">
        <v>2401</v>
      </c>
    </row>
    <row r="788" spans="1:42">
      <c r="A788" t="s">
        <v>2166</v>
      </c>
      <c r="B788" t="s">
        <v>2389</v>
      </c>
      <c r="C788" t="s">
        <v>2390</v>
      </c>
      <c r="D788" t="s">
        <v>2379</v>
      </c>
      <c r="E788" t="s">
        <v>2416</v>
      </c>
      <c r="F788" t="s">
        <v>2588</v>
      </c>
      <c r="G788" t="s">
        <v>2416</v>
      </c>
      <c r="H788" t="b">
        <v>1</v>
      </c>
      <c r="I788" s="8">
        <v>45933.481319444443</v>
      </c>
      <c r="J788" t="s">
        <v>2380</v>
      </c>
      <c r="K788">
        <v>1200060</v>
      </c>
      <c r="L788">
        <v>606834</v>
      </c>
      <c r="M788" t="s">
        <v>2381</v>
      </c>
      <c r="P788" t="s">
        <v>4404</v>
      </c>
      <c r="Q788" t="s">
        <v>2383</v>
      </c>
      <c r="R788">
        <v>1</v>
      </c>
      <c r="S788" t="s">
        <v>2380</v>
      </c>
      <c r="T788" t="s">
        <v>2383</v>
      </c>
      <c r="U788" s="8">
        <v>45930.613587962966</v>
      </c>
      <c r="V788" s="8">
        <v>45933.958333333336</v>
      </c>
      <c r="W788">
        <v>1</v>
      </c>
      <c r="X788">
        <v>2.8677314809999999</v>
      </c>
      <c r="Y788" t="s">
        <v>2579</v>
      </c>
      <c r="Z788" t="s">
        <v>7158</v>
      </c>
      <c r="AA788" t="s">
        <v>2164</v>
      </c>
      <c r="AB788" t="s">
        <v>1278</v>
      </c>
      <c r="AC788" t="s">
        <v>7159</v>
      </c>
      <c r="AD788" t="s">
        <v>2708</v>
      </c>
      <c r="AE788">
        <v>1</v>
      </c>
      <c r="AO788" t="s">
        <v>2388</v>
      </c>
      <c r="AP788" t="s">
        <v>2401</v>
      </c>
    </row>
    <row r="789" spans="1:42">
      <c r="A789" t="s">
        <v>2271</v>
      </c>
      <c r="B789" t="s">
        <v>2389</v>
      </c>
      <c r="C789" t="s">
        <v>2415</v>
      </c>
      <c r="D789" t="s">
        <v>2379</v>
      </c>
      <c r="E789" t="s">
        <v>2416</v>
      </c>
      <c r="F789" t="s">
        <v>2417</v>
      </c>
      <c r="G789" t="s">
        <v>2416</v>
      </c>
      <c r="H789" t="b">
        <v>1</v>
      </c>
      <c r="I789" s="8">
        <v>45931.658229166664</v>
      </c>
      <c r="J789" t="s">
        <v>2380</v>
      </c>
      <c r="K789">
        <v>1199746</v>
      </c>
      <c r="L789">
        <v>601991</v>
      </c>
      <c r="M789" t="s">
        <v>2381</v>
      </c>
      <c r="P789" t="s">
        <v>5290</v>
      </c>
      <c r="Q789" t="s">
        <v>2383</v>
      </c>
      <c r="R789">
        <v>1</v>
      </c>
      <c r="S789" t="s">
        <v>2380</v>
      </c>
      <c r="T789" t="s">
        <v>2383</v>
      </c>
      <c r="U789" s="8">
        <v>45930.616064814814</v>
      </c>
      <c r="V789" s="8">
        <v>45933.958333333336</v>
      </c>
      <c r="W789">
        <v>1</v>
      </c>
      <c r="X789">
        <v>1.0421643519999999</v>
      </c>
      <c r="Y789" t="s">
        <v>2418</v>
      </c>
      <c r="Z789" t="s">
        <v>5444</v>
      </c>
      <c r="AA789" t="s">
        <v>5292</v>
      </c>
      <c r="AB789" t="s">
        <v>1278</v>
      </c>
      <c r="AC789" t="s">
        <v>5445</v>
      </c>
      <c r="AD789" t="s">
        <v>2708</v>
      </c>
      <c r="AE789">
        <v>1</v>
      </c>
      <c r="AO789" t="s">
        <v>2408</v>
      </c>
      <c r="AP789" t="s">
        <v>2401</v>
      </c>
    </row>
    <row r="790" spans="1:42">
      <c r="A790" t="s">
        <v>2241</v>
      </c>
      <c r="B790" t="s">
        <v>2389</v>
      </c>
      <c r="C790" t="s">
        <v>2415</v>
      </c>
      <c r="D790" t="s">
        <v>2379</v>
      </c>
      <c r="E790" t="s">
        <v>25</v>
      </c>
      <c r="F790" t="s">
        <v>2417</v>
      </c>
      <c r="G790" t="s">
        <v>25</v>
      </c>
      <c r="H790" t="b">
        <v>1</v>
      </c>
      <c r="I790" s="8">
        <v>45932.455428240741</v>
      </c>
      <c r="J790" t="s">
        <v>2380</v>
      </c>
      <c r="K790">
        <v>1199853</v>
      </c>
      <c r="L790">
        <v>602944</v>
      </c>
      <c r="M790" t="s">
        <v>2381</v>
      </c>
      <c r="N790">
        <v>5</v>
      </c>
      <c r="P790" t="s">
        <v>2743</v>
      </c>
      <c r="Q790" t="s">
        <v>2383</v>
      </c>
      <c r="R790">
        <v>1</v>
      </c>
      <c r="S790" t="s">
        <v>2380</v>
      </c>
      <c r="T790" t="s">
        <v>2383</v>
      </c>
      <c r="U790" s="8">
        <v>45930.624780092592</v>
      </c>
      <c r="V790" s="8">
        <v>45933.958333333336</v>
      </c>
      <c r="W790">
        <v>1</v>
      </c>
      <c r="X790">
        <v>1.8306481480000001</v>
      </c>
      <c r="Y790" t="s">
        <v>2418</v>
      </c>
      <c r="Z790" t="s">
        <v>5572</v>
      </c>
      <c r="AA790" t="s">
        <v>2745</v>
      </c>
      <c r="AB790" t="s">
        <v>1278</v>
      </c>
      <c r="AC790" t="s">
        <v>5573</v>
      </c>
      <c r="AD790" t="s">
        <v>2708</v>
      </c>
      <c r="AE790">
        <v>1</v>
      </c>
      <c r="AO790" t="s">
        <v>2408</v>
      </c>
      <c r="AP790" t="s">
        <v>2401</v>
      </c>
    </row>
    <row r="791" spans="1:42">
      <c r="A791" t="s">
        <v>355</v>
      </c>
      <c r="B791" t="s">
        <v>2377</v>
      </c>
      <c r="C791" t="s">
        <v>2390</v>
      </c>
      <c r="D791" t="s">
        <v>2379</v>
      </c>
      <c r="E791" t="s">
        <v>24</v>
      </c>
      <c r="F791" t="s">
        <v>2578</v>
      </c>
      <c r="G791" t="s">
        <v>24</v>
      </c>
      <c r="H791" t="b">
        <v>1</v>
      </c>
      <c r="I791" s="8">
        <v>45933.453715277778</v>
      </c>
      <c r="J791" t="s">
        <v>2380</v>
      </c>
      <c r="L791">
        <v>603408</v>
      </c>
      <c r="M791" t="s">
        <v>2381</v>
      </c>
      <c r="P791" t="s">
        <v>6570</v>
      </c>
      <c r="Q791" t="s">
        <v>2383</v>
      </c>
      <c r="R791">
        <v>1</v>
      </c>
      <c r="S791" t="s">
        <v>2380</v>
      </c>
      <c r="T791" t="s">
        <v>2383</v>
      </c>
      <c r="U791" s="8">
        <v>45930.645416666666</v>
      </c>
      <c r="V791" s="8">
        <v>45933.958333333336</v>
      </c>
      <c r="W791">
        <v>1</v>
      </c>
      <c r="X791">
        <v>2.8082986110000001</v>
      </c>
      <c r="Y791" t="s">
        <v>2579</v>
      </c>
      <c r="Z791" t="s">
        <v>6571</v>
      </c>
      <c r="AA791" t="s">
        <v>2177</v>
      </c>
      <c r="AB791" t="s">
        <v>1278</v>
      </c>
      <c r="AC791" t="s">
        <v>6572</v>
      </c>
      <c r="AD791" t="s">
        <v>2708</v>
      </c>
      <c r="AE791">
        <v>1</v>
      </c>
      <c r="AO791" t="s">
        <v>2388</v>
      </c>
      <c r="AP791" t="s">
        <v>2401</v>
      </c>
    </row>
    <row r="792" spans="1:42">
      <c r="A792" t="s">
        <v>2071</v>
      </c>
      <c r="B792" t="s">
        <v>2389</v>
      </c>
      <c r="C792" t="s">
        <v>2443</v>
      </c>
      <c r="D792" t="s">
        <v>2443</v>
      </c>
      <c r="E792" t="s">
        <v>2452</v>
      </c>
      <c r="F792" t="s">
        <v>2431</v>
      </c>
      <c r="G792" t="s">
        <v>2452</v>
      </c>
      <c r="H792" t="b">
        <v>1</v>
      </c>
      <c r="I792" s="8">
        <v>45937.465127314812</v>
      </c>
      <c r="J792" t="s">
        <v>2380</v>
      </c>
      <c r="L792">
        <v>605381</v>
      </c>
      <c r="M792" t="s">
        <v>2381</v>
      </c>
      <c r="P792" t="s">
        <v>2858</v>
      </c>
      <c r="Q792" t="s">
        <v>2383</v>
      </c>
      <c r="R792">
        <v>1</v>
      </c>
      <c r="S792" t="s">
        <v>2380</v>
      </c>
      <c r="T792" t="s">
        <v>2383</v>
      </c>
      <c r="U792" s="8">
        <v>45930.649074074077</v>
      </c>
      <c r="V792" s="8">
        <v>45933.958333333336</v>
      </c>
      <c r="W792">
        <v>1</v>
      </c>
      <c r="X792">
        <v>4.8160532409999997</v>
      </c>
      <c r="Y792" t="s">
        <v>2433</v>
      </c>
      <c r="Z792" t="s">
        <v>2859</v>
      </c>
      <c r="AA792" t="s">
        <v>1664</v>
      </c>
      <c r="AB792" t="s">
        <v>1278</v>
      </c>
      <c r="AC792" t="s">
        <v>2860</v>
      </c>
      <c r="AE792">
        <v>1</v>
      </c>
      <c r="AO792" t="s">
        <v>2408</v>
      </c>
      <c r="AP792" t="s">
        <v>2401</v>
      </c>
    </row>
    <row r="793" spans="1:42">
      <c r="A793" t="s">
        <v>536</v>
      </c>
      <c r="B793" t="s">
        <v>2377</v>
      </c>
      <c r="C793" t="s">
        <v>2390</v>
      </c>
      <c r="D793" t="s">
        <v>2379</v>
      </c>
      <c r="E793" t="s">
        <v>24</v>
      </c>
      <c r="F793" t="s">
        <v>4897</v>
      </c>
      <c r="G793" t="s">
        <v>24</v>
      </c>
      <c r="H793" t="b">
        <v>1</v>
      </c>
      <c r="I793" s="8">
        <v>45933.442557870374</v>
      </c>
      <c r="J793" t="s">
        <v>2380</v>
      </c>
      <c r="L793">
        <v>603632</v>
      </c>
      <c r="M793" t="s">
        <v>2381</v>
      </c>
      <c r="P793" t="s">
        <v>2704</v>
      </c>
      <c r="Q793" t="s">
        <v>2383</v>
      </c>
      <c r="R793">
        <v>1</v>
      </c>
      <c r="S793" t="s">
        <v>2380</v>
      </c>
      <c r="T793" t="s">
        <v>2383</v>
      </c>
      <c r="U793" s="8">
        <v>45930.655775462961</v>
      </c>
      <c r="V793" s="8">
        <v>45933.958333333336</v>
      </c>
      <c r="W793">
        <v>1</v>
      </c>
      <c r="X793">
        <v>2.786782407</v>
      </c>
      <c r="Y793" t="s">
        <v>4898</v>
      </c>
      <c r="Z793" t="s">
        <v>4904</v>
      </c>
      <c r="AA793" t="s">
        <v>4905</v>
      </c>
      <c r="AB793" t="s">
        <v>1278</v>
      </c>
      <c r="AC793" t="s">
        <v>2387</v>
      </c>
      <c r="AD793" t="s">
        <v>2708</v>
      </c>
      <c r="AE793">
        <v>1</v>
      </c>
      <c r="AO793" t="s">
        <v>2715</v>
      </c>
      <c r="AP793" t="s">
        <v>2401</v>
      </c>
    </row>
    <row r="794" spans="1:42">
      <c r="A794" t="s">
        <v>2174</v>
      </c>
      <c r="B794" t="s">
        <v>2389</v>
      </c>
      <c r="C794" t="s">
        <v>2390</v>
      </c>
      <c r="D794" t="s">
        <v>2379</v>
      </c>
      <c r="E794" t="s">
        <v>2452</v>
      </c>
      <c r="F794" t="s">
        <v>2402</v>
      </c>
      <c r="G794" t="s">
        <v>2452</v>
      </c>
      <c r="H794" t="b">
        <v>1</v>
      </c>
      <c r="I794" s="8">
        <v>45933.459490740737</v>
      </c>
      <c r="J794" t="s">
        <v>2380</v>
      </c>
      <c r="L794">
        <v>601090</v>
      </c>
      <c r="M794" t="s">
        <v>2381</v>
      </c>
      <c r="P794" t="s">
        <v>2486</v>
      </c>
      <c r="Q794" t="s">
        <v>2383</v>
      </c>
      <c r="R794">
        <v>1</v>
      </c>
      <c r="S794" t="s">
        <v>2380</v>
      </c>
      <c r="T794" t="s">
        <v>2383</v>
      </c>
      <c r="U794" s="8">
        <v>45930.667627314811</v>
      </c>
      <c r="V794" s="8">
        <v>45933.958333333336</v>
      </c>
      <c r="W794">
        <v>1</v>
      </c>
      <c r="X794">
        <v>2.7918634259999999</v>
      </c>
      <c r="Y794" t="s">
        <v>2403</v>
      </c>
      <c r="Z794" t="s">
        <v>2844</v>
      </c>
      <c r="AA794" t="s">
        <v>2063</v>
      </c>
      <c r="AB794" t="s">
        <v>1278</v>
      </c>
      <c r="AC794" t="s">
        <v>2845</v>
      </c>
      <c r="AE794">
        <v>1</v>
      </c>
      <c r="AO794" t="s">
        <v>2408</v>
      </c>
      <c r="AP794" t="s">
        <v>2401</v>
      </c>
    </row>
    <row r="795" spans="1:42">
      <c r="A795" t="s">
        <v>2182</v>
      </c>
      <c r="B795" t="s">
        <v>2389</v>
      </c>
      <c r="C795" t="s">
        <v>2390</v>
      </c>
      <c r="D795" t="s">
        <v>2379</v>
      </c>
      <c r="E795" t="s">
        <v>2452</v>
      </c>
      <c r="F795" t="s">
        <v>2409</v>
      </c>
      <c r="G795" t="s">
        <v>2452</v>
      </c>
      <c r="H795" t="b">
        <v>1</v>
      </c>
      <c r="I795" s="8">
        <v>45933.44604166667</v>
      </c>
      <c r="J795" t="s">
        <v>2380</v>
      </c>
      <c r="L795">
        <v>608068</v>
      </c>
      <c r="M795" t="s">
        <v>2381</v>
      </c>
      <c r="P795" t="s">
        <v>2486</v>
      </c>
      <c r="Q795" t="s">
        <v>2383</v>
      </c>
      <c r="R795">
        <v>1</v>
      </c>
      <c r="S795" t="s">
        <v>2380</v>
      </c>
      <c r="T795" t="s">
        <v>2383</v>
      </c>
      <c r="U795" s="8">
        <v>45930.716423611113</v>
      </c>
      <c r="V795" s="8">
        <v>45933.958333333336</v>
      </c>
      <c r="W795">
        <v>1</v>
      </c>
      <c r="X795">
        <v>2.7296180560000001</v>
      </c>
      <c r="Y795" t="s">
        <v>2410</v>
      </c>
      <c r="Z795" t="s">
        <v>2852</v>
      </c>
      <c r="AA795" t="s">
        <v>2471</v>
      </c>
      <c r="AB795" t="s">
        <v>1278</v>
      </c>
      <c r="AC795" t="s">
        <v>2853</v>
      </c>
      <c r="AE795">
        <v>1</v>
      </c>
      <c r="AO795" t="s">
        <v>2408</v>
      </c>
      <c r="AP795" t="s">
        <v>2401</v>
      </c>
    </row>
    <row r="796" spans="1:42">
      <c r="A796" t="s">
        <v>154</v>
      </c>
      <c r="B796" t="s">
        <v>2377</v>
      </c>
      <c r="C796" t="s">
        <v>2438</v>
      </c>
      <c r="D796" t="s">
        <v>2379</v>
      </c>
      <c r="E796" t="s">
        <v>18</v>
      </c>
      <c r="F796" t="s">
        <v>3747</v>
      </c>
      <c r="G796" t="s">
        <v>2416</v>
      </c>
      <c r="H796" t="b">
        <v>1</v>
      </c>
      <c r="I796" s="8">
        <v>45931.416608796295</v>
      </c>
      <c r="J796" t="s">
        <v>2380</v>
      </c>
      <c r="L796">
        <v>601335</v>
      </c>
      <c r="M796" t="s">
        <v>2381</v>
      </c>
      <c r="N796">
        <v>15</v>
      </c>
      <c r="P796" t="s">
        <v>2704</v>
      </c>
      <c r="Q796" t="s">
        <v>2383</v>
      </c>
      <c r="R796">
        <v>1</v>
      </c>
      <c r="S796" t="s">
        <v>2380</v>
      </c>
      <c r="T796" t="s">
        <v>2383</v>
      </c>
      <c r="U796" s="8">
        <v>45930.720891203702</v>
      </c>
      <c r="V796" s="8">
        <v>45933.958333333336</v>
      </c>
      <c r="W796">
        <v>1</v>
      </c>
      <c r="X796">
        <v>0.69571759300000002</v>
      </c>
      <c r="Y796" t="s">
        <v>3748</v>
      </c>
      <c r="Z796" t="s">
        <v>4111</v>
      </c>
      <c r="AA796" t="s">
        <v>3784</v>
      </c>
      <c r="AB796" t="s">
        <v>1278</v>
      </c>
      <c r="AC796" t="s">
        <v>3064</v>
      </c>
      <c r="AD796" t="s">
        <v>2708</v>
      </c>
      <c r="AE796">
        <v>1</v>
      </c>
      <c r="AO796" t="s">
        <v>2712</v>
      </c>
      <c r="AP796" t="s">
        <v>2401</v>
      </c>
    </row>
    <row r="797" spans="1:42">
      <c r="A797" t="s">
        <v>935</v>
      </c>
      <c r="B797" t="s">
        <v>2377</v>
      </c>
      <c r="C797" t="s">
        <v>2443</v>
      </c>
      <c r="D797" t="s">
        <v>2443</v>
      </c>
      <c r="E797" t="s">
        <v>33</v>
      </c>
      <c r="F797" t="s">
        <v>9064</v>
      </c>
      <c r="G797" t="s">
        <v>33</v>
      </c>
      <c r="H797" t="b">
        <v>1</v>
      </c>
      <c r="I797" s="8">
        <v>45936.382708333331</v>
      </c>
      <c r="J797" t="s">
        <v>2380</v>
      </c>
      <c r="L797">
        <v>603553</v>
      </c>
      <c r="M797" t="s">
        <v>2381</v>
      </c>
      <c r="P797" t="s">
        <v>9065</v>
      </c>
      <c r="Q797" t="s">
        <v>2383</v>
      </c>
      <c r="R797">
        <v>1</v>
      </c>
      <c r="S797" t="s">
        <v>2380</v>
      </c>
      <c r="T797" t="s">
        <v>2383</v>
      </c>
      <c r="U797" s="8">
        <v>45931.292916666665</v>
      </c>
      <c r="V797" s="8">
        <v>45933.958333333336</v>
      </c>
      <c r="W797">
        <v>1</v>
      </c>
      <c r="X797">
        <v>3.0897916670000001</v>
      </c>
      <c r="Y797" t="s">
        <v>9066</v>
      </c>
      <c r="Z797" t="s">
        <v>9067</v>
      </c>
      <c r="AA797" t="s">
        <v>2121</v>
      </c>
      <c r="AB797" t="s">
        <v>1278</v>
      </c>
      <c r="AC797" t="s">
        <v>9068</v>
      </c>
      <c r="AD797" t="s">
        <v>2708</v>
      </c>
      <c r="AE797">
        <v>1</v>
      </c>
      <c r="AH797" t="s">
        <v>4895</v>
      </c>
      <c r="AI797" s="8">
        <v>45936.368194444447</v>
      </c>
      <c r="AK797" t="s">
        <v>2719</v>
      </c>
      <c r="AL797" t="s">
        <v>2719</v>
      </c>
      <c r="AO797" t="s">
        <v>2957</v>
      </c>
      <c r="AP797" t="s">
        <v>2401</v>
      </c>
    </row>
    <row r="798" spans="1:42">
      <c r="A798" t="s">
        <v>554</v>
      </c>
      <c r="B798" t="s">
        <v>2377</v>
      </c>
      <c r="C798" t="s">
        <v>2378</v>
      </c>
      <c r="D798" t="s">
        <v>2379</v>
      </c>
      <c r="E798" t="s">
        <v>24</v>
      </c>
      <c r="F798" t="s">
        <v>3193</v>
      </c>
      <c r="G798" t="s">
        <v>24</v>
      </c>
      <c r="H798" t="b">
        <v>1</v>
      </c>
      <c r="I798" s="8">
        <v>45936.487002314818</v>
      </c>
      <c r="J798" t="s">
        <v>2380</v>
      </c>
      <c r="L798">
        <v>605071</v>
      </c>
      <c r="M798" t="s">
        <v>2381</v>
      </c>
      <c r="P798" t="s">
        <v>7417</v>
      </c>
      <c r="Q798" t="s">
        <v>2383</v>
      </c>
      <c r="R798">
        <v>1</v>
      </c>
      <c r="S798" t="s">
        <v>2380</v>
      </c>
      <c r="T798" t="s">
        <v>2383</v>
      </c>
      <c r="U798" s="8">
        <v>45931.409131944441</v>
      </c>
      <c r="V798" s="8">
        <v>45939.958333333336</v>
      </c>
      <c r="W798">
        <v>1</v>
      </c>
      <c r="X798">
        <v>3.0778703699999999</v>
      </c>
      <c r="Y798" t="s">
        <v>3194</v>
      </c>
      <c r="Z798" t="s">
        <v>7418</v>
      </c>
      <c r="AA798" t="s">
        <v>7419</v>
      </c>
      <c r="AB798" t="s">
        <v>1278</v>
      </c>
      <c r="AC798" t="s">
        <v>7420</v>
      </c>
      <c r="AD798" t="s">
        <v>2708</v>
      </c>
      <c r="AE798">
        <v>1</v>
      </c>
      <c r="AO798" t="s">
        <v>2957</v>
      </c>
      <c r="AP798" t="s">
        <v>2401</v>
      </c>
    </row>
    <row r="799" spans="1:42">
      <c r="A799" t="s">
        <v>2120</v>
      </c>
      <c r="B799" t="s">
        <v>2377</v>
      </c>
      <c r="C799" t="s">
        <v>2390</v>
      </c>
      <c r="D799" t="s">
        <v>2379</v>
      </c>
      <c r="E799" t="s">
        <v>12</v>
      </c>
      <c r="F799" t="s">
        <v>2402</v>
      </c>
      <c r="G799" t="s">
        <v>12</v>
      </c>
      <c r="H799" t="b">
        <v>1</v>
      </c>
      <c r="I799" s="8">
        <v>45936.390081018515</v>
      </c>
      <c r="J799" t="s">
        <v>2380</v>
      </c>
      <c r="L799">
        <v>603067</v>
      </c>
      <c r="M799" t="s">
        <v>2381</v>
      </c>
      <c r="P799" t="s">
        <v>10152</v>
      </c>
      <c r="Q799" t="s">
        <v>2383</v>
      </c>
      <c r="R799">
        <v>1</v>
      </c>
      <c r="S799" t="s">
        <v>2380</v>
      </c>
      <c r="T799" t="s">
        <v>2383</v>
      </c>
      <c r="U799" s="8">
        <v>45931.415555555555</v>
      </c>
      <c r="V799" s="8">
        <v>45936.958333333336</v>
      </c>
      <c r="W799">
        <v>1</v>
      </c>
      <c r="X799">
        <v>2.974525463</v>
      </c>
      <c r="Y799" t="s">
        <v>2403</v>
      </c>
      <c r="Z799" t="s">
        <v>10153</v>
      </c>
      <c r="AA799" t="s">
        <v>2118</v>
      </c>
      <c r="AB799" t="s">
        <v>1278</v>
      </c>
      <c r="AC799" t="s">
        <v>10154</v>
      </c>
      <c r="AE799">
        <v>1</v>
      </c>
      <c r="AO799" t="s">
        <v>4121</v>
      </c>
      <c r="AP799" t="s">
        <v>2401</v>
      </c>
    </row>
    <row r="800" spans="1:42">
      <c r="A800" t="s">
        <v>2144</v>
      </c>
      <c r="B800" t="s">
        <v>2389</v>
      </c>
      <c r="C800" t="s">
        <v>2378</v>
      </c>
      <c r="D800" t="s">
        <v>2379</v>
      </c>
      <c r="E800" t="s">
        <v>33</v>
      </c>
      <c r="F800" t="s">
        <v>2417</v>
      </c>
      <c r="G800" t="s">
        <v>33</v>
      </c>
      <c r="H800" t="b">
        <v>1</v>
      </c>
      <c r="I800" s="8">
        <v>45934.442141203705</v>
      </c>
      <c r="J800" t="s">
        <v>2380</v>
      </c>
      <c r="K800">
        <v>1200193</v>
      </c>
      <c r="L800">
        <v>602944</v>
      </c>
      <c r="M800" t="s">
        <v>2381</v>
      </c>
      <c r="P800" t="s">
        <v>2743</v>
      </c>
      <c r="Q800" t="s">
        <v>2383</v>
      </c>
      <c r="R800">
        <v>1</v>
      </c>
      <c r="S800" t="s">
        <v>2380</v>
      </c>
      <c r="T800" t="s">
        <v>2383</v>
      </c>
      <c r="U800" s="8">
        <v>45931.431712962964</v>
      </c>
      <c r="V800" s="8">
        <v>45936.958333333336</v>
      </c>
      <c r="W800">
        <v>1</v>
      </c>
      <c r="X800">
        <v>3.0104282410000001</v>
      </c>
      <c r="Y800" t="s">
        <v>2418</v>
      </c>
      <c r="Z800" t="s">
        <v>4300</v>
      </c>
      <c r="AA800" t="s">
        <v>2745</v>
      </c>
      <c r="AB800" t="s">
        <v>1278</v>
      </c>
      <c r="AC800" t="s">
        <v>2802</v>
      </c>
      <c r="AD800" t="s">
        <v>2708</v>
      </c>
      <c r="AE800">
        <v>1</v>
      </c>
      <c r="AO800" t="s">
        <v>2408</v>
      </c>
      <c r="AP800" t="s">
        <v>2401</v>
      </c>
    </row>
    <row r="801" spans="1:42">
      <c r="A801" t="s">
        <v>763</v>
      </c>
      <c r="B801" t="s">
        <v>2377</v>
      </c>
      <c r="C801" t="s">
        <v>2378</v>
      </c>
      <c r="D801" t="s">
        <v>2379</v>
      </c>
      <c r="E801" t="s">
        <v>28</v>
      </c>
      <c r="F801" t="s">
        <v>3193</v>
      </c>
      <c r="G801" t="s">
        <v>28</v>
      </c>
      <c r="H801" t="b">
        <v>1</v>
      </c>
      <c r="I801" s="8">
        <v>45936.665682870371</v>
      </c>
      <c r="J801" t="s">
        <v>2380</v>
      </c>
      <c r="L801">
        <v>602447</v>
      </c>
      <c r="M801" t="s">
        <v>2381</v>
      </c>
      <c r="N801">
        <v>15</v>
      </c>
      <c r="P801" t="s">
        <v>3681</v>
      </c>
      <c r="Q801" t="s">
        <v>2383</v>
      </c>
      <c r="R801">
        <v>1</v>
      </c>
      <c r="S801" t="s">
        <v>2380</v>
      </c>
      <c r="T801" t="s">
        <v>2383</v>
      </c>
      <c r="U801" s="8">
        <v>45931.436319444445</v>
      </c>
      <c r="V801" s="8">
        <v>45936.958333333336</v>
      </c>
      <c r="W801">
        <v>1</v>
      </c>
      <c r="X801">
        <v>3.2293634259999999</v>
      </c>
      <c r="Y801" t="s">
        <v>3194</v>
      </c>
      <c r="Z801" t="s">
        <v>7202</v>
      </c>
      <c r="AA801" t="s">
        <v>7203</v>
      </c>
      <c r="AB801" t="s">
        <v>1278</v>
      </c>
      <c r="AC801" t="s">
        <v>4542</v>
      </c>
      <c r="AD801" t="s">
        <v>2708</v>
      </c>
      <c r="AE801">
        <v>1</v>
      </c>
      <c r="AO801" t="s">
        <v>2388</v>
      </c>
      <c r="AP801" t="s">
        <v>2401</v>
      </c>
    </row>
    <row r="802" spans="1:42">
      <c r="A802" t="s">
        <v>824</v>
      </c>
      <c r="B802" t="s">
        <v>2377</v>
      </c>
      <c r="C802" t="s">
        <v>2390</v>
      </c>
      <c r="D802" t="s">
        <v>2379</v>
      </c>
      <c r="E802" t="s">
        <v>12</v>
      </c>
      <c r="F802" t="s">
        <v>2409</v>
      </c>
      <c r="G802" t="s">
        <v>12</v>
      </c>
      <c r="H802" t="b">
        <v>1</v>
      </c>
      <c r="I802" s="8">
        <v>45933.665185185186</v>
      </c>
      <c r="J802" t="s">
        <v>2380</v>
      </c>
      <c r="L802">
        <v>608028</v>
      </c>
      <c r="M802" t="s">
        <v>2381</v>
      </c>
      <c r="P802" t="s">
        <v>2704</v>
      </c>
      <c r="Q802" t="s">
        <v>2383</v>
      </c>
      <c r="R802">
        <v>1</v>
      </c>
      <c r="S802" t="s">
        <v>2380</v>
      </c>
      <c r="T802" t="s">
        <v>2383</v>
      </c>
      <c r="U802" s="8">
        <v>45931.437025462961</v>
      </c>
      <c r="V802" s="8">
        <v>45936.958333333336</v>
      </c>
      <c r="W802">
        <v>1</v>
      </c>
      <c r="X802">
        <v>2.228159722</v>
      </c>
      <c r="Y802" t="s">
        <v>2410</v>
      </c>
      <c r="Z802" t="s">
        <v>9770</v>
      </c>
      <c r="AA802" t="s">
        <v>8806</v>
      </c>
      <c r="AB802" t="s">
        <v>1278</v>
      </c>
      <c r="AC802" t="s">
        <v>9771</v>
      </c>
      <c r="AD802" t="s">
        <v>2708</v>
      </c>
      <c r="AE802">
        <v>1</v>
      </c>
      <c r="AO802" t="s">
        <v>3644</v>
      </c>
      <c r="AP802" t="s">
        <v>2401</v>
      </c>
    </row>
    <row r="803" spans="1:42">
      <c r="A803" t="s">
        <v>551</v>
      </c>
      <c r="B803" t="s">
        <v>2377</v>
      </c>
      <c r="C803" t="s">
        <v>2390</v>
      </c>
      <c r="D803" t="s">
        <v>2379</v>
      </c>
      <c r="E803" t="s">
        <v>12</v>
      </c>
      <c r="F803" t="s">
        <v>2409</v>
      </c>
      <c r="G803" t="s">
        <v>12</v>
      </c>
      <c r="H803" t="b">
        <v>1</v>
      </c>
      <c r="I803" s="8">
        <v>45933.667534722219</v>
      </c>
      <c r="J803" t="s">
        <v>2380</v>
      </c>
      <c r="L803">
        <v>608028</v>
      </c>
      <c r="M803" t="s">
        <v>2381</v>
      </c>
      <c r="P803" t="s">
        <v>2704</v>
      </c>
      <c r="Q803" t="s">
        <v>2383</v>
      </c>
      <c r="R803">
        <v>1</v>
      </c>
      <c r="S803" t="s">
        <v>2380</v>
      </c>
      <c r="T803" t="s">
        <v>2383</v>
      </c>
      <c r="U803" s="8">
        <v>45931.437430555554</v>
      </c>
      <c r="V803" s="8">
        <v>45936.958333333336</v>
      </c>
      <c r="W803">
        <v>1</v>
      </c>
      <c r="X803">
        <v>2.2301041669999999</v>
      </c>
      <c r="Y803" t="s">
        <v>2410</v>
      </c>
      <c r="Z803" t="s">
        <v>9772</v>
      </c>
      <c r="AA803" t="s">
        <v>8806</v>
      </c>
      <c r="AB803" t="s">
        <v>1278</v>
      </c>
      <c r="AC803" t="s">
        <v>9773</v>
      </c>
      <c r="AD803" t="s">
        <v>2708</v>
      </c>
      <c r="AE803">
        <v>1</v>
      </c>
      <c r="AO803" t="s">
        <v>3644</v>
      </c>
      <c r="AP803" t="s">
        <v>2401</v>
      </c>
    </row>
    <row r="804" spans="1:42">
      <c r="A804" t="s">
        <v>1240</v>
      </c>
      <c r="B804" t="s">
        <v>2377</v>
      </c>
      <c r="C804" t="s">
        <v>2443</v>
      </c>
      <c r="D804" t="s">
        <v>2443</v>
      </c>
      <c r="E804" t="s">
        <v>33</v>
      </c>
      <c r="F804" t="s">
        <v>6616</v>
      </c>
      <c r="G804" t="s">
        <v>33</v>
      </c>
      <c r="H804" t="b">
        <v>1</v>
      </c>
      <c r="I804" s="8">
        <v>45937.370983796296</v>
      </c>
      <c r="J804" t="s">
        <v>2380</v>
      </c>
      <c r="L804">
        <v>603001</v>
      </c>
      <c r="M804" t="s">
        <v>2381</v>
      </c>
      <c r="P804" t="s">
        <v>6617</v>
      </c>
      <c r="Q804" t="s">
        <v>2383</v>
      </c>
      <c r="R804">
        <v>1</v>
      </c>
      <c r="S804" t="s">
        <v>2380</v>
      </c>
      <c r="T804" t="s">
        <v>2383</v>
      </c>
      <c r="U804" s="8">
        <v>45931.461331018516</v>
      </c>
      <c r="V804" s="8">
        <v>45936.958333333336</v>
      </c>
      <c r="W804">
        <v>1</v>
      </c>
      <c r="X804">
        <v>3.9096527779999999</v>
      </c>
      <c r="Y804" t="s">
        <v>6618</v>
      </c>
      <c r="Z804" t="s">
        <v>9049</v>
      </c>
      <c r="AA804" t="s">
        <v>262</v>
      </c>
      <c r="AB804" t="s">
        <v>1278</v>
      </c>
      <c r="AC804" t="s">
        <v>2387</v>
      </c>
      <c r="AD804" t="s">
        <v>2708</v>
      </c>
      <c r="AE804">
        <v>1</v>
      </c>
      <c r="AH804" t="s">
        <v>33</v>
      </c>
      <c r="AI804" s="8">
        <v>45937.365983796299</v>
      </c>
      <c r="AK804" t="s">
        <v>2719</v>
      </c>
      <c r="AL804" t="s">
        <v>2719</v>
      </c>
      <c r="AO804" t="s">
        <v>2388</v>
      </c>
      <c r="AP804" t="s">
        <v>2401</v>
      </c>
    </row>
    <row r="805" spans="1:42">
      <c r="A805" t="s">
        <v>1159</v>
      </c>
      <c r="B805" t="s">
        <v>2377</v>
      </c>
      <c r="C805" t="s">
        <v>2691</v>
      </c>
      <c r="D805" t="s">
        <v>2379</v>
      </c>
      <c r="E805" t="s">
        <v>24</v>
      </c>
      <c r="F805" t="s">
        <v>2588</v>
      </c>
      <c r="G805" t="s">
        <v>24</v>
      </c>
      <c r="H805" t="b">
        <v>1</v>
      </c>
      <c r="I805" s="8">
        <v>45959.447511574072</v>
      </c>
      <c r="J805" t="s">
        <v>2380</v>
      </c>
      <c r="L805">
        <v>603959</v>
      </c>
      <c r="M805" t="s">
        <v>2381</v>
      </c>
      <c r="P805" t="s">
        <v>2589</v>
      </c>
      <c r="Q805" t="s">
        <v>2383</v>
      </c>
      <c r="R805">
        <v>1</v>
      </c>
      <c r="S805" t="s">
        <v>2380</v>
      </c>
      <c r="T805" t="s">
        <v>2383</v>
      </c>
      <c r="U805" s="8">
        <v>45931.486319444448</v>
      </c>
      <c r="V805" s="8">
        <v>45964.958333333336</v>
      </c>
      <c r="W805">
        <v>1</v>
      </c>
      <c r="X805">
        <v>19.961192130000001</v>
      </c>
      <c r="Y805" t="s">
        <v>2579</v>
      </c>
      <c r="Z805" t="s">
        <v>6551</v>
      </c>
      <c r="AA805" t="s">
        <v>2592</v>
      </c>
      <c r="AB805" t="s">
        <v>1278</v>
      </c>
      <c r="AC805" t="s">
        <v>6552</v>
      </c>
      <c r="AD805" t="s">
        <v>2708</v>
      </c>
      <c r="AE805">
        <v>1</v>
      </c>
      <c r="AO805" t="s">
        <v>2388</v>
      </c>
      <c r="AP805" t="s">
        <v>2401</v>
      </c>
    </row>
    <row r="806" spans="1:42">
      <c r="A806" t="s">
        <v>2246</v>
      </c>
      <c r="B806" t="s">
        <v>2377</v>
      </c>
      <c r="C806" t="s">
        <v>2438</v>
      </c>
      <c r="D806" t="s">
        <v>2379</v>
      </c>
      <c r="E806" t="s">
        <v>12</v>
      </c>
      <c r="F806" t="s">
        <v>2578</v>
      </c>
      <c r="G806" t="s">
        <v>12</v>
      </c>
      <c r="H806" t="b">
        <v>1</v>
      </c>
      <c r="I806" s="8">
        <v>45932.401412037034</v>
      </c>
      <c r="J806" t="s">
        <v>2380</v>
      </c>
      <c r="L806">
        <v>603645</v>
      </c>
      <c r="M806" t="s">
        <v>2381</v>
      </c>
      <c r="P806" t="s">
        <v>3659</v>
      </c>
      <c r="Q806" t="s">
        <v>2383</v>
      </c>
      <c r="R806">
        <v>1</v>
      </c>
      <c r="S806" t="s">
        <v>2380</v>
      </c>
      <c r="T806" t="s">
        <v>2383</v>
      </c>
      <c r="U806" s="8">
        <v>45931.49800925926</v>
      </c>
      <c r="V806" s="8">
        <v>45936.958333333336</v>
      </c>
      <c r="W806">
        <v>1</v>
      </c>
      <c r="X806">
        <v>0.90340277800000002</v>
      </c>
      <c r="Y806" t="s">
        <v>2579</v>
      </c>
      <c r="Z806" t="s">
        <v>3665</v>
      </c>
      <c r="AA806" t="s">
        <v>3661</v>
      </c>
      <c r="AB806" t="s">
        <v>1278</v>
      </c>
      <c r="AC806" t="s">
        <v>3666</v>
      </c>
      <c r="AE806">
        <v>1</v>
      </c>
      <c r="AO806" t="s">
        <v>3644</v>
      </c>
      <c r="AP806" t="s">
        <v>2401</v>
      </c>
    </row>
    <row r="807" spans="1:42">
      <c r="A807" t="s">
        <v>2248</v>
      </c>
      <c r="B807" t="s">
        <v>2377</v>
      </c>
      <c r="C807" t="s">
        <v>2438</v>
      </c>
      <c r="D807" t="s">
        <v>2379</v>
      </c>
      <c r="E807" t="s">
        <v>12</v>
      </c>
      <c r="F807" t="s">
        <v>2578</v>
      </c>
      <c r="G807" t="s">
        <v>12</v>
      </c>
      <c r="H807" t="b">
        <v>1</v>
      </c>
      <c r="I807" s="8">
        <v>45932.400590277779</v>
      </c>
      <c r="J807" t="s">
        <v>2380</v>
      </c>
      <c r="L807">
        <v>603645</v>
      </c>
      <c r="M807" t="s">
        <v>2381</v>
      </c>
      <c r="P807" t="s">
        <v>3659</v>
      </c>
      <c r="Q807" t="s">
        <v>2383</v>
      </c>
      <c r="R807">
        <v>1</v>
      </c>
      <c r="S807" t="s">
        <v>2380</v>
      </c>
      <c r="T807" t="s">
        <v>2383</v>
      </c>
      <c r="U807" s="8">
        <v>45931.498819444445</v>
      </c>
      <c r="V807" s="8">
        <v>45936.958333333336</v>
      </c>
      <c r="W807">
        <v>1</v>
      </c>
      <c r="X807">
        <v>0.90177083300000005</v>
      </c>
      <c r="Y807" t="s">
        <v>2579</v>
      </c>
      <c r="Z807" t="s">
        <v>3660</v>
      </c>
      <c r="AA807" t="s">
        <v>3661</v>
      </c>
      <c r="AB807" t="s">
        <v>1278</v>
      </c>
      <c r="AC807" t="s">
        <v>3662</v>
      </c>
      <c r="AE807">
        <v>1</v>
      </c>
      <c r="AO807" t="s">
        <v>3644</v>
      </c>
      <c r="AP807" t="s">
        <v>2401</v>
      </c>
    </row>
    <row r="808" spans="1:42">
      <c r="A808" t="s">
        <v>2114</v>
      </c>
      <c r="B808" t="s">
        <v>2389</v>
      </c>
      <c r="C808" t="s">
        <v>2390</v>
      </c>
      <c r="D808" t="s">
        <v>2379</v>
      </c>
      <c r="E808" t="s">
        <v>2452</v>
      </c>
      <c r="F808" t="s">
        <v>2417</v>
      </c>
      <c r="G808" t="s">
        <v>2452</v>
      </c>
      <c r="H808" t="b">
        <v>1</v>
      </c>
      <c r="I808" s="8">
        <v>45936.45821759259</v>
      </c>
      <c r="J808" t="s">
        <v>2380</v>
      </c>
      <c r="K808">
        <v>1200270</v>
      </c>
      <c r="L808">
        <v>602876</v>
      </c>
      <c r="M808" t="s">
        <v>2381</v>
      </c>
      <c r="P808" t="s">
        <v>5595</v>
      </c>
      <c r="Q808" t="s">
        <v>2383</v>
      </c>
      <c r="R808">
        <v>1</v>
      </c>
      <c r="S808" t="s">
        <v>2380</v>
      </c>
      <c r="T808" t="s">
        <v>2383</v>
      </c>
      <c r="U808" s="8">
        <v>45931.499675925923</v>
      </c>
      <c r="V808" s="8">
        <v>45936.958333333336</v>
      </c>
      <c r="W808">
        <v>1</v>
      </c>
      <c r="X808">
        <v>2.958541667</v>
      </c>
      <c r="Y808" t="s">
        <v>2418</v>
      </c>
      <c r="Z808" t="s">
        <v>5611</v>
      </c>
      <c r="AA808" t="s">
        <v>1307</v>
      </c>
      <c r="AB808" t="s">
        <v>1278</v>
      </c>
      <c r="AC808" t="s">
        <v>5612</v>
      </c>
      <c r="AD808" t="s">
        <v>2708</v>
      </c>
      <c r="AE808">
        <v>1</v>
      </c>
      <c r="AO808" t="s">
        <v>2540</v>
      </c>
      <c r="AP808" t="s">
        <v>2401</v>
      </c>
    </row>
    <row r="809" spans="1:42">
      <c r="A809" t="s">
        <v>2258</v>
      </c>
      <c r="B809" t="s">
        <v>2377</v>
      </c>
      <c r="C809" t="s">
        <v>2438</v>
      </c>
      <c r="D809" t="s">
        <v>2379</v>
      </c>
      <c r="E809" t="s">
        <v>12</v>
      </c>
      <c r="F809" t="s">
        <v>2578</v>
      </c>
      <c r="G809" t="s">
        <v>12</v>
      </c>
      <c r="H809" t="b">
        <v>1</v>
      </c>
      <c r="I809" s="8">
        <v>45932.395324074074</v>
      </c>
      <c r="J809" t="s">
        <v>2380</v>
      </c>
      <c r="L809">
        <v>603645</v>
      </c>
      <c r="M809" t="s">
        <v>2381</v>
      </c>
      <c r="P809" t="s">
        <v>3659</v>
      </c>
      <c r="Q809" t="s">
        <v>2383</v>
      </c>
      <c r="R809">
        <v>1</v>
      </c>
      <c r="S809" t="s">
        <v>2380</v>
      </c>
      <c r="T809" t="s">
        <v>2383</v>
      </c>
      <c r="U809" s="8">
        <v>45931.501006944447</v>
      </c>
      <c r="V809" s="8">
        <v>45936.958333333336</v>
      </c>
      <c r="W809">
        <v>1</v>
      </c>
      <c r="X809">
        <v>0.89431713000000002</v>
      </c>
      <c r="Y809" t="s">
        <v>2579</v>
      </c>
      <c r="Z809" t="s">
        <v>3663</v>
      </c>
      <c r="AA809" t="s">
        <v>3661</v>
      </c>
      <c r="AB809" t="s">
        <v>1278</v>
      </c>
      <c r="AC809" t="s">
        <v>3664</v>
      </c>
      <c r="AE809">
        <v>1</v>
      </c>
      <c r="AO809" t="s">
        <v>3644</v>
      </c>
      <c r="AP809" t="s">
        <v>2401</v>
      </c>
    </row>
    <row r="810" spans="1:42">
      <c r="A810" t="s">
        <v>2105</v>
      </c>
      <c r="B810" t="s">
        <v>2377</v>
      </c>
      <c r="C810" t="s">
        <v>2378</v>
      </c>
      <c r="D810" t="s">
        <v>2379</v>
      </c>
      <c r="E810" t="s">
        <v>12</v>
      </c>
      <c r="F810" t="s">
        <v>2588</v>
      </c>
      <c r="G810" t="s">
        <v>12</v>
      </c>
      <c r="H810" t="b">
        <v>1</v>
      </c>
      <c r="I810" s="8">
        <v>45936.597222222219</v>
      </c>
      <c r="J810" t="s">
        <v>2380</v>
      </c>
      <c r="L810">
        <v>609694</v>
      </c>
      <c r="M810" t="s">
        <v>2381</v>
      </c>
      <c r="P810" t="s">
        <v>3655</v>
      </c>
      <c r="Q810" t="s">
        <v>2383</v>
      </c>
      <c r="R810">
        <v>1</v>
      </c>
      <c r="S810" t="s">
        <v>2380</v>
      </c>
      <c r="T810" t="s">
        <v>2383</v>
      </c>
      <c r="U810" s="8">
        <v>45931.504178240742</v>
      </c>
      <c r="V810" s="8">
        <v>45936.958333333336</v>
      </c>
      <c r="W810">
        <v>1</v>
      </c>
      <c r="X810">
        <v>3.0930439810000001</v>
      </c>
      <c r="Y810" t="s">
        <v>2579</v>
      </c>
      <c r="Z810" t="s">
        <v>3656</v>
      </c>
      <c r="AA810" t="s">
        <v>3657</v>
      </c>
      <c r="AB810" t="s">
        <v>1278</v>
      </c>
      <c r="AC810" t="s">
        <v>3658</v>
      </c>
      <c r="AE810">
        <v>1</v>
      </c>
      <c r="AO810" t="s">
        <v>3644</v>
      </c>
      <c r="AP810" t="s">
        <v>2401</v>
      </c>
    </row>
    <row r="811" spans="1:42">
      <c r="A811" t="s">
        <v>2252</v>
      </c>
      <c r="B811" t="s">
        <v>2377</v>
      </c>
      <c r="C811" t="s">
        <v>2438</v>
      </c>
      <c r="D811" t="s">
        <v>2379</v>
      </c>
      <c r="E811" t="s">
        <v>12</v>
      </c>
      <c r="F811" t="s">
        <v>2578</v>
      </c>
      <c r="G811" t="s">
        <v>12</v>
      </c>
      <c r="H811" t="b">
        <v>1</v>
      </c>
      <c r="I811" s="8">
        <v>45932.39875</v>
      </c>
      <c r="J811" t="s">
        <v>2380</v>
      </c>
      <c r="L811">
        <v>603645</v>
      </c>
      <c r="M811" t="s">
        <v>2381</v>
      </c>
      <c r="P811" t="s">
        <v>3659</v>
      </c>
      <c r="Q811" t="s">
        <v>2383</v>
      </c>
      <c r="R811">
        <v>1</v>
      </c>
      <c r="S811" t="s">
        <v>2380</v>
      </c>
      <c r="T811" t="s">
        <v>2383</v>
      </c>
      <c r="U811" s="8">
        <v>45931.507719907408</v>
      </c>
      <c r="V811" s="8">
        <v>45936.958333333336</v>
      </c>
      <c r="W811">
        <v>1</v>
      </c>
      <c r="X811">
        <v>0.89103009300000002</v>
      </c>
      <c r="Y811" t="s">
        <v>2579</v>
      </c>
      <c r="Z811" t="s">
        <v>3667</v>
      </c>
      <c r="AA811" t="s">
        <v>3661</v>
      </c>
      <c r="AB811" t="s">
        <v>1278</v>
      </c>
      <c r="AC811" t="s">
        <v>3668</v>
      </c>
      <c r="AE811">
        <v>1</v>
      </c>
      <c r="AO811" t="s">
        <v>3644</v>
      </c>
      <c r="AP811" t="s">
        <v>2401</v>
      </c>
    </row>
    <row r="812" spans="1:42">
      <c r="A812" t="s">
        <v>313</v>
      </c>
      <c r="B812" t="s">
        <v>2377</v>
      </c>
      <c r="C812" t="s">
        <v>2438</v>
      </c>
      <c r="D812" t="s">
        <v>2379</v>
      </c>
      <c r="E812" t="s">
        <v>18</v>
      </c>
      <c r="F812" t="s">
        <v>4897</v>
      </c>
      <c r="G812" t="s">
        <v>2416</v>
      </c>
      <c r="H812" t="b">
        <v>1</v>
      </c>
      <c r="I812" s="8">
        <v>45931.628784722219</v>
      </c>
      <c r="J812" t="s">
        <v>2380</v>
      </c>
      <c r="L812">
        <v>602408</v>
      </c>
      <c r="M812" t="s">
        <v>2381</v>
      </c>
      <c r="P812" t="s">
        <v>2704</v>
      </c>
      <c r="Q812" t="s">
        <v>2383</v>
      </c>
      <c r="R812">
        <v>1</v>
      </c>
      <c r="S812" t="s">
        <v>2380</v>
      </c>
      <c r="T812" t="s">
        <v>2383</v>
      </c>
      <c r="U812" s="8">
        <v>45931.530960648146</v>
      </c>
      <c r="V812" s="8">
        <v>45936.958333333336</v>
      </c>
      <c r="W812">
        <v>1</v>
      </c>
      <c r="X812">
        <v>9.7824073999999997E-2</v>
      </c>
      <c r="Y812" t="s">
        <v>4898</v>
      </c>
      <c r="Z812" t="s">
        <v>4935</v>
      </c>
      <c r="AA812" t="s">
        <v>1233</v>
      </c>
      <c r="AB812" t="s">
        <v>1278</v>
      </c>
      <c r="AC812" t="s">
        <v>4936</v>
      </c>
      <c r="AD812" t="s">
        <v>2708</v>
      </c>
      <c r="AE812">
        <v>1</v>
      </c>
      <c r="AO812" t="s">
        <v>2715</v>
      </c>
      <c r="AP812" t="s">
        <v>2401</v>
      </c>
    </row>
    <row r="813" spans="1:42">
      <c r="A813" t="s">
        <v>560</v>
      </c>
      <c r="B813" t="s">
        <v>2377</v>
      </c>
      <c r="C813" t="s">
        <v>2443</v>
      </c>
      <c r="D813" t="s">
        <v>2443</v>
      </c>
      <c r="E813" t="s">
        <v>24</v>
      </c>
      <c r="F813" t="s">
        <v>3891</v>
      </c>
      <c r="G813" t="s">
        <v>4895</v>
      </c>
      <c r="H813" t="b">
        <v>1</v>
      </c>
      <c r="I813" s="8">
        <v>45938.289027777777</v>
      </c>
      <c r="J813" t="s">
        <v>2380</v>
      </c>
      <c r="L813">
        <v>603836</v>
      </c>
      <c r="M813" t="s">
        <v>2381</v>
      </c>
      <c r="P813" t="s">
        <v>2704</v>
      </c>
      <c r="Q813" t="s">
        <v>2383</v>
      </c>
      <c r="R813">
        <v>1</v>
      </c>
      <c r="S813" t="s">
        <v>2380</v>
      </c>
      <c r="T813" t="s">
        <v>2383</v>
      </c>
      <c r="U813" s="8">
        <v>45931.551087962966</v>
      </c>
      <c r="V813" s="8">
        <v>45936.958333333336</v>
      </c>
      <c r="W813">
        <v>1</v>
      </c>
      <c r="X813">
        <v>4.7379398149999998</v>
      </c>
      <c r="Y813" t="s">
        <v>3892</v>
      </c>
      <c r="Z813" t="s">
        <v>4896</v>
      </c>
      <c r="AA813" t="s">
        <v>3908</v>
      </c>
      <c r="AB813" t="s">
        <v>1278</v>
      </c>
      <c r="AC813" t="s">
        <v>2387</v>
      </c>
      <c r="AD813" t="s">
        <v>2708</v>
      </c>
      <c r="AE813">
        <v>1</v>
      </c>
      <c r="AO813" t="s">
        <v>2715</v>
      </c>
      <c r="AP813" t="s">
        <v>2401</v>
      </c>
    </row>
    <row r="814" spans="1:42">
      <c r="A814" t="s">
        <v>1133</v>
      </c>
      <c r="B814" t="s">
        <v>2377</v>
      </c>
      <c r="C814" t="s">
        <v>2443</v>
      </c>
      <c r="D814" t="s">
        <v>2443</v>
      </c>
      <c r="E814" t="s">
        <v>33</v>
      </c>
      <c r="F814" t="s">
        <v>3891</v>
      </c>
      <c r="G814" t="s">
        <v>33</v>
      </c>
      <c r="H814" t="b">
        <v>1</v>
      </c>
      <c r="I814" s="8">
        <v>45937.371099537035</v>
      </c>
      <c r="J814" t="s">
        <v>2380</v>
      </c>
      <c r="L814">
        <v>603560</v>
      </c>
      <c r="M814" t="s">
        <v>2381</v>
      </c>
      <c r="P814" t="s">
        <v>2704</v>
      </c>
      <c r="Q814" t="s">
        <v>2383</v>
      </c>
      <c r="R814">
        <v>1</v>
      </c>
      <c r="S814" t="s">
        <v>2380</v>
      </c>
      <c r="T814" t="s">
        <v>2383</v>
      </c>
      <c r="U814" s="8">
        <v>45931.551493055558</v>
      </c>
      <c r="V814" s="8">
        <v>45936.958333333336</v>
      </c>
      <c r="W814">
        <v>1</v>
      </c>
      <c r="X814">
        <v>3.8196064810000001</v>
      </c>
      <c r="Y814" t="s">
        <v>3892</v>
      </c>
      <c r="Z814" t="s">
        <v>9269</v>
      </c>
      <c r="AA814" t="s">
        <v>3911</v>
      </c>
      <c r="AB814" t="s">
        <v>1278</v>
      </c>
      <c r="AC814" t="s">
        <v>2387</v>
      </c>
      <c r="AD814" t="s">
        <v>2708</v>
      </c>
      <c r="AE814">
        <v>1</v>
      </c>
      <c r="AH814" t="s">
        <v>33</v>
      </c>
      <c r="AI814" s="8">
        <v>45937.366041666668</v>
      </c>
      <c r="AK814" t="s">
        <v>2719</v>
      </c>
      <c r="AL814" t="s">
        <v>2719</v>
      </c>
      <c r="AO814" t="s">
        <v>2715</v>
      </c>
      <c r="AP814" t="s">
        <v>2401</v>
      </c>
    </row>
    <row r="815" spans="1:42">
      <c r="A815" t="s">
        <v>2254</v>
      </c>
      <c r="B815" t="s">
        <v>2377</v>
      </c>
      <c r="C815" t="s">
        <v>2438</v>
      </c>
      <c r="D815" t="s">
        <v>2379</v>
      </c>
      <c r="E815" t="s">
        <v>12</v>
      </c>
      <c r="F815" t="s">
        <v>2578</v>
      </c>
      <c r="G815" t="s">
        <v>12</v>
      </c>
      <c r="H815" t="b">
        <v>1</v>
      </c>
      <c r="I815" s="8">
        <v>45932.397569444445</v>
      </c>
      <c r="J815" t="s">
        <v>2380</v>
      </c>
      <c r="L815">
        <v>603645</v>
      </c>
      <c r="M815" t="s">
        <v>2381</v>
      </c>
      <c r="P815" t="s">
        <v>3659</v>
      </c>
      <c r="Q815" t="s">
        <v>2383</v>
      </c>
      <c r="R815">
        <v>1</v>
      </c>
      <c r="S815" t="s">
        <v>2380</v>
      </c>
      <c r="T815" t="s">
        <v>2383</v>
      </c>
      <c r="U815" s="8">
        <v>45931.557349537034</v>
      </c>
      <c r="V815" s="8">
        <v>45936.958333333336</v>
      </c>
      <c r="W815">
        <v>1</v>
      </c>
      <c r="X815">
        <v>0.84021990700000004</v>
      </c>
      <c r="Y815" t="s">
        <v>2579</v>
      </c>
      <c r="Z815" t="s">
        <v>3669</v>
      </c>
      <c r="AA815" t="s">
        <v>3661</v>
      </c>
      <c r="AB815" t="s">
        <v>1278</v>
      </c>
      <c r="AC815" t="s">
        <v>3670</v>
      </c>
      <c r="AE815">
        <v>1</v>
      </c>
      <c r="AO815" t="s">
        <v>3644</v>
      </c>
      <c r="AP815" t="s">
        <v>2401</v>
      </c>
    </row>
    <row r="816" spans="1:42">
      <c r="A816" t="s">
        <v>2250</v>
      </c>
      <c r="B816" t="s">
        <v>2377</v>
      </c>
      <c r="C816" t="s">
        <v>2438</v>
      </c>
      <c r="D816" t="s">
        <v>2379</v>
      </c>
      <c r="E816" t="s">
        <v>12</v>
      </c>
      <c r="F816" t="s">
        <v>2578</v>
      </c>
      <c r="G816" t="s">
        <v>12</v>
      </c>
      <c r="H816" t="b">
        <v>1</v>
      </c>
      <c r="I816" s="8">
        <v>45932.399594907409</v>
      </c>
      <c r="J816" t="s">
        <v>2380</v>
      </c>
      <c r="L816">
        <v>603645</v>
      </c>
      <c r="M816" t="s">
        <v>2381</v>
      </c>
      <c r="P816" t="s">
        <v>3659</v>
      </c>
      <c r="Q816" t="s">
        <v>2383</v>
      </c>
      <c r="R816">
        <v>1</v>
      </c>
      <c r="S816" t="s">
        <v>2380</v>
      </c>
      <c r="T816" t="s">
        <v>2383</v>
      </c>
      <c r="U816" s="8">
        <v>45931.55809027778</v>
      </c>
      <c r="V816" s="8">
        <v>45936.958333333336</v>
      </c>
      <c r="W816">
        <v>1</v>
      </c>
      <c r="X816">
        <v>0.84150462999999998</v>
      </c>
      <c r="Y816" t="s">
        <v>2579</v>
      </c>
      <c r="Z816" t="s">
        <v>3671</v>
      </c>
      <c r="AA816" t="s">
        <v>3661</v>
      </c>
      <c r="AB816" t="s">
        <v>1278</v>
      </c>
      <c r="AC816" t="s">
        <v>3672</v>
      </c>
      <c r="AE816">
        <v>1</v>
      </c>
      <c r="AO816" t="s">
        <v>3644</v>
      </c>
      <c r="AP816" t="s">
        <v>2401</v>
      </c>
    </row>
    <row r="817" spans="1:42">
      <c r="A817" t="s">
        <v>318</v>
      </c>
      <c r="B817" t="s">
        <v>2377</v>
      </c>
      <c r="C817" t="s">
        <v>2438</v>
      </c>
      <c r="D817" t="s">
        <v>2379</v>
      </c>
      <c r="E817" t="s">
        <v>12</v>
      </c>
      <c r="F817" t="s">
        <v>2578</v>
      </c>
      <c r="G817" t="s">
        <v>12</v>
      </c>
      <c r="H817" t="b">
        <v>1</v>
      </c>
      <c r="I817" s="8">
        <v>45932.449965277781</v>
      </c>
      <c r="J817" t="s">
        <v>2380</v>
      </c>
      <c r="L817">
        <v>603645</v>
      </c>
      <c r="M817" t="s">
        <v>2381</v>
      </c>
      <c r="P817" t="s">
        <v>3659</v>
      </c>
      <c r="Q817" t="s">
        <v>2383</v>
      </c>
      <c r="R817">
        <v>1</v>
      </c>
      <c r="S817" t="s">
        <v>2380</v>
      </c>
      <c r="T817" t="s">
        <v>2383</v>
      </c>
      <c r="U817" s="8">
        <v>45931.55878472222</v>
      </c>
      <c r="V817" s="8">
        <v>45936.958333333336</v>
      </c>
      <c r="W817">
        <v>1</v>
      </c>
      <c r="X817">
        <v>0.89118055600000001</v>
      </c>
      <c r="Y817" t="s">
        <v>2579</v>
      </c>
      <c r="Z817" t="s">
        <v>9839</v>
      </c>
      <c r="AA817" t="s">
        <v>3661</v>
      </c>
      <c r="AB817" t="s">
        <v>1278</v>
      </c>
      <c r="AC817" t="s">
        <v>9840</v>
      </c>
      <c r="AD817" t="s">
        <v>2708</v>
      </c>
      <c r="AE817">
        <v>1</v>
      </c>
      <c r="AO817" t="s">
        <v>3644</v>
      </c>
      <c r="AP817" t="s">
        <v>2401</v>
      </c>
    </row>
    <row r="818" spans="1:42">
      <c r="A818" t="s">
        <v>2124</v>
      </c>
      <c r="B818" t="s">
        <v>2389</v>
      </c>
      <c r="C818" t="s">
        <v>2390</v>
      </c>
      <c r="D818" t="s">
        <v>2379</v>
      </c>
      <c r="E818" t="s">
        <v>12</v>
      </c>
      <c r="F818" t="s">
        <v>2402</v>
      </c>
      <c r="G818" t="s">
        <v>12</v>
      </c>
      <c r="H818" t="b">
        <v>1</v>
      </c>
      <c r="I818" s="8">
        <v>45936.382303240738</v>
      </c>
      <c r="J818" t="s">
        <v>2380</v>
      </c>
      <c r="K818">
        <v>1200248</v>
      </c>
      <c r="L818">
        <v>604367</v>
      </c>
      <c r="M818" t="s">
        <v>2381</v>
      </c>
      <c r="P818" t="s">
        <v>2486</v>
      </c>
      <c r="Q818" t="s">
        <v>2395</v>
      </c>
      <c r="R818">
        <v>1</v>
      </c>
      <c r="S818" t="s">
        <v>2380</v>
      </c>
      <c r="T818" t="s">
        <v>2383</v>
      </c>
      <c r="U818" s="8">
        <v>45931.603206018517</v>
      </c>
      <c r="V818" s="8">
        <v>45936.958333333336</v>
      </c>
      <c r="W818">
        <v>1</v>
      </c>
      <c r="X818">
        <v>2.7790972219999999</v>
      </c>
      <c r="Y818" t="s">
        <v>2403</v>
      </c>
      <c r="Z818" t="s">
        <v>8223</v>
      </c>
      <c r="AA818" t="s">
        <v>1460</v>
      </c>
      <c r="AB818" t="s">
        <v>1278</v>
      </c>
      <c r="AC818" t="s">
        <v>8224</v>
      </c>
      <c r="AD818" t="s">
        <v>2708</v>
      </c>
      <c r="AE818">
        <v>1</v>
      </c>
      <c r="AO818" t="s">
        <v>4137</v>
      </c>
      <c r="AP818" t="s">
        <v>2401</v>
      </c>
    </row>
    <row r="819" spans="1:42">
      <c r="A819" t="s">
        <v>2153</v>
      </c>
      <c r="B819" t="s">
        <v>2389</v>
      </c>
      <c r="C819" t="s">
        <v>2390</v>
      </c>
      <c r="D819" t="s">
        <v>2379</v>
      </c>
      <c r="E819" t="s">
        <v>2452</v>
      </c>
      <c r="F819" t="s">
        <v>2402</v>
      </c>
      <c r="G819" t="s">
        <v>2452</v>
      </c>
      <c r="H819" t="b">
        <v>1</v>
      </c>
      <c r="I819" s="8">
        <v>45933.655173611114</v>
      </c>
      <c r="J819" t="s">
        <v>2380</v>
      </c>
      <c r="L819">
        <v>601090</v>
      </c>
      <c r="M819" t="s">
        <v>2381</v>
      </c>
      <c r="P819" t="s">
        <v>2486</v>
      </c>
      <c r="Q819" t="s">
        <v>2383</v>
      </c>
      <c r="R819">
        <v>1</v>
      </c>
      <c r="S819" t="s">
        <v>2380</v>
      </c>
      <c r="T819" t="s">
        <v>2383</v>
      </c>
      <c r="U819" s="8">
        <v>45931.624467592592</v>
      </c>
      <c r="V819" s="8">
        <v>45936.958333333336</v>
      </c>
      <c r="W819">
        <v>1</v>
      </c>
      <c r="X819">
        <v>2.0307060190000001</v>
      </c>
      <c r="Y819" t="s">
        <v>2403</v>
      </c>
      <c r="Z819" t="s">
        <v>2846</v>
      </c>
      <c r="AA819" t="s">
        <v>2063</v>
      </c>
      <c r="AB819" t="s">
        <v>1278</v>
      </c>
      <c r="AC819" t="s">
        <v>2847</v>
      </c>
      <c r="AE819">
        <v>1</v>
      </c>
      <c r="AO819" t="s">
        <v>2408</v>
      </c>
      <c r="AP819" t="s">
        <v>2401</v>
      </c>
    </row>
    <row r="820" spans="1:42">
      <c r="A820" t="s">
        <v>1246</v>
      </c>
      <c r="B820" t="s">
        <v>2377</v>
      </c>
      <c r="C820" t="s">
        <v>2390</v>
      </c>
      <c r="D820" t="s">
        <v>2379</v>
      </c>
      <c r="E820" t="s">
        <v>24</v>
      </c>
      <c r="F820" t="s">
        <v>2578</v>
      </c>
      <c r="G820" t="s">
        <v>24</v>
      </c>
      <c r="H820" t="b">
        <v>1</v>
      </c>
      <c r="I820" s="8">
        <v>45936.487500000003</v>
      </c>
      <c r="J820" t="s">
        <v>2380</v>
      </c>
      <c r="L820">
        <v>603106</v>
      </c>
      <c r="M820" t="s">
        <v>2381</v>
      </c>
      <c r="P820" t="s">
        <v>6563</v>
      </c>
      <c r="Q820" t="s">
        <v>2383</v>
      </c>
      <c r="R820">
        <v>1</v>
      </c>
      <c r="S820" t="s">
        <v>2380</v>
      </c>
      <c r="T820" t="s">
        <v>2383</v>
      </c>
      <c r="U820" s="8">
        <v>45931.638425925928</v>
      </c>
      <c r="V820" s="8">
        <v>45936.958333333336</v>
      </c>
      <c r="W820">
        <v>1</v>
      </c>
      <c r="X820">
        <v>2.8490740739999998</v>
      </c>
      <c r="Y820" t="s">
        <v>2579</v>
      </c>
      <c r="Z820" t="s">
        <v>6564</v>
      </c>
      <c r="AA820" t="s">
        <v>6565</v>
      </c>
      <c r="AB820" t="s">
        <v>1278</v>
      </c>
      <c r="AC820" t="s">
        <v>3064</v>
      </c>
      <c r="AD820" t="s">
        <v>2708</v>
      </c>
      <c r="AE820">
        <v>1</v>
      </c>
      <c r="AO820" t="s">
        <v>2388</v>
      </c>
      <c r="AP820" t="s">
        <v>2401</v>
      </c>
    </row>
    <row r="821" spans="1:42">
      <c r="A821" t="s">
        <v>1963</v>
      </c>
      <c r="B821" t="s">
        <v>2389</v>
      </c>
      <c r="C821" t="s">
        <v>2691</v>
      </c>
      <c r="D821" t="s">
        <v>2379</v>
      </c>
      <c r="E821" t="s">
        <v>2452</v>
      </c>
      <c r="F821" t="s">
        <v>2402</v>
      </c>
      <c r="G821" t="s">
        <v>2452</v>
      </c>
      <c r="H821" t="b">
        <v>1</v>
      </c>
      <c r="I821" s="8">
        <v>45939.344953703701</v>
      </c>
      <c r="J821" t="s">
        <v>2380</v>
      </c>
      <c r="K821">
        <v>1201205</v>
      </c>
      <c r="L821">
        <v>609880</v>
      </c>
      <c r="M821" t="s">
        <v>2381</v>
      </c>
      <c r="P821" t="s">
        <v>2486</v>
      </c>
      <c r="Q821" t="s">
        <v>2383</v>
      </c>
      <c r="R821">
        <v>1</v>
      </c>
      <c r="S821" t="s">
        <v>2380</v>
      </c>
      <c r="T821" t="s">
        <v>2383</v>
      </c>
      <c r="U821" s="8">
        <v>45931.644513888888</v>
      </c>
      <c r="V821" s="8">
        <v>45939.958333333336</v>
      </c>
      <c r="W821">
        <v>1</v>
      </c>
      <c r="X821">
        <v>5.7004398150000002</v>
      </c>
      <c r="Y821" t="s">
        <v>2403</v>
      </c>
      <c r="Z821" t="s">
        <v>5376</v>
      </c>
      <c r="AA821" t="s">
        <v>1523</v>
      </c>
      <c r="AB821" t="s">
        <v>1278</v>
      </c>
      <c r="AC821" t="s">
        <v>5377</v>
      </c>
      <c r="AD821" t="s">
        <v>2708</v>
      </c>
      <c r="AE821">
        <v>1</v>
      </c>
      <c r="AO821" t="s">
        <v>2408</v>
      </c>
      <c r="AP821" t="s">
        <v>2401</v>
      </c>
    </row>
    <row r="822" spans="1:42">
      <c r="A822" t="s">
        <v>2263</v>
      </c>
      <c r="B822" t="s">
        <v>2389</v>
      </c>
      <c r="C822" t="s">
        <v>2443</v>
      </c>
      <c r="D822" t="s">
        <v>2443</v>
      </c>
      <c r="E822" t="s">
        <v>25</v>
      </c>
      <c r="F822" t="s">
        <v>2402</v>
      </c>
      <c r="G822" t="s">
        <v>25</v>
      </c>
      <c r="H822" t="b">
        <v>1</v>
      </c>
      <c r="I822" s="8">
        <v>45950.405243055553</v>
      </c>
      <c r="J822" t="s">
        <v>2380</v>
      </c>
      <c r="K822">
        <v>1203503</v>
      </c>
      <c r="L822">
        <v>606900</v>
      </c>
      <c r="M822" t="s">
        <v>2381</v>
      </c>
      <c r="N822">
        <v>5</v>
      </c>
      <c r="P822" t="s">
        <v>2486</v>
      </c>
      <c r="Q822" t="s">
        <v>2383</v>
      </c>
      <c r="R822">
        <v>1</v>
      </c>
      <c r="S822" t="s">
        <v>2380</v>
      </c>
      <c r="T822" t="s">
        <v>2383</v>
      </c>
      <c r="U822" s="8">
        <v>45931.664872685185</v>
      </c>
      <c r="V822" s="8">
        <v>45947.958333333336</v>
      </c>
      <c r="W822">
        <v>1</v>
      </c>
      <c r="X822">
        <v>12.740370370000001</v>
      </c>
      <c r="Y822" t="s">
        <v>2403</v>
      </c>
      <c r="Z822" t="s">
        <v>5542</v>
      </c>
      <c r="AA822" t="s">
        <v>5543</v>
      </c>
      <c r="AB822" t="s">
        <v>1278</v>
      </c>
      <c r="AC822" t="s">
        <v>5544</v>
      </c>
      <c r="AD822" t="s">
        <v>2708</v>
      </c>
      <c r="AE822">
        <v>1</v>
      </c>
      <c r="AO822" t="s">
        <v>2408</v>
      </c>
      <c r="AP822" t="s">
        <v>2401</v>
      </c>
    </row>
    <row r="823" spans="1:42">
      <c r="A823" t="s">
        <v>2126</v>
      </c>
      <c r="B823" t="s">
        <v>2389</v>
      </c>
      <c r="C823" t="s">
        <v>2390</v>
      </c>
      <c r="D823" t="s">
        <v>2379</v>
      </c>
      <c r="E823" t="s">
        <v>12</v>
      </c>
      <c r="F823" t="s">
        <v>2417</v>
      </c>
      <c r="G823" t="s">
        <v>12</v>
      </c>
      <c r="H823" t="b">
        <v>1</v>
      </c>
      <c r="I823" s="8">
        <v>45936.377152777779</v>
      </c>
      <c r="J823" t="s">
        <v>2380</v>
      </c>
      <c r="K823">
        <v>1200247</v>
      </c>
      <c r="L823">
        <v>606872</v>
      </c>
      <c r="M823" t="s">
        <v>2381</v>
      </c>
      <c r="P823" t="s">
        <v>5399</v>
      </c>
      <c r="Q823" t="s">
        <v>2383</v>
      </c>
      <c r="R823">
        <v>1</v>
      </c>
      <c r="S823" t="s">
        <v>2380</v>
      </c>
      <c r="T823" t="s">
        <v>2383</v>
      </c>
      <c r="U823" s="8">
        <v>45931.676539351851</v>
      </c>
      <c r="V823" s="8">
        <v>45936.958333333336</v>
      </c>
      <c r="W823">
        <v>1</v>
      </c>
      <c r="X823">
        <v>2.7006134259999999</v>
      </c>
      <c r="Y823" t="s">
        <v>2418</v>
      </c>
      <c r="Z823" t="s">
        <v>5446</v>
      </c>
      <c r="AA823" t="s">
        <v>5401</v>
      </c>
      <c r="AB823" t="s">
        <v>1278</v>
      </c>
      <c r="AC823" t="s">
        <v>5447</v>
      </c>
      <c r="AD823" t="s">
        <v>2708</v>
      </c>
      <c r="AE823">
        <v>1</v>
      </c>
      <c r="AO823" t="s">
        <v>2408</v>
      </c>
      <c r="AP823" t="s">
        <v>2401</v>
      </c>
    </row>
    <row r="824" spans="1:42">
      <c r="A824" t="s">
        <v>9707</v>
      </c>
      <c r="B824" t="s">
        <v>2389</v>
      </c>
      <c r="C824" t="s">
        <v>2390</v>
      </c>
      <c r="D824" t="s">
        <v>2379</v>
      </c>
      <c r="E824" t="s">
        <v>2416</v>
      </c>
      <c r="F824" t="s">
        <v>7611</v>
      </c>
      <c r="G824" t="s">
        <v>2416</v>
      </c>
      <c r="H824" t="b">
        <v>1</v>
      </c>
      <c r="I824" s="8">
        <v>45936.415659722225</v>
      </c>
      <c r="J824" t="s">
        <v>2380</v>
      </c>
      <c r="K824">
        <v>1200253</v>
      </c>
      <c r="L824">
        <v>602395</v>
      </c>
      <c r="M824" t="s">
        <v>2381</v>
      </c>
      <c r="P824" t="s">
        <v>2670</v>
      </c>
      <c r="Q824" t="s">
        <v>2383</v>
      </c>
      <c r="R824">
        <v>1</v>
      </c>
      <c r="S824" t="s">
        <v>2380</v>
      </c>
      <c r="T824" t="s">
        <v>2383</v>
      </c>
      <c r="U824" s="8">
        <v>45931.677395833336</v>
      </c>
      <c r="V824" s="8">
        <v>45936.958333333336</v>
      </c>
      <c r="W824">
        <v>1</v>
      </c>
      <c r="X824">
        <v>2.7382638890000002</v>
      </c>
      <c r="Y824" t="s">
        <v>3521</v>
      </c>
      <c r="Z824" t="s">
        <v>9708</v>
      </c>
      <c r="AA824" t="s">
        <v>9709</v>
      </c>
      <c r="AB824" t="s">
        <v>1278</v>
      </c>
      <c r="AC824" t="s">
        <v>9710</v>
      </c>
      <c r="AD824" t="s">
        <v>2708</v>
      </c>
      <c r="AE824">
        <v>1</v>
      </c>
      <c r="AO824" t="s">
        <v>3608</v>
      </c>
      <c r="AP824" t="s">
        <v>2401</v>
      </c>
    </row>
    <row r="825" spans="1:42">
      <c r="A825" t="s">
        <v>9711</v>
      </c>
      <c r="B825" t="s">
        <v>2389</v>
      </c>
      <c r="C825" t="s">
        <v>2390</v>
      </c>
      <c r="D825" t="s">
        <v>2379</v>
      </c>
      <c r="E825" t="s">
        <v>2416</v>
      </c>
      <c r="F825" t="s">
        <v>7611</v>
      </c>
      <c r="G825" t="s">
        <v>2416</v>
      </c>
      <c r="H825" t="b">
        <v>1</v>
      </c>
      <c r="I825" s="8">
        <v>45936.427453703705</v>
      </c>
      <c r="J825" t="s">
        <v>2380</v>
      </c>
      <c r="K825">
        <v>1200258</v>
      </c>
      <c r="L825">
        <v>602395</v>
      </c>
      <c r="M825" t="s">
        <v>2381</v>
      </c>
      <c r="P825" t="s">
        <v>2670</v>
      </c>
      <c r="Q825" t="s">
        <v>2383</v>
      </c>
      <c r="R825">
        <v>1</v>
      </c>
      <c r="S825" t="s">
        <v>2380</v>
      </c>
      <c r="T825" t="s">
        <v>2383</v>
      </c>
      <c r="U825" s="8">
        <v>45931.678738425922</v>
      </c>
      <c r="V825" s="8">
        <v>45936.958333333336</v>
      </c>
      <c r="W825">
        <v>1</v>
      </c>
      <c r="X825">
        <v>2.7487152780000002</v>
      </c>
      <c r="Y825" t="s">
        <v>3521</v>
      </c>
      <c r="Z825" t="s">
        <v>9712</v>
      </c>
      <c r="AA825" t="s">
        <v>9709</v>
      </c>
      <c r="AB825" t="s">
        <v>1278</v>
      </c>
      <c r="AC825" t="s">
        <v>9713</v>
      </c>
      <c r="AD825" t="s">
        <v>2708</v>
      </c>
      <c r="AE825">
        <v>1</v>
      </c>
      <c r="AO825" t="s">
        <v>3608</v>
      </c>
      <c r="AP825" t="s">
        <v>2401</v>
      </c>
    </row>
    <row r="826" spans="1:42">
      <c r="A826" t="s">
        <v>542</v>
      </c>
      <c r="B826" t="s">
        <v>2377</v>
      </c>
      <c r="C826" t="s">
        <v>2390</v>
      </c>
      <c r="D826" t="s">
        <v>2379</v>
      </c>
      <c r="E826" t="s">
        <v>33</v>
      </c>
      <c r="F826" t="s">
        <v>2417</v>
      </c>
      <c r="G826" t="s">
        <v>33</v>
      </c>
      <c r="H826" t="b">
        <v>1</v>
      </c>
      <c r="I826" s="8">
        <v>45936.645567129628</v>
      </c>
      <c r="J826" t="s">
        <v>2380</v>
      </c>
      <c r="L826">
        <v>602944</v>
      </c>
      <c r="M826" t="s">
        <v>2381</v>
      </c>
      <c r="P826" t="s">
        <v>2743</v>
      </c>
      <c r="Q826" t="s">
        <v>2383</v>
      </c>
      <c r="R826">
        <v>1</v>
      </c>
      <c r="S826" t="s">
        <v>2380</v>
      </c>
      <c r="T826" t="s">
        <v>2383</v>
      </c>
      <c r="U826" s="8">
        <v>45931.688310185185</v>
      </c>
      <c r="V826" s="8">
        <v>45936.958333333336</v>
      </c>
      <c r="W826">
        <v>1</v>
      </c>
      <c r="X826">
        <v>2.9572569440000001</v>
      </c>
      <c r="Y826" t="s">
        <v>2418</v>
      </c>
      <c r="Z826" t="s">
        <v>5221</v>
      </c>
      <c r="AA826" t="s">
        <v>2745</v>
      </c>
      <c r="AB826" t="s">
        <v>1278</v>
      </c>
      <c r="AC826" t="s">
        <v>2387</v>
      </c>
      <c r="AD826" t="s">
        <v>2708</v>
      </c>
      <c r="AE826">
        <v>1</v>
      </c>
      <c r="AH826" t="s">
        <v>33</v>
      </c>
      <c r="AI826" s="8">
        <v>45936.640520833331</v>
      </c>
      <c r="AK826" t="s">
        <v>2719</v>
      </c>
      <c r="AL826" t="s">
        <v>2719</v>
      </c>
      <c r="AO826" t="s">
        <v>2408</v>
      </c>
      <c r="AP826" t="s">
        <v>2401</v>
      </c>
    </row>
    <row r="827" spans="1:42">
      <c r="A827" t="s">
        <v>1000</v>
      </c>
      <c r="B827" t="s">
        <v>2377</v>
      </c>
      <c r="C827" t="s">
        <v>2415</v>
      </c>
      <c r="D827" t="s">
        <v>2379</v>
      </c>
      <c r="E827" t="s">
        <v>18</v>
      </c>
      <c r="F827" t="s">
        <v>2578</v>
      </c>
      <c r="G827" t="s">
        <v>2416</v>
      </c>
      <c r="H827" t="b">
        <v>1</v>
      </c>
      <c r="I827" s="8">
        <v>45933.594085648147</v>
      </c>
      <c r="J827" t="s">
        <v>2380</v>
      </c>
      <c r="L827">
        <v>602833</v>
      </c>
      <c r="M827" t="s">
        <v>2381</v>
      </c>
      <c r="P827" t="s">
        <v>6557</v>
      </c>
      <c r="Q827" t="s">
        <v>2383</v>
      </c>
      <c r="R827">
        <v>1</v>
      </c>
      <c r="S827" t="s">
        <v>2380</v>
      </c>
      <c r="T827" t="s">
        <v>2383</v>
      </c>
      <c r="U827" s="8">
        <v>45931.705914351849</v>
      </c>
      <c r="V827" s="8">
        <v>45936.958333333336</v>
      </c>
      <c r="W827">
        <v>1</v>
      </c>
      <c r="X827">
        <v>1.8881712960000001</v>
      </c>
      <c r="Y827" t="s">
        <v>2579</v>
      </c>
      <c r="Z827" t="s">
        <v>6601</v>
      </c>
      <c r="AA827" t="s">
        <v>6559</v>
      </c>
      <c r="AB827" t="s">
        <v>1278</v>
      </c>
      <c r="AC827" t="s">
        <v>6602</v>
      </c>
      <c r="AD827" t="s">
        <v>2708</v>
      </c>
      <c r="AE827">
        <v>1</v>
      </c>
      <c r="AO827" t="s">
        <v>2388</v>
      </c>
      <c r="AP827" t="s">
        <v>2401</v>
      </c>
    </row>
    <row r="828" spans="1:42">
      <c r="A828" t="s">
        <v>1002</v>
      </c>
      <c r="B828" t="s">
        <v>2377</v>
      </c>
      <c r="C828" t="s">
        <v>2390</v>
      </c>
      <c r="D828" t="s">
        <v>2379</v>
      </c>
      <c r="E828" t="s">
        <v>24</v>
      </c>
      <c r="F828" t="s">
        <v>2578</v>
      </c>
      <c r="G828" t="s">
        <v>24</v>
      </c>
      <c r="H828" t="b">
        <v>1</v>
      </c>
      <c r="I828" s="8">
        <v>45936.530844907407</v>
      </c>
      <c r="J828" t="s">
        <v>2380</v>
      </c>
      <c r="L828">
        <v>605268</v>
      </c>
      <c r="M828" t="s">
        <v>2381</v>
      </c>
      <c r="P828" t="s">
        <v>2716</v>
      </c>
      <c r="Q828" t="s">
        <v>2383</v>
      </c>
      <c r="R828">
        <v>1</v>
      </c>
      <c r="S828" t="s">
        <v>2380</v>
      </c>
      <c r="T828" t="s">
        <v>2383</v>
      </c>
      <c r="U828" s="8">
        <v>45931.714548611111</v>
      </c>
      <c r="V828" s="8">
        <v>45936.958333333336</v>
      </c>
      <c r="W828">
        <v>1</v>
      </c>
      <c r="X828">
        <v>2.816296296</v>
      </c>
      <c r="Y828" t="s">
        <v>2579</v>
      </c>
      <c r="Z828" t="s">
        <v>3917</v>
      </c>
      <c r="AA828" t="s">
        <v>1301</v>
      </c>
      <c r="AB828" t="s">
        <v>1278</v>
      </c>
      <c r="AC828" t="s">
        <v>3918</v>
      </c>
      <c r="AD828" t="s">
        <v>2708</v>
      </c>
      <c r="AE828">
        <v>1</v>
      </c>
      <c r="AO828" t="s">
        <v>2720</v>
      </c>
      <c r="AP828" t="s">
        <v>2401</v>
      </c>
    </row>
    <row r="829" spans="1:42">
      <c r="A829" t="s">
        <v>1242</v>
      </c>
      <c r="B829" t="s">
        <v>2377</v>
      </c>
      <c r="C829" t="s">
        <v>2390</v>
      </c>
      <c r="D829" t="s">
        <v>2379</v>
      </c>
      <c r="E829" t="s">
        <v>18</v>
      </c>
      <c r="F829" t="s">
        <v>3570</v>
      </c>
      <c r="G829" t="s">
        <v>2416</v>
      </c>
      <c r="H829" t="b">
        <v>1</v>
      </c>
      <c r="I829" s="8">
        <v>45933.738726851851</v>
      </c>
      <c r="J829" t="s">
        <v>2380</v>
      </c>
      <c r="L829">
        <v>602254</v>
      </c>
      <c r="M829" t="s">
        <v>2381</v>
      </c>
      <c r="P829" t="s">
        <v>7452</v>
      </c>
      <c r="Q829" t="s">
        <v>2383</v>
      </c>
      <c r="R829">
        <v>1</v>
      </c>
      <c r="S829" t="s">
        <v>2380</v>
      </c>
      <c r="T829" t="s">
        <v>2383</v>
      </c>
      <c r="U829" s="8">
        <v>45931.715624999997</v>
      </c>
      <c r="V829" s="8">
        <v>45936.958333333336</v>
      </c>
      <c r="W829">
        <v>1</v>
      </c>
      <c r="X829">
        <v>2.0231018519999999</v>
      </c>
      <c r="Y829" t="s">
        <v>3572</v>
      </c>
      <c r="Z829" t="s">
        <v>7453</v>
      </c>
      <c r="AA829" t="s">
        <v>7454</v>
      </c>
      <c r="AB829" t="s">
        <v>1278</v>
      </c>
      <c r="AC829" t="s">
        <v>7455</v>
      </c>
      <c r="AD829" t="s">
        <v>2708</v>
      </c>
      <c r="AE829">
        <v>1</v>
      </c>
      <c r="AO829" t="s">
        <v>2957</v>
      </c>
      <c r="AP829" t="s">
        <v>2401</v>
      </c>
    </row>
    <row r="830" spans="1:42">
      <c r="A830" t="s">
        <v>1234</v>
      </c>
      <c r="B830" t="s">
        <v>2377</v>
      </c>
      <c r="C830" t="s">
        <v>2438</v>
      </c>
      <c r="D830" t="s">
        <v>2379</v>
      </c>
      <c r="E830" t="s">
        <v>18</v>
      </c>
      <c r="F830" t="s">
        <v>4897</v>
      </c>
      <c r="G830" t="s">
        <v>2416</v>
      </c>
      <c r="H830" t="b">
        <v>1</v>
      </c>
      <c r="I830" s="8">
        <v>45931.769062500003</v>
      </c>
      <c r="J830" t="s">
        <v>2380</v>
      </c>
      <c r="L830">
        <v>602408</v>
      </c>
      <c r="M830" t="s">
        <v>2381</v>
      </c>
      <c r="P830" t="s">
        <v>2704</v>
      </c>
      <c r="Q830" t="s">
        <v>2383</v>
      </c>
      <c r="R830">
        <v>1</v>
      </c>
      <c r="S830" t="s">
        <v>2380</v>
      </c>
      <c r="T830" t="s">
        <v>2383</v>
      </c>
      <c r="U830" s="8">
        <v>45931.737708333334</v>
      </c>
      <c r="V830" s="8">
        <v>45936.958333333336</v>
      </c>
      <c r="W830">
        <v>1</v>
      </c>
      <c r="X830">
        <v>3.1354167000000002E-2</v>
      </c>
      <c r="Y830" t="s">
        <v>4898</v>
      </c>
      <c r="Z830" t="s">
        <v>4937</v>
      </c>
      <c r="AA830" t="s">
        <v>1233</v>
      </c>
      <c r="AB830" t="s">
        <v>1278</v>
      </c>
      <c r="AC830" t="s">
        <v>4938</v>
      </c>
      <c r="AD830" t="s">
        <v>2708</v>
      </c>
      <c r="AE830">
        <v>1</v>
      </c>
      <c r="AO830" t="s">
        <v>2715</v>
      </c>
      <c r="AP830" t="s">
        <v>2401</v>
      </c>
    </row>
    <row r="831" spans="1:42">
      <c r="A831" t="s">
        <v>2130</v>
      </c>
      <c r="B831" t="s">
        <v>2389</v>
      </c>
      <c r="C831" t="s">
        <v>2415</v>
      </c>
      <c r="D831" t="s">
        <v>2379</v>
      </c>
      <c r="E831" t="s">
        <v>307</v>
      </c>
      <c r="F831" t="s">
        <v>2578</v>
      </c>
      <c r="G831" t="s">
        <v>307</v>
      </c>
      <c r="H831" t="b">
        <v>1</v>
      </c>
      <c r="I831" s="8">
        <v>45935.578287037039</v>
      </c>
      <c r="J831" t="s">
        <v>2380</v>
      </c>
      <c r="K831">
        <v>1200240</v>
      </c>
      <c r="L831">
        <v>605011</v>
      </c>
      <c r="M831" t="s">
        <v>2381</v>
      </c>
      <c r="P831" t="s">
        <v>3415</v>
      </c>
      <c r="Q831" t="s">
        <v>2383</v>
      </c>
      <c r="R831">
        <v>1</v>
      </c>
      <c r="S831" t="s">
        <v>2380</v>
      </c>
      <c r="T831" t="s">
        <v>2383</v>
      </c>
      <c r="U831" s="8">
        <v>45932.364525462966</v>
      </c>
      <c r="V831" s="8">
        <v>45937.958333333336</v>
      </c>
      <c r="W831">
        <v>1</v>
      </c>
      <c r="X831">
        <v>1.2137615740000001</v>
      </c>
      <c r="Y831" t="s">
        <v>2579</v>
      </c>
      <c r="Z831" t="s">
        <v>6786</v>
      </c>
      <c r="AA831" t="s">
        <v>1764</v>
      </c>
      <c r="AB831" t="s">
        <v>1278</v>
      </c>
      <c r="AC831" t="s">
        <v>6642</v>
      </c>
      <c r="AD831" t="s">
        <v>2708</v>
      </c>
      <c r="AE831">
        <v>1</v>
      </c>
      <c r="AO831" t="s">
        <v>2388</v>
      </c>
      <c r="AP831" t="s">
        <v>2401</v>
      </c>
    </row>
    <row r="832" spans="1:42">
      <c r="A832" t="s">
        <v>2142</v>
      </c>
      <c r="B832" t="s">
        <v>2389</v>
      </c>
      <c r="C832" t="s">
        <v>2390</v>
      </c>
      <c r="D832" t="s">
        <v>2379</v>
      </c>
      <c r="E832" t="s">
        <v>33</v>
      </c>
      <c r="F832" t="s">
        <v>2417</v>
      </c>
      <c r="G832" t="s">
        <v>33</v>
      </c>
      <c r="H832" t="b">
        <v>1</v>
      </c>
      <c r="I832" s="8">
        <v>45934.448865740742</v>
      </c>
      <c r="J832" t="s">
        <v>2380</v>
      </c>
      <c r="K832">
        <v>1200195</v>
      </c>
      <c r="L832">
        <v>602944</v>
      </c>
      <c r="M832" t="s">
        <v>2381</v>
      </c>
      <c r="P832" t="s">
        <v>2743</v>
      </c>
      <c r="Q832" t="s">
        <v>2383</v>
      </c>
      <c r="R832">
        <v>1</v>
      </c>
      <c r="S832" t="s">
        <v>2380</v>
      </c>
      <c r="T832" t="s">
        <v>2383</v>
      </c>
      <c r="U832" s="8">
        <v>45932.37027777778</v>
      </c>
      <c r="V832" s="8">
        <v>45937.958333333336</v>
      </c>
      <c r="W832">
        <v>1</v>
      </c>
      <c r="X832">
        <v>2.0785879629999999</v>
      </c>
      <c r="Y832" t="s">
        <v>2418</v>
      </c>
      <c r="Z832" t="s">
        <v>4301</v>
      </c>
      <c r="AA832" t="s">
        <v>2745</v>
      </c>
      <c r="AB832" t="s">
        <v>1278</v>
      </c>
      <c r="AC832" t="s">
        <v>2802</v>
      </c>
      <c r="AD832" t="s">
        <v>2708</v>
      </c>
      <c r="AE832">
        <v>1</v>
      </c>
      <c r="AO832" t="s">
        <v>2408</v>
      </c>
      <c r="AP832" t="s">
        <v>2401</v>
      </c>
    </row>
    <row r="833" spans="1:42">
      <c r="A833" t="s">
        <v>2088</v>
      </c>
      <c r="B833" t="s">
        <v>2389</v>
      </c>
      <c r="C833" t="s">
        <v>2390</v>
      </c>
      <c r="D833" t="s">
        <v>2379</v>
      </c>
      <c r="E833" t="s">
        <v>12</v>
      </c>
      <c r="F833" t="s">
        <v>2578</v>
      </c>
      <c r="G833" t="s">
        <v>12</v>
      </c>
      <c r="H833" t="b">
        <v>1</v>
      </c>
      <c r="I833" s="8">
        <v>45937.395949074074</v>
      </c>
      <c r="J833" t="s">
        <v>2380</v>
      </c>
      <c r="K833">
        <v>1200434</v>
      </c>
      <c r="L833">
        <v>605011</v>
      </c>
      <c r="M833" t="s">
        <v>2381</v>
      </c>
      <c r="P833" t="s">
        <v>3415</v>
      </c>
      <c r="Q833" t="s">
        <v>2383</v>
      </c>
      <c r="R833">
        <v>1</v>
      </c>
      <c r="S833" t="s">
        <v>2380</v>
      </c>
      <c r="T833" t="s">
        <v>2383</v>
      </c>
      <c r="U833" s="8">
        <v>45932.397881944446</v>
      </c>
      <c r="V833" s="8">
        <v>45937.958333333336</v>
      </c>
      <c r="W833">
        <v>1</v>
      </c>
      <c r="X833">
        <v>2.9980671299999999</v>
      </c>
      <c r="Y833" t="s">
        <v>2579</v>
      </c>
      <c r="Z833" t="s">
        <v>7170</v>
      </c>
      <c r="AA833" t="s">
        <v>1764</v>
      </c>
      <c r="AB833" t="s">
        <v>1278</v>
      </c>
      <c r="AC833" t="s">
        <v>7171</v>
      </c>
      <c r="AD833" t="s">
        <v>2708</v>
      </c>
      <c r="AE833">
        <v>1</v>
      </c>
      <c r="AO833" t="s">
        <v>2388</v>
      </c>
      <c r="AP833" t="s">
        <v>2401</v>
      </c>
    </row>
    <row r="834" spans="1:42">
      <c r="A834" t="s">
        <v>2081</v>
      </c>
      <c r="B834" t="s">
        <v>2377</v>
      </c>
      <c r="C834" t="s">
        <v>2390</v>
      </c>
      <c r="D834" t="s">
        <v>2379</v>
      </c>
      <c r="E834" t="s">
        <v>12</v>
      </c>
      <c r="F834">
        <v>6048</v>
      </c>
      <c r="G834" t="s">
        <v>12</v>
      </c>
      <c r="H834" t="b">
        <v>1</v>
      </c>
      <c r="I834" s="8">
        <v>45937.413425925923</v>
      </c>
      <c r="J834" t="s">
        <v>2380</v>
      </c>
      <c r="L834">
        <v>609830</v>
      </c>
      <c r="M834" t="s">
        <v>2381</v>
      </c>
      <c r="P834" t="s">
        <v>3232</v>
      </c>
      <c r="Q834" t="s">
        <v>2383</v>
      </c>
      <c r="R834">
        <v>1</v>
      </c>
      <c r="S834" t="s">
        <v>2380</v>
      </c>
      <c r="T834" t="s">
        <v>2383</v>
      </c>
      <c r="U834" s="8">
        <v>45932.446030092593</v>
      </c>
      <c r="V834" s="8">
        <v>45937.958333333336</v>
      </c>
      <c r="W834">
        <v>1</v>
      </c>
      <c r="X834">
        <v>2.9673958329999999</v>
      </c>
      <c r="Y834" t="s">
        <v>3233</v>
      </c>
      <c r="Z834" t="s">
        <v>3234</v>
      </c>
      <c r="AA834" t="s">
        <v>3235</v>
      </c>
      <c r="AB834" t="s">
        <v>1278</v>
      </c>
      <c r="AC834" t="s">
        <v>3236</v>
      </c>
      <c r="AE834">
        <v>1</v>
      </c>
      <c r="AO834" t="s">
        <v>2388</v>
      </c>
      <c r="AP834" t="s">
        <v>2401</v>
      </c>
    </row>
    <row r="835" spans="1:42">
      <c r="A835" t="s">
        <v>564</v>
      </c>
      <c r="B835" t="s">
        <v>2377</v>
      </c>
      <c r="C835" t="s">
        <v>2378</v>
      </c>
      <c r="D835" t="s">
        <v>2379</v>
      </c>
      <c r="E835" t="s">
        <v>12</v>
      </c>
      <c r="F835" t="s">
        <v>2588</v>
      </c>
      <c r="G835" t="s">
        <v>12</v>
      </c>
      <c r="H835" t="b">
        <v>1</v>
      </c>
      <c r="I835" s="8">
        <v>45937.658229166664</v>
      </c>
      <c r="J835" t="s">
        <v>2380</v>
      </c>
      <c r="L835">
        <v>609706</v>
      </c>
      <c r="M835" t="s">
        <v>2381</v>
      </c>
      <c r="P835" t="s">
        <v>8823</v>
      </c>
      <c r="Q835" t="s">
        <v>2383</v>
      </c>
      <c r="R835">
        <v>1</v>
      </c>
      <c r="S835" t="s">
        <v>2380</v>
      </c>
      <c r="T835" t="s">
        <v>2383</v>
      </c>
      <c r="U835" s="8">
        <v>45932.454050925924</v>
      </c>
      <c r="V835" s="8">
        <v>45937.958333333336</v>
      </c>
      <c r="W835">
        <v>1</v>
      </c>
      <c r="X835">
        <v>3.2041782410000001</v>
      </c>
      <c r="Y835" t="s">
        <v>2579</v>
      </c>
      <c r="Z835" t="s">
        <v>9225</v>
      </c>
      <c r="AA835" t="s">
        <v>8825</v>
      </c>
      <c r="AB835" t="s">
        <v>1278</v>
      </c>
      <c r="AC835" t="s">
        <v>9226</v>
      </c>
      <c r="AD835" t="s">
        <v>2708</v>
      </c>
      <c r="AE835">
        <v>1</v>
      </c>
      <c r="AH835" t="s">
        <v>12</v>
      </c>
      <c r="AI835" s="8">
        <v>45937.623680555553</v>
      </c>
      <c r="AK835" t="s">
        <v>2719</v>
      </c>
      <c r="AL835" t="s">
        <v>2719</v>
      </c>
      <c r="AO835" t="s">
        <v>3644</v>
      </c>
      <c r="AP835" t="s">
        <v>2401</v>
      </c>
    </row>
    <row r="836" spans="1:42">
      <c r="A836" t="s">
        <v>2091</v>
      </c>
      <c r="B836" t="s">
        <v>2389</v>
      </c>
      <c r="C836" t="s">
        <v>2390</v>
      </c>
      <c r="D836" t="s">
        <v>2379</v>
      </c>
      <c r="E836" t="s">
        <v>2452</v>
      </c>
      <c r="F836" t="s">
        <v>2417</v>
      </c>
      <c r="G836" t="s">
        <v>2452</v>
      </c>
      <c r="H836" t="b">
        <v>1</v>
      </c>
      <c r="I836" s="8">
        <v>45937.393969907411</v>
      </c>
      <c r="J836" t="s">
        <v>2380</v>
      </c>
      <c r="L836">
        <v>603085</v>
      </c>
      <c r="M836" t="s">
        <v>2381</v>
      </c>
      <c r="P836" t="s">
        <v>10164</v>
      </c>
      <c r="Q836" t="s">
        <v>2383</v>
      </c>
      <c r="R836">
        <v>1</v>
      </c>
      <c r="S836" t="s">
        <v>2380</v>
      </c>
      <c r="T836" t="s">
        <v>2383</v>
      </c>
      <c r="U836" s="8">
        <v>45932.460138888891</v>
      </c>
      <c r="V836" s="8">
        <v>45937.958333333336</v>
      </c>
      <c r="W836">
        <v>1</v>
      </c>
      <c r="X836">
        <v>2.9338310189999999</v>
      </c>
      <c r="Y836" t="s">
        <v>2418</v>
      </c>
      <c r="Z836" t="s">
        <v>10165</v>
      </c>
      <c r="AA836" t="s">
        <v>2089</v>
      </c>
      <c r="AB836" t="s">
        <v>1278</v>
      </c>
      <c r="AC836" t="s">
        <v>10166</v>
      </c>
      <c r="AE836">
        <v>1</v>
      </c>
      <c r="AO836" t="s">
        <v>4121</v>
      </c>
      <c r="AP836" t="s">
        <v>2401</v>
      </c>
    </row>
    <row r="837" spans="1:42">
      <c r="A837" t="s">
        <v>562</v>
      </c>
      <c r="B837" t="s">
        <v>2377</v>
      </c>
      <c r="C837" t="s">
        <v>2390</v>
      </c>
      <c r="D837" t="s">
        <v>2379</v>
      </c>
      <c r="E837" t="s">
        <v>12</v>
      </c>
      <c r="F837" t="s">
        <v>3921</v>
      </c>
      <c r="G837" t="s">
        <v>12</v>
      </c>
      <c r="H837" t="b">
        <v>1</v>
      </c>
      <c r="I837" s="8">
        <v>45937.408495370371</v>
      </c>
      <c r="J837" t="s">
        <v>2380</v>
      </c>
      <c r="L837">
        <v>608029</v>
      </c>
      <c r="M837" t="s">
        <v>2381</v>
      </c>
      <c r="P837" t="s">
        <v>3936</v>
      </c>
      <c r="Q837" t="s">
        <v>2383</v>
      </c>
      <c r="R837">
        <v>1</v>
      </c>
      <c r="S837" t="s">
        <v>2380</v>
      </c>
      <c r="T837" t="s">
        <v>2383</v>
      </c>
      <c r="U837" s="8">
        <v>45932.471412037034</v>
      </c>
      <c r="V837" s="8">
        <v>45937.958333333336</v>
      </c>
      <c r="W837">
        <v>1</v>
      </c>
      <c r="X837">
        <v>2.9370833329999999</v>
      </c>
      <c r="Y837" t="s">
        <v>1352</v>
      </c>
      <c r="Z837" t="s">
        <v>3941</v>
      </c>
      <c r="AA837" t="s">
        <v>3923</v>
      </c>
      <c r="AB837" t="s">
        <v>1278</v>
      </c>
      <c r="AC837" t="s">
        <v>3942</v>
      </c>
      <c r="AD837" t="s">
        <v>2708</v>
      </c>
      <c r="AE837">
        <v>1</v>
      </c>
      <c r="AO837" t="s">
        <v>2720</v>
      </c>
      <c r="AP837" t="s">
        <v>2401</v>
      </c>
    </row>
    <row r="838" spans="1:42">
      <c r="A838" t="s">
        <v>165</v>
      </c>
      <c r="B838" t="s">
        <v>2377</v>
      </c>
      <c r="C838" t="s">
        <v>2378</v>
      </c>
      <c r="D838" t="s">
        <v>2379</v>
      </c>
      <c r="E838" t="s">
        <v>12</v>
      </c>
      <c r="F838" t="s">
        <v>2588</v>
      </c>
      <c r="G838" t="s">
        <v>12</v>
      </c>
      <c r="H838" t="b">
        <v>1</v>
      </c>
      <c r="I838" s="8">
        <v>45937.515370370369</v>
      </c>
      <c r="J838" t="s">
        <v>2380</v>
      </c>
      <c r="L838">
        <v>609710</v>
      </c>
      <c r="M838" t="s">
        <v>2381</v>
      </c>
      <c r="P838" t="s">
        <v>9805</v>
      </c>
      <c r="Q838" t="s">
        <v>2383</v>
      </c>
      <c r="R838">
        <v>1</v>
      </c>
      <c r="S838" t="s">
        <v>2380</v>
      </c>
      <c r="T838" t="s">
        <v>2383</v>
      </c>
      <c r="U838" s="8">
        <v>45932.49082175926</v>
      </c>
      <c r="V838" s="8">
        <v>45937.958333333336</v>
      </c>
      <c r="W838">
        <v>1</v>
      </c>
      <c r="X838">
        <v>3.0245486110000002</v>
      </c>
      <c r="Y838" t="s">
        <v>2579</v>
      </c>
      <c r="Z838" t="s">
        <v>9806</v>
      </c>
      <c r="AA838" t="s">
        <v>9807</v>
      </c>
      <c r="AB838" t="s">
        <v>1278</v>
      </c>
      <c r="AC838" t="s">
        <v>9808</v>
      </c>
      <c r="AD838" t="s">
        <v>2708</v>
      </c>
      <c r="AE838">
        <v>1</v>
      </c>
      <c r="AO838" t="s">
        <v>3644</v>
      </c>
      <c r="AP838" t="s">
        <v>2401</v>
      </c>
    </row>
    <row r="839" spans="1:42">
      <c r="A839" t="s">
        <v>1254</v>
      </c>
      <c r="B839" t="s">
        <v>2377</v>
      </c>
      <c r="C839" t="s">
        <v>2378</v>
      </c>
      <c r="D839" t="s">
        <v>2379</v>
      </c>
      <c r="E839" t="s">
        <v>12</v>
      </c>
      <c r="F839" t="s">
        <v>2588</v>
      </c>
      <c r="G839" t="s">
        <v>12</v>
      </c>
      <c r="H839" t="b">
        <v>1</v>
      </c>
      <c r="I839" s="8">
        <v>45937.510092592594</v>
      </c>
      <c r="J839" t="s">
        <v>2380</v>
      </c>
      <c r="L839">
        <v>609710</v>
      </c>
      <c r="M839" t="s">
        <v>2381</v>
      </c>
      <c r="P839" t="s">
        <v>9805</v>
      </c>
      <c r="Q839" t="s">
        <v>2383</v>
      </c>
      <c r="R839">
        <v>1</v>
      </c>
      <c r="S839" t="s">
        <v>2380</v>
      </c>
      <c r="T839" t="s">
        <v>2383</v>
      </c>
      <c r="U839" s="8">
        <v>45932.491805555554</v>
      </c>
      <c r="V839" s="8">
        <v>45937.958333333336</v>
      </c>
      <c r="W839">
        <v>1</v>
      </c>
      <c r="X839">
        <v>3.0182870369999999</v>
      </c>
      <c r="Y839" t="s">
        <v>2579</v>
      </c>
      <c r="Z839" t="s">
        <v>9809</v>
      </c>
      <c r="AA839" t="s">
        <v>9807</v>
      </c>
      <c r="AB839" t="s">
        <v>1278</v>
      </c>
      <c r="AC839" t="s">
        <v>9810</v>
      </c>
      <c r="AD839" t="s">
        <v>2708</v>
      </c>
      <c r="AE839">
        <v>1</v>
      </c>
      <c r="AO839" t="s">
        <v>3644</v>
      </c>
      <c r="AP839" t="s">
        <v>2401</v>
      </c>
    </row>
    <row r="840" spans="1:42">
      <c r="A840" t="s">
        <v>874</v>
      </c>
      <c r="B840" t="s">
        <v>2377</v>
      </c>
      <c r="C840" t="s">
        <v>2447</v>
      </c>
      <c r="D840" t="s">
        <v>2379</v>
      </c>
      <c r="E840" t="s">
        <v>28</v>
      </c>
      <c r="F840" t="s">
        <v>3747</v>
      </c>
      <c r="G840" t="s">
        <v>28</v>
      </c>
      <c r="H840" t="b">
        <v>1</v>
      </c>
      <c r="I840" s="8">
        <v>45939.411678240744</v>
      </c>
      <c r="J840" t="s">
        <v>2380</v>
      </c>
      <c r="L840">
        <v>609912</v>
      </c>
      <c r="M840" t="s">
        <v>2381</v>
      </c>
      <c r="N840">
        <v>15</v>
      </c>
      <c r="P840" t="s">
        <v>2704</v>
      </c>
      <c r="Q840" t="s">
        <v>2383</v>
      </c>
      <c r="R840">
        <v>1</v>
      </c>
      <c r="S840" t="s">
        <v>2380</v>
      </c>
      <c r="T840" t="s">
        <v>2383</v>
      </c>
      <c r="U840" s="8">
        <v>45932.493657407409</v>
      </c>
      <c r="V840" s="8">
        <v>45939.958333333336</v>
      </c>
      <c r="W840">
        <v>1</v>
      </c>
      <c r="X840">
        <v>4.9180208329999999</v>
      </c>
      <c r="Y840" t="s">
        <v>3748</v>
      </c>
      <c r="Z840" t="s">
        <v>4109</v>
      </c>
      <c r="AA840" t="s">
        <v>4110</v>
      </c>
      <c r="AB840" t="s">
        <v>1278</v>
      </c>
      <c r="AC840" t="s">
        <v>3066</v>
      </c>
      <c r="AD840" t="s">
        <v>2708</v>
      </c>
      <c r="AE840">
        <v>1</v>
      </c>
      <c r="AO840" t="s">
        <v>2712</v>
      </c>
      <c r="AP840" t="s">
        <v>2401</v>
      </c>
    </row>
    <row r="841" spans="1:42">
      <c r="A841" t="s">
        <v>2136</v>
      </c>
      <c r="B841" t="s">
        <v>2389</v>
      </c>
      <c r="C841" t="s">
        <v>2415</v>
      </c>
      <c r="D841" t="s">
        <v>2379</v>
      </c>
      <c r="E841" t="s">
        <v>33</v>
      </c>
      <c r="F841" t="s">
        <v>2417</v>
      </c>
      <c r="G841" t="s">
        <v>33</v>
      </c>
      <c r="H841" t="b">
        <v>1</v>
      </c>
      <c r="I841" s="8">
        <v>45934.470949074072</v>
      </c>
      <c r="J841" t="s">
        <v>2380</v>
      </c>
      <c r="K841">
        <v>1200198</v>
      </c>
      <c r="L841">
        <v>602944</v>
      </c>
      <c r="M841" t="s">
        <v>2381</v>
      </c>
      <c r="P841" t="s">
        <v>2743</v>
      </c>
      <c r="Q841" t="s">
        <v>2383</v>
      </c>
      <c r="R841">
        <v>1</v>
      </c>
      <c r="S841" t="s">
        <v>2380</v>
      </c>
      <c r="T841" t="s">
        <v>2383</v>
      </c>
      <c r="U841" s="8">
        <v>45932.505520833336</v>
      </c>
      <c r="V841" s="8">
        <v>45937.958333333336</v>
      </c>
      <c r="W841">
        <v>1</v>
      </c>
      <c r="X841">
        <v>1.9654282409999999</v>
      </c>
      <c r="Y841" t="s">
        <v>2418</v>
      </c>
      <c r="Z841" t="s">
        <v>4302</v>
      </c>
      <c r="AA841" t="s">
        <v>2745</v>
      </c>
      <c r="AB841" t="s">
        <v>1278</v>
      </c>
      <c r="AC841" t="s">
        <v>4303</v>
      </c>
      <c r="AD841" t="s">
        <v>2708</v>
      </c>
      <c r="AE841">
        <v>1</v>
      </c>
      <c r="AO841" t="s">
        <v>2408</v>
      </c>
      <c r="AP841" t="s">
        <v>2401</v>
      </c>
    </row>
    <row r="842" spans="1:42">
      <c r="A842" t="s">
        <v>1247</v>
      </c>
      <c r="B842" t="s">
        <v>2377</v>
      </c>
      <c r="C842" t="s">
        <v>2390</v>
      </c>
      <c r="D842" t="s">
        <v>2379</v>
      </c>
      <c r="E842" t="s">
        <v>12</v>
      </c>
      <c r="F842" t="s">
        <v>2578</v>
      </c>
      <c r="G842" t="s">
        <v>12</v>
      </c>
      <c r="H842" t="b">
        <v>1</v>
      </c>
      <c r="I842" s="8">
        <v>45937.437476851854</v>
      </c>
      <c r="J842" t="s">
        <v>2380</v>
      </c>
      <c r="L842">
        <v>602343</v>
      </c>
      <c r="M842" t="s">
        <v>2381</v>
      </c>
      <c r="P842" t="s">
        <v>2679</v>
      </c>
      <c r="Q842" t="s">
        <v>2383</v>
      </c>
      <c r="R842">
        <v>1</v>
      </c>
      <c r="S842" t="s">
        <v>2380</v>
      </c>
      <c r="T842" t="s">
        <v>2383</v>
      </c>
      <c r="U842" s="8">
        <v>45932.530416666668</v>
      </c>
      <c r="V842" s="8">
        <v>45937.958333333336</v>
      </c>
      <c r="W842">
        <v>1</v>
      </c>
      <c r="X842">
        <v>2.9070601850000002</v>
      </c>
      <c r="Y842" t="s">
        <v>2579</v>
      </c>
      <c r="Z842" t="s">
        <v>6614</v>
      </c>
      <c r="AA842" t="s">
        <v>2682</v>
      </c>
      <c r="AB842" t="s">
        <v>1278</v>
      </c>
      <c r="AC842" t="s">
        <v>6615</v>
      </c>
      <c r="AD842" t="s">
        <v>2708</v>
      </c>
      <c r="AE842">
        <v>1</v>
      </c>
      <c r="AO842" t="s">
        <v>2388</v>
      </c>
      <c r="AP842" t="s">
        <v>2401</v>
      </c>
    </row>
    <row r="843" spans="1:42">
      <c r="A843" t="s">
        <v>2077</v>
      </c>
      <c r="B843" t="s">
        <v>2389</v>
      </c>
      <c r="C843" t="s">
        <v>2390</v>
      </c>
      <c r="D843" t="s">
        <v>2379</v>
      </c>
      <c r="E843" t="s">
        <v>28</v>
      </c>
      <c r="F843" t="s">
        <v>2402</v>
      </c>
      <c r="G843" t="s">
        <v>28</v>
      </c>
      <c r="H843" t="b">
        <v>1</v>
      </c>
      <c r="I843" s="8">
        <v>45937.428622685184</v>
      </c>
      <c r="J843" t="s">
        <v>2380</v>
      </c>
      <c r="K843">
        <v>1200443</v>
      </c>
      <c r="L843">
        <v>602880</v>
      </c>
      <c r="M843" t="s">
        <v>2381</v>
      </c>
      <c r="N843">
        <v>15</v>
      </c>
      <c r="P843" t="s">
        <v>3051</v>
      </c>
      <c r="Q843" t="s">
        <v>2383</v>
      </c>
      <c r="R843">
        <v>1</v>
      </c>
      <c r="S843" t="s">
        <v>2380</v>
      </c>
      <c r="T843" t="s">
        <v>2383</v>
      </c>
      <c r="U843" s="8">
        <v>45932.542187500003</v>
      </c>
      <c r="V843" s="8">
        <v>45937.958333333336</v>
      </c>
      <c r="W843">
        <v>1</v>
      </c>
      <c r="X843">
        <v>2.8864351849999998</v>
      </c>
      <c r="Y843" t="s">
        <v>2403</v>
      </c>
      <c r="Z843" t="s">
        <v>5491</v>
      </c>
      <c r="AA843" t="s">
        <v>1776</v>
      </c>
      <c r="AB843" t="s">
        <v>1278</v>
      </c>
      <c r="AC843" t="s">
        <v>5492</v>
      </c>
      <c r="AD843" t="s">
        <v>2708</v>
      </c>
      <c r="AE843">
        <v>1</v>
      </c>
      <c r="AO843" t="s">
        <v>2408</v>
      </c>
      <c r="AP843" t="s">
        <v>2401</v>
      </c>
    </row>
    <row r="844" spans="1:42">
      <c r="A844" t="s">
        <v>334</v>
      </c>
      <c r="B844" t="s">
        <v>2377</v>
      </c>
      <c r="C844" t="s">
        <v>2447</v>
      </c>
      <c r="D844" t="s">
        <v>2379</v>
      </c>
      <c r="E844" t="s">
        <v>18</v>
      </c>
      <c r="F844" t="s">
        <v>2402</v>
      </c>
      <c r="G844" t="s">
        <v>2416</v>
      </c>
      <c r="H844" t="b">
        <v>1</v>
      </c>
      <c r="I844" s="8">
        <v>45939.492222222223</v>
      </c>
      <c r="J844" t="s">
        <v>2380</v>
      </c>
      <c r="L844">
        <v>603642</v>
      </c>
      <c r="M844" t="s">
        <v>2381</v>
      </c>
      <c r="P844" t="s">
        <v>2704</v>
      </c>
      <c r="Q844" t="s">
        <v>2383</v>
      </c>
      <c r="R844">
        <v>1</v>
      </c>
      <c r="S844" t="s">
        <v>2380</v>
      </c>
      <c r="T844" t="s">
        <v>2383</v>
      </c>
      <c r="U844" s="8">
        <v>45932.556863425925</v>
      </c>
      <c r="V844" s="8">
        <v>45939.958333333336</v>
      </c>
      <c r="W844">
        <v>1</v>
      </c>
      <c r="X844">
        <v>4.935358796</v>
      </c>
      <c r="Y844" t="s">
        <v>2403</v>
      </c>
      <c r="Z844" t="s">
        <v>8052</v>
      </c>
      <c r="AA844" t="s">
        <v>8053</v>
      </c>
      <c r="AB844" t="s">
        <v>1278</v>
      </c>
      <c r="AC844" t="s">
        <v>8054</v>
      </c>
      <c r="AD844" t="s">
        <v>2708</v>
      </c>
      <c r="AE844">
        <v>1</v>
      </c>
      <c r="AO844" t="s">
        <v>4121</v>
      </c>
      <c r="AP844" t="s">
        <v>2401</v>
      </c>
    </row>
    <row r="845" spans="1:42">
      <c r="A845" t="s">
        <v>2193</v>
      </c>
      <c r="B845" t="s">
        <v>2377</v>
      </c>
      <c r="C845" t="s">
        <v>2438</v>
      </c>
      <c r="D845" t="s">
        <v>2379</v>
      </c>
      <c r="F845" t="s">
        <v>3891</v>
      </c>
      <c r="G845" t="s">
        <v>24</v>
      </c>
      <c r="H845" t="b">
        <v>1</v>
      </c>
      <c r="I845" s="8">
        <v>45932.676944444444</v>
      </c>
      <c r="J845" t="s">
        <v>2380</v>
      </c>
      <c r="L845">
        <v>602521</v>
      </c>
      <c r="M845" t="s">
        <v>2381</v>
      </c>
      <c r="P845" t="s">
        <v>2704</v>
      </c>
      <c r="Q845" t="s">
        <v>2383</v>
      </c>
      <c r="R845">
        <v>1</v>
      </c>
      <c r="S845" t="s">
        <v>2380</v>
      </c>
      <c r="T845" t="s">
        <v>2383</v>
      </c>
      <c r="U845" s="8">
        <v>45932.599930555552</v>
      </c>
      <c r="V845" s="8">
        <v>45937.958333333336</v>
      </c>
      <c r="W845">
        <v>1</v>
      </c>
      <c r="X845">
        <v>7.7013889000000002E-2</v>
      </c>
      <c r="Y845" t="s">
        <v>3892</v>
      </c>
      <c r="Z845" t="s">
        <v>3893</v>
      </c>
      <c r="AA845" t="s">
        <v>3894</v>
      </c>
      <c r="AB845" t="s">
        <v>1278</v>
      </c>
      <c r="AC845" t="s">
        <v>3895</v>
      </c>
      <c r="AE845">
        <v>1</v>
      </c>
      <c r="AO845" t="s">
        <v>2715</v>
      </c>
      <c r="AP845" t="s">
        <v>2401</v>
      </c>
    </row>
    <row r="846" spans="1:42">
      <c r="A846" t="s">
        <v>332</v>
      </c>
      <c r="B846" t="s">
        <v>2377</v>
      </c>
      <c r="C846" t="s">
        <v>2438</v>
      </c>
      <c r="D846" t="s">
        <v>2379</v>
      </c>
      <c r="E846" t="s">
        <v>18</v>
      </c>
      <c r="F846" t="s">
        <v>3636</v>
      </c>
      <c r="G846" t="s">
        <v>2416</v>
      </c>
      <c r="H846" t="b">
        <v>1</v>
      </c>
      <c r="I846" s="8">
        <v>45932.646840277775</v>
      </c>
      <c r="J846" t="s">
        <v>2380</v>
      </c>
      <c r="L846">
        <v>602276</v>
      </c>
      <c r="M846" t="s">
        <v>2381</v>
      </c>
      <c r="P846" t="s">
        <v>2704</v>
      </c>
      <c r="Q846" t="s">
        <v>2383</v>
      </c>
      <c r="R846">
        <v>1</v>
      </c>
      <c r="S846" t="s">
        <v>2380</v>
      </c>
      <c r="T846" t="s">
        <v>2383</v>
      </c>
      <c r="U846" s="8">
        <v>45932.614421296297</v>
      </c>
      <c r="V846" s="8">
        <v>45937.958333333336</v>
      </c>
      <c r="W846">
        <v>1</v>
      </c>
      <c r="X846">
        <v>3.2418980999999999E-2</v>
      </c>
      <c r="Y846" t="s">
        <v>2628</v>
      </c>
      <c r="Z846" t="s">
        <v>7470</v>
      </c>
      <c r="AA846" t="s">
        <v>7471</v>
      </c>
      <c r="AB846" t="s">
        <v>1278</v>
      </c>
      <c r="AC846" t="s">
        <v>7472</v>
      </c>
      <c r="AD846" t="s">
        <v>2708</v>
      </c>
      <c r="AE846">
        <v>1</v>
      </c>
      <c r="AO846" t="s">
        <v>2957</v>
      </c>
      <c r="AP846" t="s">
        <v>2401</v>
      </c>
    </row>
    <row r="847" spans="1:42">
      <c r="A847" t="s">
        <v>2084</v>
      </c>
      <c r="B847" t="s">
        <v>2389</v>
      </c>
      <c r="C847" t="s">
        <v>2390</v>
      </c>
      <c r="D847" t="s">
        <v>2379</v>
      </c>
      <c r="E847" t="s">
        <v>12</v>
      </c>
      <c r="F847" t="s">
        <v>2417</v>
      </c>
      <c r="G847" t="s">
        <v>12</v>
      </c>
      <c r="H847" t="b">
        <v>1</v>
      </c>
      <c r="I847" s="8">
        <v>45937.400231481479</v>
      </c>
      <c r="J847" t="s">
        <v>2380</v>
      </c>
      <c r="K847">
        <v>1200436</v>
      </c>
      <c r="L847">
        <v>602876</v>
      </c>
      <c r="M847" t="s">
        <v>2381</v>
      </c>
      <c r="P847" t="s">
        <v>5595</v>
      </c>
      <c r="Q847" t="s">
        <v>2383</v>
      </c>
      <c r="R847">
        <v>1</v>
      </c>
      <c r="S847" t="s">
        <v>2380</v>
      </c>
      <c r="T847" t="s">
        <v>2383</v>
      </c>
      <c r="U847" s="8">
        <v>45932.616087962961</v>
      </c>
      <c r="V847" s="8">
        <v>45937.958333333336</v>
      </c>
      <c r="W847">
        <v>1</v>
      </c>
      <c r="X847">
        <v>2.7841435190000001</v>
      </c>
      <c r="Y847" t="s">
        <v>2418</v>
      </c>
      <c r="Z847" t="s">
        <v>5626</v>
      </c>
      <c r="AA847" t="s">
        <v>1307</v>
      </c>
      <c r="AB847" t="s">
        <v>1278</v>
      </c>
      <c r="AC847" t="s">
        <v>5627</v>
      </c>
      <c r="AD847" t="s">
        <v>2708</v>
      </c>
      <c r="AE847">
        <v>1</v>
      </c>
      <c r="AO847" t="s">
        <v>2540</v>
      </c>
      <c r="AP847" t="s">
        <v>2401</v>
      </c>
    </row>
    <row r="848" spans="1:42">
      <c r="A848" t="s">
        <v>2195</v>
      </c>
      <c r="B848" t="s">
        <v>2377</v>
      </c>
      <c r="C848" t="s">
        <v>2438</v>
      </c>
      <c r="D848" t="s">
        <v>2379</v>
      </c>
      <c r="F848" t="s">
        <v>3891</v>
      </c>
      <c r="G848" t="s">
        <v>24</v>
      </c>
      <c r="H848" t="b">
        <v>1</v>
      </c>
      <c r="I848" s="8">
        <v>45932.676817129628</v>
      </c>
      <c r="J848" t="s">
        <v>2380</v>
      </c>
      <c r="L848">
        <v>606860</v>
      </c>
      <c r="M848" t="s">
        <v>2381</v>
      </c>
      <c r="P848" t="s">
        <v>3896</v>
      </c>
      <c r="Q848" t="s">
        <v>2383</v>
      </c>
      <c r="R848">
        <v>1</v>
      </c>
      <c r="S848" t="s">
        <v>2380</v>
      </c>
      <c r="T848" t="s">
        <v>2383</v>
      </c>
      <c r="U848" s="8">
        <v>45932.635833333334</v>
      </c>
      <c r="V848" s="8">
        <v>45937.958333333336</v>
      </c>
      <c r="W848">
        <v>1</v>
      </c>
      <c r="X848">
        <v>4.0983796000000003E-2</v>
      </c>
      <c r="Y848" t="s">
        <v>3892</v>
      </c>
      <c r="Z848" t="s">
        <v>3897</v>
      </c>
      <c r="AA848" t="s">
        <v>3898</v>
      </c>
      <c r="AB848" t="s">
        <v>1278</v>
      </c>
      <c r="AC848" t="s">
        <v>3899</v>
      </c>
      <c r="AE848">
        <v>1</v>
      </c>
      <c r="AO848" t="s">
        <v>2715</v>
      </c>
      <c r="AP848" t="s">
        <v>2401</v>
      </c>
    </row>
    <row r="849" spans="1:42">
      <c r="A849" t="s">
        <v>2197</v>
      </c>
      <c r="B849" t="s">
        <v>2377</v>
      </c>
      <c r="C849" t="s">
        <v>2438</v>
      </c>
      <c r="D849" t="s">
        <v>2379</v>
      </c>
      <c r="F849" t="s">
        <v>2477</v>
      </c>
      <c r="G849" t="s">
        <v>24</v>
      </c>
      <c r="H849" t="b">
        <v>1</v>
      </c>
      <c r="I849" s="8">
        <v>45932.676701388889</v>
      </c>
      <c r="J849" t="s">
        <v>2380</v>
      </c>
      <c r="L849">
        <v>602460</v>
      </c>
      <c r="M849" t="s">
        <v>2381</v>
      </c>
      <c r="P849" t="s">
        <v>2486</v>
      </c>
      <c r="Q849" t="s">
        <v>2383</v>
      </c>
      <c r="R849">
        <v>1</v>
      </c>
      <c r="S849" t="s">
        <v>2380</v>
      </c>
      <c r="T849" t="s">
        <v>2383</v>
      </c>
      <c r="U849" s="8">
        <v>45932.655034722222</v>
      </c>
      <c r="V849" s="8">
        <v>45937.958333333336</v>
      </c>
      <c r="W849">
        <v>1</v>
      </c>
      <c r="X849">
        <v>2.1666667000000001E-2</v>
      </c>
      <c r="Y849" t="s">
        <v>2403</v>
      </c>
      <c r="Z849" t="s">
        <v>2730</v>
      </c>
      <c r="AA849" t="s">
        <v>2313</v>
      </c>
      <c r="AB849" t="s">
        <v>1278</v>
      </c>
      <c r="AC849" t="s">
        <v>2731</v>
      </c>
      <c r="AE849">
        <v>1</v>
      </c>
      <c r="AO849" t="s">
        <v>2408</v>
      </c>
      <c r="AP849" t="s">
        <v>2401</v>
      </c>
    </row>
    <row r="850" spans="1:42">
      <c r="A850" t="s">
        <v>1252</v>
      </c>
      <c r="B850" t="s">
        <v>2377</v>
      </c>
      <c r="C850" t="s">
        <v>2390</v>
      </c>
      <c r="D850" t="s">
        <v>2379</v>
      </c>
      <c r="E850" t="s">
        <v>18</v>
      </c>
      <c r="F850" t="s">
        <v>3445</v>
      </c>
      <c r="G850" t="s">
        <v>2416</v>
      </c>
      <c r="H850" t="b">
        <v>1</v>
      </c>
      <c r="I850" s="8">
        <v>45937.506168981483</v>
      </c>
      <c r="J850" t="s">
        <v>2380</v>
      </c>
      <c r="L850">
        <v>603568</v>
      </c>
      <c r="M850" t="s">
        <v>2381</v>
      </c>
      <c r="P850" t="s">
        <v>4125</v>
      </c>
      <c r="Q850" t="s">
        <v>2383</v>
      </c>
      <c r="R850">
        <v>1</v>
      </c>
      <c r="S850" t="s">
        <v>2380</v>
      </c>
      <c r="T850" t="s">
        <v>2383</v>
      </c>
      <c r="U850" s="8">
        <v>45932.669386574074</v>
      </c>
      <c r="V850" s="8">
        <v>45937.958333333336</v>
      </c>
      <c r="W850">
        <v>1</v>
      </c>
      <c r="X850">
        <v>2.8367824069999998</v>
      </c>
      <c r="Y850" t="s">
        <v>4126</v>
      </c>
      <c r="Z850" t="s">
        <v>7447</v>
      </c>
      <c r="AA850" t="s">
        <v>7448</v>
      </c>
      <c r="AB850" t="s">
        <v>1278</v>
      </c>
      <c r="AC850" t="s">
        <v>7449</v>
      </c>
      <c r="AD850" t="s">
        <v>2708</v>
      </c>
      <c r="AE850">
        <v>1</v>
      </c>
      <c r="AO850" t="s">
        <v>2957</v>
      </c>
      <c r="AP850" t="s">
        <v>2401</v>
      </c>
    </row>
    <row r="851" spans="1:42">
      <c r="A851" t="s">
        <v>765</v>
      </c>
      <c r="B851" t="s">
        <v>2377</v>
      </c>
      <c r="C851" t="s">
        <v>2390</v>
      </c>
      <c r="D851" t="s">
        <v>2379</v>
      </c>
      <c r="E851" t="s">
        <v>18</v>
      </c>
      <c r="F851" t="s">
        <v>3891</v>
      </c>
      <c r="G851" t="s">
        <v>2416</v>
      </c>
      <c r="H851" t="b">
        <v>1</v>
      </c>
      <c r="I851" s="8">
        <v>45937.53670138889</v>
      </c>
      <c r="J851" t="s">
        <v>2380</v>
      </c>
      <c r="L851">
        <v>606860</v>
      </c>
      <c r="M851" t="s">
        <v>2381</v>
      </c>
      <c r="P851" t="s">
        <v>3896</v>
      </c>
      <c r="Q851" t="s">
        <v>2383</v>
      </c>
      <c r="R851">
        <v>1</v>
      </c>
      <c r="S851" t="s">
        <v>2380</v>
      </c>
      <c r="T851" t="s">
        <v>2383</v>
      </c>
      <c r="U851" s="8">
        <v>45932.680613425924</v>
      </c>
      <c r="V851" s="8">
        <v>45937.958333333336</v>
      </c>
      <c r="W851">
        <v>1</v>
      </c>
      <c r="X851">
        <v>2.8560879629999998</v>
      </c>
      <c r="Y851" t="s">
        <v>3892</v>
      </c>
      <c r="Z851" t="s">
        <v>4944</v>
      </c>
      <c r="AA851" t="s">
        <v>3898</v>
      </c>
      <c r="AB851" t="s">
        <v>1278</v>
      </c>
      <c r="AC851" t="s">
        <v>4945</v>
      </c>
      <c r="AD851" t="s">
        <v>2708</v>
      </c>
      <c r="AE851">
        <v>1</v>
      </c>
      <c r="AO851" t="s">
        <v>2715</v>
      </c>
      <c r="AP851" t="s">
        <v>2401</v>
      </c>
    </row>
    <row r="852" spans="1:42">
      <c r="A852" t="s">
        <v>2140</v>
      </c>
      <c r="B852" t="s">
        <v>2389</v>
      </c>
      <c r="C852" t="s">
        <v>2415</v>
      </c>
      <c r="D852" t="s">
        <v>2379</v>
      </c>
      <c r="E852" t="s">
        <v>33</v>
      </c>
      <c r="F852" t="s">
        <v>2417</v>
      </c>
      <c r="G852" t="s">
        <v>33</v>
      </c>
      <c r="H852" t="b">
        <v>1</v>
      </c>
      <c r="I852" s="8">
        <v>45934.467245370368</v>
      </c>
      <c r="J852" t="s">
        <v>2380</v>
      </c>
      <c r="K852">
        <v>1200196</v>
      </c>
      <c r="L852">
        <v>602944</v>
      </c>
      <c r="M852" t="s">
        <v>2381</v>
      </c>
      <c r="P852" t="s">
        <v>2743</v>
      </c>
      <c r="Q852" t="s">
        <v>2383</v>
      </c>
      <c r="R852">
        <v>1</v>
      </c>
      <c r="S852" t="s">
        <v>2380</v>
      </c>
      <c r="T852" t="s">
        <v>2383</v>
      </c>
      <c r="U852" s="8">
        <v>45932.695902777778</v>
      </c>
      <c r="V852" s="8">
        <v>45937.958333333336</v>
      </c>
      <c r="W852">
        <v>1</v>
      </c>
      <c r="X852">
        <v>1.771342593</v>
      </c>
      <c r="Y852" t="s">
        <v>2418</v>
      </c>
      <c r="Z852" t="s">
        <v>4304</v>
      </c>
      <c r="AA852" t="s">
        <v>2745</v>
      </c>
      <c r="AB852" t="s">
        <v>1278</v>
      </c>
      <c r="AC852" t="s">
        <v>4305</v>
      </c>
      <c r="AD852" t="s">
        <v>2708</v>
      </c>
      <c r="AE852">
        <v>1</v>
      </c>
      <c r="AO852" t="s">
        <v>2408</v>
      </c>
      <c r="AP852" t="s">
        <v>2401</v>
      </c>
    </row>
    <row r="853" spans="1:42">
      <c r="A853" t="s">
        <v>2134</v>
      </c>
      <c r="B853" t="s">
        <v>2389</v>
      </c>
      <c r="C853" t="s">
        <v>2415</v>
      </c>
      <c r="D853" t="s">
        <v>2379</v>
      </c>
      <c r="E853" t="s">
        <v>33</v>
      </c>
      <c r="F853" t="s">
        <v>2417</v>
      </c>
      <c r="G853" t="s">
        <v>33</v>
      </c>
      <c r="H853" t="b">
        <v>1</v>
      </c>
      <c r="I853" s="8">
        <v>45934.472708333335</v>
      </c>
      <c r="J853" t="s">
        <v>2380</v>
      </c>
      <c r="K853">
        <v>1200199</v>
      </c>
      <c r="L853">
        <v>602944</v>
      </c>
      <c r="M853" t="s">
        <v>2381</v>
      </c>
      <c r="P853" t="s">
        <v>2743</v>
      </c>
      <c r="Q853" t="s">
        <v>2383</v>
      </c>
      <c r="R853">
        <v>1</v>
      </c>
      <c r="S853" t="s">
        <v>2380</v>
      </c>
      <c r="T853" t="s">
        <v>2383</v>
      </c>
      <c r="U853" s="8">
        <v>45932.696238425924</v>
      </c>
      <c r="V853" s="8">
        <v>45937.958333333336</v>
      </c>
      <c r="W853">
        <v>1</v>
      </c>
      <c r="X853">
        <v>1.7764699070000001</v>
      </c>
      <c r="Y853" t="s">
        <v>2418</v>
      </c>
      <c r="Z853" t="s">
        <v>4306</v>
      </c>
      <c r="AA853" t="s">
        <v>2745</v>
      </c>
      <c r="AB853" t="s">
        <v>1278</v>
      </c>
      <c r="AC853" t="s">
        <v>4307</v>
      </c>
      <c r="AD853" t="s">
        <v>2708</v>
      </c>
      <c r="AE853">
        <v>1</v>
      </c>
      <c r="AO853" t="s">
        <v>2408</v>
      </c>
      <c r="AP853" t="s">
        <v>2401</v>
      </c>
    </row>
    <row r="854" spans="1:42">
      <c r="A854" t="s">
        <v>2138</v>
      </c>
      <c r="B854" t="s">
        <v>2389</v>
      </c>
      <c r="C854" t="s">
        <v>2415</v>
      </c>
      <c r="D854" t="s">
        <v>2379</v>
      </c>
      <c r="E854" t="s">
        <v>33</v>
      </c>
      <c r="F854" t="s">
        <v>2417</v>
      </c>
      <c r="G854" t="s">
        <v>33</v>
      </c>
      <c r="H854" t="b">
        <v>1</v>
      </c>
      <c r="I854" s="8">
        <v>45934.469027777777</v>
      </c>
      <c r="J854" t="s">
        <v>2380</v>
      </c>
      <c r="K854">
        <v>1200197</v>
      </c>
      <c r="L854">
        <v>602944</v>
      </c>
      <c r="M854" t="s">
        <v>2381</v>
      </c>
      <c r="P854" t="s">
        <v>2743</v>
      </c>
      <c r="Q854" t="s">
        <v>2383</v>
      </c>
      <c r="R854">
        <v>1</v>
      </c>
      <c r="S854" t="s">
        <v>2380</v>
      </c>
      <c r="T854" t="s">
        <v>2383</v>
      </c>
      <c r="U854" s="8">
        <v>45932.696620370371</v>
      </c>
      <c r="V854" s="8">
        <v>45937.958333333336</v>
      </c>
      <c r="W854">
        <v>1</v>
      </c>
      <c r="X854">
        <v>1.772407407</v>
      </c>
      <c r="Y854" t="s">
        <v>2418</v>
      </c>
      <c r="Z854" t="s">
        <v>4308</v>
      </c>
      <c r="AA854" t="s">
        <v>2745</v>
      </c>
      <c r="AB854" t="s">
        <v>1278</v>
      </c>
      <c r="AC854" t="s">
        <v>4309</v>
      </c>
      <c r="AD854" t="s">
        <v>2708</v>
      </c>
      <c r="AE854">
        <v>1</v>
      </c>
      <c r="AO854" t="s">
        <v>2408</v>
      </c>
      <c r="AP854" t="s">
        <v>2401</v>
      </c>
    </row>
    <row r="855" spans="1:42">
      <c r="A855" t="s">
        <v>1256</v>
      </c>
      <c r="B855" t="s">
        <v>2377</v>
      </c>
      <c r="C855" t="s">
        <v>2390</v>
      </c>
      <c r="D855" t="s">
        <v>2379</v>
      </c>
      <c r="E855" t="s">
        <v>18</v>
      </c>
      <c r="F855" t="s">
        <v>4946</v>
      </c>
      <c r="G855" t="s">
        <v>2416</v>
      </c>
      <c r="H855" t="b">
        <v>1</v>
      </c>
      <c r="I855" s="8">
        <v>45937.522453703707</v>
      </c>
      <c r="J855" t="s">
        <v>2380</v>
      </c>
      <c r="L855">
        <v>605521</v>
      </c>
      <c r="M855" t="s">
        <v>2381</v>
      </c>
      <c r="P855" t="s">
        <v>3896</v>
      </c>
      <c r="Q855" t="s">
        <v>2383</v>
      </c>
      <c r="R855">
        <v>1</v>
      </c>
      <c r="S855" t="s">
        <v>2380</v>
      </c>
      <c r="T855" t="s">
        <v>2383</v>
      </c>
      <c r="U855" s="8">
        <v>45932.701574074075</v>
      </c>
      <c r="V855" s="8">
        <v>45937.958333333336</v>
      </c>
      <c r="W855">
        <v>1</v>
      </c>
      <c r="X855">
        <v>2.8208796299999999</v>
      </c>
      <c r="Y855" t="s">
        <v>4947</v>
      </c>
      <c r="Z855" t="s">
        <v>4948</v>
      </c>
      <c r="AA855" t="s">
        <v>4949</v>
      </c>
      <c r="AB855" t="s">
        <v>1278</v>
      </c>
      <c r="AC855" t="s">
        <v>4950</v>
      </c>
      <c r="AD855" t="s">
        <v>2708</v>
      </c>
      <c r="AE855">
        <v>1</v>
      </c>
      <c r="AO855" t="s">
        <v>2715</v>
      </c>
      <c r="AP855" t="s">
        <v>2401</v>
      </c>
    </row>
    <row r="856" spans="1:42">
      <c r="A856" t="s">
        <v>1249</v>
      </c>
      <c r="B856" t="s">
        <v>2377</v>
      </c>
      <c r="C856" t="s">
        <v>2390</v>
      </c>
      <c r="D856" t="s">
        <v>2379</v>
      </c>
      <c r="E856" t="s">
        <v>18</v>
      </c>
      <c r="F856" t="s">
        <v>2402</v>
      </c>
      <c r="G856" t="s">
        <v>2416</v>
      </c>
      <c r="H856" t="b">
        <v>1</v>
      </c>
      <c r="I856" s="8">
        <v>45937.476678240739</v>
      </c>
      <c r="J856" t="s">
        <v>2380</v>
      </c>
      <c r="L856">
        <v>602471</v>
      </c>
      <c r="M856" t="s">
        <v>2381</v>
      </c>
      <c r="P856" t="s">
        <v>4117</v>
      </c>
      <c r="Q856" t="s">
        <v>2383</v>
      </c>
      <c r="R856">
        <v>1</v>
      </c>
      <c r="S856" t="s">
        <v>2380</v>
      </c>
      <c r="T856" t="s">
        <v>2383</v>
      </c>
      <c r="U856" s="8">
        <v>45932.76903935185</v>
      </c>
      <c r="V856" s="8">
        <v>45937.958333333336</v>
      </c>
      <c r="W856">
        <v>1</v>
      </c>
      <c r="X856">
        <v>2.707638889</v>
      </c>
      <c r="Y856" t="s">
        <v>2403</v>
      </c>
      <c r="Z856" t="s">
        <v>8043</v>
      </c>
      <c r="AA856" t="s">
        <v>4120</v>
      </c>
      <c r="AB856" t="s">
        <v>1278</v>
      </c>
      <c r="AC856" t="s">
        <v>8044</v>
      </c>
      <c r="AD856" t="s">
        <v>2708</v>
      </c>
      <c r="AE856">
        <v>1</v>
      </c>
      <c r="AO856" t="s">
        <v>4121</v>
      </c>
      <c r="AP856" t="s">
        <v>2401</v>
      </c>
    </row>
    <row r="857" spans="1:42">
      <c r="A857" t="s">
        <v>372</v>
      </c>
      <c r="B857" t="s">
        <v>2377</v>
      </c>
      <c r="C857" t="s">
        <v>2390</v>
      </c>
      <c r="D857" t="s">
        <v>2379</v>
      </c>
      <c r="E857" t="s">
        <v>18</v>
      </c>
      <c r="F857" t="s">
        <v>7443</v>
      </c>
      <c r="G857" t="s">
        <v>2416</v>
      </c>
      <c r="H857" t="b">
        <v>1</v>
      </c>
      <c r="I857" s="8">
        <v>45937.708796296298</v>
      </c>
      <c r="J857" t="s">
        <v>2380</v>
      </c>
      <c r="L857">
        <v>603008</v>
      </c>
      <c r="M857" t="s">
        <v>2381</v>
      </c>
      <c r="P857" t="s">
        <v>7444</v>
      </c>
      <c r="Q857" t="s">
        <v>2383</v>
      </c>
      <c r="R857">
        <v>1</v>
      </c>
      <c r="S857" t="s">
        <v>2380</v>
      </c>
      <c r="T857" t="s">
        <v>2383</v>
      </c>
      <c r="U857" s="8">
        <v>45933.353587962964</v>
      </c>
      <c r="V857" s="8">
        <v>45938.958333333336</v>
      </c>
      <c r="W857">
        <v>1</v>
      </c>
      <c r="X857">
        <v>2.3552083330000002</v>
      </c>
      <c r="Y857" t="s">
        <v>7056</v>
      </c>
      <c r="Z857" t="s">
        <v>7445</v>
      </c>
      <c r="AA857" t="s">
        <v>2036</v>
      </c>
      <c r="AB857" t="s">
        <v>1278</v>
      </c>
      <c r="AC857" t="s">
        <v>7446</v>
      </c>
      <c r="AD857" t="s">
        <v>2708</v>
      </c>
      <c r="AE857">
        <v>1</v>
      </c>
      <c r="AO857" t="s">
        <v>2957</v>
      </c>
      <c r="AP857" t="s">
        <v>2401</v>
      </c>
    </row>
    <row r="858" spans="1:42">
      <c r="A858" t="s">
        <v>2012</v>
      </c>
      <c r="B858" t="s">
        <v>2389</v>
      </c>
      <c r="C858" t="s">
        <v>2378</v>
      </c>
      <c r="D858" t="s">
        <v>2379</v>
      </c>
      <c r="E858" t="s">
        <v>24</v>
      </c>
      <c r="F858" t="s">
        <v>2417</v>
      </c>
      <c r="G858" t="s">
        <v>24</v>
      </c>
      <c r="H858" t="b">
        <v>1</v>
      </c>
      <c r="I858" s="8">
        <v>45938.482094907406</v>
      </c>
      <c r="J858" t="s">
        <v>2380</v>
      </c>
      <c r="K858">
        <v>1200820</v>
      </c>
      <c r="L858">
        <v>602944</v>
      </c>
      <c r="M858" t="s">
        <v>2381</v>
      </c>
      <c r="P858" t="s">
        <v>2743</v>
      </c>
      <c r="Q858" t="s">
        <v>2383</v>
      </c>
      <c r="R858">
        <v>1</v>
      </c>
      <c r="S858" t="s">
        <v>2380</v>
      </c>
      <c r="T858" t="s">
        <v>2383</v>
      </c>
      <c r="U858" s="8">
        <v>45933.363530092596</v>
      </c>
      <c r="V858" s="8">
        <v>45938.958333333336</v>
      </c>
      <c r="W858">
        <v>1</v>
      </c>
      <c r="X858">
        <v>3.118564815</v>
      </c>
      <c r="Y858" t="s">
        <v>2418</v>
      </c>
      <c r="Z858" t="s">
        <v>4223</v>
      </c>
      <c r="AA858" t="s">
        <v>2745</v>
      </c>
      <c r="AB858" t="s">
        <v>1278</v>
      </c>
      <c r="AC858" t="s">
        <v>2802</v>
      </c>
      <c r="AD858" t="s">
        <v>2708</v>
      </c>
      <c r="AE858">
        <v>1</v>
      </c>
      <c r="AO858" t="s">
        <v>2408</v>
      </c>
      <c r="AP858" t="s">
        <v>2401</v>
      </c>
    </row>
    <row r="859" spans="1:42">
      <c r="A859" t="s">
        <v>1067</v>
      </c>
      <c r="B859" t="s">
        <v>2377</v>
      </c>
      <c r="C859" t="s">
        <v>2378</v>
      </c>
      <c r="D859" t="s">
        <v>2379</v>
      </c>
      <c r="E859" t="s">
        <v>12</v>
      </c>
      <c r="F859" t="s">
        <v>9823</v>
      </c>
      <c r="G859" t="s">
        <v>12</v>
      </c>
      <c r="H859" t="b">
        <v>1</v>
      </c>
      <c r="I859" s="8">
        <v>45938.439571759256</v>
      </c>
      <c r="J859" t="s">
        <v>2380</v>
      </c>
      <c r="L859">
        <v>606874</v>
      </c>
      <c r="M859" t="s">
        <v>2381</v>
      </c>
      <c r="P859" t="s">
        <v>9824</v>
      </c>
      <c r="Q859" t="s">
        <v>2383</v>
      </c>
      <c r="R859">
        <v>1</v>
      </c>
      <c r="S859" t="s">
        <v>2380</v>
      </c>
      <c r="T859" t="s">
        <v>2383</v>
      </c>
      <c r="U859" s="8">
        <v>45933.382222222222</v>
      </c>
      <c r="V859" s="8">
        <v>45938.958333333336</v>
      </c>
      <c r="W859">
        <v>1</v>
      </c>
      <c r="X859">
        <v>3.0573495369999999</v>
      </c>
      <c r="Y859" t="s">
        <v>9825</v>
      </c>
      <c r="Z859" t="s">
        <v>9826</v>
      </c>
      <c r="AA859" t="s">
        <v>1306</v>
      </c>
      <c r="AB859" t="s">
        <v>1278</v>
      </c>
      <c r="AC859" t="s">
        <v>9827</v>
      </c>
      <c r="AD859" t="s">
        <v>2708</v>
      </c>
      <c r="AE859">
        <v>1</v>
      </c>
      <c r="AO859" t="s">
        <v>3644</v>
      </c>
      <c r="AP859" t="s">
        <v>2401</v>
      </c>
    </row>
    <row r="860" spans="1:42">
      <c r="A860" t="s">
        <v>2099</v>
      </c>
      <c r="B860" t="s">
        <v>2389</v>
      </c>
      <c r="C860" t="s">
        <v>2415</v>
      </c>
      <c r="D860" t="s">
        <v>2379</v>
      </c>
      <c r="E860" t="s">
        <v>307</v>
      </c>
      <c r="F860" t="s">
        <v>2417</v>
      </c>
      <c r="G860" t="s">
        <v>307</v>
      </c>
      <c r="H860" t="b">
        <v>1</v>
      </c>
      <c r="I860" s="8">
        <v>45936.700370370374</v>
      </c>
      <c r="J860" t="s">
        <v>2380</v>
      </c>
      <c r="K860">
        <v>1200424</v>
      </c>
      <c r="L860">
        <v>601397</v>
      </c>
      <c r="M860" t="s">
        <v>2381</v>
      </c>
      <c r="P860" t="s">
        <v>3101</v>
      </c>
      <c r="Q860" t="s">
        <v>2383</v>
      </c>
      <c r="R860">
        <v>1</v>
      </c>
      <c r="S860" t="s">
        <v>2380</v>
      </c>
      <c r="T860" t="s">
        <v>2383</v>
      </c>
      <c r="U860" s="8">
        <v>45933.385405092595</v>
      </c>
      <c r="V860" s="8">
        <v>45938.958333333336</v>
      </c>
      <c r="W860">
        <v>1</v>
      </c>
      <c r="X860">
        <v>1.3149652780000001</v>
      </c>
      <c r="Y860" t="s">
        <v>2418</v>
      </c>
      <c r="Z860" t="s">
        <v>5601</v>
      </c>
      <c r="AA860" t="s">
        <v>1418</v>
      </c>
      <c r="AB860" t="s">
        <v>1278</v>
      </c>
      <c r="AC860" t="s">
        <v>5602</v>
      </c>
      <c r="AD860" t="s">
        <v>2708</v>
      </c>
      <c r="AE860">
        <v>1</v>
      </c>
      <c r="AO860" t="s">
        <v>2540</v>
      </c>
      <c r="AP860" t="s">
        <v>2401</v>
      </c>
    </row>
    <row r="861" spans="1:42">
      <c r="A861" t="s">
        <v>585</v>
      </c>
      <c r="B861" t="s">
        <v>2377</v>
      </c>
      <c r="C861" t="s">
        <v>2378</v>
      </c>
      <c r="D861" t="s">
        <v>2379</v>
      </c>
      <c r="E861" t="s">
        <v>24</v>
      </c>
      <c r="F861" t="s">
        <v>2402</v>
      </c>
      <c r="G861" t="s">
        <v>24</v>
      </c>
      <c r="H861" t="b">
        <v>1</v>
      </c>
      <c r="I861" s="8">
        <v>45938.605185185188</v>
      </c>
      <c r="J861" t="s">
        <v>2380</v>
      </c>
      <c r="L861">
        <v>602873</v>
      </c>
      <c r="M861" t="s">
        <v>2381</v>
      </c>
      <c r="P861" t="s">
        <v>4165</v>
      </c>
      <c r="Q861" t="s">
        <v>2383</v>
      </c>
      <c r="R861">
        <v>1</v>
      </c>
      <c r="S861" t="s">
        <v>2380</v>
      </c>
      <c r="T861" t="s">
        <v>2383</v>
      </c>
      <c r="U861" s="8">
        <v>45933.402094907404</v>
      </c>
      <c r="V861" s="8">
        <v>45938.958333333336</v>
      </c>
      <c r="W861">
        <v>1</v>
      </c>
      <c r="X861">
        <v>3.2030902779999999</v>
      </c>
      <c r="Y861" t="s">
        <v>2403</v>
      </c>
      <c r="Z861" t="s">
        <v>4166</v>
      </c>
      <c r="AA861" t="s">
        <v>4167</v>
      </c>
      <c r="AB861" t="s">
        <v>1278</v>
      </c>
      <c r="AC861" t="s">
        <v>2387</v>
      </c>
      <c r="AD861" t="s">
        <v>2708</v>
      </c>
      <c r="AE861">
        <v>1</v>
      </c>
      <c r="AO861" t="s">
        <v>2408</v>
      </c>
      <c r="AP861" t="s">
        <v>2401</v>
      </c>
    </row>
    <row r="862" spans="1:42">
      <c r="A862" t="s">
        <v>2132</v>
      </c>
      <c r="B862" t="s">
        <v>2389</v>
      </c>
      <c r="C862" t="s">
        <v>2415</v>
      </c>
      <c r="D862" t="s">
        <v>2379</v>
      </c>
      <c r="E862" t="s">
        <v>33</v>
      </c>
      <c r="F862" t="s">
        <v>2417</v>
      </c>
      <c r="G862" t="s">
        <v>33</v>
      </c>
      <c r="H862" t="b">
        <v>1</v>
      </c>
      <c r="I862" s="8">
        <v>45934.474293981482</v>
      </c>
      <c r="J862" t="s">
        <v>2380</v>
      </c>
      <c r="K862">
        <v>1200200</v>
      </c>
      <c r="L862">
        <v>602944</v>
      </c>
      <c r="M862" t="s">
        <v>2381</v>
      </c>
      <c r="P862" t="s">
        <v>2743</v>
      </c>
      <c r="Q862" t="s">
        <v>2383</v>
      </c>
      <c r="R862">
        <v>1</v>
      </c>
      <c r="S862" t="s">
        <v>2380</v>
      </c>
      <c r="T862" t="s">
        <v>2383</v>
      </c>
      <c r="U862" s="8">
        <v>45933.421967592592</v>
      </c>
      <c r="V862" s="8">
        <v>45938.958333333336</v>
      </c>
      <c r="W862">
        <v>1</v>
      </c>
      <c r="X862">
        <v>1.0523263890000001</v>
      </c>
      <c r="Y862" t="s">
        <v>2418</v>
      </c>
      <c r="Z862" t="s">
        <v>4310</v>
      </c>
      <c r="AA862" t="s">
        <v>2745</v>
      </c>
      <c r="AB862" t="s">
        <v>1278</v>
      </c>
      <c r="AC862" t="s">
        <v>4311</v>
      </c>
      <c r="AD862" t="s">
        <v>2708</v>
      </c>
      <c r="AE862">
        <v>1</v>
      </c>
      <c r="AO862" t="s">
        <v>2408</v>
      </c>
      <c r="AP862" t="s">
        <v>2401</v>
      </c>
    </row>
    <row r="863" spans="1:42">
      <c r="A863" t="s">
        <v>359</v>
      </c>
      <c r="B863" t="s">
        <v>2377</v>
      </c>
      <c r="C863" t="s">
        <v>2438</v>
      </c>
      <c r="D863" t="s">
        <v>2379</v>
      </c>
      <c r="E863" t="s">
        <v>18</v>
      </c>
      <c r="F863" t="s">
        <v>7432</v>
      </c>
      <c r="G863" t="s">
        <v>2416</v>
      </c>
      <c r="H863" t="b">
        <v>1</v>
      </c>
      <c r="I863" s="8">
        <v>45933.457743055558</v>
      </c>
      <c r="J863" t="s">
        <v>2380</v>
      </c>
      <c r="L863">
        <v>603783</v>
      </c>
      <c r="M863" t="s">
        <v>2381</v>
      </c>
      <c r="P863" t="s">
        <v>2704</v>
      </c>
      <c r="Q863" t="s">
        <v>2383</v>
      </c>
      <c r="R863">
        <v>1</v>
      </c>
      <c r="S863" t="s">
        <v>2380</v>
      </c>
      <c r="T863" t="s">
        <v>2383</v>
      </c>
      <c r="U863" s="8">
        <v>45933.433391203704</v>
      </c>
      <c r="V863" s="8">
        <v>45938.958333333336</v>
      </c>
      <c r="W863">
        <v>1</v>
      </c>
      <c r="X863">
        <v>2.4351852E-2</v>
      </c>
      <c r="Y863" t="s">
        <v>7433</v>
      </c>
      <c r="Z863" t="s">
        <v>7468</v>
      </c>
      <c r="AA863" t="s">
        <v>7435</v>
      </c>
      <c r="AB863" t="s">
        <v>1278</v>
      </c>
      <c r="AC863" t="s">
        <v>7469</v>
      </c>
      <c r="AD863" t="s">
        <v>2708</v>
      </c>
      <c r="AE863">
        <v>1</v>
      </c>
      <c r="AO863" t="s">
        <v>2957</v>
      </c>
      <c r="AP863" t="s">
        <v>2401</v>
      </c>
    </row>
    <row r="864" spans="1:42">
      <c r="A864" t="s">
        <v>832</v>
      </c>
      <c r="B864" t="s">
        <v>2377</v>
      </c>
      <c r="C864" t="s">
        <v>2390</v>
      </c>
      <c r="D864" t="s">
        <v>2379</v>
      </c>
      <c r="E864" t="s">
        <v>12</v>
      </c>
      <c r="F864" t="s">
        <v>2578</v>
      </c>
      <c r="G864" t="s">
        <v>12</v>
      </c>
      <c r="H864" t="b">
        <v>1</v>
      </c>
      <c r="I864" s="8">
        <v>45937.667280092595</v>
      </c>
      <c r="J864" t="s">
        <v>2380</v>
      </c>
      <c r="L864">
        <v>603759</v>
      </c>
      <c r="M864" t="s">
        <v>2381</v>
      </c>
      <c r="P864" t="s">
        <v>2704</v>
      </c>
      <c r="Q864" t="s">
        <v>2383</v>
      </c>
      <c r="R864">
        <v>1</v>
      </c>
      <c r="S864" t="s">
        <v>2380</v>
      </c>
      <c r="T864" t="s">
        <v>2383</v>
      </c>
      <c r="U864" s="8">
        <v>45933.440983796296</v>
      </c>
      <c r="V864" s="8">
        <v>45938.958333333336</v>
      </c>
      <c r="W864">
        <v>1</v>
      </c>
      <c r="X864">
        <v>2.2262962960000001</v>
      </c>
      <c r="Y864" t="s">
        <v>2579</v>
      </c>
      <c r="Z864" t="s">
        <v>3946</v>
      </c>
      <c r="AA864" t="s">
        <v>3947</v>
      </c>
      <c r="AB864" t="s">
        <v>1278</v>
      </c>
      <c r="AC864" t="s">
        <v>3948</v>
      </c>
      <c r="AD864" t="s">
        <v>2708</v>
      </c>
      <c r="AE864">
        <v>1</v>
      </c>
      <c r="AO864" t="s">
        <v>2720</v>
      </c>
      <c r="AP864" t="s">
        <v>2401</v>
      </c>
    </row>
    <row r="865" spans="1:42">
      <c r="A865" t="s">
        <v>168</v>
      </c>
      <c r="B865" t="s">
        <v>2377</v>
      </c>
      <c r="C865" t="s">
        <v>2378</v>
      </c>
      <c r="D865" t="s">
        <v>2379</v>
      </c>
      <c r="E865" t="s">
        <v>12</v>
      </c>
      <c r="F865" t="s">
        <v>2409</v>
      </c>
      <c r="G865" t="s">
        <v>12</v>
      </c>
      <c r="H865" t="b">
        <v>1</v>
      </c>
      <c r="I865" s="8">
        <v>45938.462500000001</v>
      </c>
      <c r="J865" t="s">
        <v>2380</v>
      </c>
      <c r="L865">
        <v>608028</v>
      </c>
      <c r="M865" t="s">
        <v>2381</v>
      </c>
      <c r="P865" t="s">
        <v>2704</v>
      </c>
      <c r="Q865" t="s">
        <v>2383</v>
      </c>
      <c r="R865">
        <v>1</v>
      </c>
      <c r="S865" t="s">
        <v>2380</v>
      </c>
      <c r="T865" t="s">
        <v>2383</v>
      </c>
      <c r="U865" s="8">
        <v>45933.462361111109</v>
      </c>
      <c r="V865" s="8">
        <v>45938.958333333336</v>
      </c>
      <c r="W865">
        <v>1</v>
      </c>
      <c r="X865">
        <v>3.000138889</v>
      </c>
      <c r="Y865" t="s">
        <v>2410</v>
      </c>
      <c r="Z865" t="s">
        <v>9774</v>
      </c>
      <c r="AA865" t="s">
        <v>8806</v>
      </c>
      <c r="AB865" t="s">
        <v>1278</v>
      </c>
      <c r="AC865" t="s">
        <v>9775</v>
      </c>
      <c r="AD865" t="s">
        <v>2708</v>
      </c>
      <c r="AE865">
        <v>1</v>
      </c>
      <c r="AO865" t="s">
        <v>3644</v>
      </c>
      <c r="AP865" t="s">
        <v>2401</v>
      </c>
    </row>
    <row r="866" spans="1:42">
      <c r="A866" t="s">
        <v>587</v>
      </c>
      <c r="B866" t="s">
        <v>2377</v>
      </c>
      <c r="C866" t="s">
        <v>2378</v>
      </c>
      <c r="D866" t="s">
        <v>2379</v>
      </c>
      <c r="E866" t="s">
        <v>12</v>
      </c>
      <c r="F866" t="s">
        <v>3735</v>
      </c>
      <c r="G866" t="s">
        <v>12</v>
      </c>
      <c r="H866" t="b">
        <v>1</v>
      </c>
      <c r="I866" s="8">
        <v>45938.685416666667</v>
      </c>
      <c r="J866" t="s">
        <v>2380</v>
      </c>
      <c r="L866">
        <v>601379</v>
      </c>
      <c r="M866" t="s">
        <v>2381</v>
      </c>
      <c r="P866" t="s">
        <v>2704</v>
      </c>
      <c r="Q866" t="s">
        <v>2383</v>
      </c>
      <c r="R866">
        <v>1</v>
      </c>
      <c r="S866" t="s">
        <v>2380</v>
      </c>
      <c r="T866" t="s">
        <v>2383</v>
      </c>
      <c r="U866" s="8">
        <v>45933.470821759256</v>
      </c>
      <c r="V866" s="8">
        <v>45938.958333333336</v>
      </c>
      <c r="W866">
        <v>1</v>
      </c>
      <c r="X866">
        <v>3.2145949069999999</v>
      </c>
      <c r="Y866" t="s">
        <v>1352</v>
      </c>
      <c r="Z866" t="s">
        <v>9232</v>
      </c>
      <c r="AA866" t="s">
        <v>3738</v>
      </c>
      <c r="AB866" t="s">
        <v>1278</v>
      </c>
      <c r="AC866" t="s">
        <v>9233</v>
      </c>
      <c r="AD866" t="s">
        <v>2708</v>
      </c>
      <c r="AE866">
        <v>1</v>
      </c>
      <c r="AH866" t="s">
        <v>12</v>
      </c>
      <c r="AI866" s="8">
        <v>45938.684560185182</v>
      </c>
      <c r="AK866" t="s">
        <v>2719</v>
      </c>
      <c r="AL866" t="s">
        <v>2719</v>
      </c>
      <c r="AO866" t="s">
        <v>2720</v>
      </c>
      <c r="AP866" t="s">
        <v>2401</v>
      </c>
    </row>
    <row r="867" spans="1:42">
      <c r="A867" t="s">
        <v>2044</v>
      </c>
      <c r="B867" t="s">
        <v>2389</v>
      </c>
      <c r="C867" t="s">
        <v>2390</v>
      </c>
      <c r="D867" t="s">
        <v>2379</v>
      </c>
      <c r="E867" t="s">
        <v>2416</v>
      </c>
      <c r="F867" t="s">
        <v>3636</v>
      </c>
      <c r="G867" t="s">
        <v>2416</v>
      </c>
      <c r="H867" t="b">
        <v>1</v>
      </c>
      <c r="I867" s="8">
        <v>45937.65252314815</v>
      </c>
      <c r="J867" t="s">
        <v>2380</v>
      </c>
      <c r="L867">
        <v>602383</v>
      </c>
      <c r="M867" t="s">
        <v>2381</v>
      </c>
      <c r="P867" t="s">
        <v>3637</v>
      </c>
      <c r="Q867" t="s">
        <v>2383</v>
      </c>
      <c r="R867">
        <v>1</v>
      </c>
      <c r="S867" t="s">
        <v>2380</v>
      </c>
      <c r="T867" t="s">
        <v>2383</v>
      </c>
      <c r="U867" s="8">
        <v>45933.472222222219</v>
      </c>
      <c r="V867" s="8">
        <v>45938.958333333336</v>
      </c>
      <c r="W867">
        <v>1</v>
      </c>
      <c r="X867">
        <v>2.1803009260000001</v>
      </c>
      <c r="Y867" t="s">
        <v>2628</v>
      </c>
      <c r="Z867" t="s">
        <v>3638</v>
      </c>
      <c r="AA867" t="s">
        <v>3639</v>
      </c>
      <c r="AB867" t="s">
        <v>1278</v>
      </c>
      <c r="AC867" t="s">
        <v>3640</v>
      </c>
      <c r="AE867">
        <v>1</v>
      </c>
      <c r="AO867" t="s">
        <v>3608</v>
      </c>
      <c r="AP867" t="s">
        <v>2401</v>
      </c>
    </row>
    <row r="868" spans="1:42">
      <c r="A868" t="s">
        <v>2052</v>
      </c>
      <c r="B868" t="s">
        <v>2389</v>
      </c>
      <c r="C868" t="s">
        <v>2390</v>
      </c>
      <c r="D868" t="s">
        <v>2379</v>
      </c>
      <c r="E868" t="s">
        <v>2416</v>
      </c>
      <c r="F868" t="s">
        <v>8583</v>
      </c>
      <c r="G868" t="s">
        <v>2416</v>
      </c>
      <c r="H868" t="b">
        <v>1</v>
      </c>
      <c r="I868" s="8">
        <v>45937.634270833332</v>
      </c>
      <c r="J868" t="s">
        <v>2380</v>
      </c>
      <c r="K868">
        <v>1200553</v>
      </c>
      <c r="L868">
        <v>601479</v>
      </c>
      <c r="M868" t="s">
        <v>2381</v>
      </c>
      <c r="P868" t="s">
        <v>8584</v>
      </c>
      <c r="Q868" t="s">
        <v>2383</v>
      </c>
      <c r="R868">
        <v>1</v>
      </c>
      <c r="S868" t="s">
        <v>2380</v>
      </c>
      <c r="T868" t="s">
        <v>2383</v>
      </c>
      <c r="U868" s="8">
        <v>45933.477372685185</v>
      </c>
      <c r="V868" s="8">
        <v>45938.958333333336</v>
      </c>
      <c r="W868">
        <v>1</v>
      </c>
      <c r="X868">
        <v>2.1568981479999998</v>
      </c>
      <c r="Y868" t="s">
        <v>1588</v>
      </c>
      <c r="Z868" t="s">
        <v>9714</v>
      </c>
      <c r="AA868" t="s">
        <v>9630</v>
      </c>
      <c r="AB868" t="s">
        <v>1278</v>
      </c>
      <c r="AC868" t="s">
        <v>9715</v>
      </c>
      <c r="AD868" t="s">
        <v>2708</v>
      </c>
      <c r="AE868">
        <v>1</v>
      </c>
      <c r="AO868" t="s">
        <v>3608</v>
      </c>
      <c r="AP868" t="s">
        <v>2401</v>
      </c>
    </row>
    <row r="869" spans="1:42">
      <c r="A869" t="s">
        <v>546</v>
      </c>
      <c r="B869" t="s">
        <v>2377</v>
      </c>
      <c r="C869" t="s">
        <v>2438</v>
      </c>
      <c r="D869" t="s">
        <v>2379</v>
      </c>
      <c r="E869" t="s">
        <v>18</v>
      </c>
      <c r="F869" t="s">
        <v>3500</v>
      </c>
      <c r="G869" t="s">
        <v>2416</v>
      </c>
      <c r="H869" t="b">
        <v>1</v>
      </c>
      <c r="I869" s="8">
        <v>45933.529988425929</v>
      </c>
      <c r="J869" t="s">
        <v>2380</v>
      </c>
      <c r="L869">
        <v>601876</v>
      </c>
      <c r="M869" t="s">
        <v>2381</v>
      </c>
      <c r="P869" t="s">
        <v>2704</v>
      </c>
      <c r="Q869" t="s">
        <v>2383</v>
      </c>
      <c r="R869">
        <v>1</v>
      </c>
      <c r="S869" t="s">
        <v>2380</v>
      </c>
      <c r="T869" t="s">
        <v>2383</v>
      </c>
      <c r="U869" s="8">
        <v>45933.493495370371</v>
      </c>
      <c r="V869" s="8">
        <v>45938.958333333336</v>
      </c>
      <c r="W869">
        <v>1</v>
      </c>
      <c r="X869">
        <v>3.6493056000000003E-2</v>
      </c>
      <c r="Y869" t="s">
        <v>3501</v>
      </c>
      <c r="Z869" t="s">
        <v>6595</v>
      </c>
      <c r="AA869" t="s">
        <v>6596</v>
      </c>
      <c r="AB869" t="s">
        <v>1278</v>
      </c>
      <c r="AC869" t="s">
        <v>6597</v>
      </c>
      <c r="AD869" t="s">
        <v>2708</v>
      </c>
      <c r="AE869">
        <v>1</v>
      </c>
      <c r="AO869" t="s">
        <v>2388</v>
      </c>
      <c r="AP869" t="s">
        <v>2401</v>
      </c>
    </row>
    <row r="870" spans="1:42">
      <c r="A870" t="s">
        <v>2048</v>
      </c>
      <c r="B870" t="s">
        <v>2389</v>
      </c>
      <c r="C870" t="s">
        <v>2390</v>
      </c>
      <c r="D870" t="s">
        <v>2379</v>
      </c>
      <c r="E870" t="s">
        <v>28</v>
      </c>
      <c r="F870" t="s">
        <v>2417</v>
      </c>
      <c r="G870" t="s">
        <v>28</v>
      </c>
      <c r="H870" t="b">
        <v>1</v>
      </c>
      <c r="I870" s="8">
        <v>45937.635763888888</v>
      </c>
      <c r="J870" t="s">
        <v>2380</v>
      </c>
      <c r="K870">
        <v>1200554</v>
      </c>
      <c r="L870">
        <v>602712</v>
      </c>
      <c r="M870" t="s">
        <v>2381</v>
      </c>
      <c r="N870">
        <v>15</v>
      </c>
      <c r="P870" t="s">
        <v>3096</v>
      </c>
      <c r="Q870" t="s">
        <v>2383</v>
      </c>
      <c r="R870">
        <v>1</v>
      </c>
      <c r="S870" t="s">
        <v>2380</v>
      </c>
      <c r="T870" t="s">
        <v>2383</v>
      </c>
      <c r="U870" s="8">
        <v>45933.499710648146</v>
      </c>
      <c r="V870" s="8">
        <v>45938.958333333336</v>
      </c>
      <c r="W870">
        <v>1</v>
      </c>
      <c r="X870">
        <v>2.1360532409999999</v>
      </c>
      <c r="Y870" t="s">
        <v>2418</v>
      </c>
      <c r="Z870" t="s">
        <v>5630</v>
      </c>
      <c r="AA870" t="s">
        <v>3099</v>
      </c>
      <c r="AB870" t="s">
        <v>1278</v>
      </c>
      <c r="AC870" t="s">
        <v>5631</v>
      </c>
      <c r="AD870" t="s">
        <v>2708</v>
      </c>
      <c r="AE870">
        <v>1</v>
      </c>
      <c r="AO870" t="s">
        <v>2540</v>
      </c>
      <c r="AP870" t="s">
        <v>2401</v>
      </c>
    </row>
    <row r="871" spans="1:42">
      <c r="A871" t="s">
        <v>386</v>
      </c>
      <c r="B871" t="s">
        <v>2377</v>
      </c>
      <c r="C871" t="s">
        <v>2390</v>
      </c>
      <c r="D871" t="s">
        <v>2379</v>
      </c>
      <c r="E871" t="s">
        <v>12</v>
      </c>
      <c r="F871" t="s">
        <v>2588</v>
      </c>
      <c r="G871" t="s">
        <v>12</v>
      </c>
      <c r="H871" t="b">
        <v>1</v>
      </c>
      <c r="I871" s="8">
        <v>45938.493923611109</v>
      </c>
      <c r="J871" t="s">
        <v>2380</v>
      </c>
      <c r="L871">
        <v>602197</v>
      </c>
      <c r="M871" t="s">
        <v>2381</v>
      </c>
      <c r="P871" t="s">
        <v>8802</v>
      </c>
      <c r="Q871" t="s">
        <v>2383</v>
      </c>
      <c r="R871">
        <v>1</v>
      </c>
      <c r="S871" t="s">
        <v>2380</v>
      </c>
      <c r="T871" t="s">
        <v>2383</v>
      </c>
      <c r="U871" s="8">
        <v>45933.524259259262</v>
      </c>
      <c r="V871" s="8">
        <v>45938.958333333336</v>
      </c>
      <c r="W871">
        <v>1</v>
      </c>
      <c r="X871">
        <v>2.9696643520000001</v>
      </c>
      <c r="Y871" t="s">
        <v>2579</v>
      </c>
      <c r="Z871" t="s">
        <v>9813</v>
      </c>
      <c r="AA871" t="s">
        <v>8804</v>
      </c>
      <c r="AB871" t="s">
        <v>1278</v>
      </c>
      <c r="AC871" t="s">
        <v>9210</v>
      </c>
      <c r="AD871" t="s">
        <v>2708</v>
      </c>
      <c r="AE871">
        <v>1</v>
      </c>
      <c r="AO871" t="s">
        <v>3644</v>
      </c>
      <c r="AP871" t="s">
        <v>2401</v>
      </c>
    </row>
    <row r="872" spans="1:42">
      <c r="A872" t="s">
        <v>579</v>
      </c>
      <c r="B872" t="s">
        <v>2377</v>
      </c>
      <c r="C872" t="s">
        <v>2390</v>
      </c>
      <c r="D872" t="s">
        <v>2379</v>
      </c>
      <c r="E872" t="s">
        <v>18</v>
      </c>
      <c r="F872" t="s">
        <v>3445</v>
      </c>
      <c r="G872" t="s">
        <v>2416</v>
      </c>
      <c r="H872" t="b">
        <v>1</v>
      </c>
      <c r="I872" s="8">
        <v>45937.726759259262</v>
      </c>
      <c r="J872" t="s">
        <v>2380</v>
      </c>
      <c r="L872">
        <v>603345</v>
      </c>
      <c r="M872" t="s">
        <v>2381</v>
      </c>
      <c r="P872" t="s">
        <v>4125</v>
      </c>
      <c r="Q872" t="s">
        <v>2383</v>
      </c>
      <c r="R872">
        <v>1</v>
      </c>
      <c r="S872" t="s">
        <v>2380</v>
      </c>
      <c r="T872" t="s">
        <v>2383</v>
      </c>
      <c r="U872" s="8">
        <v>45933.536782407406</v>
      </c>
      <c r="V872" s="8">
        <v>45938.958333333336</v>
      </c>
      <c r="W872">
        <v>1</v>
      </c>
      <c r="X872">
        <v>2.189976852</v>
      </c>
      <c r="Y872" t="s">
        <v>4126</v>
      </c>
      <c r="Z872" t="s">
        <v>7450</v>
      </c>
      <c r="AA872" t="s">
        <v>578</v>
      </c>
      <c r="AB872" t="s">
        <v>1278</v>
      </c>
      <c r="AC872" t="s">
        <v>7451</v>
      </c>
      <c r="AD872" t="s">
        <v>2708</v>
      </c>
      <c r="AE872">
        <v>1</v>
      </c>
      <c r="AO872" t="s">
        <v>2957</v>
      </c>
      <c r="AP872" t="s">
        <v>2401</v>
      </c>
    </row>
    <row r="873" spans="1:42">
      <c r="A873" t="s">
        <v>828</v>
      </c>
      <c r="B873" t="s">
        <v>2377</v>
      </c>
      <c r="C873" t="s">
        <v>2390</v>
      </c>
      <c r="D873" t="s">
        <v>2379</v>
      </c>
      <c r="E873" t="s">
        <v>28</v>
      </c>
      <c r="F873" t="s">
        <v>2402</v>
      </c>
      <c r="G873" t="s">
        <v>28</v>
      </c>
      <c r="H873" t="b">
        <v>1</v>
      </c>
      <c r="I873" s="8">
        <v>45937.635115740741</v>
      </c>
      <c r="J873" t="s">
        <v>2380</v>
      </c>
      <c r="L873">
        <v>603739</v>
      </c>
      <c r="M873" t="s">
        <v>2381</v>
      </c>
      <c r="N873">
        <v>15</v>
      </c>
      <c r="P873" t="s">
        <v>5467</v>
      </c>
      <c r="Q873" t="s">
        <v>2383</v>
      </c>
      <c r="R873">
        <v>1</v>
      </c>
      <c r="S873" t="s">
        <v>2380</v>
      </c>
      <c r="T873" t="s">
        <v>2383</v>
      </c>
      <c r="U873" s="8">
        <v>45933.538842592592</v>
      </c>
      <c r="V873" s="8">
        <v>45938.958333333336</v>
      </c>
      <c r="W873">
        <v>1</v>
      </c>
      <c r="X873">
        <v>2.0962731479999999</v>
      </c>
      <c r="Y873" t="s">
        <v>2403</v>
      </c>
      <c r="Z873" t="s">
        <v>5468</v>
      </c>
      <c r="AA873" t="s">
        <v>5469</v>
      </c>
      <c r="AB873" t="s">
        <v>1278</v>
      </c>
      <c r="AC873" t="s">
        <v>3066</v>
      </c>
      <c r="AD873" t="s">
        <v>2708</v>
      </c>
      <c r="AE873">
        <v>1</v>
      </c>
      <c r="AO873" t="s">
        <v>2408</v>
      </c>
      <c r="AP873" t="s">
        <v>2401</v>
      </c>
    </row>
    <row r="874" spans="1:42">
      <c r="A874" t="s">
        <v>370</v>
      </c>
      <c r="B874" t="s">
        <v>2377</v>
      </c>
      <c r="C874" t="s">
        <v>2390</v>
      </c>
      <c r="D874" t="s">
        <v>2379</v>
      </c>
      <c r="E874" t="s">
        <v>18</v>
      </c>
      <c r="F874" t="s">
        <v>2588</v>
      </c>
      <c r="G874" t="s">
        <v>2416</v>
      </c>
      <c r="H874" t="b">
        <v>1</v>
      </c>
      <c r="I874" s="8">
        <v>45937.645532407405</v>
      </c>
      <c r="J874" t="s">
        <v>2380</v>
      </c>
      <c r="L874">
        <v>602273</v>
      </c>
      <c r="M874" t="s">
        <v>2381</v>
      </c>
      <c r="P874" t="s">
        <v>6603</v>
      </c>
      <c r="Q874" t="s">
        <v>2383</v>
      </c>
      <c r="R874">
        <v>1</v>
      </c>
      <c r="S874" t="s">
        <v>2380</v>
      </c>
      <c r="T874" t="s">
        <v>2383</v>
      </c>
      <c r="U874" s="8">
        <v>45933.545428240737</v>
      </c>
      <c r="V874" s="8">
        <v>45938.958333333336</v>
      </c>
      <c r="W874">
        <v>1</v>
      </c>
      <c r="X874">
        <v>2.100104167</v>
      </c>
      <c r="Y874" t="s">
        <v>2579</v>
      </c>
      <c r="Z874" t="s">
        <v>6604</v>
      </c>
      <c r="AA874" t="s">
        <v>2045</v>
      </c>
      <c r="AB874" t="s">
        <v>1278</v>
      </c>
      <c r="AC874" t="s">
        <v>6605</v>
      </c>
      <c r="AD874" t="s">
        <v>2708</v>
      </c>
      <c r="AE874">
        <v>1</v>
      </c>
      <c r="AO874" t="s">
        <v>2388</v>
      </c>
      <c r="AP874" t="s">
        <v>2401</v>
      </c>
    </row>
    <row r="875" spans="1:42">
      <c r="A875" t="s">
        <v>2160</v>
      </c>
      <c r="B875" t="s">
        <v>2377</v>
      </c>
      <c r="C875" t="s">
        <v>2691</v>
      </c>
      <c r="D875" t="s">
        <v>2379</v>
      </c>
      <c r="E875" t="s">
        <v>2416</v>
      </c>
      <c r="F875" t="s">
        <v>2402</v>
      </c>
      <c r="G875" t="s">
        <v>2416</v>
      </c>
      <c r="H875" t="b">
        <v>1</v>
      </c>
      <c r="I875" s="8">
        <v>45953.671157407407</v>
      </c>
      <c r="J875" t="s">
        <v>2380</v>
      </c>
      <c r="L875">
        <v>602549</v>
      </c>
      <c r="M875" t="s">
        <v>2381</v>
      </c>
      <c r="P875" t="s">
        <v>2769</v>
      </c>
      <c r="Q875" t="s">
        <v>2383</v>
      </c>
      <c r="R875">
        <v>1</v>
      </c>
      <c r="S875" t="s">
        <v>2380</v>
      </c>
      <c r="T875" t="s">
        <v>2383</v>
      </c>
      <c r="U875" s="8">
        <v>45933.556006944447</v>
      </c>
      <c r="V875" s="8">
        <v>45953.958333333336</v>
      </c>
      <c r="W875">
        <v>1</v>
      </c>
      <c r="X875">
        <v>14.115150463000001</v>
      </c>
      <c r="Y875" t="s">
        <v>2403</v>
      </c>
      <c r="Z875" t="s">
        <v>2770</v>
      </c>
      <c r="AA875" t="s">
        <v>1460</v>
      </c>
      <c r="AB875" t="s">
        <v>1278</v>
      </c>
      <c r="AC875" t="s">
        <v>2771</v>
      </c>
      <c r="AE875">
        <v>1</v>
      </c>
      <c r="AO875" t="s">
        <v>2408</v>
      </c>
      <c r="AP875" t="s">
        <v>2401</v>
      </c>
    </row>
    <row r="876" spans="1:42">
      <c r="A876" t="s">
        <v>373</v>
      </c>
      <c r="B876" t="s">
        <v>2377</v>
      </c>
      <c r="C876" t="s">
        <v>2390</v>
      </c>
      <c r="D876" t="s">
        <v>2379</v>
      </c>
      <c r="E876" t="s">
        <v>12</v>
      </c>
      <c r="F876" t="s">
        <v>2588</v>
      </c>
      <c r="G876" t="s">
        <v>12</v>
      </c>
      <c r="H876" t="b">
        <v>1</v>
      </c>
      <c r="I876" s="8">
        <v>45938.435486111113</v>
      </c>
      <c r="J876" t="s">
        <v>2380</v>
      </c>
      <c r="L876">
        <v>609712</v>
      </c>
      <c r="M876" t="s">
        <v>2381</v>
      </c>
      <c r="P876" t="s">
        <v>8819</v>
      </c>
      <c r="Q876" t="s">
        <v>2383</v>
      </c>
      <c r="R876">
        <v>1</v>
      </c>
      <c r="S876" t="s">
        <v>2380</v>
      </c>
      <c r="T876" t="s">
        <v>2383</v>
      </c>
      <c r="U876" s="8">
        <v>45933.566504629627</v>
      </c>
      <c r="V876" s="8">
        <v>45938.958333333336</v>
      </c>
      <c r="W876">
        <v>1</v>
      </c>
      <c r="X876">
        <v>2.8689814810000001</v>
      </c>
      <c r="Y876" t="s">
        <v>2579</v>
      </c>
      <c r="Z876" t="s">
        <v>9828</v>
      </c>
      <c r="AA876" t="s">
        <v>8821</v>
      </c>
      <c r="AB876" t="s">
        <v>1278</v>
      </c>
      <c r="AC876" t="s">
        <v>9829</v>
      </c>
      <c r="AD876" t="s">
        <v>2708</v>
      </c>
      <c r="AE876">
        <v>1</v>
      </c>
      <c r="AO876" t="s">
        <v>3644</v>
      </c>
      <c r="AP876" t="s">
        <v>2401</v>
      </c>
    </row>
    <row r="877" spans="1:42">
      <c r="A877" t="s">
        <v>1244</v>
      </c>
      <c r="B877" t="s">
        <v>2377</v>
      </c>
      <c r="C877" t="s">
        <v>2438</v>
      </c>
      <c r="D877" t="s">
        <v>2379</v>
      </c>
      <c r="E877" t="s">
        <v>18</v>
      </c>
      <c r="F877" t="s">
        <v>3339</v>
      </c>
      <c r="G877" t="s">
        <v>2416</v>
      </c>
      <c r="H877" t="b">
        <v>1</v>
      </c>
      <c r="I877" s="8">
        <v>45933.769675925927</v>
      </c>
      <c r="J877" t="s">
        <v>2380</v>
      </c>
      <c r="L877">
        <v>609982</v>
      </c>
      <c r="M877" t="s">
        <v>2381</v>
      </c>
      <c r="P877" t="s">
        <v>2704</v>
      </c>
      <c r="Q877" t="s">
        <v>2383</v>
      </c>
      <c r="R877">
        <v>1</v>
      </c>
      <c r="S877" t="s">
        <v>2380</v>
      </c>
      <c r="T877" t="s">
        <v>2383</v>
      </c>
      <c r="U877" s="8">
        <v>45933.601122685184</v>
      </c>
      <c r="V877" s="8">
        <v>45938.958333333336</v>
      </c>
      <c r="W877">
        <v>1</v>
      </c>
      <c r="X877">
        <v>0.16855324099999999</v>
      </c>
      <c r="Y877" t="s">
        <v>3340</v>
      </c>
      <c r="Z877" t="s">
        <v>7462</v>
      </c>
      <c r="AA877" t="s">
        <v>7463</v>
      </c>
      <c r="AB877" t="s">
        <v>1278</v>
      </c>
      <c r="AC877" t="s">
        <v>2978</v>
      </c>
      <c r="AD877" t="s">
        <v>2708</v>
      </c>
      <c r="AE877">
        <v>1</v>
      </c>
      <c r="AO877" t="s">
        <v>2957</v>
      </c>
      <c r="AP877" t="s">
        <v>2401</v>
      </c>
    </row>
    <row r="878" spans="1:42">
      <c r="A878" t="s">
        <v>556</v>
      </c>
      <c r="B878" t="s">
        <v>2377</v>
      </c>
      <c r="C878" t="s">
        <v>2390</v>
      </c>
      <c r="D878" t="s">
        <v>2379</v>
      </c>
      <c r="E878" t="s">
        <v>33</v>
      </c>
      <c r="F878" t="s">
        <v>4112</v>
      </c>
      <c r="G878" t="s">
        <v>33</v>
      </c>
      <c r="H878" t="b">
        <v>1</v>
      </c>
      <c r="I878" s="8">
        <v>45938.576643518521</v>
      </c>
      <c r="J878" t="s">
        <v>2380</v>
      </c>
      <c r="L878">
        <v>603681</v>
      </c>
      <c r="M878" t="s">
        <v>2381</v>
      </c>
      <c r="P878" t="s">
        <v>2704</v>
      </c>
      <c r="Q878" t="s">
        <v>2383</v>
      </c>
      <c r="R878">
        <v>1</v>
      </c>
      <c r="S878" t="s">
        <v>2380</v>
      </c>
      <c r="T878" t="s">
        <v>2383</v>
      </c>
      <c r="U878" s="8">
        <v>45933.604687500003</v>
      </c>
      <c r="V878" s="8">
        <v>45938.958333333336</v>
      </c>
      <c r="W878">
        <v>1</v>
      </c>
      <c r="X878">
        <v>2.9719560189999998</v>
      </c>
      <c r="Y878" t="s">
        <v>3901</v>
      </c>
      <c r="Z878" t="s">
        <v>9263</v>
      </c>
      <c r="AA878" t="s">
        <v>4975</v>
      </c>
      <c r="AB878" t="s">
        <v>1278</v>
      </c>
      <c r="AC878" t="s">
        <v>9264</v>
      </c>
      <c r="AD878" t="s">
        <v>2708</v>
      </c>
      <c r="AE878">
        <v>1</v>
      </c>
      <c r="AH878" t="s">
        <v>4895</v>
      </c>
      <c r="AI878" s="8">
        <v>45938.573900462965</v>
      </c>
      <c r="AK878" t="s">
        <v>2719</v>
      </c>
      <c r="AL878" t="s">
        <v>2719</v>
      </c>
      <c r="AO878" t="s">
        <v>2715</v>
      </c>
      <c r="AP878" t="s">
        <v>2401</v>
      </c>
    </row>
    <row r="879" spans="1:42">
      <c r="A879" t="s">
        <v>2022</v>
      </c>
      <c r="B879" t="s">
        <v>2389</v>
      </c>
      <c r="C879" t="s">
        <v>2390</v>
      </c>
      <c r="D879" t="s">
        <v>2379</v>
      </c>
      <c r="E879" t="s">
        <v>2452</v>
      </c>
      <c r="F879" t="s">
        <v>3261</v>
      </c>
      <c r="G879" t="s">
        <v>2452</v>
      </c>
      <c r="H879" t="b">
        <v>1</v>
      </c>
      <c r="I879" s="8">
        <v>45938.372893518521</v>
      </c>
      <c r="J879" t="s">
        <v>2380</v>
      </c>
      <c r="K879">
        <v>1200723</v>
      </c>
      <c r="L879">
        <v>603294</v>
      </c>
      <c r="M879" t="s">
        <v>2381</v>
      </c>
      <c r="P879" t="s">
        <v>7832</v>
      </c>
      <c r="Q879" t="s">
        <v>2383</v>
      </c>
      <c r="R879">
        <v>1</v>
      </c>
      <c r="S879" t="s">
        <v>2380</v>
      </c>
      <c r="T879" t="s">
        <v>2383</v>
      </c>
      <c r="U879" s="8">
        <v>45933.604768518519</v>
      </c>
      <c r="V879" s="8">
        <v>45940.958333333336</v>
      </c>
      <c r="W879">
        <v>1</v>
      </c>
      <c r="X879">
        <v>2.7681249999999999</v>
      </c>
      <c r="Y879" t="s">
        <v>3262</v>
      </c>
      <c r="Z879" t="s">
        <v>7833</v>
      </c>
      <c r="AA879" t="s">
        <v>2020</v>
      </c>
      <c r="AB879" t="s">
        <v>1278</v>
      </c>
      <c r="AC879" t="s">
        <v>7834</v>
      </c>
      <c r="AD879" t="s">
        <v>2708</v>
      </c>
      <c r="AE879">
        <v>1</v>
      </c>
      <c r="AO879" t="s">
        <v>2957</v>
      </c>
      <c r="AP879" t="s">
        <v>2401</v>
      </c>
    </row>
    <row r="880" spans="1:42">
      <c r="A880" t="s">
        <v>1992</v>
      </c>
      <c r="B880" t="s">
        <v>2389</v>
      </c>
      <c r="C880" t="s">
        <v>2390</v>
      </c>
      <c r="D880" t="s">
        <v>2379</v>
      </c>
      <c r="E880" t="s">
        <v>24</v>
      </c>
      <c r="F880" t="s">
        <v>2578</v>
      </c>
      <c r="G880" t="s">
        <v>24</v>
      </c>
      <c r="H880" t="b">
        <v>1</v>
      </c>
      <c r="I880" s="8">
        <v>45938.599317129629</v>
      </c>
      <c r="J880" t="s">
        <v>2380</v>
      </c>
      <c r="K880">
        <v>1200869</v>
      </c>
      <c r="L880">
        <v>601924</v>
      </c>
      <c r="M880" t="s">
        <v>2381</v>
      </c>
      <c r="P880" t="s">
        <v>6638</v>
      </c>
      <c r="Q880" t="s">
        <v>2383</v>
      </c>
      <c r="R880">
        <v>1</v>
      </c>
      <c r="S880" t="s">
        <v>2380</v>
      </c>
      <c r="T880" t="s">
        <v>2383</v>
      </c>
      <c r="U880" s="8">
        <v>45933.605983796297</v>
      </c>
      <c r="V880" s="8">
        <v>45938.958333333336</v>
      </c>
      <c r="W880">
        <v>1</v>
      </c>
      <c r="X880">
        <v>2.9933333329999998</v>
      </c>
      <c r="Y880" t="s">
        <v>2579</v>
      </c>
      <c r="Z880" t="s">
        <v>6639</v>
      </c>
      <c r="AA880" t="s">
        <v>6640</v>
      </c>
      <c r="AB880" t="s">
        <v>1278</v>
      </c>
      <c r="AC880" t="s">
        <v>2802</v>
      </c>
      <c r="AD880" t="s">
        <v>2708</v>
      </c>
      <c r="AE880">
        <v>1</v>
      </c>
      <c r="AO880" t="s">
        <v>2388</v>
      </c>
      <c r="AP880" t="s">
        <v>2401</v>
      </c>
    </row>
    <row r="881" spans="1:42">
      <c r="A881" t="s">
        <v>2041</v>
      </c>
      <c r="B881" t="s">
        <v>2389</v>
      </c>
      <c r="C881" t="s">
        <v>2390</v>
      </c>
      <c r="D881" t="s">
        <v>2379</v>
      </c>
      <c r="E881" t="s">
        <v>2452</v>
      </c>
      <c r="F881" t="s">
        <v>2402</v>
      </c>
      <c r="G881" t="s">
        <v>2452</v>
      </c>
      <c r="H881" t="b">
        <v>1</v>
      </c>
      <c r="I881" s="8">
        <v>45937.665300925924</v>
      </c>
      <c r="J881" t="s">
        <v>2380</v>
      </c>
      <c r="K881">
        <v>1200656</v>
      </c>
      <c r="L881">
        <v>606951</v>
      </c>
      <c r="M881" t="s">
        <v>2381</v>
      </c>
      <c r="P881" t="s">
        <v>5388</v>
      </c>
      <c r="Q881" t="s">
        <v>2383</v>
      </c>
      <c r="R881">
        <v>1</v>
      </c>
      <c r="S881" t="s">
        <v>2380</v>
      </c>
      <c r="T881" t="s">
        <v>2383</v>
      </c>
      <c r="U881" s="8">
        <v>45933.617777777778</v>
      </c>
      <c r="V881" s="8">
        <v>45938.958333333336</v>
      </c>
      <c r="W881">
        <v>1</v>
      </c>
      <c r="X881">
        <v>2.0475231479999998</v>
      </c>
      <c r="Y881" t="s">
        <v>2403</v>
      </c>
      <c r="Z881" t="s">
        <v>5389</v>
      </c>
      <c r="AA881" t="s">
        <v>2039</v>
      </c>
      <c r="AB881" t="s">
        <v>1278</v>
      </c>
      <c r="AC881" t="s">
        <v>5390</v>
      </c>
      <c r="AD881" t="s">
        <v>2708</v>
      </c>
      <c r="AE881">
        <v>1</v>
      </c>
      <c r="AO881" t="s">
        <v>2408</v>
      </c>
      <c r="AP881" t="s">
        <v>2401</v>
      </c>
    </row>
    <row r="882" spans="1:42">
      <c r="A882" t="s">
        <v>919</v>
      </c>
      <c r="B882" t="s">
        <v>2377</v>
      </c>
      <c r="C882" t="s">
        <v>2691</v>
      </c>
      <c r="D882" t="s">
        <v>2379</v>
      </c>
      <c r="E882" t="s">
        <v>28</v>
      </c>
      <c r="F882" t="s">
        <v>4112</v>
      </c>
      <c r="G882" t="s">
        <v>28</v>
      </c>
      <c r="H882" t="b">
        <v>1</v>
      </c>
      <c r="I882" s="8">
        <v>45946.448888888888</v>
      </c>
      <c r="J882" t="s">
        <v>2380</v>
      </c>
      <c r="L882">
        <v>603681</v>
      </c>
      <c r="M882" t="s">
        <v>2381</v>
      </c>
      <c r="N882">
        <v>15</v>
      </c>
      <c r="P882" t="s">
        <v>2704</v>
      </c>
      <c r="Q882" t="s">
        <v>2383</v>
      </c>
      <c r="R882">
        <v>1</v>
      </c>
      <c r="S882" t="s">
        <v>2380</v>
      </c>
      <c r="T882" t="s">
        <v>2383</v>
      </c>
      <c r="U882" s="8">
        <v>45933.617905092593</v>
      </c>
      <c r="V882" s="8">
        <v>45946.958333333336</v>
      </c>
      <c r="W882">
        <v>1</v>
      </c>
      <c r="X882">
        <v>8.8309837959999999</v>
      </c>
      <c r="Y882" t="s">
        <v>3901</v>
      </c>
      <c r="Z882" t="s">
        <v>5044</v>
      </c>
      <c r="AA882" t="s">
        <v>4975</v>
      </c>
      <c r="AB882" t="s">
        <v>1278</v>
      </c>
      <c r="AC882" t="s">
        <v>4825</v>
      </c>
      <c r="AD882" t="s">
        <v>2708</v>
      </c>
      <c r="AE882">
        <v>1</v>
      </c>
      <c r="AO882" t="s">
        <v>2715</v>
      </c>
      <c r="AP882" t="s">
        <v>2401</v>
      </c>
    </row>
    <row r="883" spans="1:42">
      <c r="A883" t="s">
        <v>2097</v>
      </c>
      <c r="B883" t="s">
        <v>2389</v>
      </c>
      <c r="C883" t="s">
        <v>2415</v>
      </c>
      <c r="D883" t="s">
        <v>2379</v>
      </c>
      <c r="E883" t="s">
        <v>307</v>
      </c>
      <c r="F883" t="s">
        <v>2402</v>
      </c>
      <c r="G883" t="s">
        <v>307</v>
      </c>
      <c r="H883" t="b">
        <v>1</v>
      </c>
      <c r="I883" s="8">
        <v>45936.755497685182</v>
      </c>
      <c r="J883" t="s">
        <v>2380</v>
      </c>
      <c r="K883">
        <v>1200427</v>
      </c>
      <c r="L883">
        <v>609894</v>
      </c>
      <c r="M883" t="s">
        <v>2381</v>
      </c>
      <c r="P883" t="s">
        <v>2486</v>
      </c>
      <c r="Q883" t="s">
        <v>2383</v>
      </c>
      <c r="R883">
        <v>1</v>
      </c>
      <c r="S883" t="s">
        <v>2380</v>
      </c>
      <c r="T883" t="s">
        <v>2383</v>
      </c>
      <c r="U883" s="8">
        <v>45933.625891203701</v>
      </c>
      <c r="V883" s="8">
        <v>45939.958333333336</v>
      </c>
      <c r="W883">
        <v>1</v>
      </c>
      <c r="X883">
        <v>1.1296064809999999</v>
      </c>
      <c r="Y883" t="s">
        <v>2403</v>
      </c>
      <c r="Z883" t="s">
        <v>5256</v>
      </c>
      <c r="AA883" t="s">
        <v>5257</v>
      </c>
      <c r="AB883" t="s">
        <v>1278</v>
      </c>
      <c r="AC883" t="s">
        <v>5258</v>
      </c>
      <c r="AD883" t="s">
        <v>2708</v>
      </c>
      <c r="AE883">
        <v>1</v>
      </c>
      <c r="AO883" t="s">
        <v>2408</v>
      </c>
      <c r="AP883" t="s">
        <v>2401</v>
      </c>
    </row>
    <row r="884" spans="1:42">
      <c r="A884" t="s">
        <v>567</v>
      </c>
      <c r="B884" t="s">
        <v>2377</v>
      </c>
      <c r="C884" t="s">
        <v>2415</v>
      </c>
      <c r="D884" t="s">
        <v>2379</v>
      </c>
      <c r="E884" t="s">
        <v>12</v>
      </c>
      <c r="F884" t="s">
        <v>2578</v>
      </c>
      <c r="G884" t="s">
        <v>12</v>
      </c>
      <c r="H884" t="b">
        <v>1</v>
      </c>
      <c r="I884" s="8">
        <v>45937.454641203702</v>
      </c>
      <c r="J884" t="s">
        <v>2380</v>
      </c>
      <c r="L884">
        <v>609748</v>
      </c>
      <c r="M884" t="s">
        <v>2381</v>
      </c>
      <c r="P884" t="s">
        <v>9791</v>
      </c>
      <c r="Q884" t="s">
        <v>2383</v>
      </c>
      <c r="R884">
        <v>1</v>
      </c>
      <c r="S884" t="s">
        <v>2380</v>
      </c>
      <c r="T884" t="s">
        <v>2383</v>
      </c>
      <c r="U884" s="8">
        <v>45933.632013888891</v>
      </c>
      <c r="V884" s="8">
        <v>45938.958333333336</v>
      </c>
      <c r="W884">
        <v>1</v>
      </c>
      <c r="X884">
        <v>1.8226273150000001</v>
      </c>
      <c r="Y884" t="s">
        <v>2579</v>
      </c>
      <c r="Z884" t="s">
        <v>9792</v>
      </c>
      <c r="AA884" t="s">
        <v>9793</v>
      </c>
      <c r="AB884" t="s">
        <v>1278</v>
      </c>
      <c r="AC884" t="s">
        <v>9794</v>
      </c>
      <c r="AD884" t="s">
        <v>2708</v>
      </c>
      <c r="AE884">
        <v>1</v>
      </c>
      <c r="AO884" t="s">
        <v>3644</v>
      </c>
      <c r="AP884" t="s">
        <v>2401</v>
      </c>
    </row>
    <row r="885" spans="1:42">
      <c r="A885" t="s">
        <v>566</v>
      </c>
      <c r="B885" t="s">
        <v>2377</v>
      </c>
      <c r="C885" t="s">
        <v>2415</v>
      </c>
      <c r="D885" t="s">
        <v>2379</v>
      </c>
      <c r="E885" t="s">
        <v>12</v>
      </c>
      <c r="F885" t="s">
        <v>2588</v>
      </c>
      <c r="G885" t="s">
        <v>12</v>
      </c>
      <c r="H885" t="b">
        <v>1</v>
      </c>
      <c r="I885" s="8">
        <v>45937.421296296299</v>
      </c>
      <c r="J885" t="s">
        <v>2380</v>
      </c>
      <c r="L885">
        <v>609705</v>
      </c>
      <c r="M885" t="s">
        <v>2381</v>
      </c>
      <c r="P885" t="s">
        <v>9791</v>
      </c>
      <c r="Q885" t="s">
        <v>2383</v>
      </c>
      <c r="R885">
        <v>1</v>
      </c>
      <c r="S885" t="s">
        <v>2380</v>
      </c>
      <c r="T885" t="s">
        <v>2383</v>
      </c>
      <c r="U885" s="8">
        <v>45933.641342592593</v>
      </c>
      <c r="V885" s="8">
        <v>45938.958333333336</v>
      </c>
      <c r="W885">
        <v>1</v>
      </c>
      <c r="X885">
        <v>1.779953704</v>
      </c>
      <c r="Y885" t="s">
        <v>2579</v>
      </c>
      <c r="Z885" t="s">
        <v>9795</v>
      </c>
      <c r="AA885" t="s">
        <v>9796</v>
      </c>
      <c r="AB885" t="s">
        <v>1278</v>
      </c>
      <c r="AC885" t="s">
        <v>9797</v>
      </c>
      <c r="AD885" t="s">
        <v>2708</v>
      </c>
      <c r="AE885">
        <v>1</v>
      </c>
      <c r="AO885" t="s">
        <v>3644</v>
      </c>
      <c r="AP885" t="s">
        <v>2401</v>
      </c>
    </row>
    <row r="886" spans="1:42">
      <c r="A886" t="s">
        <v>1988</v>
      </c>
      <c r="B886" t="s">
        <v>2389</v>
      </c>
      <c r="C886" t="s">
        <v>2390</v>
      </c>
      <c r="D886" t="s">
        <v>2379</v>
      </c>
      <c r="E886" t="s">
        <v>24</v>
      </c>
      <c r="F886" t="s">
        <v>2477</v>
      </c>
      <c r="G886" t="s">
        <v>24</v>
      </c>
      <c r="H886" t="b">
        <v>1</v>
      </c>
      <c r="I886" s="8">
        <v>45938.610694444447</v>
      </c>
      <c r="J886" t="s">
        <v>2380</v>
      </c>
      <c r="K886">
        <v>1200876</v>
      </c>
      <c r="L886">
        <v>603722</v>
      </c>
      <c r="M886" t="s">
        <v>2381</v>
      </c>
      <c r="P886" t="s">
        <v>4219</v>
      </c>
      <c r="Q886" t="s">
        <v>2383</v>
      </c>
      <c r="R886">
        <v>1</v>
      </c>
      <c r="S886" t="s">
        <v>2380</v>
      </c>
      <c r="T886" t="s">
        <v>2383</v>
      </c>
      <c r="U886" s="8">
        <v>45933.689062500001</v>
      </c>
      <c r="V886" s="8">
        <v>45938.958333333336</v>
      </c>
      <c r="W886">
        <v>1</v>
      </c>
      <c r="X886">
        <v>2.921631944</v>
      </c>
      <c r="Y886" t="s">
        <v>2403</v>
      </c>
      <c r="Z886" t="s">
        <v>4220</v>
      </c>
      <c r="AA886" t="s">
        <v>4221</v>
      </c>
      <c r="AB886" t="s">
        <v>1278</v>
      </c>
      <c r="AC886" t="s">
        <v>4222</v>
      </c>
      <c r="AD886" t="s">
        <v>2708</v>
      </c>
      <c r="AE886">
        <v>1</v>
      </c>
      <c r="AO886" t="s">
        <v>2408</v>
      </c>
      <c r="AP886" t="s">
        <v>2401</v>
      </c>
    </row>
    <row r="887" spans="1:42">
      <c r="A887" t="s">
        <v>362</v>
      </c>
      <c r="B887" t="s">
        <v>2377</v>
      </c>
      <c r="C887" t="s">
        <v>2438</v>
      </c>
      <c r="D887" t="s">
        <v>2379</v>
      </c>
      <c r="E887" t="s">
        <v>18</v>
      </c>
      <c r="F887" t="s">
        <v>3339</v>
      </c>
      <c r="G887" t="s">
        <v>2416</v>
      </c>
      <c r="H887" t="b">
        <v>1</v>
      </c>
      <c r="I887" s="8">
        <v>45933.778437499997</v>
      </c>
      <c r="J887" t="s">
        <v>2380</v>
      </c>
      <c r="L887">
        <v>609982</v>
      </c>
      <c r="M887" t="s">
        <v>2381</v>
      </c>
      <c r="P887" t="s">
        <v>2704</v>
      </c>
      <c r="Q887" t="s">
        <v>2383</v>
      </c>
      <c r="R887">
        <v>1</v>
      </c>
      <c r="S887" t="s">
        <v>2380</v>
      </c>
      <c r="T887" t="s">
        <v>2383</v>
      </c>
      <c r="U887" s="8">
        <v>45933.719490740739</v>
      </c>
      <c r="V887" s="8">
        <v>45938.958333333336</v>
      </c>
      <c r="W887">
        <v>1</v>
      </c>
      <c r="X887">
        <v>5.8946759000000001E-2</v>
      </c>
      <c r="Y887" t="s">
        <v>3340</v>
      </c>
      <c r="Z887" t="s">
        <v>7464</v>
      </c>
      <c r="AA887" t="s">
        <v>7463</v>
      </c>
      <c r="AB887" t="s">
        <v>1278</v>
      </c>
      <c r="AC887" t="s">
        <v>7465</v>
      </c>
      <c r="AD887" t="s">
        <v>2708</v>
      </c>
      <c r="AE887">
        <v>1</v>
      </c>
      <c r="AO887" t="s">
        <v>2957</v>
      </c>
      <c r="AP887" t="s">
        <v>2401</v>
      </c>
    </row>
    <row r="888" spans="1:42">
      <c r="A888" t="s">
        <v>552</v>
      </c>
      <c r="B888" t="s">
        <v>2377</v>
      </c>
      <c r="C888" t="s">
        <v>2438</v>
      </c>
      <c r="D888" t="s">
        <v>2379</v>
      </c>
      <c r="E888" t="s">
        <v>18</v>
      </c>
      <c r="F888" t="s">
        <v>3339</v>
      </c>
      <c r="G888" t="s">
        <v>2416</v>
      </c>
      <c r="H888" t="b">
        <v>1</v>
      </c>
      <c r="I888" s="8">
        <v>45936.440243055556</v>
      </c>
      <c r="J888" t="s">
        <v>2380</v>
      </c>
      <c r="L888">
        <v>609982</v>
      </c>
      <c r="M888" t="s">
        <v>2381</v>
      </c>
      <c r="P888" t="s">
        <v>2704</v>
      </c>
      <c r="Q888" t="s">
        <v>2383</v>
      </c>
      <c r="R888">
        <v>1</v>
      </c>
      <c r="S888" t="s">
        <v>2380</v>
      </c>
      <c r="T888" t="s">
        <v>2383</v>
      </c>
      <c r="U888" s="8">
        <v>45933.746898148151</v>
      </c>
      <c r="V888" s="8">
        <v>45938.958333333336</v>
      </c>
      <c r="W888">
        <v>1</v>
      </c>
      <c r="X888">
        <v>0.69334490699999995</v>
      </c>
      <c r="Y888" t="s">
        <v>3340</v>
      </c>
      <c r="Z888" t="s">
        <v>7466</v>
      </c>
      <c r="AA888" t="s">
        <v>7463</v>
      </c>
      <c r="AB888" t="s">
        <v>1278</v>
      </c>
      <c r="AC888" t="s">
        <v>7467</v>
      </c>
      <c r="AD888" t="s">
        <v>2708</v>
      </c>
      <c r="AE888">
        <v>1</v>
      </c>
      <c r="AO888" t="s">
        <v>2957</v>
      </c>
      <c r="AP888" t="s">
        <v>2401</v>
      </c>
    </row>
    <row r="889" spans="1:42">
      <c r="A889" t="s">
        <v>827</v>
      </c>
      <c r="B889" t="s">
        <v>2377</v>
      </c>
      <c r="C889" t="s">
        <v>2443</v>
      </c>
      <c r="D889" t="s">
        <v>2443</v>
      </c>
      <c r="E889" t="s">
        <v>28</v>
      </c>
      <c r="F889" t="s">
        <v>2417</v>
      </c>
      <c r="G889" t="s">
        <v>28</v>
      </c>
      <c r="H889" t="b">
        <v>1</v>
      </c>
      <c r="I889" s="8">
        <v>45939.381678240738</v>
      </c>
      <c r="J889" t="s">
        <v>2380</v>
      </c>
      <c r="L889">
        <v>603026</v>
      </c>
      <c r="M889" t="s">
        <v>2381</v>
      </c>
      <c r="N889">
        <v>15</v>
      </c>
      <c r="P889" t="s">
        <v>3597</v>
      </c>
      <c r="Q889" t="s">
        <v>2383</v>
      </c>
      <c r="R889">
        <v>1</v>
      </c>
      <c r="S889" t="s">
        <v>2380</v>
      </c>
      <c r="T889" t="s">
        <v>2383</v>
      </c>
      <c r="U889" s="8">
        <v>45936.316550925927</v>
      </c>
      <c r="V889" s="8">
        <v>45938.958333333336</v>
      </c>
      <c r="W889">
        <v>1</v>
      </c>
      <c r="X889">
        <v>3.0651273149999998</v>
      </c>
      <c r="Y889" t="s">
        <v>2418</v>
      </c>
      <c r="Z889" t="s">
        <v>9187</v>
      </c>
      <c r="AA889" t="s">
        <v>1533</v>
      </c>
      <c r="AB889" t="s">
        <v>1278</v>
      </c>
      <c r="AC889" t="s">
        <v>3066</v>
      </c>
      <c r="AD889" t="s">
        <v>2708</v>
      </c>
      <c r="AE889">
        <v>1</v>
      </c>
      <c r="AH889" t="s">
        <v>12</v>
      </c>
      <c r="AI889" s="8">
        <v>45938.682118055556</v>
      </c>
      <c r="AK889" t="s">
        <v>2719</v>
      </c>
      <c r="AL889" t="s">
        <v>2719</v>
      </c>
      <c r="AO889" t="s">
        <v>3586</v>
      </c>
      <c r="AP889" t="s">
        <v>2401</v>
      </c>
    </row>
    <row r="890" spans="1:42">
      <c r="A890" t="s">
        <v>170</v>
      </c>
      <c r="B890" t="s">
        <v>2377</v>
      </c>
      <c r="C890" t="s">
        <v>2390</v>
      </c>
      <c r="D890" t="s">
        <v>2379</v>
      </c>
      <c r="E890" t="s">
        <v>12</v>
      </c>
      <c r="F890" t="s">
        <v>2588</v>
      </c>
      <c r="G890" t="s">
        <v>12</v>
      </c>
      <c r="H890" t="b">
        <v>1</v>
      </c>
      <c r="I890" s="8">
        <v>45938.48605324074</v>
      </c>
      <c r="J890" t="s">
        <v>2380</v>
      </c>
      <c r="L890">
        <v>603756</v>
      </c>
      <c r="M890" t="s">
        <v>2381</v>
      </c>
      <c r="P890" t="s">
        <v>8955</v>
      </c>
      <c r="Q890" t="s">
        <v>2383</v>
      </c>
      <c r="R890">
        <v>1</v>
      </c>
      <c r="S890" t="s">
        <v>2380</v>
      </c>
      <c r="T890" t="s">
        <v>2383</v>
      </c>
      <c r="U890" s="8">
        <v>45936.329259259262</v>
      </c>
      <c r="V890" s="8">
        <v>45938.958333333336</v>
      </c>
      <c r="W890">
        <v>1</v>
      </c>
      <c r="X890">
        <v>2.1567939809999999</v>
      </c>
      <c r="Y890" t="s">
        <v>2579</v>
      </c>
      <c r="Z890" t="s">
        <v>9495</v>
      </c>
      <c r="AA890" t="s">
        <v>1290</v>
      </c>
      <c r="AB890" t="s">
        <v>1278</v>
      </c>
      <c r="AC890" t="s">
        <v>9496</v>
      </c>
      <c r="AD890" t="s">
        <v>2708</v>
      </c>
      <c r="AE890">
        <v>1</v>
      </c>
      <c r="AO890" t="s">
        <v>3644</v>
      </c>
      <c r="AP890" t="s">
        <v>8931</v>
      </c>
    </row>
    <row r="891" spans="1:42">
      <c r="A891" t="s">
        <v>2095</v>
      </c>
      <c r="B891" t="s">
        <v>2389</v>
      </c>
      <c r="C891" t="s">
        <v>2438</v>
      </c>
      <c r="D891" t="s">
        <v>2379</v>
      </c>
      <c r="E891" t="s">
        <v>307</v>
      </c>
      <c r="F891" t="s">
        <v>2417</v>
      </c>
      <c r="G891" t="s">
        <v>307</v>
      </c>
      <c r="H891" t="b">
        <v>1</v>
      </c>
      <c r="I891" s="8">
        <v>45936.824317129627</v>
      </c>
      <c r="J891" t="s">
        <v>2380</v>
      </c>
      <c r="K891">
        <v>1200429</v>
      </c>
      <c r="L891">
        <v>601397</v>
      </c>
      <c r="M891" t="s">
        <v>2381</v>
      </c>
      <c r="P891" t="s">
        <v>3101</v>
      </c>
      <c r="Q891" t="s">
        <v>2383</v>
      </c>
      <c r="R891">
        <v>1</v>
      </c>
      <c r="S891" t="s">
        <v>2380</v>
      </c>
      <c r="T891" t="s">
        <v>2383</v>
      </c>
      <c r="U891" s="8">
        <v>45936.36577546296</v>
      </c>
      <c r="V891" s="8">
        <v>45939.958333333336</v>
      </c>
      <c r="W891">
        <v>1</v>
      </c>
      <c r="X891">
        <v>0.45854166699999999</v>
      </c>
      <c r="Y891" t="s">
        <v>2418</v>
      </c>
      <c r="Z891" t="s">
        <v>5603</v>
      </c>
      <c r="AA891" t="s">
        <v>1418</v>
      </c>
      <c r="AB891" t="s">
        <v>1278</v>
      </c>
      <c r="AC891" t="s">
        <v>5602</v>
      </c>
      <c r="AD891" t="s">
        <v>2708</v>
      </c>
      <c r="AE891">
        <v>1</v>
      </c>
      <c r="AO891" t="s">
        <v>2540</v>
      </c>
      <c r="AP891" t="s">
        <v>2401</v>
      </c>
    </row>
    <row r="892" spans="1:42">
      <c r="A892" t="s">
        <v>1819</v>
      </c>
      <c r="B892" t="s">
        <v>2389</v>
      </c>
      <c r="C892" t="s">
        <v>2378</v>
      </c>
      <c r="D892" t="s">
        <v>2379</v>
      </c>
      <c r="E892" t="s">
        <v>24</v>
      </c>
      <c r="F892" t="s">
        <v>2578</v>
      </c>
      <c r="G892" t="s">
        <v>24</v>
      </c>
      <c r="H892" t="b">
        <v>1</v>
      </c>
      <c r="I892" s="8">
        <v>45939.638831018521</v>
      </c>
      <c r="J892" t="s">
        <v>2380</v>
      </c>
      <c r="K892">
        <v>1201363</v>
      </c>
      <c r="L892">
        <v>605011</v>
      </c>
      <c r="M892" t="s">
        <v>2381</v>
      </c>
      <c r="P892" t="s">
        <v>3415</v>
      </c>
      <c r="Q892" t="s">
        <v>2383</v>
      </c>
      <c r="R892">
        <v>1</v>
      </c>
      <c r="S892" t="s">
        <v>2380</v>
      </c>
      <c r="T892" t="s">
        <v>2383</v>
      </c>
      <c r="U892" s="8">
        <v>45936.382002314815</v>
      </c>
      <c r="V892" s="8">
        <v>45939.958333333336</v>
      </c>
      <c r="W892">
        <v>1</v>
      </c>
      <c r="X892">
        <v>3.2568287040000001</v>
      </c>
      <c r="Y892" t="s">
        <v>2579</v>
      </c>
      <c r="Z892" t="s">
        <v>6641</v>
      </c>
      <c r="AA892" t="s">
        <v>1764</v>
      </c>
      <c r="AB892" t="s">
        <v>1278</v>
      </c>
      <c r="AC892" t="s">
        <v>6642</v>
      </c>
      <c r="AD892" t="s">
        <v>2708</v>
      </c>
      <c r="AE892">
        <v>1</v>
      </c>
      <c r="AO892" t="s">
        <v>2388</v>
      </c>
      <c r="AP892" t="s">
        <v>2401</v>
      </c>
    </row>
    <row r="893" spans="1:42">
      <c r="A893" t="s">
        <v>159</v>
      </c>
      <c r="B893" t="s">
        <v>2377</v>
      </c>
      <c r="C893" t="s">
        <v>2415</v>
      </c>
      <c r="D893" t="s">
        <v>2379</v>
      </c>
      <c r="E893" t="s">
        <v>2416</v>
      </c>
      <c r="F893" t="s">
        <v>3891</v>
      </c>
      <c r="G893" t="s">
        <v>2416</v>
      </c>
      <c r="H893" t="b">
        <v>1</v>
      </c>
      <c r="I893" s="8">
        <v>45937.454629629632</v>
      </c>
      <c r="J893" t="s">
        <v>2380</v>
      </c>
      <c r="L893">
        <v>603640</v>
      </c>
      <c r="M893" t="s">
        <v>2381</v>
      </c>
      <c r="P893" t="s">
        <v>2704</v>
      </c>
      <c r="Q893" t="s">
        <v>2383</v>
      </c>
      <c r="R893">
        <v>1</v>
      </c>
      <c r="S893" t="s">
        <v>2380</v>
      </c>
      <c r="T893" t="s">
        <v>2383</v>
      </c>
      <c r="U893" s="8">
        <v>45936.397349537037</v>
      </c>
      <c r="V893" s="8">
        <v>45939.958333333336</v>
      </c>
      <c r="W893">
        <v>1</v>
      </c>
      <c r="X893">
        <v>1.0572800929999999</v>
      </c>
      <c r="Y893" t="s">
        <v>3892</v>
      </c>
      <c r="Z893" t="s">
        <v>9270</v>
      </c>
      <c r="AA893" t="s">
        <v>4926</v>
      </c>
      <c r="AB893" t="s">
        <v>1278</v>
      </c>
      <c r="AC893" t="s">
        <v>9271</v>
      </c>
      <c r="AD893" t="s">
        <v>2708</v>
      </c>
      <c r="AE893">
        <v>1</v>
      </c>
      <c r="AH893" t="s">
        <v>33</v>
      </c>
      <c r="AI893" s="8">
        <v>45936.580335648148</v>
      </c>
      <c r="AK893" t="s">
        <v>2719</v>
      </c>
      <c r="AL893" t="s">
        <v>2719</v>
      </c>
      <c r="AO893" t="s">
        <v>2715</v>
      </c>
      <c r="AP893" t="s">
        <v>2401</v>
      </c>
    </row>
    <row r="894" spans="1:42">
      <c r="A894" t="s">
        <v>2025</v>
      </c>
      <c r="B894" t="s">
        <v>2389</v>
      </c>
      <c r="C894" t="s">
        <v>2415</v>
      </c>
      <c r="D894" t="s">
        <v>2379</v>
      </c>
      <c r="E894" t="s">
        <v>307</v>
      </c>
      <c r="F894" t="s">
        <v>2417</v>
      </c>
      <c r="G894" t="s">
        <v>307</v>
      </c>
      <c r="H894" t="b">
        <v>1</v>
      </c>
      <c r="I894" s="8">
        <v>45937.847453703704</v>
      </c>
      <c r="J894" t="s">
        <v>2380</v>
      </c>
      <c r="K894">
        <v>1200715</v>
      </c>
      <c r="L894">
        <v>602944</v>
      </c>
      <c r="M894" t="s">
        <v>2381</v>
      </c>
      <c r="P894" t="s">
        <v>2743</v>
      </c>
      <c r="Q894" t="s">
        <v>2383</v>
      </c>
      <c r="R894">
        <v>1</v>
      </c>
      <c r="S894" t="s">
        <v>2380</v>
      </c>
      <c r="T894" t="s">
        <v>2383</v>
      </c>
      <c r="U894" s="8">
        <v>45936.400034722225</v>
      </c>
      <c r="V894" s="8">
        <v>45939.958333333336</v>
      </c>
      <c r="W894">
        <v>1</v>
      </c>
      <c r="X894">
        <v>1.447418981</v>
      </c>
      <c r="Y894" t="s">
        <v>2418</v>
      </c>
      <c r="Z894" t="s">
        <v>5268</v>
      </c>
      <c r="AA894" t="s">
        <v>2745</v>
      </c>
      <c r="AB894" t="s">
        <v>1278</v>
      </c>
      <c r="AC894" t="s">
        <v>2802</v>
      </c>
      <c r="AD894" t="s">
        <v>2708</v>
      </c>
      <c r="AE894">
        <v>1</v>
      </c>
      <c r="AO894" t="s">
        <v>2408</v>
      </c>
      <c r="AP894" t="s">
        <v>2401</v>
      </c>
    </row>
    <row r="895" spans="1:42">
      <c r="A895" t="s">
        <v>2033</v>
      </c>
      <c r="B895" t="s">
        <v>2389</v>
      </c>
      <c r="C895" t="s">
        <v>2415</v>
      </c>
      <c r="D895" t="s">
        <v>2379</v>
      </c>
      <c r="E895" t="s">
        <v>307</v>
      </c>
      <c r="F895" t="s">
        <v>2417</v>
      </c>
      <c r="G895" t="s">
        <v>307</v>
      </c>
      <c r="H895" t="b">
        <v>1</v>
      </c>
      <c r="I895" s="8">
        <v>45937.813877314817</v>
      </c>
      <c r="J895" t="s">
        <v>2380</v>
      </c>
      <c r="K895">
        <v>1200711</v>
      </c>
      <c r="L895">
        <v>602944</v>
      </c>
      <c r="M895" t="s">
        <v>2381</v>
      </c>
      <c r="P895" t="s">
        <v>2743</v>
      </c>
      <c r="Q895" t="s">
        <v>2383</v>
      </c>
      <c r="R895">
        <v>1</v>
      </c>
      <c r="S895" t="s">
        <v>2380</v>
      </c>
      <c r="T895" t="s">
        <v>2383</v>
      </c>
      <c r="U895" s="8">
        <v>45936.400462962964</v>
      </c>
      <c r="V895" s="8">
        <v>45939.958333333336</v>
      </c>
      <c r="W895">
        <v>1</v>
      </c>
      <c r="X895">
        <v>1.413414352</v>
      </c>
      <c r="Y895" t="s">
        <v>2418</v>
      </c>
      <c r="Z895" t="s">
        <v>5269</v>
      </c>
      <c r="AA895" t="s">
        <v>2745</v>
      </c>
      <c r="AB895" t="s">
        <v>1278</v>
      </c>
      <c r="AC895" t="s">
        <v>2802</v>
      </c>
      <c r="AD895" t="s">
        <v>2708</v>
      </c>
      <c r="AE895">
        <v>1</v>
      </c>
      <c r="AO895" t="s">
        <v>2408</v>
      </c>
      <c r="AP895" t="s">
        <v>2401</v>
      </c>
    </row>
    <row r="896" spans="1:42">
      <c r="A896" t="s">
        <v>2029</v>
      </c>
      <c r="B896" t="s">
        <v>2389</v>
      </c>
      <c r="C896" t="s">
        <v>2415</v>
      </c>
      <c r="D896" t="s">
        <v>2379</v>
      </c>
      <c r="E896" t="s">
        <v>307</v>
      </c>
      <c r="F896" t="s">
        <v>2417</v>
      </c>
      <c r="G896" t="s">
        <v>307</v>
      </c>
      <c r="H896" t="b">
        <v>1</v>
      </c>
      <c r="I896" s="8">
        <v>45937.823912037034</v>
      </c>
      <c r="J896" t="s">
        <v>2380</v>
      </c>
      <c r="K896">
        <v>1200713</v>
      </c>
      <c r="L896">
        <v>602944</v>
      </c>
      <c r="M896" t="s">
        <v>2381</v>
      </c>
      <c r="P896" t="s">
        <v>2743</v>
      </c>
      <c r="Q896" t="s">
        <v>2383</v>
      </c>
      <c r="R896">
        <v>1</v>
      </c>
      <c r="S896" t="s">
        <v>2380</v>
      </c>
      <c r="T896" t="s">
        <v>2383</v>
      </c>
      <c r="U896" s="8">
        <v>45936.400717592594</v>
      </c>
      <c r="V896" s="8">
        <v>45939.958333333336</v>
      </c>
      <c r="W896">
        <v>1</v>
      </c>
      <c r="X896">
        <v>1.4231944439999999</v>
      </c>
      <c r="Y896" t="s">
        <v>2418</v>
      </c>
      <c r="Z896" t="s">
        <v>5270</v>
      </c>
      <c r="AA896" t="s">
        <v>2745</v>
      </c>
      <c r="AB896" t="s">
        <v>1278</v>
      </c>
      <c r="AC896" t="s">
        <v>2802</v>
      </c>
      <c r="AD896" t="s">
        <v>2708</v>
      </c>
      <c r="AE896">
        <v>1</v>
      </c>
      <c r="AO896" t="s">
        <v>2408</v>
      </c>
      <c r="AP896" t="s">
        <v>2401</v>
      </c>
    </row>
    <row r="897" spans="1:42">
      <c r="A897" t="s">
        <v>2031</v>
      </c>
      <c r="B897" t="s">
        <v>2389</v>
      </c>
      <c r="C897" t="s">
        <v>2415</v>
      </c>
      <c r="D897" t="s">
        <v>2379</v>
      </c>
      <c r="E897" t="s">
        <v>307</v>
      </c>
      <c r="F897" t="s">
        <v>2417</v>
      </c>
      <c r="G897" t="s">
        <v>307</v>
      </c>
      <c r="H897" t="b">
        <v>1</v>
      </c>
      <c r="I897" s="8">
        <v>45937.818472222221</v>
      </c>
      <c r="J897" t="s">
        <v>2380</v>
      </c>
      <c r="K897">
        <v>1200712</v>
      </c>
      <c r="L897">
        <v>602944</v>
      </c>
      <c r="M897" t="s">
        <v>2381</v>
      </c>
      <c r="P897" t="s">
        <v>2743</v>
      </c>
      <c r="Q897" t="s">
        <v>2383</v>
      </c>
      <c r="R897">
        <v>1</v>
      </c>
      <c r="S897" t="s">
        <v>2380</v>
      </c>
      <c r="T897" t="s">
        <v>2383</v>
      </c>
      <c r="U897" s="8">
        <v>45936.401145833333</v>
      </c>
      <c r="V897" s="8">
        <v>45939.958333333336</v>
      </c>
      <c r="W897">
        <v>1</v>
      </c>
      <c r="X897">
        <v>1.4173263890000001</v>
      </c>
      <c r="Y897" t="s">
        <v>2418</v>
      </c>
      <c r="Z897" t="s">
        <v>5271</v>
      </c>
      <c r="AA897" t="s">
        <v>2745</v>
      </c>
      <c r="AB897" t="s">
        <v>1278</v>
      </c>
      <c r="AC897" t="s">
        <v>2802</v>
      </c>
      <c r="AD897" t="s">
        <v>2708</v>
      </c>
      <c r="AE897">
        <v>1</v>
      </c>
      <c r="AO897" t="s">
        <v>2408</v>
      </c>
      <c r="AP897" t="s">
        <v>2401</v>
      </c>
    </row>
    <row r="898" spans="1:42">
      <c r="A898" t="s">
        <v>2027</v>
      </c>
      <c r="B898" t="s">
        <v>2389</v>
      </c>
      <c r="C898" t="s">
        <v>2415</v>
      </c>
      <c r="D898" t="s">
        <v>2379</v>
      </c>
      <c r="E898" t="s">
        <v>307</v>
      </c>
      <c r="F898" t="s">
        <v>2417</v>
      </c>
      <c r="G898" t="s">
        <v>307</v>
      </c>
      <c r="H898" t="b">
        <v>1</v>
      </c>
      <c r="I898" s="8">
        <v>45937.832719907405</v>
      </c>
      <c r="J898" t="s">
        <v>2380</v>
      </c>
      <c r="K898">
        <v>1200714</v>
      </c>
      <c r="L898">
        <v>602944</v>
      </c>
      <c r="M898" t="s">
        <v>2381</v>
      </c>
      <c r="P898" t="s">
        <v>2743</v>
      </c>
      <c r="Q898" t="s">
        <v>2383</v>
      </c>
      <c r="R898">
        <v>1</v>
      </c>
      <c r="S898" t="s">
        <v>2380</v>
      </c>
      <c r="T898" t="s">
        <v>2383</v>
      </c>
      <c r="U898" s="8">
        <v>45936.401423611111</v>
      </c>
      <c r="V898" s="8">
        <v>45939.958333333336</v>
      </c>
      <c r="W898">
        <v>1</v>
      </c>
      <c r="X898">
        <v>1.431296296</v>
      </c>
      <c r="Y898" t="s">
        <v>2418</v>
      </c>
      <c r="Z898" t="s">
        <v>5272</v>
      </c>
      <c r="AA898" t="s">
        <v>2745</v>
      </c>
      <c r="AB898" t="s">
        <v>1278</v>
      </c>
      <c r="AC898" t="s">
        <v>2802</v>
      </c>
      <c r="AD898" t="s">
        <v>2708</v>
      </c>
      <c r="AE898">
        <v>1</v>
      </c>
      <c r="AO898" t="s">
        <v>2408</v>
      </c>
      <c r="AP898" t="s">
        <v>2401</v>
      </c>
    </row>
    <row r="899" spans="1:42">
      <c r="A899" t="s">
        <v>1754</v>
      </c>
      <c r="B899" t="s">
        <v>2389</v>
      </c>
      <c r="C899" t="s">
        <v>2443</v>
      </c>
      <c r="D899" t="s">
        <v>2443</v>
      </c>
      <c r="E899" t="s">
        <v>307</v>
      </c>
      <c r="F899" t="s">
        <v>2417</v>
      </c>
      <c r="G899" t="s">
        <v>307</v>
      </c>
      <c r="H899" t="b">
        <v>1</v>
      </c>
      <c r="I899" s="8">
        <v>45940.560740740744</v>
      </c>
      <c r="J899" t="s">
        <v>2380</v>
      </c>
      <c r="K899">
        <v>1201637</v>
      </c>
      <c r="L899">
        <v>602944</v>
      </c>
      <c r="M899" t="s">
        <v>2381</v>
      </c>
      <c r="P899" t="s">
        <v>2743</v>
      </c>
      <c r="Q899" t="s">
        <v>2383</v>
      </c>
      <c r="R899">
        <v>1</v>
      </c>
      <c r="S899" t="s">
        <v>2380</v>
      </c>
      <c r="T899" t="s">
        <v>2383</v>
      </c>
      <c r="U899" s="8">
        <v>45936.401666666665</v>
      </c>
      <c r="V899" s="8">
        <v>45939.958333333336</v>
      </c>
      <c r="W899">
        <v>1</v>
      </c>
      <c r="X899">
        <v>4.1590740740000003</v>
      </c>
      <c r="Y899" t="s">
        <v>2418</v>
      </c>
      <c r="Z899" t="s">
        <v>5273</v>
      </c>
      <c r="AA899" t="s">
        <v>2745</v>
      </c>
      <c r="AB899" t="s">
        <v>1278</v>
      </c>
      <c r="AC899" t="s">
        <v>2802</v>
      </c>
      <c r="AD899" t="s">
        <v>2708</v>
      </c>
      <c r="AE899">
        <v>1</v>
      </c>
      <c r="AO899" t="s">
        <v>2408</v>
      </c>
      <c r="AP899" t="s">
        <v>2401</v>
      </c>
    </row>
    <row r="900" spans="1:42">
      <c r="A900" t="s">
        <v>9506</v>
      </c>
      <c r="B900" t="s">
        <v>2389</v>
      </c>
      <c r="C900" t="s">
        <v>2390</v>
      </c>
      <c r="D900" t="s">
        <v>2379</v>
      </c>
      <c r="E900" t="s">
        <v>24</v>
      </c>
      <c r="F900" t="s">
        <v>8940</v>
      </c>
      <c r="G900" t="s">
        <v>24</v>
      </c>
      <c r="H900" t="b">
        <v>1</v>
      </c>
      <c r="I900" s="8">
        <v>45938.626284722224</v>
      </c>
      <c r="J900" t="s">
        <v>2380</v>
      </c>
      <c r="K900">
        <v>1200896</v>
      </c>
      <c r="L900">
        <v>605564</v>
      </c>
      <c r="M900" t="s">
        <v>2381</v>
      </c>
      <c r="P900" t="s">
        <v>2670</v>
      </c>
      <c r="Q900" t="s">
        <v>2383</v>
      </c>
      <c r="R900">
        <v>1</v>
      </c>
      <c r="S900" t="s">
        <v>2380</v>
      </c>
      <c r="T900" t="s">
        <v>2383</v>
      </c>
      <c r="U900" s="8">
        <v>45936.413391203707</v>
      </c>
      <c r="V900" s="8">
        <v>45939.958333333336</v>
      </c>
      <c r="W900">
        <v>1</v>
      </c>
      <c r="X900">
        <v>2.2128935190000001</v>
      </c>
      <c r="Y900" t="s">
        <v>8941</v>
      </c>
      <c r="Z900" t="s">
        <v>9507</v>
      </c>
      <c r="AA900" t="s">
        <v>8943</v>
      </c>
      <c r="AB900" t="s">
        <v>1278</v>
      </c>
      <c r="AC900" t="s">
        <v>9508</v>
      </c>
      <c r="AD900" t="s">
        <v>2708</v>
      </c>
      <c r="AE900">
        <v>1</v>
      </c>
      <c r="AO900" t="s">
        <v>2715</v>
      </c>
      <c r="AP900" t="s">
        <v>8931</v>
      </c>
    </row>
    <row r="901" spans="1:42">
      <c r="A901" t="s">
        <v>1004</v>
      </c>
      <c r="B901" t="s">
        <v>2377</v>
      </c>
      <c r="C901" t="s">
        <v>2390</v>
      </c>
      <c r="D901" t="s">
        <v>2379</v>
      </c>
      <c r="E901" t="s">
        <v>33</v>
      </c>
      <c r="F901" t="s">
        <v>2402</v>
      </c>
      <c r="G901" t="s">
        <v>33</v>
      </c>
      <c r="H901" t="b">
        <v>1</v>
      </c>
      <c r="I901" s="8">
        <v>45938.57640046296</v>
      </c>
      <c r="J901" t="s">
        <v>2380</v>
      </c>
      <c r="L901">
        <v>609839</v>
      </c>
      <c r="M901" t="s">
        <v>2381</v>
      </c>
      <c r="P901" t="s">
        <v>2704</v>
      </c>
      <c r="Q901" t="s">
        <v>2383</v>
      </c>
      <c r="R901">
        <v>1</v>
      </c>
      <c r="S901" t="s">
        <v>2380</v>
      </c>
      <c r="T901" t="s">
        <v>2383</v>
      </c>
      <c r="U901" s="8">
        <v>45936.4215625</v>
      </c>
      <c r="V901" s="8">
        <v>45939.958333333336</v>
      </c>
      <c r="W901">
        <v>1</v>
      </c>
      <c r="X901">
        <v>2.1548379629999999</v>
      </c>
      <c r="Y901" t="s">
        <v>2403</v>
      </c>
      <c r="Z901" t="s">
        <v>5205</v>
      </c>
      <c r="AA901" t="s">
        <v>2760</v>
      </c>
      <c r="AB901" t="s">
        <v>1278</v>
      </c>
      <c r="AC901" t="s">
        <v>5206</v>
      </c>
      <c r="AD901" t="s">
        <v>2708</v>
      </c>
      <c r="AE901">
        <v>1</v>
      </c>
      <c r="AH901" t="s">
        <v>4895</v>
      </c>
      <c r="AI901" s="8">
        <v>45938.574664351851</v>
      </c>
      <c r="AK901" t="s">
        <v>2719</v>
      </c>
      <c r="AL901" t="s">
        <v>2719</v>
      </c>
      <c r="AO901" t="s">
        <v>2408</v>
      </c>
      <c r="AP901" t="s">
        <v>2401</v>
      </c>
    </row>
    <row r="902" spans="1:42">
      <c r="A902" t="s">
        <v>878</v>
      </c>
      <c r="B902" t="s">
        <v>2377</v>
      </c>
      <c r="C902" t="s">
        <v>2390</v>
      </c>
      <c r="D902" t="s">
        <v>2379</v>
      </c>
      <c r="E902" t="s">
        <v>28</v>
      </c>
      <c r="F902" t="s">
        <v>2417</v>
      </c>
      <c r="G902" t="s">
        <v>28</v>
      </c>
      <c r="H902" t="b">
        <v>1</v>
      </c>
      <c r="I902" s="8">
        <v>45939.429224537038</v>
      </c>
      <c r="J902" t="s">
        <v>2380</v>
      </c>
      <c r="L902">
        <v>602557</v>
      </c>
      <c r="M902" t="s">
        <v>2381</v>
      </c>
      <c r="N902">
        <v>15</v>
      </c>
      <c r="P902" t="s">
        <v>4320</v>
      </c>
      <c r="Q902" t="s">
        <v>2383</v>
      </c>
      <c r="R902">
        <v>1</v>
      </c>
      <c r="S902" t="s">
        <v>2380</v>
      </c>
      <c r="T902" t="s">
        <v>2383</v>
      </c>
      <c r="U902" s="8">
        <v>45936.438402777778</v>
      </c>
      <c r="V902" s="8">
        <v>45939.958333333336</v>
      </c>
      <c r="W902">
        <v>1</v>
      </c>
      <c r="X902">
        <v>2.9908217590000001</v>
      </c>
      <c r="Y902" t="s">
        <v>2418</v>
      </c>
      <c r="Z902" t="s">
        <v>5465</v>
      </c>
      <c r="AA902" t="s">
        <v>1954</v>
      </c>
      <c r="AB902" t="s">
        <v>1278</v>
      </c>
      <c r="AC902" t="s">
        <v>3076</v>
      </c>
      <c r="AD902" t="s">
        <v>2708</v>
      </c>
      <c r="AE902">
        <v>1</v>
      </c>
      <c r="AO902" t="s">
        <v>2408</v>
      </c>
      <c r="AP902" t="s">
        <v>2401</v>
      </c>
    </row>
    <row r="903" spans="1:42">
      <c r="A903" t="s">
        <v>10317</v>
      </c>
      <c r="B903" t="s">
        <v>2377</v>
      </c>
      <c r="C903" t="s">
        <v>2438</v>
      </c>
      <c r="D903" t="s">
        <v>2379</v>
      </c>
      <c r="E903" t="s">
        <v>307</v>
      </c>
      <c r="F903" t="s">
        <v>3891</v>
      </c>
      <c r="G903" t="s">
        <v>307</v>
      </c>
      <c r="H903" t="b">
        <v>1</v>
      </c>
      <c r="I903" s="8">
        <v>45936.664097222223</v>
      </c>
      <c r="J903" t="s">
        <v>2380</v>
      </c>
      <c r="L903">
        <v>606950</v>
      </c>
      <c r="M903" t="s">
        <v>2381</v>
      </c>
      <c r="P903" t="s">
        <v>2670</v>
      </c>
      <c r="Q903" t="s">
        <v>2383</v>
      </c>
      <c r="R903">
        <v>1</v>
      </c>
      <c r="S903" t="s">
        <v>2380</v>
      </c>
      <c r="T903" t="s">
        <v>2383</v>
      </c>
      <c r="U903" s="8">
        <v>45936.439074074071</v>
      </c>
      <c r="V903" s="8">
        <v>45939.958333333336</v>
      </c>
      <c r="W903">
        <v>1</v>
      </c>
      <c r="X903">
        <v>0.22502314800000001</v>
      </c>
      <c r="Y903" t="s">
        <v>3892</v>
      </c>
      <c r="Z903" t="s">
        <v>10318</v>
      </c>
      <c r="AA903" t="s">
        <v>8679</v>
      </c>
      <c r="AB903" t="s">
        <v>1278</v>
      </c>
      <c r="AC903" t="s">
        <v>10319</v>
      </c>
      <c r="AE903">
        <v>1</v>
      </c>
      <c r="AO903" t="s">
        <v>2715</v>
      </c>
      <c r="AP903" t="s">
        <v>2401</v>
      </c>
    </row>
    <row r="904" spans="1:42">
      <c r="A904" t="s">
        <v>10320</v>
      </c>
      <c r="B904" t="s">
        <v>2377</v>
      </c>
      <c r="C904" t="s">
        <v>2438</v>
      </c>
      <c r="D904" t="s">
        <v>2379</v>
      </c>
      <c r="E904" t="s">
        <v>307</v>
      </c>
      <c r="F904" t="s">
        <v>3891</v>
      </c>
      <c r="G904" t="s">
        <v>307</v>
      </c>
      <c r="H904" t="b">
        <v>1</v>
      </c>
      <c r="I904" s="8">
        <v>45936.663668981484</v>
      </c>
      <c r="J904" t="s">
        <v>2380</v>
      </c>
      <c r="L904">
        <v>606950</v>
      </c>
      <c r="M904" t="s">
        <v>2381</v>
      </c>
      <c r="P904" t="s">
        <v>2670</v>
      </c>
      <c r="Q904" t="s">
        <v>2383</v>
      </c>
      <c r="R904">
        <v>1</v>
      </c>
      <c r="S904" t="s">
        <v>2380</v>
      </c>
      <c r="T904" t="s">
        <v>2383</v>
      </c>
      <c r="U904" s="8">
        <v>45936.441840277781</v>
      </c>
      <c r="V904" s="8">
        <v>45939.958333333336</v>
      </c>
      <c r="W904">
        <v>1</v>
      </c>
      <c r="X904">
        <v>0.22182870399999999</v>
      </c>
      <c r="Y904" t="s">
        <v>3892</v>
      </c>
      <c r="Z904" t="s">
        <v>10321</v>
      </c>
      <c r="AA904" t="s">
        <v>8679</v>
      </c>
      <c r="AB904" t="s">
        <v>1278</v>
      </c>
      <c r="AC904" t="s">
        <v>10322</v>
      </c>
      <c r="AE904">
        <v>1</v>
      </c>
      <c r="AO904" t="s">
        <v>2715</v>
      </c>
      <c r="AP904" t="s">
        <v>2401</v>
      </c>
    </row>
    <row r="905" spans="1:42">
      <c r="A905" t="s">
        <v>1817</v>
      </c>
      <c r="B905" t="s">
        <v>2389</v>
      </c>
      <c r="C905" t="s">
        <v>2378</v>
      </c>
      <c r="D905" t="s">
        <v>2379</v>
      </c>
      <c r="E905" t="s">
        <v>24</v>
      </c>
      <c r="F905" t="s">
        <v>2578</v>
      </c>
      <c r="G905" t="s">
        <v>24</v>
      </c>
      <c r="H905" t="b">
        <v>1</v>
      </c>
      <c r="I905" s="8">
        <v>45939.64203703704</v>
      </c>
      <c r="J905" t="s">
        <v>2380</v>
      </c>
      <c r="K905">
        <v>1201364</v>
      </c>
      <c r="L905">
        <v>601054</v>
      </c>
      <c r="M905" t="s">
        <v>2381</v>
      </c>
      <c r="P905" t="s">
        <v>3411</v>
      </c>
      <c r="Q905" t="s">
        <v>2383</v>
      </c>
      <c r="R905">
        <v>1</v>
      </c>
      <c r="S905" t="s">
        <v>2380</v>
      </c>
      <c r="T905" t="s">
        <v>2383</v>
      </c>
      <c r="U905" s="8">
        <v>45936.453194444446</v>
      </c>
      <c r="V905" s="8">
        <v>45939.958333333336</v>
      </c>
      <c r="W905">
        <v>1</v>
      </c>
      <c r="X905">
        <v>3.1888425929999999</v>
      </c>
      <c r="Y905" t="s">
        <v>2579</v>
      </c>
      <c r="Z905" t="s">
        <v>6636</v>
      </c>
      <c r="AA905" t="s">
        <v>1815</v>
      </c>
      <c r="AB905" t="s">
        <v>1278</v>
      </c>
      <c r="AC905" t="s">
        <v>6637</v>
      </c>
      <c r="AD905" t="s">
        <v>2708</v>
      </c>
      <c r="AE905">
        <v>1</v>
      </c>
      <c r="AO905" t="s">
        <v>2388</v>
      </c>
      <c r="AP905" t="s">
        <v>2401</v>
      </c>
    </row>
    <row r="906" spans="1:42">
      <c r="A906" t="s">
        <v>2101</v>
      </c>
      <c r="B906" t="s">
        <v>2389</v>
      </c>
      <c r="C906" t="s">
        <v>2438</v>
      </c>
      <c r="D906" t="s">
        <v>2379</v>
      </c>
      <c r="E906" t="s">
        <v>307</v>
      </c>
      <c r="F906" t="s">
        <v>4897</v>
      </c>
      <c r="G906" t="s">
        <v>307</v>
      </c>
      <c r="H906" t="b">
        <v>1</v>
      </c>
      <c r="I906" s="8">
        <v>45936.690312500003</v>
      </c>
      <c r="J906" t="s">
        <v>2380</v>
      </c>
      <c r="K906">
        <v>1200421</v>
      </c>
      <c r="L906">
        <v>603293</v>
      </c>
      <c r="M906" t="s">
        <v>2381</v>
      </c>
      <c r="P906" t="s">
        <v>3896</v>
      </c>
      <c r="Q906" t="s">
        <v>2383</v>
      </c>
      <c r="R906">
        <v>1</v>
      </c>
      <c r="S906" t="s">
        <v>2380</v>
      </c>
      <c r="T906" t="s">
        <v>2383</v>
      </c>
      <c r="U906" s="8">
        <v>45936.472384259258</v>
      </c>
      <c r="V906" s="8">
        <v>45939.958333333336</v>
      </c>
      <c r="W906">
        <v>1</v>
      </c>
      <c r="X906">
        <v>0.21792824099999999</v>
      </c>
      <c r="Y906" t="s">
        <v>4898</v>
      </c>
      <c r="Z906" t="s">
        <v>4971</v>
      </c>
      <c r="AA906" t="s">
        <v>4972</v>
      </c>
      <c r="AB906" t="s">
        <v>1278</v>
      </c>
      <c r="AD906" t="s">
        <v>2708</v>
      </c>
      <c r="AE906">
        <v>1</v>
      </c>
      <c r="AO906" t="s">
        <v>2715</v>
      </c>
      <c r="AP906" t="s">
        <v>2401</v>
      </c>
    </row>
    <row r="907" spans="1:42">
      <c r="A907" t="s">
        <v>1971</v>
      </c>
      <c r="B907" t="s">
        <v>2389</v>
      </c>
      <c r="C907" t="s">
        <v>2390</v>
      </c>
      <c r="D907" t="s">
        <v>2379</v>
      </c>
      <c r="E907" t="s">
        <v>12</v>
      </c>
      <c r="F907" t="s">
        <v>2578</v>
      </c>
      <c r="G907" t="s">
        <v>12</v>
      </c>
      <c r="H907" t="b">
        <v>1</v>
      </c>
      <c r="I907" s="8">
        <v>45938.679907407408</v>
      </c>
      <c r="J907" t="s">
        <v>2380</v>
      </c>
      <c r="K907">
        <v>1201170</v>
      </c>
      <c r="L907">
        <v>603549</v>
      </c>
      <c r="M907" t="s">
        <v>2381</v>
      </c>
      <c r="P907" t="s">
        <v>7172</v>
      </c>
      <c r="Q907" t="s">
        <v>2383</v>
      </c>
      <c r="R907">
        <v>1</v>
      </c>
      <c r="S907" t="s">
        <v>2380</v>
      </c>
      <c r="T907" t="s">
        <v>2383</v>
      </c>
      <c r="U907" s="8">
        <v>45936.477650462963</v>
      </c>
      <c r="V907" s="8">
        <v>45939.958333333336</v>
      </c>
      <c r="W907">
        <v>1</v>
      </c>
      <c r="X907">
        <v>2.2022569440000002</v>
      </c>
      <c r="Y907" t="s">
        <v>2579</v>
      </c>
      <c r="Z907" t="s">
        <v>7173</v>
      </c>
      <c r="AA907" t="s">
        <v>7174</v>
      </c>
      <c r="AB907" t="s">
        <v>1278</v>
      </c>
      <c r="AC907" t="s">
        <v>7175</v>
      </c>
      <c r="AD907" t="s">
        <v>2708</v>
      </c>
      <c r="AE907">
        <v>1</v>
      </c>
      <c r="AO907" t="s">
        <v>2388</v>
      </c>
      <c r="AP907" t="s">
        <v>2401</v>
      </c>
    </row>
    <row r="908" spans="1:42">
      <c r="A908" t="s">
        <v>10323</v>
      </c>
      <c r="B908" t="s">
        <v>2377</v>
      </c>
      <c r="C908" t="s">
        <v>2438</v>
      </c>
      <c r="D908" t="s">
        <v>2379</v>
      </c>
      <c r="E908" t="s">
        <v>307</v>
      </c>
      <c r="F908" t="s">
        <v>3891</v>
      </c>
      <c r="G908" t="s">
        <v>307</v>
      </c>
      <c r="H908" t="b">
        <v>1</v>
      </c>
      <c r="I908" s="8">
        <v>45936.690162037034</v>
      </c>
      <c r="J908" t="s">
        <v>2380</v>
      </c>
      <c r="L908">
        <v>603464</v>
      </c>
      <c r="M908" t="s">
        <v>2381</v>
      </c>
      <c r="P908" t="s">
        <v>2670</v>
      </c>
      <c r="Q908" t="s">
        <v>2383</v>
      </c>
      <c r="R908">
        <v>1</v>
      </c>
      <c r="S908" t="s">
        <v>2380</v>
      </c>
      <c r="T908" t="s">
        <v>2383</v>
      </c>
      <c r="U908" s="8">
        <v>45936.478680555556</v>
      </c>
      <c r="V908" s="8">
        <v>45939.958333333336</v>
      </c>
      <c r="W908">
        <v>1</v>
      </c>
      <c r="X908">
        <v>0.211481481</v>
      </c>
      <c r="Y908" t="s">
        <v>3892</v>
      </c>
      <c r="Z908" t="s">
        <v>10324</v>
      </c>
      <c r="AA908" t="s">
        <v>10325</v>
      </c>
      <c r="AB908" t="s">
        <v>1278</v>
      </c>
      <c r="AC908" t="s">
        <v>10326</v>
      </c>
      <c r="AE908">
        <v>1</v>
      </c>
      <c r="AO908" t="s">
        <v>2715</v>
      </c>
      <c r="AP908" t="s">
        <v>2401</v>
      </c>
    </row>
    <row r="909" spans="1:42">
      <c r="A909" t="s">
        <v>1976</v>
      </c>
      <c r="B909" t="s">
        <v>2389</v>
      </c>
      <c r="C909" t="s">
        <v>2390</v>
      </c>
      <c r="D909" t="s">
        <v>2379</v>
      </c>
      <c r="E909" t="s">
        <v>28</v>
      </c>
      <c r="F909" t="s">
        <v>2417</v>
      </c>
      <c r="G909" t="s">
        <v>28</v>
      </c>
      <c r="H909" t="b">
        <v>1</v>
      </c>
      <c r="I909" s="8">
        <v>45938.636296296296</v>
      </c>
      <c r="J909" t="s">
        <v>2380</v>
      </c>
      <c r="K909">
        <v>1200904</v>
      </c>
      <c r="L909">
        <v>609726</v>
      </c>
      <c r="M909" t="s">
        <v>2381</v>
      </c>
      <c r="N909">
        <v>15</v>
      </c>
      <c r="P909" t="s">
        <v>5493</v>
      </c>
      <c r="Q909" t="s">
        <v>2383</v>
      </c>
      <c r="R909">
        <v>1</v>
      </c>
      <c r="S909" t="s">
        <v>2380</v>
      </c>
      <c r="T909" t="s">
        <v>2383</v>
      </c>
      <c r="U909" s="8">
        <v>45936.495787037034</v>
      </c>
      <c r="V909" s="8">
        <v>45939.958333333336</v>
      </c>
      <c r="W909">
        <v>1</v>
      </c>
      <c r="X909">
        <v>2.1405092589999999</v>
      </c>
      <c r="Y909" t="s">
        <v>2418</v>
      </c>
      <c r="Z909" t="s">
        <v>5494</v>
      </c>
      <c r="AA909" t="s">
        <v>1974</v>
      </c>
      <c r="AB909" t="s">
        <v>1278</v>
      </c>
      <c r="AC909" t="s">
        <v>5495</v>
      </c>
      <c r="AD909" t="s">
        <v>2708</v>
      </c>
      <c r="AE909">
        <v>1</v>
      </c>
      <c r="AO909" t="s">
        <v>2408</v>
      </c>
      <c r="AP909" t="s">
        <v>2401</v>
      </c>
    </row>
    <row r="910" spans="1:42">
      <c r="A910" t="s">
        <v>834</v>
      </c>
      <c r="B910" t="s">
        <v>2377</v>
      </c>
      <c r="C910" t="s">
        <v>2390</v>
      </c>
      <c r="D910" t="s">
        <v>2379</v>
      </c>
      <c r="E910" t="s">
        <v>12</v>
      </c>
      <c r="F910" t="s">
        <v>2588</v>
      </c>
      <c r="G910" t="s">
        <v>12</v>
      </c>
      <c r="H910" t="b">
        <v>1</v>
      </c>
      <c r="I910" s="8">
        <v>45938.629247685189</v>
      </c>
      <c r="J910" t="s">
        <v>2380</v>
      </c>
      <c r="L910">
        <v>603616</v>
      </c>
      <c r="M910" t="s">
        <v>2381</v>
      </c>
      <c r="P910" t="s">
        <v>2704</v>
      </c>
      <c r="Q910" t="s">
        <v>2383</v>
      </c>
      <c r="R910">
        <v>1</v>
      </c>
      <c r="S910" t="s">
        <v>2380</v>
      </c>
      <c r="T910" t="s">
        <v>2383</v>
      </c>
      <c r="U910" s="8">
        <v>45936.503437500003</v>
      </c>
      <c r="V910" s="8">
        <v>45939.958333333336</v>
      </c>
      <c r="W910">
        <v>1</v>
      </c>
      <c r="X910">
        <v>2.1258101850000002</v>
      </c>
      <c r="Y910" t="s">
        <v>2579</v>
      </c>
      <c r="Z910" t="s">
        <v>9778</v>
      </c>
      <c r="AA910" t="s">
        <v>3643</v>
      </c>
      <c r="AB910" t="s">
        <v>1278</v>
      </c>
      <c r="AC910" t="s">
        <v>9779</v>
      </c>
      <c r="AD910" t="s">
        <v>2708</v>
      </c>
      <c r="AE910">
        <v>1</v>
      </c>
      <c r="AO910" t="s">
        <v>3644</v>
      </c>
      <c r="AP910" t="s">
        <v>2401</v>
      </c>
    </row>
    <row r="911" spans="1:42">
      <c r="A911" t="s">
        <v>838</v>
      </c>
      <c r="B911" t="s">
        <v>2377</v>
      </c>
      <c r="C911" t="s">
        <v>2390</v>
      </c>
      <c r="D911" t="s">
        <v>2379</v>
      </c>
      <c r="E911" t="s">
        <v>12</v>
      </c>
      <c r="F911" t="s">
        <v>2541</v>
      </c>
      <c r="G911" t="s">
        <v>12</v>
      </c>
      <c r="H911" t="b">
        <v>1</v>
      </c>
      <c r="I911" s="8">
        <v>45938.65902777778</v>
      </c>
      <c r="J911" t="s">
        <v>2380</v>
      </c>
      <c r="L911">
        <v>603011</v>
      </c>
      <c r="M911" t="s">
        <v>2381</v>
      </c>
      <c r="P911" t="s">
        <v>2704</v>
      </c>
      <c r="Q911" t="s">
        <v>2383</v>
      </c>
      <c r="R911">
        <v>1</v>
      </c>
      <c r="S911" t="s">
        <v>2380</v>
      </c>
      <c r="T911" t="s">
        <v>5117</v>
      </c>
      <c r="U911" s="8">
        <v>45936.504571759258</v>
      </c>
      <c r="V911" s="8">
        <v>45939.958333333336</v>
      </c>
      <c r="W911">
        <v>1</v>
      </c>
      <c r="X911">
        <v>2.1544560189999999</v>
      </c>
      <c r="Y911" t="s">
        <v>2542</v>
      </c>
      <c r="Z911" t="s">
        <v>5120</v>
      </c>
      <c r="AA911" t="s">
        <v>5121</v>
      </c>
      <c r="AB911" t="s">
        <v>1278</v>
      </c>
      <c r="AC911" t="s">
        <v>5122</v>
      </c>
      <c r="AD911" t="s">
        <v>2708</v>
      </c>
      <c r="AE911">
        <v>1</v>
      </c>
      <c r="AO911" t="s">
        <v>2720</v>
      </c>
      <c r="AP911" t="s">
        <v>2401</v>
      </c>
    </row>
    <row r="912" spans="1:42">
      <c r="A912" t="s">
        <v>10327</v>
      </c>
      <c r="B912" t="s">
        <v>2377</v>
      </c>
      <c r="C912" t="s">
        <v>2438</v>
      </c>
      <c r="D912" t="s">
        <v>2379</v>
      </c>
      <c r="E912" t="s">
        <v>307</v>
      </c>
      <c r="F912" t="s">
        <v>3891</v>
      </c>
      <c r="G912" t="s">
        <v>307</v>
      </c>
      <c r="H912" t="b">
        <v>1</v>
      </c>
      <c r="I912" s="8">
        <v>45936.691168981481</v>
      </c>
      <c r="J912" t="s">
        <v>2380</v>
      </c>
      <c r="L912">
        <v>603464</v>
      </c>
      <c r="M912" t="s">
        <v>2381</v>
      </c>
      <c r="P912" t="s">
        <v>2670</v>
      </c>
      <c r="Q912" t="s">
        <v>2383</v>
      </c>
      <c r="R912">
        <v>1</v>
      </c>
      <c r="S912" t="s">
        <v>2380</v>
      </c>
      <c r="T912" t="s">
        <v>2383</v>
      </c>
      <c r="U912" s="8">
        <v>45936.507199074076</v>
      </c>
      <c r="V912" s="8">
        <v>45939.958333333336</v>
      </c>
      <c r="W912">
        <v>1</v>
      </c>
      <c r="X912">
        <v>0.18396990699999999</v>
      </c>
      <c r="Y912" t="s">
        <v>3892</v>
      </c>
      <c r="Z912" t="s">
        <v>10328</v>
      </c>
      <c r="AA912" t="s">
        <v>10325</v>
      </c>
      <c r="AB912" t="s">
        <v>1278</v>
      </c>
      <c r="AC912" t="s">
        <v>10326</v>
      </c>
      <c r="AE912">
        <v>1</v>
      </c>
      <c r="AO912" t="s">
        <v>2715</v>
      </c>
      <c r="AP912" t="s">
        <v>2401</v>
      </c>
    </row>
    <row r="913" spans="1:42">
      <c r="A913" t="s">
        <v>2086</v>
      </c>
      <c r="B913" t="s">
        <v>2389</v>
      </c>
      <c r="C913" t="s">
        <v>2438</v>
      </c>
      <c r="D913" t="s">
        <v>2379</v>
      </c>
      <c r="E913" t="s">
        <v>33</v>
      </c>
      <c r="F913" t="s">
        <v>8583</v>
      </c>
      <c r="G913" t="s">
        <v>33</v>
      </c>
      <c r="H913" t="b">
        <v>1</v>
      </c>
      <c r="I913" s="8">
        <v>45937.399293981478</v>
      </c>
      <c r="J913" t="s">
        <v>2380</v>
      </c>
      <c r="K913">
        <v>1200435</v>
      </c>
      <c r="L913">
        <v>601479</v>
      </c>
      <c r="M913" t="s">
        <v>2381</v>
      </c>
      <c r="P913" t="s">
        <v>8584</v>
      </c>
      <c r="Q913" t="s">
        <v>2383</v>
      </c>
      <c r="R913">
        <v>1</v>
      </c>
      <c r="S913" t="s">
        <v>2380</v>
      </c>
      <c r="T913" t="s">
        <v>2383</v>
      </c>
      <c r="U913" s="8">
        <v>45936.520937499998</v>
      </c>
      <c r="V913" s="8">
        <v>45939.958333333336</v>
      </c>
      <c r="W913">
        <v>1</v>
      </c>
      <c r="X913">
        <v>0.87835648099999997</v>
      </c>
      <c r="Y913" t="s">
        <v>1588</v>
      </c>
      <c r="Z913" t="s">
        <v>9636</v>
      </c>
      <c r="AA913" t="s">
        <v>9630</v>
      </c>
      <c r="AB913" t="s">
        <v>1278</v>
      </c>
      <c r="AC913" t="s">
        <v>9637</v>
      </c>
      <c r="AD913" t="s">
        <v>2708</v>
      </c>
      <c r="AE913">
        <v>1</v>
      </c>
      <c r="AO913" t="s">
        <v>3608</v>
      </c>
      <c r="AP913" t="s">
        <v>2401</v>
      </c>
    </row>
    <row r="914" spans="1:42">
      <c r="A914" t="s">
        <v>876</v>
      </c>
      <c r="B914" t="s">
        <v>2377</v>
      </c>
      <c r="C914" t="s">
        <v>2390</v>
      </c>
      <c r="D914" t="s">
        <v>2379</v>
      </c>
      <c r="E914" t="s">
        <v>28</v>
      </c>
      <c r="F914" t="s">
        <v>2417</v>
      </c>
      <c r="G914" t="s">
        <v>28</v>
      </c>
      <c r="H914" t="b">
        <v>1</v>
      </c>
      <c r="I914" s="8">
        <v>45939.420219907406</v>
      </c>
      <c r="J914" t="s">
        <v>2380</v>
      </c>
      <c r="L914">
        <v>602557</v>
      </c>
      <c r="M914" t="s">
        <v>2381</v>
      </c>
      <c r="N914">
        <v>15</v>
      </c>
      <c r="P914" t="s">
        <v>4320</v>
      </c>
      <c r="Q914" t="s">
        <v>2383</v>
      </c>
      <c r="R914">
        <v>1</v>
      </c>
      <c r="S914" t="s">
        <v>2380</v>
      </c>
      <c r="T914" t="s">
        <v>2383</v>
      </c>
      <c r="U914" s="8">
        <v>45936.528425925928</v>
      </c>
      <c r="V914" s="8">
        <v>45939.958333333336</v>
      </c>
      <c r="W914">
        <v>1</v>
      </c>
      <c r="X914">
        <v>2.8917939810000002</v>
      </c>
      <c r="Y914" t="s">
        <v>2418</v>
      </c>
      <c r="Z914" t="s">
        <v>5466</v>
      </c>
      <c r="AA914" t="s">
        <v>1954</v>
      </c>
      <c r="AB914" t="s">
        <v>1278</v>
      </c>
      <c r="AC914" t="s">
        <v>4825</v>
      </c>
      <c r="AD914" t="s">
        <v>2708</v>
      </c>
      <c r="AE914">
        <v>1</v>
      </c>
      <c r="AO914" t="s">
        <v>2408</v>
      </c>
      <c r="AP914" t="s">
        <v>2401</v>
      </c>
    </row>
    <row r="915" spans="1:42">
      <c r="A915" t="s">
        <v>601</v>
      </c>
      <c r="B915" t="s">
        <v>2377</v>
      </c>
      <c r="C915" t="s">
        <v>2378</v>
      </c>
      <c r="D915" t="s">
        <v>2379</v>
      </c>
      <c r="E915" t="s">
        <v>24</v>
      </c>
      <c r="F915" t="s">
        <v>2578</v>
      </c>
      <c r="G915" t="s">
        <v>24</v>
      </c>
      <c r="H915" t="b">
        <v>1</v>
      </c>
      <c r="I915" s="8">
        <v>45939.553587962961</v>
      </c>
      <c r="J915" t="s">
        <v>2380</v>
      </c>
      <c r="L915">
        <v>608020</v>
      </c>
      <c r="M915" t="s">
        <v>2381</v>
      </c>
      <c r="P915" t="s">
        <v>6561</v>
      </c>
      <c r="Q915" t="s">
        <v>2383</v>
      </c>
      <c r="R915">
        <v>1</v>
      </c>
      <c r="S915" t="s">
        <v>2380</v>
      </c>
      <c r="T915" t="s">
        <v>2383</v>
      </c>
      <c r="U915" s="8">
        <v>45936.53707175926</v>
      </c>
      <c r="V915" s="8">
        <v>45939.958333333336</v>
      </c>
      <c r="W915">
        <v>1</v>
      </c>
      <c r="X915">
        <v>3.0165162040000002</v>
      </c>
      <c r="Y915" t="s">
        <v>2579</v>
      </c>
      <c r="Z915" t="s">
        <v>6562</v>
      </c>
      <c r="AA915" t="s">
        <v>1293</v>
      </c>
      <c r="AB915" t="s">
        <v>1278</v>
      </c>
      <c r="AC915" t="s">
        <v>2387</v>
      </c>
      <c r="AD915" t="s">
        <v>2708</v>
      </c>
      <c r="AE915">
        <v>1</v>
      </c>
      <c r="AO915" t="s">
        <v>2388</v>
      </c>
      <c r="AP915" t="s">
        <v>2401</v>
      </c>
    </row>
    <row r="916" spans="1:42">
      <c r="A916" t="s">
        <v>175</v>
      </c>
      <c r="B916" t="s">
        <v>2377</v>
      </c>
      <c r="C916" t="s">
        <v>2378</v>
      </c>
      <c r="D916" t="s">
        <v>2379</v>
      </c>
      <c r="E916" t="s">
        <v>12</v>
      </c>
      <c r="F916" t="s">
        <v>2578</v>
      </c>
      <c r="G916" t="s">
        <v>12</v>
      </c>
      <c r="H916" t="b">
        <v>1</v>
      </c>
      <c r="I916" s="8">
        <v>45939.604097222225</v>
      </c>
      <c r="J916" t="s">
        <v>2380</v>
      </c>
      <c r="L916">
        <v>603471</v>
      </c>
      <c r="M916" t="s">
        <v>2381</v>
      </c>
      <c r="P916" t="s">
        <v>6611</v>
      </c>
      <c r="Q916" t="s">
        <v>2383</v>
      </c>
      <c r="R916">
        <v>1</v>
      </c>
      <c r="S916" t="s">
        <v>2380</v>
      </c>
      <c r="T916" t="s">
        <v>2383</v>
      </c>
      <c r="U916" s="8">
        <v>45936.550532407404</v>
      </c>
      <c r="V916" s="8">
        <v>45939.958333333336</v>
      </c>
      <c r="W916">
        <v>1</v>
      </c>
      <c r="X916">
        <v>3.0535648150000001</v>
      </c>
      <c r="Y916" t="s">
        <v>2579</v>
      </c>
      <c r="Z916" t="s">
        <v>6623</v>
      </c>
      <c r="AA916" t="s">
        <v>1527</v>
      </c>
      <c r="AB916" t="s">
        <v>1278</v>
      </c>
      <c r="AC916" t="s">
        <v>6624</v>
      </c>
      <c r="AD916" t="s">
        <v>2708</v>
      </c>
      <c r="AE916">
        <v>1</v>
      </c>
      <c r="AO916" t="s">
        <v>2388</v>
      </c>
      <c r="AP916" t="s">
        <v>2401</v>
      </c>
    </row>
    <row r="917" spans="1:42">
      <c r="A917" t="s">
        <v>1934</v>
      </c>
      <c r="B917" t="s">
        <v>2389</v>
      </c>
      <c r="C917" t="s">
        <v>2390</v>
      </c>
      <c r="D917" t="s">
        <v>2379</v>
      </c>
      <c r="E917" t="s">
        <v>2452</v>
      </c>
      <c r="F917" t="s">
        <v>2578</v>
      </c>
      <c r="G917" t="s">
        <v>2452</v>
      </c>
      <c r="H917" t="b">
        <v>1</v>
      </c>
      <c r="I917" s="8">
        <v>45939.510034722225</v>
      </c>
      <c r="J917" t="s">
        <v>2380</v>
      </c>
      <c r="L917">
        <v>606871</v>
      </c>
      <c r="M917" t="s">
        <v>2381</v>
      </c>
      <c r="P917" t="s">
        <v>3280</v>
      </c>
      <c r="Q917" t="s">
        <v>2383</v>
      </c>
      <c r="R917">
        <v>1</v>
      </c>
      <c r="S917" t="s">
        <v>2380</v>
      </c>
      <c r="T917" t="s">
        <v>2383</v>
      </c>
      <c r="U917" s="8">
        <v>45936.592951388891</v>
      </c>
      <c r="V917" s="8">
        <v>45939.958333333336</v>
      </c>
      <c r="W917">
        <v>1</v>
      </c>
      <c r="X917">
        <v>2.9170833329999999</v>
      </c>
      <c r="Y917" t="s">
        <v>2579</v>
      </c>
      <c r="Z917" t="s">
        <v>3409</v>
      </c>
      <c r="AA917" t="s">
        <v>3283</v>
      </c>
      <c r="AB917" t="s">
        <v>1278</v>
      </c>
      <c r="AC917" t="s">
        <v>3410</v>
      </c>
      <c r="AE917">
        <v>1</v>
      </c>
      <c r="AO917" t="s">
        <v>2388</v>
      </c>
      <c r="AP917" t="s">
        <v>2401</v>
      </c>
    </row>
    <row r="918" spans="1:42">
      <c r="A918" t="s">
        <v>397</v>
      </c>
      <c r="B918" t="s">
        <v>2377</v>
      </c>
      <c r="C918" t="s">
        <v>2390</v>
      </c>
      <c r="D918" t="s">
        <v>2379</v>
      </c>
      <c r="E918" t="s">
        <v>24</v>
      </c>
      <c r="F918" t="s">
        <v>2457</v>
      </c>
      <c r="G918" t="s">
        <v>24</v>
      </c>
      <c r="H918" t="b">
        <v>1</v>
      </c>
      <c r="I918" s="8">
        <v>45939.502905092595</v>
      </c>
      <c r="J918" t="s">
        <v>2380</v>
      </c>
      <c r="L918">
        <v>602115</v>
      </c>
      <c r="M918" t="s">
        <v>2381</v>
      </c>
      <c r="P918" t="s">
        <v>4168</v>
      </c>
      <c r="Q918" t="s">
        <v>2383</v>
      </c>
      <c r="R918">
        <v>1</v>
      </c>
      <c r="S918" t="s">
        <v>2380</v>
      </c>
      <c r="T918" t="s">
        <v>2383</v>
      </c>
      <c r="U918" s="8">
        <v>45936.602627314816</v>
      </c>
      <c r="V918" s="8">
        <v>45939.958333333336</v>
      </c>
      <c r="W918">
        <v>1</v>
      </c>
      <c r="X918">
        <v>2.900277778</v>
      </c>
      <c r="Y918" t="s">
        <v>2403</v>
      </c>
      <c r="Z918" t="s">
        <v>4169</v>
      </c>
      <c r="AA918" t="s">
        <v>4170</v>
      </c>
      <c r="AB918" t="s">
        <v>1278</v>
      </c>
      <c r="AC918" t="s">
        <v>2387</v>
      </c>
      <c r="AD918" t="s">
        <v>2708</v>
      </c>
      <c r="AE918">
        <v>1</v>
      </c>
      <c r="AO918" t="s">
        <v>2408</v>
      </c>
      <c r="AP918" t="s">
        <v>2401</v>
      </c>
    </row>
    <row r="919" spans="1:42">
      <c r="A919" t="s">
        <v>767</v>
      </c>
      <c r="B919" t="s">
        <v>2377</v>
      </c>
      <c r="C919" t="s">
        <v>2415</v>
      </c>
      <c r="D919" t="s">
        <v>2379</v>
      </c>
      <c r="E919" t="s">
        <v>33</v>
      </c>
      <c r="F919" t="s">
        <v>3301</v>
      </c>
      <c r="G919" t="s">
        <v>33</v>
      </c>
      <c r="H919" t="b">
        <v>1</v>
      </c>
      <c r="I919" s="8">
        <v>45938.576574074075</v>
      </c>
      <c r="J919" t="s">
        <v>2380</v>
      </c>
      <c r="L919">
        <v>603688</v>
      </c>
      <c r="M919" t="s">
        <v>2381</v>
      </c>
      <c r="P919" t="s">
        <v>2704</v>
      </c>
      <c r="Q919" t="s">
        <v>2383</v>
      </c>
      <c r="R919">
        <v>1</v>
      </c>
      <c r="S919" t="s">
        <v>2380</v>
      </c>
      <c r="T919" t="s">
        <v>2383</v>
      </c>
      <c r="U919" s="8">
        <v>45936.609537037039</v>
      </c>
      <c r="V919" s="8">
        <v>45939.958333333336</v>
      </c>
      <c r="W919">
        <v>1</v>
      </c>
      <c r="X919">
        <v>1.9670370370000001</v>
      </c>
      <c r="Y919" t="s">
        <v>3302</v>
      </c>
      <c r="Z919" t="s">
        <v>9069</v>
      </c>
      <c r="AA919" t="s">
        <v>9070</v>
      </c>
      <c r="AB919" t="s">
        <v>1278</v>
      </c>
      <c r="AC919" t="s">
        <v>2387</v>
      </c>
      <c r="AD919" t="s">
        <v>2708</v>
      </c>
      <c r="AE919">
        <v>1</v>
      </c>
      <c r="AH919" t="s">
        <v>4895</v>
      </c>
      <c r="AI919" s="8">
        <v>45938.57539351852</v>
      </c>
      <c r="AK919" t="s">
        <v>2719</v>
      </c>
      <c r="AL919" t="s">
        <v>2719</v>
      </c>
      <c r="AO919" t="s">
        <v>2957</v>
      </c>
      <c r="AP919" t="s">
        <v>2401</v>
      </c>
    </row>
    <row r="920" spans="1:42">
      <c r="A920" t="s">
        <v>2065</v>
      </c>
      <c r="B920" t="s">
        <v>2377</v>
      </c>
      <c r="C920" t="s">
        <v>2438</v>
      </c>
      <c r="D920" t="s">
        <v>2379</v>
      </c>
      <c r="E920" t="s">
        <v>33</v>
      </c>
      <c r="F920" t="s">
        <v>2402</v>
      </c>
      <c r="G920" t="s">
        <v>2723</v>
      </c>
      <c r="H920" t="b">
        <v>1</v>
      </c>
      <c r="I920" s="8">
        <v>45937.492199074077</v>
      </c>
      <c r="J920" t="s">
        <v>2380</v>
      </c>
      <c r="L920">
        <v>603505</v>
      </c>
      <c r="M920" t="s">
        <v>2381</v>
      </c>
      <c r="P920" t="s">
        <v>2704</v>
      </c>
      <c r="Q920" t="s">
        <v>2383</v>
      </c>
      <c r="R920">
        <v>1</v>
      </c>
      <c r="S920" t="s">
        <v>2380</v>
      </c>
      <c r="T920" t="s">
        <v>2383</v>
      </c>
      <c r="U920" s="8">
        <v>45936.610625000001</v>
      </c>
      <c r="V920" s="8">
        <v>45939.958333333336</v>
      </c>
      <c r="W920">
        <v>1</v>
      </c>
      <c r="X920">
        <v>0.88157407399999999</v>
      </c>
      <c r="Y920" t="s">
        <v>2403</v>
      </c>
      <c r="Z920" t="s">
        <v>2772</v>
      </c>
      <c r="AA920" t="s">
        <v>2773</v>
      </c>
      <c r="AB920" t="s">
        <v>1278</v>
      </c>
      <c r="AC920" t="s">
        <v>2387</v>
      </c>
      <c r="AE920">
        <v>1</v>
      </c>
      <c r="AO920" t="s">
        <v>2408</v>
      </c>
      <c r="AP920" t="s">
        <v>2401</v>
      </c>
    </row>
    <row r="921" spans="1:42">
      <c r="A921" t="s">
        <v>1949</v>
      </c>
      <c r="B921" t="s">
        <v>2389</v>
      </c>
      <c r="C921" t="s">
        <v>2390</v>
      </c>
      <c r="D921" t="s">
        <v>2379</v>
      </c>
      <c r="E921" t="s">
        <v>2452</v>
      </c>
      <c r="F921" t="s">
        <v>3261</v>
      </c>
      <c r="G921" t="s">
        <v>2452</v>
      </c>
      <c r="H921" t="b">
        <v>1</v>
      </c>
      <c r="I921" s="8">
        <v>45939.489340277774</v>
      </c>
      <c r="J921" t="s">
        <v>2380</v>
      </c>
      <c r="L921">
        <v>603386</v>
      </c>
      <c r="M921" t="s">
        <v>2381</v>
      </c>
      <c r="P921" t="s">
        <v>10123</v>
      </c>
      <c r="Q921" t="s">
        <v>2383</v>
      </c>
      <c r="R921">
        <v>1</v>
      </c>
      <c r="S921" t="s">
        <v>2380</v>
      </c>
      <c r="T921" t="s">
        <v>2383</v>
      </c>
      <c r="U921" s="8">
        <v>45936.62872685185</v>
      </c>
      <c r="V921" s="8">
        <v>45939.958333333336</v>
      </c>
      <c r="W921">
        <v>1</v>
      </c>
      <c r="X921">
        <v>2.860613426</v>
      </c>
      <c r="Y921" t="s">
        <v>3262</v>
      </c>
      <c r="Z921" t="s">
        <v>10124</v>
      </c>
      <c r="AA921" t="s">
        <v>1947</v>
      </c>
      <c r="AB921" t="s">
        <v>1278</v>
      </c>
      <c r="AC921" t="s">
        <v>10125</v>
      </c>
      <c r="AE921">
        <v>1</v>
      </c>
      <c r="AO921" t="s">
        <v>2957</v>
      </c>
      <c r="AP921" t="s">
        <v>2401</v>
      </c>
    </row>
    <row r="922" spans="1:42">
      <c r="A922" t="s">
        <v>1821</v>
      </c>
      <c r="B922" t="s">
        <v>2389</v>
      </c>
      <c r="C922" t="s">
        <v>2390</v>
      </c>
      <c r="D922" t="s">
        <v>2379</v>
      </c>
      <c r="E922" t="s">
        <v>2452</v>
      </c>
      <c r="F922" t="s">
        <v>2578</v>
      </c>
      <c r="G922" t="s">
        <v>2452</v>
      </c>
      <c r="H922" t="b">
        <v>1</v>
      </c>
      <c r="I922" s="8">
        <v>45939.633935185186</v>
      </c>
      <c r="J922" t="s">
        <v>2380</v>
      </c>
      <c r="L922">
        <v>605011</v>
      </c>
      <c r="M922" t="s">
        <v>2381</v>
      </c>
      <c r="P922" t="s">
        <v>3415</v>
      </c>
      <c r="Q922" t="s">
        <v>2383</v>
      </c>
      <c r="R922">
        <v>1</v>
      </c>
      <c r="S922" t="s">
        <v>2380</v>
      </c>
      <c r="T922" t="s">
        <v>2383</v>
      </c>
      <c r="U922" s="8">
        <v>45936.642395833333</v>
      </c>
      <c r="V922" s="8">
        <v>45944.958333333336</v>
      </c>
      <c r="W922">
        <v>1</v>
      </c>
      <c r="X922">
        <v>2.9915393520000002</v>
      </c>
      <c r="Y922" t="s">
        <v>2579</v>
      </c>
      <c r="Z922" t="s">
        <v>3416</v>
      </c>
      <c r="AA922" t="s">
        <v>1764</v>
      </c>
      <c r="AB922" t="s">
        <v>1278</v>
      </c>
      <c r="AC922" t="s">
        <v>3417</v>
      </c>
      <c r="AE922">
        <v>1</v>
      </c>
      <c r="AO922" t="s">
        <v>2388</v>
      </c>
      <c r="AP922" t="s">
        <v>2401</v>
      </c>
    </row>
    <row r="923" spans="1:42">
      <c r="A923" t="s">
        <v>1832</v>
      </c>
      <c r="B923" t="s">
        <v>2389</v>
      </c>
      <c r="C923" t="s">
        <v>2390</v>
      </c>
      <c r="D923" t="s">
        <v>2379</v>
      </c>
      <c r="E923" t="s">
        <v>2452</v>
      </c>
      <c r="F923" t="s">
        <v>2402</v>
      </c>
      <c r="G923" t="s">
        <v>2452</v>
      </c>
      <c r="H923" t="b">
        <v>1</v>
      </c>
      <c r="I923" s="8">
        <v>45939.611851851849</v>
      </c>
      <c r="J923" t="s">
        <v>2380</v>
      </c>
      <c r="K923">
        <v>1201350</v>
      </c>
      <c r="L923">
        <v>602880</v>
      </c>
      <c r="M923" t="s">
        <v>2381</v>
      </c>
      <c r="P923" t="s">
        <v>3051</v>
      </c>
      <c r="Q923" t="s">
        <v>2383</v>
      </c>
      <c r="R923">
        <v>1</v>
      </c>
      <c r="S923" t="s">
        <v>2380</v>
      </c>
      <c r="T923" t="s">
        <v>2383</v>
      </c>
      <c r="U923" s="8">
        <v>45936.649270833332</v>
      </c>
      <c r="V923" s="8">
        <v>45939.958333333336</v>
      </c>
      <c r="W923">
        <v>1</v>
      </c>
      <c r="X923">
        <v>2.9625810189999999</v>
      </c>
      <c r="Y923" t="s">
        <v>2403</v>
      </c>
      <c r="Z923" t="s">
        <v>5391</v>
      </c>
      <c r="AA923" t="s">
        <v>1776</v>
      </c>
      <c r="AB923" t="s">
        <v>1278</v>
      </c>
      <c r="AC923" t="s">
        <v>5392</v>
      </c>
      <c r="AD923" t="s">
        <v>2708</v>
      </c>
      <c r="AE923">
        <v>1</v>
      </c>
      <c r="AO923" t="s">
        <v>2408</v>
      </c>
      <c r="AP923" t="s">
        <v>2401</v>
      </c>
    </row>
    <row r="924" spans="1:42">
      <c r="A924" t="s">
        <v>1830</v>
      </c>
      <c r="B924" t="s">
        <v>2389</v>
      </c>
      <c r="C924" t="s">
        <v>2390</v>
      </c>
      <c r="D924" t="s">
        <v>2379</v>
      </c>
      <c r="E924" t="s">
        <v>2452</v>
      </c>
      <c r="F924" t="s">
        <v>2578</v>
      </c>
      <c r="G924" t="s">
        <v>2452</v>
      </c>
      <c r="H924" t="b">
        <v>1</v>
      </c>
      <c r="I924" s="8">
        <v>45939.617465277777</v>
      </c>
      <c r="J924" t="s">
        <v>2380</v>
      </c>
      <c r="K924">
        <v>1201352</v>
      </c>
      <c r="L924">
        <v>602598</v>
      </c>
      <c r="M924" t="s">
        <v>2381</v>
      </c>
      <c r="P924" t="s">
        <v>7458</v>
      </c>
      <c r="Q924" t="s">
        <v>2383</v>
      </c>
      <c r="R924">
        <v>1</v>
      </c>
      <c r="S924" t="s">
        <v>2380</v>
      </c>
      <c r="T924" t="s">
        <v>2383</v>
      </c>
      <c r="U924" s="8">
        <v>45936.659490740742</v>
      </c>
      <c r="V924" s="8">
        <v>45939.958333333336</v>
      </c>
      <c r="W924">
        <v>1</v>
      </c>
      <c r="X924">
        <v>2.9579745370000001</v>
      </c>
      <c r="Y924" t="s">
        <v>2579</v>
      </c>
      <c r="Z924" t="s">
        <v>7844</v>
      </c>
      <c r="AA924" t="s">
        <v>7460</v>
      </c>
      <c r="AB924" t="s">
        <v>1278</v>
      </c>
      <c r="AC924" t="s">
        <v>7845</v>
      </c>
      <c r="AD924" t="s">
        <v>2708</v>
      </c>
      <c r="AE924">
        <v>1</v>
      </c>
      <c r="AO924" t="s">
        <v>2957</v>
      </c>
      <c r="AP924" t="s">
        <v>2401</v>
      </c>
    </row>
    <row r="925" spans="1:42">
      <c r="A925" t="s">
        <v>599</v>
      </c>
      <c r="B925" t="s">
        <v>2377</v>
      </c>
      <c r="C925" t="s">
        <v>2390</v>
      </c>
      <c r="D925" t="s">
        <v>2379</v>
      </c>
      <c r="E925" t="s">
        <v>18</v>
      </c>
      <c r="F925" t="s">
        <v>2402</v>
      </c>
      <c r="G925" t="s">
        <v>2416</v>
      </c>
      <c r="H925" t="b">
        <v>1</v>
      </c>
      <c r="I925" s="8">
        <v>45939.516516203701</v>
      </c>
      <c r="J925" t="s">
        <v>2380</v>
      </c>
      <c r="L925">
        <v>605239</v>
      </c>
      <c r="M925" t="s">
        <v>2381</v>
      </c>
      <c r="P925" t="s">
        <v>4177</v>
      </c>
      <c r="Q925" t="s">
        <v>2383</v>
      </c>
      <c r="R925">
        <v>1</v>
      </c>
      <c r="S925" t="s">
        <v>2380</v>
      </c>
      <c r="T925" t="s">
        <v>2383</v>
      </c>
      <c r="U925" s="8">
        <v>45936.666516203702</v>
      </c>
      <c r="V925" s="8">
        <v>45939.958333333336</v>
      </c>
      <c r="W925">
        <v>1</v>
      </c>
      <c r="X925">
        <v>2.85</v>
      </c>
      <c r="Y925" t="s">
        <v>2403</v>
      </c>
      <c r="Z925" t="s">
        <v>4178</v>
      </c>
      <c r="AA925" t="s">
        <v>1616</v>
      </c>
      <c r="AB925" t="s">
        <v>1278</v>
      </c>
      <c r="AC925" t="s">
        <v>4179</v>
      </c>
      <c r="AD925" t="s">
        <v>2708</v>
      </c>
      <c r="AE925">
        <v>1</v>
      </c>
      <c r="AO925" t="s">
        <v>2408</v>
      </c>
      <c r="AP925" t="s">
        <v>2401</v>
      </c>
    </row>
    <row r="926" spans="1:42">
      <c r="A926" t="s">
        <v>1840</v>
      </c>
      <c r="B926" t="s">
        <v>2389</v>
      </c>
      <c r="C926" t="s">
        <v>2390</v>
      </c>
      <c r="D926" t="s">
        <v>2379</v>
      </c>
      <c r="E926" t="s">
        <v>2452</v>
      </c>
      <c r="F926" t="s">
        <v>2417</v>
      </c>
      <c r="G926" t="s">
        <v>2452</v>
      </c>
      <c r="H926" t="b">
        <v>1</v>
      </c>
      <c r="I926" s="8">
        <v>45939.593773148146</v>
      </c>
      <c r="J926" t="s">
        <v>2380</v>
      </c>
      <c r="K926">
        <v>1201339</v>
      </c>
      <c r="L926">
        <v>602944</v>
      </c>
      <c r="M926" t="s">
        <v>2381</v>
      </c>
      <c r="P926" t="s">
        <v>2743</v>
      </c>
      <c r="Q926" t="s">
        <v>2383</v>
      </c>
      <c r="R926">
        <v>1</v>
      </c>
      <c r="S926" t="s">
        <v>2380</v>
      </c>
      <c r="T926" t="s">
        <v>2383</v>
      </c>
      <c r="U926" s="8">
        <v>45936.724479166667</v>
      </c>
      <c r="V926" s="8">
        <v>45939.958333333336</v>
      </c>
      <c r="W926">
        <v>1</v>
      </c>
      <c r="X926">
        <v>2.8692939810000002</v>
      </c>
      <c r="Y926" t="s">
        <v>2418</v>
      </c>
      <c r="Z926" t="s">
        <v>5405</v>
      </c>
      <c r="AA926" t="s">
        <v>2745</v>
      </c>
      <c r="AB926" t="s">
        <v>1278</v>
      </c>
      <c r="AC926" t="s">
        <v>5406</v>
      </c>
      <c r="AD926" t="s">
        <v>2708</v>
      </c>
      <c r="AE926">
        <v>1</v>
      </c>
      <c r="AO926" t="s">
        <v>2408</v>
      </c>
      <c r="AP926" t="s">
        <v>2401</v>
      </c>
    </row>
    <row r="927" spans="1:42">
      <c r="A927" t="s">
        <v>392</v>
      </c>
      <c r="B927" t="s">
        <v>2377</v>
      </c>
      <c r="C927" t="s">
        <v>2390</v>
      </c>
      <c r="D927" t="s">
        <v>2379</v>
      </c>
      <c r="E927" t="s">
        <v>18</v>
      </c>
      <c r="F927" t="s">
        <v>2417</v>
      </c>
      <c r="G927" t="s">
        <v>2416</v>
      </c>
      <c r="H927" t="b">
        <v>1</v>
      </c>
      <c r="I927" s="8">
        <v>45939.403877314813</v>
      </c>
      <c r="J927" t="s">
        <v>2380</v>
      </c>
      <c r="L927">
        <v>601448</v>
      </c>
      <c r="M927" t="s">
        <v>2381</v>
      </c>
      <c r="P927" t="s">
        <v>4180</v>
      </c>
      <c r="Q927" t="s">
        <v>2383</v>
      </c>
      <c r="R927">
        <v>1</v>
      </c>
      <c r="S927" t="s">
        <v>2380</v>
      </c>
      <c r="T927" t="s">
        <v>2383</v>
      </c>
      <c r="U927" s="8">
        <v>45936.764525462961</v>
      </c>
      <c r="V927" s="8">
        <v>45939.958333333336</v>
      </c>
      <c r="W927">
        <v>1</v>
      </c>
      <c r="X927">
        <v>2.6393518519999999</v>
      </c>
      <c r="Y927" t="s">
        <v>2418</v>
      </c>
      <c r="Z927" t="s">
        <v>4181</v>
      </c>
      <c r="AA927" t="s">
        <v>1304</v>
      </c>
      <c r="AB927" t="s">
        <v>1278</v>
      </c>
      <c r="AC927" t="s">
        <v>4182</v>
      </c>
      <c r="AD927" t="s">
        <v>2708</v>
      </c>
      <c r="AE927">
        <v>1</v>
      </c>
      <c r="AO927" t="s">
        <v>2408</v>
      </c>
      <c r="AP927" t="s">
        <v>2401</v>
      </c>
    </row>
    <row r="928" spans="1:42">
      <c r="A928" t="s">
        <v>1824</v>
      </c>
      <c r="B928" t="s">
        <v>2389</v>
      </c>
      <c r="C928" t="s">
        <v>2390</v>
      </c>
      <c r="D928" t="s">
        <v>2379</v>
      </c>
      <c r="E928" t="s">
        <v>2452</v>
      </c>
      <c r="F928" t="s">
        <v>2578</v>
      </c>
      <c r="G928" t="s">
        <v>2452</v>
      </c>
      <c r="H928" t="b">
        <v>1</v>
      </c>
      <c r="I928" s="8">
        <v>45939.633437500001</v>
      </c>
      <c r="J928" t="s">
        <v>2380</v>
      </c>
      <c r="K928">
        <v>1201362</v>
      </c>
      <c r="L928">
        <v>606944</v>
      </c>
      <c r="M928" t="s">
        <v>2381</v>
      </c>
      <c r="P928" t="s">
        <v>7093</v>
      </c>
      <c r="Q928" t="s">
        <v>2383</v>
      </c>
      <c r="R928">
        <v>1</v>
      </c>
      <c r="S928" t="s">
        <v>2380</v>
      </c>
      <c r="T928" t="s">
        <v>2383</v>
      </c>
      <c r="U928" s="8">
        <v>45936.83494212963</v>
      </c>
      <c r="V928" s="8">
        <v>45939.958333333336</v>
      </c>
      <c r="W928">
        <v>1</v>
      </c>
      <c r="X928">
        <v>2.7984953699999999</v>
      </c>
      <c r="Y928" t="s">
        <v>2579</v>
      </c>
      <c r="Z928" t="s">
        <v>7094</v>
      </c>
      <c r="AA928" t="s">
        <v>7095</v>
      </c>
      <c r="AB928" t="s">
        <v>1278</v>
      </c>
      <c r="AC928" t="s">
        <v>7096</v>
      </c>
      <c r="AD928" t="s">
        <v>2708</v>
      </c>
      <c r="AE928">
        <v>1</v>
      </c>
      <c r="AO928" t="s">
        <v>2388</v>
      </c>
      <c r="AP928" t="s">
        <v>2401</v>
      </c>
    </row>
    <row r="929" spans="1:42">
      <c r="A929" t="s">
        <v>1814</v>
      </c>
      <c r="B929" t="s">
        <v>2389</v>
      </c>
      <c r="C929" t="s">
        <v>2390</v>
      </c>
      <c r="D929" t="s">
        <v>2379</v>
      </c>
      <c r="E929" t="s">
        <v>2452</v>
      </c>
      <c r="F929" t="s">
        <v>2417</v>
      </c>
      <c r="G929" t="s">
        <v>2452</v>
      </c>
      <c r="H929" t="b">
        <v>1</v>
      </c>
      <c r="I929" s="8">
        <v>45939.649131944447</v>
      </c>
      <c r="J929" t="s">
        <v>2380</v>
      </c>
      <c r="L929">
        <v>603017</v>
      </c>
      <c r="M929" t="s">
        <v>2381</v>
      </c>
      <c r="P929" t="s">
        <v>2867</v>
      </c>
      <c r="Q929" t="s">
        <v>2383</v>
      </c>
      <c r="R929">
        <v>1</v>
      </c>
      <c r="S929" t="s">
        <v>2380</v>
      </c>
      <c r="T929" t="s">
        <v>2383</v>
      </c>
      <c r="U929" s="8">
        <v>45936.909050925926</v>
      </c>
      <c r="V929" s="8">
        <v>45939.958333333336</v>
      </c>
      <c r="W929">
        <v>1</v>
      </c>
      <c r="X929">
        <v>2.7400810189999998</v>
      </c>
      <c r="Y929" t="s">
        <v>2418</v>
      </c>
      <c r="Z929" t="s">
        <v>2868</v>
      </c>
      <c r="AA929" t="s">
        <v>1812</v>
      </c>
      <c r="AB929" t="s">
        <v>1278</v>
      </c>
      <c r="AC929" t="s">
        <v>2869</v>
      </c>
      <c r="AE929">
        <v>1</v>
      </c>
      <c r="AO929" t="s">
        <v>2408</v>
      </c>
      <c r="AP929" t="s">
        <v>2401</v>
      </c>
    </row>
    <row r="930" spans="1:42">
      <c r="A930" t="s">
        <v>595</v>
      </c>
      <c r="B930" t="s">
        <v>2377</v>
      </c>
      <c r="C930" t="s">
        <v>2390</v>
      </c>
      <c r="D930" t="s">
        <v>2379</v>
      </c>
      <c r="E930" t="s">
        <v>24</v>
      </c>
      <c r="F930" t="s">
        <v>2627</v>
      </c>
      <c r="G930" t="s">
        <v>24</v>
      </c>
      <c r="H930" t="b">
        <v>1</v>
      </c>
      <c r="I930" s="8">
        <v>45939.496874999997</v>
      </c>
      <c r="J930" t="s">
        <v>2380</v>
      </c>
      <c r="L930">
        <v>609984</v>
      </c>
      <c r="M930" t="s">
        <v>2381</v>
      </c>
      <c r="P930" t="s">
        <v>7425</v>
      </c>
      <c r="Q930" t="s">
        <v>2383</v>
      </c>
      <c r="R930">
        <v>1</v>
      </c>
      <c r="S930" t="s">
        <v>2380</v>
      </c>
      <c r="T930" t="s">
        <v>2383</v>
      </c>
      <c r="U930" s="8">
        <v>45936.924212962964</v>
      </c>
      <c r="V930" s="8">
        <v>45939.958333333336</v>
      </c>
      <c r="W930">
        <v>1</v>
      </c>
      <c r="X930">
        <v>2.5726620370000002</v>
      </c>
      <c r="Y930" t="s">
        <v>2628</v>
      </c>
      <c r="Z930" t="s">
        <v>7426</v>
      </c>
      <c r="AA930" t="s">
        <v>1941</v>
      </c>
      <c r="AB930" t="s">
        <v>1278</v>
      </c>
      <c r="AC930" t="s">
        <v>7427</v>
      </c>
      <c r="AD930" t="s">
        <v>2708</v>
      </c>
      <c r="AE930">
        <v>1</v>
      </c>
      <c r="AO930" t="s">
        <v>2957</v>
      </c>
      <c r="AP930" t="s">
        <v>2401</v>
      </c>
    </row>
    <row r="931" spans="1:42">
      <c r="A931" t="s">
        <v>400</v>
      </c>
      <c r="B931" t="s">
        <v>2377</v>
      </c>
      <c r="C931" t="s">
        <v>2390</v>
      </c>
      <c r="D931" t="s">
        <v>2379</v>
      </c>
      <c r="E931" t="s">
        <v>25</v>
      </c>
      <c r="F931" t="s">
        <v>2417</v>
      </c>
      <c r="G931" t="s">
        <v>25</v>
      </c>
      <c r="H931" t="b">
        <v>1</v>
      </c>
      <c r="I931" s="8">
        <v>45940.347384259258</v>
      </c>
      <c r="J931" t="s">
        <v>2380</v>
      </c>
      <c r="L931">
        <v>602944</v>
      </c>
      <c r="M931" t="s">
        <v>2381</v>
      </c>
      <c r="N931">
        <v>8</v>
      </c>
      <c r="P931" t="s">
        <v>2743</v>
      </c>
      <c r="Q931" t="s">
        <v>2383</v>
      </c>
      <c r="R931">
        <v>1</v>
      </c>
      <c r="S931" t="s">
        <v>2380</v>
      </c>
      <c r="T931" t="s">
        <v>2383</v>
      </c>
      <c r="U931" s="8">
        <v>45937.392581018517</v>
      </c>
      <c r="V931" s="8">
        <v>45940.958333333336</v>
      </c>
      <c r="W931">
        <v>1</v>
      </c>
      <c r="X931">
        <v>2.954803241</v>
      </c>
      <c r="Y931" t="s">
        <v>2418</v>
      </c>
      <c r="Z931" t="s">
        <v>5577</v>
      </c>
      <c r="AA931" t="s">
        <v>2745</v>
      </c>
      <c r="AB931" t="s">
        <v>1278</v>
      </c>
      <c r="AC931" t="s">
        <v>2746</v>
      </c>
      <c r="AD931" t="s">
        <v>2708</v>
      </c>
      <c r="AE931">
        <v>1</v>
      </c>
      <c r="AO931" t="s">
        <v>2408</v>
      </c>
      <c r="AP931" t="s">
        <v>2401</v>
      </c>
    </row>
    <row r="932" spans="1:42">
      <c r="A932" t="s">
        <v>2017</v>
      </c>
      <c r="B932" t="s">
        <v>2389</v>
      </c>
      <c r="C932" t="s">
        <v>2415</v>
      </c>
      <c r="D932" t="s">
        <v>2379</v>
      </c>
      <c r="E932" t="s">
        <v>33</v>
      </c>
      <c r="F932" t="s">
        <v>2578</v>
      </c>
      <c r="G932" t="s">
        <v>33</v>
      </c>
      <c r="H932" t="b">
        <v>1</v>
      </c>
      <c r="I932" s="8">
        <v>45938.437557870369</v>
      </c>
      <c r="J932" t="s">
        <v>2380</v>
      </c>
      <c r="K932">
        <v>1200732</v>
      </c>
      <c r="L932">
        <v>602598</v>
      </c>
      <c r="M932" t="s">
        <v>2381</v>
      </c>
      <c r="P932" t="s">
        <v>7458</v>
      </c>
      <c r="Q932" t="s">
        <v>2383</v>
      </c>
      <c r="R932">
        <v>1</v>
      </c>
      <c r="S932" t="s">
        <v>2380</v>
      </c>
      <c r="T932" t="s">
        <v>2383</v>
      </c>
      <c r="U932" s="8">
        <v>45937.394803240742</v>
      </c>
      <c r="V932" s="8">
        <v>45940.958333333336</v>
      </c>
      <c r="W932">
        <v>1</v>
      </c>
      <c r="X932">
        <v>1.0427546299999999</v>
      </c>
      <c r="Y932" t="s">
        <v>2579</v>
      </c>
      <c r="Z932" t="s">
        <v>7550</v>
      </c>
      <c r="AA932" t="s">
        <v>7460</v>
      </c>
      <c r="AB932" t="s">
        <v>1278</v>
      </c>
      <c r="AC932" t="s">
        <v>7551</v>
      </c>
      <c r="AD932" t="s">
        <v>2708</v>
      </c>
      <c r="AE932">
        <v>1</v>
      </c>
      <c r="AO932" t="s">
        <v>2957</v>
      </c>
      <c r="AP932" t="s">
        <v>2401</v>
      </c>
    </row>
    <row r="933" spans="1:42">
      <c r="A933" t="s">
        <v>1807</v>
      </c>
      <c r="B933" t="s">
        <v>2389</v>
      </c>
      <c r="C933" t="s">
        <v>2390</v>
      </c>
      <c r="D933" t="s">
        <v>2379</v>
      </c>
      <c r="E933" t="s">
        <v>2416</v>
      </c>
      <c r="F933" t="s">
        <v>3500</v>
      </c>
      <c r="G933" t="s">
        <v>2416</v>
      </c>
      <c r="H933" t="b">
        <v>1</v>
      </c>
      <c r="I933" s="8">
        <v>45939.713819444441</v>
      </c>
      <c r="J933" t="s">
        <v>2380</v>
      </c>
      <c r="K933">
        <v>1201440</v>
      </c>
      <c r="L933">
        <v>609781</v>
      </c>
      <c r="M933" t="s">
        <v>2381</v>
      </c>
      <c r="P933" t="s">
        <v>4661</v>
      </c>
      <c r="Q933" t="s">
        <v>2383</v>
      </c>
      <c r="R933">
        <v>1</v>
      </c>
      <c r="S933" t="s">
        <v>2380</v>
      </c>
      <c r="T933" t="s">
        <v>2383</v>
      </c>
      <c r="U933" s="8">
        <v>45937.412395833337</v>
      </c>
      <c r="V933" s="8">
        <v>45940.958333333336</v>
      </c>
      <c r="W933">
        <v>1</v>
      </c>
      <c r="X933">
        <v>2.3014236110000001</v>
      </c>
      <c r="Y933" t="s">
        <v>3501</v>
      </c>
      <c r="Z933" t="s">
        <v>7877</v>
      </c>
      <c r="AA933" t="s">
        <v>7574</v>
      </c>
      <c r="AB933" t="s">
        <v>1278</v>
      </c>
      <c r="AC933" t="s">
        <v>7878</v>
      </c>
      <c r="AD933" t="s">
        <v>2708</v>
      </c>
      <c r="AE933">
        <v>1</v>
      </c>
      <c r="AO933" t="s">
        <v>2957</v>
      </c>
      <c r="AP933" t="s">
        <v>2401</v>
      </c>
    </row>
    <row r="934" spans="1:42">
      <c r="A934" t="s">
        <v>1599</v>
      </c>
      <c r="B934" t="s">
        <v>2389</v>
      </c>
      <c r="C934" t="s">
        <v>2691</v>
      </c>
      <c r="D934" t="s">
        <v>2379</v>
      </c>
      <c r="E934" t="s">
        <v>2452</v>
      </c>
      <c r="F934" t="s">
        <v>3636</v>
      </c>
      <c r="G934" t="s">
        <v>2452</v>
      </c>
      <c r="H934" t="b">
        <v>1</v>
      </c>
      <c r="I934" s="8">
        <v>45944.502696759257</v>
      </c>
      <c r="J934" t="s">
        <v>2380</v>
      </c>
      <c r="K934">
        <v>1202312</v>
      </c>
      <c r="L934">
        <v>601417</v>
      </c>
      <c r="M934" t="s">
        <v>2381</v>
      </c>
      <c r="P934" t="s">
        <v>3637</v>
      </c>
      <c r="Q934" t="s">
        <v>2383</v>
      </c>
      <c r="R934">
        <v>1</v>
      </c>
      <c r="S934" t="s">
        <v>2380</v>
      </c>
      <c r="T934" t="s">
        <v>2383</v>
      </c>
      <c r="U934" s="8">
        <v>45937.414120370369</v>
      </c>
      <c r="V934" s="8">
        <v>45947.958333333336</v>
      </c>
      <c r="W934">
        <v>1</v>
      </c>
      <c r="X934">
        <v>5.088576389</v>
      </c>
      <c r="Y934" t="s">
        <v>2628</v>
      </c>
      <c r="Z934" t="s">
        <v>9693</v>
      </c>
      <c r="AA934" t="s">
        <v>9694</v>
      </c>
      <c r="AB934" t="s">
        <v>1278</v>
      </c>
      <c r="AC934" t="s">
        <v>9695</v>
      </c>
      <c r="AD934" t="s">
        <v>2708</v>
      </c>
      <c r="AE934">
        <v>1</v>
      </c>
      <c r="AO934" t="s">
        <v>3608</v>
      </c>
      <c r="AP934" t="s">
        <v>2401</v>
      </c>
    </row>
    <row r="935" spans="1:42">
      <c r="A935" t="s">
        <v>885</v>
      </c>
      <c r="B935" t="s">
        <v>2377</v>
      </c>
      <c r="C935" t="s">
        <v>2378</v>
      </c>
      <c r="D935" t="s">
        <v>2379</v>
      </c>
      <c r="E935" t="s">
        <v>24</v>
      </c>
      <c r="F935" t="s">
        <v>3747</v>
      </c>
      <c r="G935" t="s">
        <v>24</v>
      </c>
      <c r="H935" t="b">
        <v>1</v>
      </c>
      <c r="I935" s="8">
        <v>45940.64203703704</v>
      </c>
      <c r="J935" t="s">
        <v>2380</v>
      </c>
      <c r="L935">
        <v>602438</v>
      </c>
      <c r="M935" t="s">
        <v>2381</v>
      </c>
      <c r="P935" t="s">
        <v>3763</v>
      </c>
      <c r="Q935" t="s">
        <v>2383</v>
      </c>
      <c r="R935">
        <v>1</v>
      </c>
      <c r="S935" t="s">
        <v>2380</v>
      </c>
      <c r="T935" t="s">
        <v>2383</v>
      </c>
      <c r="U935" s="8">
        <v>45937.414479166669</v>
      </c>
      <c r="V935" s="8">
        <v>45940.958333333336</v>
      </c>
      <c r="W935">
        <v>1</v>
      </c>
      <c r="X935">
        <v>3.2275578700000001</v>
      </c>
      <c r="Y935" t="s">
        <v>3748</v>
      </c>
      <c r="Z935" t="s">
        <v>3988</v>
      </c>
      <c r="AA935" t="s">
        <v>1742</v>
      </c>
      <c r="AB935" t="s">
        <v>1278</v>
      </c>
      <c r="AC935" t="s">
        <v>2746</v>
      </c>
      <c r="AD935" t="s">
        <v>2708</v>
      </c>
      <c r="AE935">
        <v>1</v>
      </c>
      <c r="AO935" t="s">
        <v>2712</v>
      </c>
      <c r="AP935" t="s">
        <v>2401</v>
      </c>
    </row>
    <row r="936" spans="1:42">
      <c r="A936" t="s">
        <v>568</v>
      </c>
      <c r="B936" t="s">
        <v>2377</v>
      </c>
      <c r="C936" t="s">
        <v>2438</v>
      </c>
      <c r="D936" t="s">
        <v>2379</v>
      </c>
      <c r="E936" t="s">
        <v>18</v>
      </c>
      <c r="F936">
        <v>4390</v>
      </c>
      <c r="G936" t="s">
        <v>2416</v>
      </c>
      <c r="H936" t="b">
        <v>1</v>
      </c>
      <c r="I936" s="8">
        <v>45937.469965277778</v>
      </c>
      <c r="J936" t="s">
        <v>2380</v>
      </c>
      <c r="L936">
        <v>609743</v>
      </c>
      <c r="M936" t="s">
        <v>2381</v>
      </c>
      <c r="P936" t="s">
        <v>2704</v>
      </c>
      <c r="Q936" t="s">
        <v>2383</v>
      </c>
      <c r="R936">
        <v>1</v>
      </c>
      <c r="S936" t="s">
        <v>2380</v>
      </c>
      <c r="T936" t="s">
        <v>2383</v>
      </c>
      <c r="U936" s="8">
        <v>45937.415844907409</v>
      </c>
      <c r="V936" s="8">
        <v>45940.958333333336</v>
      </c>
      <c r="W936">
        <v>1</v>
      </c>
      <c r="X936">
        <v>5.4120370000000001E-2</v>
      </c>
      <c r="Y936" t="s">
        <v>3428</v>
      </c>
      <c r="Z936" t="s">
        <v>6587</v>
      </c>
      <c r="AA936" t="s">
        <v>3431</v>
      </c>
      <c r="AB936" t="s">
        <v>1278</v>
      </c>
      <c r="AC936" t="s">
        <v>6588</v>
      </c>
      <c r="AD936" t="s">
        <v>2708</v>
      </c>
      <c r="AE936">
        <v>1</v>
      </c>
      <c r="AO936" t="s">
        <v>2388</v>
      </c>
      <c r="AP936" t="s">
        <v>2401</v>
      </c>
    </row>
    <row r="937" spans="1:42">
      <c r="A937" t="s">
        <v>1006</v>
      </c>
      <c r="B937" t="s">
        <v>2377</v>
      </c>
      <c r="C937" t="s">
        <v>2390</v>
      </c>
      <c r="D937" t="s">
        <v>2379</v>
      </c>
      <c r="E937" t="s">
        <v>25</v>
      </c>
      <c r="F937" t="s">
        <v>3249</v>
      </c>
      <c r="G937" t="s">
        <v>25</v>
      </c>
      <c r="H937" t="b">
        <v>1</v>
      </c>
      <c r="I937" s="8">
        <v>45939.571504629632</v>
      </c>
      <c r="J937" t="s">
        <v>2380</v>
      </c>
      <c r="L937">
        <v>605043</v>
      </c>
      <c r="M937" t="s">
        <v>2381</v>
      </c>
      <c r="N937">
        <v>15</v>
      </c>
      <c r="P937" t="s">
        <v>4540</v>
      </c>
      <c r="Q937" t="s">
        <v>2383</v>
      </c>
      <c r="R937">
        <v>1</v>
      </c>
      <c r="S937" t="s">
        <v>2380</v>
      </c>
      <c r="T937" t="s">
        <v>2383</v>
      </c>
      <c r="U937" s="8">
        <v>45937.419189814813</v>
      </c>
      <c r="V937" s="8">
        <v>45940.958333333336</v>
      </c>
      <c r="W937">
        <v>1</v>
      </c>
      <c r="X937">
        <v>2.152314815</v>
      </c>
      <c r="Y937" t="s">
        <v>3250</v>
      </c>
      <c r="Z937" t="s">
        <v>7214</v>
      </c>
      <c r="AA937" t="s">
        <v>1329</v>
      </c>
      <c r="AB937" t="s">
        <v>1278</v>
      </c>
      <c r="AC937" t="s">
        <v>7215</v>
      </c>
      <c r="AD937" t="s">
        <v>2708</v>
      </c>
      <c r="AE937">
        <v>1</v>
      </c>
      <c r="AO937" t="s">
        <v>2388</v>
      </c>
      <c r="AP937" t="s">
        <v>2401</v>
      </c>
    </row>
    <row r="938" spans="1:42">
      <c r="A938" t="s">
        <v>1739</v>
      </c>
      <c r="B938" t="s">
        <v>2389</v>
      </c>
      <c r="C938" t="s">
        <v>2378</v>
      </c>
      <c r="D938" t="s">
        <v>2379</v>
      </c>
      <c r="E938" t="s">
        <v>28</v>
      </c>
      <c r="F938" t="s">
        <v>2417</v>
      </c>
      <c r="G938" t="s">
        <v>28</v>
      </c>
      <c r="H938" t="b">
        <v>1</v>
      </c>
      <c r="I938" s="8">
        <v>45940.666215277779</v>
      </c>
      <c r="J938" t="s">
        <v>2380</v>
      </c>
      <c r="K938">
        <v>1201685</v>
      </c>
      <c r="L938">
        <v>601991</v>
      </c>
      <c r="M938" t="s">
        <v>2381</v>
      </c>
      <c r="N938">
        <v>15</v>
      </c>
      <c r="P938" t="s">
        <v>5290</v>
      </c>
      <c r="Q938" t="s">
        <v>2383</v>
      </c>
      <c r="R938">
        <v>1</v>
      </c>
      <c r="S938" t="s">
        <v>2380</v>
      </c>
      <c r="T938" t="s">
        <v>2383</v>
      </c>
      <c r="U938" s="8">
        <v>45937.453263888892</v>
      </c>
      <c r="V938" s="8">
        <v>45940.958333333336</v>
      </c>
      <c r="W938">
        <v>1</v>
      </c>
      <c r="X938">
        <v>3.2129513890000001</v>
      </c>
      <c r="Y938" t="s">
        <v>2418</v>
      </c>
      <c r="Z938" t="s">
        <v>5500</v>
      </c>
      <c r="AA938" t="s">
        <v>5292</v>
      </c>
      <c r="AB938" t="s">
        <v>1278</v>
      </c>
      <c r="AC938" t="s">
        <v>5501</v>
      </c>
      <c r="AD938" t="s">
        <v>2708</v>
      </c>
      <c r="AE938">
        <v>1</v>
      </c>
      <c r="AO938" t="s">
        <v>2408</v>
      </c>
      <c r="AP938" t="s">
        <v>2401</v>
      </c>
    </row>
    <row r="939" spans="1:42">
      <c r="A939" t="s">
        <v>364</v>
      </c>
      <c r="B939" t="s">
        <v>2377</v>
      </c>
      <c r="C939" t="s">
        <v>2438</v>
      </c>
      <c r="D939" t="s">
        <v>2379</v>
      </c>
      <c r="E939" t="s">
        <v>28</v>
      </c>
      <c r="F939" t="s">
        <v>2402</v>
      </c>
      <c r="G939" t="s">
        <v>28</v>
      </c>
      <c r="H939" t="b">
        <v>1</v>
      </c>
      <c r="I939" s="8">
        <v>45937.466944444444</v>
      </c>
      <c r="J939" t="s">
        <v>2380</v>
      </c>
      <c r="L939">
        <v>605252</v>
      </c>
      <c r="M939" t="s">
        <v>2381</v>
      </c>
      <c r="N939">
        <v>20</v>
      </c>
      <c r="P939" t="s">
        <v>2704</v>
      </c>
      <c r="Q939" t="s">
        <v>2383</v>
      </c>
      <c r="R939">
        <v>1</v>
      </c>
      <c r="S939" t="s">
        <v>2380</v>
      </c>
      <c r="T939" t="s">
        <v>2383</v>
      </c>
      <c r="U939" s="8">
        <v>45937.455821759257</v>
      </c>
      <c r="V939" s="8">
        <v>45940.958333333336</v>
      </c>
      <c r="W939">
        <v>1</v>
      </c>
      <c r="X939">
        <v>1.1122685E-2</v>
      </c>
      <c r="Y939" t="s">
        <v>2403</v>
      </c>
      <c r="Z939" t="s">
        <v>5510</v>
      </c>
      <c r="AA939" t="s">
        <v>1291</v>
      </c>
      <c r="AB939" t="s">
        <v>1278</v>
      </c>
      <c r="AC939" t="s">
        <v>4546</v>
      </c>
      <c r="AD939" t="s">
        <v>2708</v>
      </c>
      <c r="AE939">
        <v>1</v>
      </c>
      <c r="AO939" t="s">
        <v>2408</v>
      </c>
      <c r="AP939" t="s">
        <v>2401</v>
      </c>
    </row>
    <row r="940" spans="1:42">
      <c r="A940" t="s">
        <v>177</v>
      </c>
      <c r="B940" t="s">
        <v>2377</v>
      </c>
      <c r="C940" t="s">
        <v>2390</v>
      </c>
      <c r="D940" t="s">
        <v>2379</v>
      </c>
      <c r="E940" t="s">
        <v>12</v>
      </c>
      <c r="F940" t="s">
        <v>2715</v>
      </c>
      <c r="G940" t="s">
        <v>12</v>
      </c>
      <c r="H940" t="b">
        <v>1</v>
      </c>
      <c r="I940" s="8">
        <v>45939.628680555557</v>
      </c>
      <c r="J940" t="s">
        <v>2380</v>
      </c>
      <c r="L940">
        <v>603955</v>
      </c>
      <c r="M940" t="s">
        <v>2381</v>
      </c>
      <c r="P940" t="s">
        <v>2704</v>
      </c>
      <c r="Q940" t="s">
        <v>2383</v>
      </c>
      <c r="R940">
        <v>1</v>
      </c>
      <c r="S940" t="s">
        <v>2380</v>
      </c>
      <c r="T940" t="s">
        <v>2383</v>
      </c>
      <c r="U940" s="8">
        <v>45937.460532407407</v>
      </c>
      <c r="V940" s="8">
        <v>45940.958333333336</v>
      </c>
      <c r="W940">
        <v>1</v>
      </c>
      <c r="X940">
        <v>2.1681481480000002</v>
      </c>
      <c r="Y940" t="s">
        <v>4653</v>
      </c>
      <c r="Z940" t="s">
        <v>7496</v>
      </c>
      <c r="AA940" t="s">
        <v>7497</v>
      </c>
      <c r="AB940" t="s">
        <v>1278</v>
      </c>
      <c r="AC940" t="s">
        <v>7498</v>
      </c>
      <c r="AD940" t="s">
        <v>2708</v>
      </c>
      <c r="AE940">
        <v>1</v>
      </c>
      <c r="AO940" t="s">
        <v>2957</v>
      </c>
      <c r="AP940" t="s">
        <v>2401</v>
      </c>
    </row>
    <row r="941" spans="1:42">
      <c r="A941" t="s">
        <v>881</v>
      </c>
      <c r="B941" t="s">
        <v>2377</v>
      </c>
      <c r="C941" t="s">
        <v>2390</v>
      </c>
      <c r="D941" t="s">
        <v>2379</v>
      </c>
      <c r="E941" t="s">
        <v>12</v>
      </c>
      <c r="F941" t="s">
        <v>3747</v>
      </c>
      <c r="G941" t="s">
        <v>12</v>
      </c>
      <c r="H941" t="b">
        <v>1</v>
      </c>
      <c r="I941" s="8">
        <v>45939.675775462965</v>
      </c>
      <c r="J941" t="s">
        <v>2380</v>
      </c>
      <c r="L941">
        <v>601335</v>
      </c>
      <c r="M941" t="s">
        <v>2381</v>
      </c>
      <c r="P941" t="s">
        <v>2704</v>
      </c>
      <c r="Q941" t="s">
        <v>2383</v>
      </c>
      <c r="R941">
        <v>1</v>
      </c>
      <c r="S941" t="s">
        <v>2380</v>
      </c>
      <c r="T941" t="s">
        <v>2383</v>
      </c>
      <c r="U941" s="8">
        <v>45937.461053240739</v>
      </c>
      <c r="V941" s="8">
        <v>45940.958333333336</v>
      </c>
      <c r="W941">
        <v>1</v>
      </c>
      <c r="X941">
        <v>2.2147222219999998</v>
      </c>
      <c r="Y941" t="s">
        <v>3748</v>
      </c>
      <c r="Z941" t="s">
        <v>4003</v>
      </c>
      <c r="AA941" t="s">
        <v>3784</v>
      </c>
      <c r="AB941" t="s">
        <v>1278</v>
      </c>
      <c r="AC941" t="s">
        <v>4004</v>
      </c>
      <c r="AD941" t="s">
        <v>2708</v>
      </c>
      <c r="AE941">
        <v>1</v>
      </c>
      <c r="AO941" t="s">
        <v>2712</v>
      </c>
      <c r="AP941" t="s">
        <v>2401</v>
      </c>
    </row>
    <row r="942" spans="1:42">
      <c r="A942" t="s">
        <v>1735</v>
      </c>
      <c r="B942" t="s">
        <v>2389</v>
      </c>
      <c r="C942" t="s">
        <v>2378</v>
      </c>
      <c r="D942" t="s">
        <v>2379</v>
      </c>
      <c r="E942" t="s">
        <v>28</v>
      </c>
      <c r="F942" t="s">
        <v>2402</v>
      </c>
      <c r="G942" t="s">
        <v>28</v>
      </c>
      <c r="H942" t="b">
        <v>1</v>
      </c>
      <c r="I942" s="8">
        <v>45940.672939814816</v>
      </c>
      <c r="J942" t="s">
        <v>2380</v>
      </c>
      <c r="K942">
        <v>1201687</v>
      </c>
      <c r="L942">
        <v>609002</v>
      </c>
      <c r="M942" t="s">
        <v>2381</v>
      </c>
      <c r="N942">
        <v>15</v>
      </c>
      <c r="P942" t="s">
        <v>2486</v>
      </c>
      <c r="Q942" t="s">
        <v>2383</v>
      </c>
      <c r="R942">
        <v>1</v>
      </c>
      <c r="S942" t="s">
        <v>2380</v>
      </c>
      <c r="T942" t="s">
        <v>2383</v>
      </c>
      <c r="U942" s="8">
        <v>45937.461747685185</v>
      </c>
      <c r="V942" s="8">
        <v>45940.958333333336</v>
      </c>
      <c r="W942">
        <v>1</v>
      </c>
      <c r="X942">
        <v>3.2111921300000001</v>
      </c>
      <c r="Y942" t="s">
        <v>2403</v>
      </c>
      <c r="Z942" t="s">
        <v>5484</v>
      </c>
      <c r="AA942" t="s">
        <v>5485</v>
      </c>
      <c r="AB942" t="s">
        <v>1278</v>
      </c>
      <c r="AC942" t="s">
        <v>5486</v>
      </c>
      <c r="AD942" t="s">
        <v>2708</v>
      </c>
      <c r="AE942">
        <v>1</v>
      </c>
      <c r="AO942" t="s">
        <v>2408</v>
      </c>
      <c r="AP942" t="s">
        <v>2401</v>
      </c>
    </row>
    <row r="943" spans="1:42">
      <c r="A943" t="s">
        <v>198</v>
      </c>
      <c r="B943" t="s">
        <v>2377</v>
      </c>
      <c r="C943" t="s">
        <v>2691</v>
      </c>
      <c r="D943" t="s">
        <v>2379</v>
      </c>
      <c r="E943" t="s">
        <v>33</v>
      </c>
      <c r="F943" t="s">
        <v>3747</v>
      </c>
      <c r="G943" t="s">
        <v>33</v>
      </c>
      <c r="H943" t="b">
        <v>1</v>
      </c>
      <c r="I943" s="8">
        <v>45945.663506944446</v>
      </c>
      <c r="J943" t="s">
        <v>2380</v>
      </c>
      <c r="L943">
        <v>609918</v>
      </c>
      <c r="M943" t="s">
        <v>2381</v>
      </c>
      <c r="P943" t="s">
        <v>2704</v>
      </c>
      <c r="Q943" t="s">
        <v>2383</v>
      </c>
      <c r="R943">
        <v>1</v>
      </c>
      <c r="S943" t="s">
        <v>2380</v>
      </c>
      <c r="T943" t="s">
        <v>2383</v>
      </c>
      <c r="U943" s="8">
        <v>45937.461759259262</v>
      </c>
      <c r="V943" s="8">
        <v>45945.958333333336</v>
      </c>
      <c r="W943">
        <v>1</v>
      </c>
      <c r="X943">
        <v>6.201747685</v>
      </c>
      <c r="Y943" t="s">
        <v>3748</v>
      </c>
      <c r="Z943" t="s">
        <v>9244</v>
      </c>
      <c r="AA943" t="s">
        <v>3807</v>
      </c>
      <c r="AB943" t="s">
        <v>1278</v>
      </c>
      <c r="AC943" t="s">
        <v>9245</v>
      </c>
      <c r="AD943" t="s">
        <v>2708</v>
      </c>
      <c r="AE943">
        <v>1</v>
      </c>
      <c r="AH943" t="s">
        <v>12</v>
      </c>
      <c r="AI943" s="8">
        <v>45945.659016203703</v>
      </c>
      <c r="AK943" t="s">
        <v>2719</v>
      </c>
      <c r="AL943" t="s">
        <v>2719</v>
      </c>
      <c r="AO943" t="s">
        <v>2712</v>
      </c>
      <c r="AP943" t="s">
        <v>2401</v>
      </c>
    </row>
    <row r="944" spans="1:42">
      <c r="A944" t="s">
        <v>571</v>
      </c>
      <c r="B944" t="s">
        <v>2377</v>
      </c>
      <c r="C944" t="s">
        <v>2415</v>
      </c>
      <c r="D944" t="s">
        <v>2379</v>
      </c>
      <c r="E944" t="s">
        <v>33</v>
      </c>
      <c r="F944" t="s">
        <v>3747</v>
      </c>
      <c r="G944" t="s">
        <v>33</v>
      </c>
      <c r="H944" t="b">
        <v>1</v>
      </c>
      <c r="I944" s="8">
        <v>45938.580393518518</v>
      </c>
      <c r="J944" t="s">
        <v>2380</v>
      </c>
      <c r="L944">
        <v>601454</v>
      </c>
      <c r="M944" t="s">
        <v>2381</v>
      </c>
      <c r="P944" t="s">
        <v>2704</v>
      </c>
      <c r="Q944" t="s">
        <v>2383</v>
      </c>
      <c r="R944">
        <v>1</v>
      </c>
      <c r="S944" t="s">
        <v>2380</v>
      </c>
      <c r="T944" t="s">
        <v>2383</v>
      </c>
      <c r="U944" s="8">
        <v>45937.46298611111</v>
      </c>
      <c r="V944" s="8">
        <v>45940.958333333336</v>
      </c>
      <c r="W944">
        <v>1</v>
      </c>
      <c r="X944">
        <v>1.117407407</v>
      </c>
      <c r="Y944" t="s">
        <v>3748</v>
      </c>
      <c r="Z944" t="s">
        <v>9234</v>
      </c>
      <c r="AA944" t="s">
        <v>4083</v>
      </c>
      <c r="AB944" t="s">
        <v>1278</v>
      </c>
      <c r="AC944" t="s">
        <v>9235</v>
      </c>
      <c r="AD944" t="s">
        <v>2708</v>
      </c>
      <c r="AE944">
        <v>1</v>
      </c>
      <c r="AH944" t="s">
        <v>4895</v>
      </c>
      <c r="AI944" s="8">
        <v>45938.578055555554</v>
      </c>
      <c r="AK944" t="s">
        <v>2719</v>
      </c>
      <c r="AL944" t="s">
        <v>2719</v>
      </c>
      <c r="AO944" t="s">
        <v>2712</v>
      </c>
      <c r="AP944" t="s">
        <v>2401</v>
      </c>
    </row>
    <row r="945" spans="1:42">
      <c r="A945" t="s">
        <v>573</v>
      </c>
      <c r="B945" t="s">
        <v>2377</v>
      </c>
      <c r="C945" t="s">
        <v>2415</v>
      </c>
      <c r="D945" t="s">
        <v>2379</v>
      </c>
      <c r="E945" t="s">
        <v>33</v>
      </c>
      <c r="F945" t="s">
        <v>2578</v>
      </c>
      <c r="G945" t="s">
        <v>33</v>
      </c>
      <c r="H945" t="b">
        <v>1</v>
      </c>
      <c r="I945" s="8">
        <v>45938.580335648148</v>
      </c>
      <c r="J945" t="s">
        <v>2380</v>
      </c>
      <c r="L945">
        <v>601544</v>
      </c>
      <c r="M945" t="s">
        <v>2381</v>
      </c>
      <c r="P945" t="s">
        <v>2704</v>
      </c>
      <c r="Q945" t="s">
        <v>2383</v>
      </c>
      <c r="R945">
        <v>1</v>
      </c>
      <c r="S945" t="s">
        <v>2380</v>
      </c>
      <c r="T945" t="s">
        <v>2383</v>
      </c>
      <c r="U945" s="8">
        <v>45937.463564814818</v>
      </c>
      <c r="V945" s="8">
        <v>45940.958333333336</v>
      </c>
      <c r="W945">
        <v>1</v>
      </c>
      <c r="X945">
        <v>1.1167708329999999</v>
      </c>
      <c r="Y945" t="s">
        <v>2579</v>
      </c>
      <c r="Z945" t="s">
        <v>9043</v>
      </c>
      <c r="AA945" t="s">
        <v>3272</v>
      </c>
      <c r="AB945" t="s">
        <v>1278</v>
      </c>
      <c r="AC945" t="s">
        <v>9044</v>
      </c>
      <c r="AD945" t="s">
        <v>2708</v>
      </c>
      <c r="AE945">
        <v>1</v>
      </c>
      <c r="AH945" t="s">
        <v>4895</v>
      </c>
      <c r="AI945" s="8">
        <v>45938.578541666669</v>
      </c>
      <c r="AK945" t="s">
        <v>2719</v>
      </c>
      <c r="AL945" t="s">
        <v>2719</v>
      </c>
      <c r="AO945" t="s">
        <v>2388</v>
      </c>
      <c r="AP945" t="s">
        <v>2401</v>
      </c>
    </row>
    <row r="946" spans="1:42">
      <c r="A946" t="s">
        <v>569</v>
      </c>
      <c r="B946" t="s">
        <v>2377</v>
      </c>
      <c r="C946" t="s">
        <v>2438</v>
      </c>
      <c r="D946" t="s">
        <v>2379</v>
      </c>
      <c r="E946" t="s">
        <v>28</v>
      </c>
      <c r="F946" t="s">
        <v>4897</v>
      </c>
      <c r="G946" t="s">
        <v>28</v>
      </c>
      <c r="H946" t="b">
        <v>1</v>
      </c>
      <c r="I946" s="8">
        <v>45937.482893518521</v>
      </c>
      <c r="J946" t="s">
        <v>2380</v>
      </c>
      <c r="L946">
        <v>602408</v>
      </c>
      <c r="M946" t="s">
        <v>2381</v>
      </c>
      <c r="N946">
        <v>20</v>
      </c>
      <c r="P946" t="s">
        <v>2704</v>
      </c>
      <c r="Q946" t="s">
        <v>2383</v>
      </c>
      <c r="R946">
        <v>1</v>
      </c>
      <c r="S946" t="s">
        <v>2380</v>
      </c>
      <c r="T946" t="s">
        <v>2383</v>
      </c>
      <c r="U946" s="8">
        <v>45937.468622685185</v>
      </c>
      <c r="V946" s="8">
        <v>45940.958333333336</v>
      </c>
      <c r="W946">
        <v>1</v>
      </c>
      <c r="X946">
        <v>1.4270833E-2</v>
      </c>
      <c r="Y946" t="s">
        <v>4898</v>
      </c>
      <c r="Z946" t="s">
        <v>5063</v>
      </c>
      <c r="AA946" t="s">
        <v>1233</v>
      </c>
      <c r="AB946" t="s">
        <v>1278</v>
      </c>
      <c r="AC946" t="s">
        <v>3066</v>
      </c>
      <c r="AD946" t="s">
        <v>2708</v>
      </c>
      <c r="AE946">
        <v>1</v>
      </c>
      <c r="AO946" t="s">
        <v>2715</v>
      </c>
      <c r="AP946" t="s">
        <v>2401</v>
      </c>
    </row>
    <row r="947" spans="1:42">
      <c r="A947" t="s">
        <v>186</v>
      </c>
      <c r="B947" t="s">
        <v>2377</v>
      </c>
      <c r="C947" t="s">
        <v>2378</v>
      </c>
      <c r="D947" t="s">
        <v>2379</v>
      </c>
      <c r="E947" t="s">
        <v>24</v>
      </c>
      <c r="F947" t="s">
        <v>4897</v>
      </c>
      <c r="G947" t="s">
        <v>24</v>
      </c>
      <c r="H947" t="b">
        <v>1</v>
      </c>
      <c r="I947" s="8">
        <v>45940.522476851853</v>
      </c>
      <c r="J947" t="s">
        <v>2380</v>
      </c>
      <c r="L947">
        <v>606059</v>
      </c>
      <c r="M947" t="s">
        <v>2381</v>
      </c>
      <c r="P947" t="s">
        <v>3896</v>
      </c>
      <c r="Q947" t="s">
        <v>2383</v>
      </c>
      <c r="R947">
        <v>1</v>
      </c>
      <c r="S947" t="s">
        <v>2380</v>
      </c>
      <c r="T947" t="s">
        <v>2383</v>
      </c>
      <c r="U947" s="8">
        <v>45937.469178240739</v>
      </c>
      <c r="V947" s="8">
        <v>45940.958333333336</v>
      </c>
      <c r="W947">
        <v>1</v>
      </c>
      <c r="X947">
        <v>3.0532986110000002</v>
      </c>
      <c r="Y947" t="s">
        <v>4898</v>
      </c>
      <c r="Z947" t="s">
        <v>4912</v>
      </c>
      <c r="AA947" t="s">
        <v>4900</v>
      </c>
      <c r="AB947" t="s">
        <v>1278</v>
      </c>
      <c r="AC947" t="s">
        <v>4913</v>
      </c>
      <c r="AD947" t="s">
        <v>2708</v>
      </c>
      <c r="AE947">
        <v>1</v>
      </c>
      <c r="AO947" t="s">
        <v>2715</v>
      </c>
      <c r="AP947" t="s">
        <v>2401</v>
      </c>
    </row>
    <row r="948" spans="1:42">
      <c r="A948" t="s">
        <v>366</v>
      </c>
      <c r="B948" t="s">
        <v>2377</v>
      </c>
      <c r="C948" t="s">
        <v>2415</v>
      </c>
      <c r="D948" t="s">
        <v>2379</v>
      </c>
      <c r="E948" t="s">
        <v>33</v>
      </c>
      <c r="F948" t="s">
        <v>2457</v>
      </c>
      <c r="G948" t="s">
        <v>33</v>
      </c>
      <c r="H948" t="b">
        <v>1</v>
      </c>
      <c r="I948" s="8">
        <v>45938.580393518518</v>
      </c>
      <c r="J948" t="s">
        <v>2380</v>
      </c>
      <c r="L948">
        <v>602835</v>
      </c>
      <c r="M948" t="s">
        <v>2381</v>
      </c>
      <c r="P948" t="s">
        <v>2704</v>
      </c>
      <c r="Q948" t="s">
        <v>2383</v>
      </c>
      <c r="R948">
        <v>1</v>
      </c>
      <c r="S948" t="s">
        <v>2380</v>
      </c>
      <c r="T948" t="s">
        <v>2383</v>
      </c>
      <c r="U948" s="8">
        <v>45937.469212962962</v>
      </c>
      <c r="V948" s="8">
        <v>45940.958333333336</v>
      </c>
      <c r="W948">
        <v>1</v>
      </c>
      <c r="X948">
        <v>1.1111805560000001</v>
      </c>
      <c r="Y948" t="s">
        <v>2403</v>
      </c>
      <c r="Z948" t="s">
        <v>5207</v>
      </c>
      <c r="AA948" t="s">
        <v>4201</v>
      </c>
      <c r="AB948" t="s">
        <v>1278</v>
      </c>
      <c r="AC948" t="s">
        <v>5208</v>
      </c>
      <c r="AD948" t="s">
        <v>2708</v>
      </c>
      <c r="AE948">
        <v>1</v>
      </c>
      <c r="AH948" t="s">
        <v>4895</v>
      </c>
      <c r="AI948" s="8">
        <v>45938.575949074075</v>
      </c>
      <c r="AK948" t="s">
        <v>2719</v>
      </c>
      <c r="AL948" t="s">
        <v>2719</v>
      </c>
      <c r="AO948" t="s">
        <v>2408</v>
      </c>
      <c r="AP948" t="s">
        <v>2401</v>
      </c>
    </row>
    <row r="949" spans="1:42">
      <c r="A949" t="s">
        <v>887</v>
      </c>
      <c r="B949" t="s">
        <v>2377</v>
      </c>
      <c r="C949" t="s">
        <v>2378</v>
      </c>
      <c r="D949" t="s">
        <v>2379</v>
      </c>
      <c r="E949" t="s">
        <v>24</v>
      </c>
      <c r="F949" t="s">
        <v>3261</v>
      </c>
      <c r="G949" t="s">
        <v>24</v>
      </c>
      <c r="H949" t="b">
        <v>1</v>
      </c>
      <c r="I949" s="8">
        <v>45940.650810185187</v>
      </c>
      <c r="J949" t="s">
        <v>2380</v>
      </c>
      <c r="L949">
        <v>601294</v>
      </c>
      <c r="M949" t="s">
        <v>2381</v>
      </c>
      <c r="P949" t="s">
        <v>4638</v>
      </c>
      <c r="Q949" t="s">
        <v>2383</v>
      </c>
      <c r="R949">
        <v>1</v>
      </c>
      <c r="S949" t="s">
        <v>2380</v>
      </c>
      <c r="T949" t="s">
        <v>2383</v>
      </c>
      <c r="U949" s="8">
        <v>45937.471284722225</v>
      </c>
      <c r="V949" s="8">
        <v>45940.958333333336</v>
      </c>
      <c r="W949">
        <v>1</v>
      </c>
      <c r="X949">
        <v>3.1795254630000001</v>
      </c>
      <c r="Y949" t="s">
        <v>3262</v>
      </c>
      <c r="Z949" t="s">
        <v>7406</v>
      </c>
      <c r="AA949" t="s">
        <v>1435</v>
      </c>
      <c r="AB949" t="s">
        <v>1278</v>
      </c>
      <c r="AC949" t="s">
        <v>7407</v>
      </c>
      <c r="AD949" t="s">
        <v>2708</v>
      </c>
      <c r="AE949">
        <v>1</v>
      </c>
      <c r="AO949" t="s">
        <v>2957</v>
      </c>
      <c r="AP949" t="s">
        <v>2401</v>
      </c>
    </row>
    <row r="950" spans="1:42">
      <c r="A950" t="s">
        <v>368</v>
      </c>
      <c r="B950" t="s">
        <v>2377</v>
      </c>
      <c r="C950" t="s">
        <v>2415</v>
      </c>
      <c r="D950" t="s">
        <v>2379</v>
      </c>
      <c r="E950" t="s">
        <v>33</v>
      </c>
      <c r="F950" t="s">
        <v>2402</v>
      </c>
      <c r="G950" t="s">
        <v>33</v>
      </c>
      <c r="H950" t="b">
        <v>1</v>
      </c>
      <c r="I950" s="8">
        <v>45938.585787037038</v>
      </c>
      <c r="J950" t="s">
        <v>2380</v>
      </c>
      <c r="L950">
        <v>609899</v>
      </c>
      <c r="M950" t="s">
        <v>2381</v>
      </c>
      <c r="P950" t="s">
        <v>2704</v>
      </c>
      <c r="Q950" t="s">
        <v>2383</v>
      </c>
      <c r="R950">
        <v>1</v>
      </c>
      <c r="S950" t="s">
        <v>2380</v>
      </c>
      <c r="T950" t="s">
        <v>2383</v>
      </c>
      <c r="U950" s="8">
        <v>45937.473356481481</v>
      </c>
      <c r="V950" s="8">
        <v>45940.958333333336</v>
      </c>
      <c r="W950">
        <v>1</v>
      </c>
      <c r="X950">
        <v>1.1124305560000001</v>
      </c>
      <c r="Y950" t="s">
        <v>2403</v>
      </c>
      <c r="Z950" t="s">
        <v>5209</v>
      </c>
      <c r="AA950" t="s">
        <v>5210</v>
      </c>
      <c r="AB950" t="s">
        <v>1278</v>
      </c>
      <c r="AC950" t="s">
        <v>5211</v>
      </c>
      <c r="AD950" t="s">
        <v>2708</v>
      </c>
      <c r="AE950">
        <v>1</v>
      </c>
      <c r="AH950" t="s">
        <v>4895</v>
      </c>
      <c r="AI950" s="8">
        <v>45938.581458333334</v>
      </c>
      <c r="AK950" t="s">
        <v>2719</v>
      </c>
      <c r="AL950" t="s">
        <v>2719</v>
      </c>
      <c r="AO950" t="s">
        <v>2408</v>
      </c>
      <c r="AP950" t="s">
        <v>2401</v>
      </c>
    </row>
    <row r="951" spans="1:42">
      <c r="A951" t="s">
        <v>1678</v>
      </c>
      <c r="B951" t="s">
        <v>2389</v>
      </c>
      <c r="C951" t="s">
        <v>2443</v>
      </c>
      <c r="D951" t="s">
        <v>2443</v>
      </c>
      <c r="E951" t="s">
        <v>25</v>
      </c>
      <c r="F951" t="s">
        <v>2402</v>
      </c>
      <c r="G951" t="s">
        <v>25</v>
      </c>
      <c r="H951" t="b">
        <v>1</v>
      </c>
      <c r="I951" s="8">
        <v>45943.563402777778</v>
      </c>
      <c r="J951" t="s">
        <v>2380</v>
      </c>
      <c r="L951">
        <v>604367</v>
      </c>
      <c r="M951" t="s">
        <v>2381</v>
      </c>
      <c r="P951" t="s">
        <v>2486</v>
      </c>
      <c r="Q951" t="s">
        <v>2395</v>
      </c>
      <c r="R951">
        <v>1</v>
      </c>
      <c r="S951" t="s">
        <v>2380</v>
      </c>
      <c r="T951" t="s">
        <v>2383</v>
      </c>
      <c r="U951" s="8">
        <v>45937.47378472222</v>
      </c>
      <c r="V951" s="8">
        <v>45940.958333333336</v>
      </c>
      <c r="W951">
        <v>1</v>
      </c>
      <c r="X951">
        <v>4.0896180559999999</v>
      </c>
      <c r="Y951" t="s">
        <v>2403</v>
      </c>
      <c r="Z951" t="s">
        <v>4135</v>
      </c>
      <c r="AA951" t="s">
        <v>1460</v>
      </c>
      <c r="AB951" t="s">
        <v>1278</v>
      </c>
      <c r="AC951" t="s">
        <v>4136</v>
      </c>
      <c r="AE951">
        <v>1</v>
      </c>
      <c r="AH951" t="s">
        <v>25</v>
      </c>
      <c r="AI951" s="8">
        <v>45943.54409722222</v>
      </c>
      <c r="AK951" t="s">
        <v>2719</v>
      </c>
      <c r="AL951" t="s">
        <v>18</v>
      </c>
      <c r="AO951" t="s">
        <v>4137</v>
      </c>
      <c r="AP951" t="s">
        <v>2401</v>
      </c>
    </row>
    <row r="952" spans="1:42">
      <c r="A952" t="s">
        <v>1762</v>
      </c>
      <c r="B952" t="s">
        <v>2389</v>
      </c>
      <c r="C952" t="s">
        <v>2378</v>
      </c>
      <c r="D952" t="s">
        <v>2379</v>
      </c>
      <c r="E952" t="s">
        <v>2452</v>
      </c>
      <c r="F952" t="s">
        <v>2578</v>
      </c>
      <c r="G952" t="s">
        <v>2452</v>
      </c>
      <c r="H952" t="b">
        <v>1</v>
      </c>
      <c r="I952" s="8">
        <v>45940.510555555556</v>
      </c>
      <c r="J952" t="s">
        <v>2380</v>
      </c>
      <c r="K952">
        <v>1201610</v>
      </c>
      <c r="L952">
        <v>601385</v>
      </c>
      <c r="M952" t="s">
        <v>2381</v>
      </c>
      <c r="P952" t="s">
        <v>6787</v>
      </c>
      <c r="Q952" t="s">
        <v>2383</v>
      </c>
      <c r="R952">
        <v>1</v>
      </c>
      <c r="S952" t="s">
        <v>2380</v>
      </c>
      <c r="T952" t="s">
        <v>2383</v>
      </c>
      <c r="U952" s="8">
        <v>45937.47515046296</v>
      </c>
      <c r="V952" s="8">
        <v>45940.958333333336</v>
      </c>
      <c r="W952">
        <v>1</v>
      </c>
      <c r="X952">
        <v>3.0354050930000001</v>
      </c>
      <c r="Y952" t="s">
        <v>2579</v>
      </c>
      <c r="Z952" t="s">
        <v>7099</v>
      </c>
      <c r="AA952" t="s">
        <v>1760</v>
      </c>
      <c r="AB952" t="s">
        <v>1278</v>
      </c>
      <c r="AC952" t="s">
        <v>7100</v>
      </c>
      <c r="AD952" t="s">
        <v>2708</v>
      </c>
      <c r="AE952">
        <v>1</v>
      </c>
      <c r="AO952" t="s">
        <v>2388</v>
      </c>
      <c r="AP952" t="s">
        <v>2401</v>
      </c>
    </row>
    <row r="953" spans="1:42">
      <c r="A953" t="s">
        <v>1726</v>
      </c>
      <c r="B953" t="s">
        <v>2389</v>
      </c>
      <c r="C953" t="s">
        <v>2378</v>
      </c>
      <c r="D953" t="s">
        <v>2379</v>
      </c>
      <c r="E953" t="s">
        <v>28</v>
      </c>
      <c r="F953" t="s">
        <v>2417</v>
      </c>
      <c r="G953" t="s">
        <v>28</v>
      </c>
      <c r="H953" t="b">
        <v>1</v>
      </c>
      <c r="I953" s="8">
        <v>45940.712118055555</v>
      </c>
      <c r="J953" t="s">
        <v>2380</v>
      </c>
      <c r="K953">
        <v>1201692</v>
      </c>
      <c r="L953">
        <v>601991</v>
      </c>
      <c r="M953" t="s">
        <v>2381</v>
      </c>
      <c r="N953">
        <v>15</v>
      </c>
      <c r="P953" t="s">
        <v>5290</v>
      </c>
      <c r="Q953" t="s">
        <v>2383</v>
      </c>
      <c r="R953">
        <v>1</v>
      </c>
      <c r="S953" t="s">
        <v>2380</v>
      </c>
      <c r="T953" t="s">
        <v>2383</v>
      </c>
      <c r="U953" s="8">
        <v>45937.475381944445</v>
      </c>
      <c r="V953" s="8">
        <v>45940.958333333336</v>
      </c>
      <c r="W953">
        <v>1</v>
      </c>
      <c r="X953">
        <v>3.2367361109999999</v>
      </c>
      <c r="Y953" t="s">
        <v>2418</v>
      </c>
      <c r="Z953" t="s">
        <v>5502</v>
      </c>
      <c r="AA953" t="s">
        <v>5292</v>
      </c>
      <c r="AB953" t="s">
        <v>1278</v>
      </c>
      <c r="AC953" t="s">
        <v>5503</v>
      </c>
      <c r="AD953" t="s">
        <v>2708</v>
      </c>
      <c r="AE953">
        <v>1</v>
      </c>
      <c r="AO953" t="s">
        <v>2408</v>
      </c>
      <c r="AP953" t="s">
        <v>2401</v>
      </c>
    </row>
    <row r="954" spans="1:42">
      <c r="A954" t="s">
        <v>1737</v>
      </c>
      <c r="B954" t="s">
        <v>2389</v>
      </c>
      <c r="C954" t="s">
        <v>2378</v>
      </c>
      <c r="D954" t="s">
        <v>2379</v>
      </c>
      <c r="E954" t="s">
        <v>28</v>
      </c>
      <c r="F954" t="s">
        <v>2402</v>
      </c>
      <c r="G954" t="s">
        <v>28</v>
      </c>
      <c r="H954" t="b">
        <v>1</v>
      </c>
      <c r="I954" s="8">
        <v>45940.669548611113</v>
      </c>
      <c r="J954" t="s">
        <v>2380</v>
      </c>
      <c r="K954">
        <v>1201686</v>
      </c>
      <c r="L954">
        <v>609002</v>
      </c>
      <c r="M954" t="s">
        <v>2381</v>
      </c>
      <c r="N954">
        <v>15</v>
      </c>
      <c r="P954" t="s">
        <v>2486</v>
      </c>
      <c r="Q954" t="s">
        <v>2383</v>
      </c>
      <c r="R954">
        <v>1</v>
      </c>
      <c r="S954" t="s">
        <v>2380</v>
      </c>
      <c r="T954" t="s">
        <v>2383</v>
      </c>
      <c r="U954" s="8">
        <v>45937.484606481485</v>
      </c>
      <c r="V954" s="8">
        <v>45940.958333333336</v>
      </c>
      <c r="W954">
        <v>1</v>
      </c>
      <c r="X954">
        <v>3.18494213</v>
      </c>
      <c r="Y954" t="s">
        <v>2403</v>
      </c>
      <c r="Z954" t="s">
        <v>5487</v>
      </c>
      <c r="AA954" t="s">
        <v>5485</v>
      </c>
      <c r="AB954" t="s">
        <v>1278</v>
      </c>
      <c r="AC954" t="s">
        <v>5488</v>
      </c>
      <c r="AD954" t="s">
        <v>2708</v>
      </c>
      <c r="AE954">
        <v>1</v>
      </c>
      <c r="AO954" t="s">
        <v>2408</v>
      </c>
      <c r="AP954" t="s">
        <v>2401</v>
      </c>
    </row>
    <row r="955" spans="1:42">
      <c r="A955" t="s">
        <v>1896</v>
      </c>
      <c r="B955" t="s">
        <v>2389</v>
      </c>
      <c r="C955" t="s">
        <v>2390</v>
      </c>
      <c r="D955" t="s">
        <v>2379</v>
      </c>
      <c r="E955" t="s">
        <v>12</v>
      </c>
      <c r="F955" t="s">
        <v>3193</v>
      </c>
      <c r="G955" t="s">
        <v>12</v>
      </c>
      <c r="H955" t="b">
        <v>1</v>
      </c>
      <c r="I955" s="8">
        <v>45939.514872685184</v>
      </c>
      <c r="J955" t="s">
        <v>2380</v>
      </c>
      <c r="L955">
        <v>609841</v>
      </c>
      <c r="M955" t="s">
        <v>2381</v>
      </c>
      <c r="P955" t="s">
        <v>3681</v>
      </c>
      <c r="Q955" t="s">
        <v>2383</v>
      </c>
      <c r="R955">
        <v>1</v>
      </c>
      <c r="S955" t="s">
        <v>2380</v>
      </c>
      <c r="T955" t="s">
        <v>2383</v>
      </c>
      <c r="U955" s="8">
        <v>45937.495462962965</v>
      </c>
      <c r="V955" s="8">
        <v>45940.958333333336</v>
      </c>
      <c r="W955">
        <v>1</v>
      </c>
      <c r="X955">
        <v>2.0194097219999998</v>
      </c>
      <c r="Y955" t="s">
        <v>3194</v>
      </c>
      <c r="Z955" t="s">
        <v>3682</v>
      </c>
      <c r="AA955" t="s">
        <v>3683</v>
      </c>
      <c r="AB955" t="s">
        <v>1278</v>
      </c>
      <c r="AC955" t="s">
        <v>2802</v>
      </c>
      <c r="AE955">
        <v>1</v>
      </c>
      <c r="AO955" t="s">
        <v>3644</v>
      </c>
      <c r="AP955" t="s">
        <v>2401</v>
      </c>
    </row>
    <row r="956" spans="1:42">
      <c r="A956" t="s">
        <v>1922</v>
      </c>
      <c r="B956" t="s">
        <v>2389</v>
      </c>
      <c r="C956" t="s">
        <v>2390</v>
      </c>
      <c r="D956" t="s">
        <v>2379</v>
      </c>
      <c r="E956" t="s">
        <v>12</v>
      </c>
      <c r="F956" t="s">
        <v>3193</v>
      </c>
      <c r="G956" t="s">
        <v>12</v>
      </c>
      <c r="H956" t="b">
        <v>1</v>
      </c>
      <c r="I956" s="8">
        <v>45939.514097222222</v>
      </c>
      <c r="J956" t="s">
        <v>2380</v>
      </c>
      <c r="L956">
        <v>609841</v>
      </c>
      <c r="M956" t="s">
        <v>2381</v>
      </c>
      <c r="P956" t="s">
        <v>3681</v>
      </c>
      <c r="Q956" t="s">
        <v>2383</v>
      </c>
      <c r="R956">
        <v>1</v>
      </c>
      <c r="S956" t="s">
        <v>2380</v>
      </c>
      <c r="T956" t="s">
        <v>2383</v>
      </c>
      <c r="U956" s="8">
        <v>45937.495868055557</v>
      </c>
      <c r="V956" s="8">
        <v>45940.958333333336</v>
      </c>
      <c r="W956">
        <v>1</v>
      </c>
      <c r="X956">
        <v>2.0182291669999999</v>
      </c>
      <c r="Y956" t="s">
        <v>3194</v>
      </c>
      <c r="Z956" t="s">
        <v>3686</v>
      </c>
      <c r="AA956" t="s">
        <v>3683</v>
      </c>
      <c r="AB956" t="s">
        <v>1278</v>
      </c>
      <c r="AC956" t="s">
        <v>2802</v>
      </c>
      <c r="AE956">
        <v>1</v>
      </c>
      <c r="AO956" t="s">
        <v>3644</v>
      </c>
      <c r="AP956" t="s">
        <v>2401</v>
      </c>
    </row>
    <row r="957" spans="1:42">
      <c r="A957" t="s">
        <v>1894</v>
      </c>
      <c r="B957" t="s">
        <v>2389</v>
      </c>
      <c r="C957" t="s">
        <v>2390</v>
      </c>
      <c r="D957" t="s">
        <v>2379</v>
      </c>
      <c r="E957" t="s">
        <v>12</v>
      </c>
      <c r="F957" t="s">
        <v>3193</v>
      </c>
      <c r="G957" t="s">
        <v>12</v>
      </c>
      <c r="H957" t="b">
        <v>1</v>
      </c>
      <c r="I957" s="8">
        <v>45939.514884259261</v>
      </c>
      <c r="J957" t="s">
        <v>2380</v>
      </c>
      <c r="L957">
        <v>609841</v>
      </c>
      <c r="M957" t="s">
        <v>2381</v>
      </c>
      <c r="P957" t="s">
        <v>3681</v>
      </c>
      <c r="Q957" t="s">
        <v>2383</v>
      </c>
      <c r="R957">
        <v>1</v>
      </c>
      <c r="S957" t="s">
        <v>2380</v>
      </c>
      <c r="T957" t="s">
        <v>2383</v>
      </c>
      <c r="U957" s="8">
        <v>45937.496099537035</v>
      </c>
      <c r="V957" s="8">
        <v>45940.958333333336</v>
      </c>
      <c r="W957">
        <v>1</v>
      </c>
      <c r="X957">
        <v>2.0187847219999999</v>
      </c>
      <c r="Y957" t="s">
        <v>3194</v>
      </c>
      <c r="Z957" t="s">
        <v>3685</v>
      </c>
      <c r="AA957" t="s">
        <v>3683</v>
      </c>
      <c r="AB957" t="s">
        <v>1278</v>
      </c>
      <c r="AC957" t="s">
        <v>2802</v>
      </c>
      <c r="AE957">
        <v>1</v>
      </c>
      <c r="AO957" t="s">
        <v>3644</v>
      </c>
      <c r="AP957" t="s">
        <v>2401</v>
      </c>
    </row>
    <row r="958" spans="1:42">
      <c r="A958" t="s">
        <v>575</v>
      </c>
      <c r="B958" t="s">
        <v>2377</v>
      </c>
      <c r="C958" t="s">
        <v>2415</v>
      </c>
      <c r="D958" t="s">
        <v>2379</v>
      </c>
      <c r="E958" t="s">
        <v>33</v>
      </c>
      <c r="F958" t="s">
        <v>2402</v>
      </c>
      <c r="G958" t="s">
        <v>33</v>
      </c>
      <c r="H958" t="b">
        <v>1</v>
      </c>
      <c r="I958" s="8">
        <v>45938.58184027778</v>
      </c>
      <c r="J958" t="s">
        <v>2380</v>
      </c>
      <c r="L958">
        <v>602049</v>
      </c>
      <c r="M958" t="s">
        <v>2381</v>
      </c>
      <c r="P958" t="s">
        <v>2704</v>
      </c>
      <c r="Q958" t="s">
        <v>2383</v>
      </c>
      <c r="R958">
        <v>1</v>
      </c>
      <c r="S958" t="s">
        <v>2380</v>
      </c>
      <c r="T958" t="s">
        <v>2383</v>
      </c>
      <c r="U958" s="8">
        <v>45937.496319444443</v>
      </c>
      <c r="V958" s="8">
        <v>45940.958333333336</v>
      </c>
      <c r="W958">
        <v>1</v>
      </c>
      <c r="X958">
        <v>1.0855208329999999</v>
      </c>
      <c r="Y958" t="s">
        <v>2403</v>
      </c>
      <c r="Z958" t="s">
        <v>5212</v>
      </c>
      <c r="AA958" t="s">
        <v>5213</v>
      </c>
      <c r="AB958" t="s">
        <v>1278</v>
      </c>
      <c r="AC958" t="s">
        <v>5214</v>
      </c>
      <c r="AD958" t="s">
        <v>2708</v>
      </c>
      <c r="AE958">
        <v>1</v>
      </c>
      <c r="AH958" t="s">
        <v>4895</v>
      </c>
      <c r="AI958" s="8">
        <v>45938.581342592595</v>
      </c>
      <c r="AK958" t="s">
        <v>2719</v>
      </c>
      <c r="AL958" t="s">
        <v>2719</v>
      </c>
      <c r="AO958" t="s">
        <v>2408</v>
      </c>
      <c r="AP958" t="s">
        <v>2401</v>
      </c>
    </row>
    <row r="959" spans="1:42">
      <c r="A959" t="s">
        <v>1920</v>
      </c>
      <c r="B959" t="s">
        <v>2389</v>
      </c>
      <c r="C959" t="s">
        <v>2390</v>
      </c>
      <c r="D959" t="s">
        <v>2379</v>
      </c>
      <c r="E959" t="s">
        <v>12</v>
      </c>
      <c r="F959" t="s">
        <v>3193</v>
      </c>
      <c r="G959" t="s">
        <v>12</v>
      </c>
      <c r="H959" t="b">
        <v>1</v>
      </c>
      <c r="I959" s="8">
        <v>45939.514108796298</v>
      </c>
      <c r="J959" t="s">
        <v>2380</v>
      </c>
      <c r="L959">
        <v>609841</v>
      </c>
      <c r="M959" t="s">
        <v>2381</v>
      </c>
      <c r="P959" t="s">
        <v>3681</v>
      </c>
      <c r="Q959" t="s">
        <v>2383</v>
      </c>
      <c r="R959">
        <v>1</v>
      </c>
      <c r="S959" t="s">
        <v>2380</v>
      </c>
      <c r="T959" t="s">
        <v>2383</v>
      </c>
      <c r="U959" s="8">
        <v>45937.496377314812</v>
      </c>
      <c r="V959" s="8">
        <v>45940.958333333336</v>
      </c>
      <c r="W959">
        <v>1</v>
      </c>
      <c r="X959">
        <v>2.0177314810000002</v>
      </c>
      <c r="Y959" t="s">
        <v>3194</v>
      </c>
      <c r="Z959" t="s">
        <v>3684</v>
      </c>
      <c r="AA959" t="s">
        <v>3683</v>
      </c>
      <c r="AB959" t="s">
        <v>1278</v>
      </c>
      <c r="AC959" t="s">
        <v>2802</v>
      </c>
      <c r="AE959">
        <v>1</v>
      </c>
      <c r="AO959" t="s">
        <v>3644</v>
      </c>
      <c r="AP959" t="s">
        <v>2401</v>
      </c>
    </row>
    <row r="960" spans="1:42">
      <c r="A960" t="s">
        <v>1898</v>
      </c>
      <c r="B960" t="s">
        <v>2389</v>
      </c>
      <c r="C960" t="s">
        <v>2390</v>
      </c>
      <c r="D960" t="s">
        <v>2379</v>
      </c>
      <c r="E960" t="s">
        <v>12</v>
      </c>
      <c r="F960" t="s">
        <v>3193</v>
      </c>
      <c r="G960" t="s">
        <v>12</v>
      </c>
      <c r="H960" t="b">
        <v>1</v>
      </c>
      <c r="I960" s="8">
        <v>45939.514791666668</v>
      </c>
      <c r="J960" t="s">
        <v>2380</v>
      </c>
      <c r="L960">
        <v>609841</v>
      </c>
      <c r="M960" t="s">
        <v>2381</v>
      </c>
      <c r="P960" t="s">
        <v>3681</v>
      </c>
      <c r="Q960" t="s">
        <v>2383</v>
      </c>
      <c r="R960">
        <v>1</v>
      </c>
      <c r="S960" t="s">
        <v>2380</v>
      </c>
      <c r="T960" t="s">
        <v>2383</v>
      </c>
      <c r="U960" s="8">
        <v>45937.496631944443</v>
      </c>
      <c r="V960" s="8">
        <v>45940.958333333336</v>
      </c>
      <c r="W960">
        <v>1</v>
      </c>
      <c r="X960">
        <v>2.018159722</v>
      </c>
      <c r="Y960" t="s">
        <v>3194</v>
      </c>
      <c r="Z960" t="s">
        <v>3687</v>
      </c>
      <c r="AA960" t="s">
        <v>3683</v>
      </c>
      <c r="AB960" t="s">
        <v>1278</v>
      </c>
      <c r="AC960" t="s">
        <v>2802</v>
      </c>
      <c r="AE960">
        <v>1</v>
      </c>
      <c r="AO960" t="s">
        <v>3644</v>
      </c>
      <c r="AP960" t="s">
        <v>2401</v>
      </c>
    </row>
    <row r="961" spans="1:42">
      <c r="A961" t="s">
        <v>1908</v>
      </c>
      <c r="B961" t="s">
        <v>2389</v>
      </c>
      <c r="C961" t="s">
        <v>2390</v>
      </c>
      <c r="D961" t="s">
        <v>2379</v>
      </c>
      <c r="E961" t="s">
        <v>12</v>
      </c>
      <c r="F961" t="s">
        <v>3193</v>
      </c>
      <c r="G961" t="s">
        <v>12</v>
      </c>
      <c r="H961" t="b">
        <v>1</v>
      </c>
      <c r="I961" s="8">
        <v>45939.51457175926</v>
      </c>
      <c r="J961" t="s">
        <v>2380</v>
      </c>
      <c r="L961">
        <v>609841</v>
      </c>
      <c r="M961" t="s">
        <v>2381</v>
      </c>
      <c r="P961" t="s">
        <v>3681</v>
      </c>
      <c r="Q961" t="s">
        <v>2383</v>
      </c>
      <c r="R961">
        <v>1</v>
      </c>
      <c r="S961" t="s">
        <v>2380</v>
      </c>
      <c r="T961" t="s">
        <v>2383</v>
      </c>
      <c r="U961" s="8">
        <v>45937.496851851851</v>
      </c>
      <c r="V961" s="8">
        <v>45940.958333333336</v>
      </c>
      <c r="W961">
        <v>1</v>
      </c>
      <c r="X961">
        <v>2.017719907</v>
      </c>
      <c r="Y961" t="s">
        <v>3194</v>
      </c>
      <c r="Z961" t="s">
        <v>3688</v>
      </c>
      <c r="AA961" t="s">
        <v>3683</v>
      </c>
      <c r="AB961" t="s">
        <v>1278</v>
      </c>
      <c r="AC961" t="s">
        <v>2802</v>
      </c>
      <c r="AE961">
        <v>1</v>
      </c>
      <c r="AO961" t="s">
        <v>3644</v>
      </c>
      <c r="AP961" t="s">
        <v>2401</v>
      </c>
    </row>
    <row r="962" spans="1:42">
      <c r="A962" t="s">
        <v>1884</v>
      </c>
      <c r="B962" t="s">
        <v>2389</v>
      </c>
      <c r="C962" t="s">
        <v>2390</v>
      </c>
      <c r="D962" t="s">
        <v>2379</v>
      </c>
      <c r="E962" t="s">
        <v>12</v>
      </c>
      <c r="F962" t="s">
        <v>3193</v>
      </c>
      <c r="G962" t="s">
        <v>12</v>
      </c>
      <c r="H962" t="b">
        <v>1</v>
      </c>
      <c r="I962" s="8">
        <v>45939.515127314815</v>
      </c>
      <c r="J962" t="s">
        <v>2380</v>
      </c>
      <c r="L962">
        <v>609841</v>
      </c>
      <c r="M962" t="s">
        <v>2381</v>
      </c>
      <c r="P962" t="s">
        <v>3681</v>
      </c>
      <c r="Q962" t="s">
        <v>2383</v>
      </c>
      <c r="R962">
        <v>1</v>
      </c>
      <c r="S962" t="s">
        <v>2380</v>
      </c>
      <c r="T962" t="s">
        <v>2383</v>
      </c>
      <c r="U962" s="8">
        <v>45937.497118055559</v>
      </c>
      <c r="V962" s="8">
        <v>45940.958333333336</v>
      </c>
      <c r="W962">
        <v>1</v>
      </c>
      <c r="X962">
        <v>2.0180092589999998</v>
      </c>
      <c r="Y962" t="s">
        <v>3194</v>
      </c>
      <c r="Z962" t="s">
        <v>3689</v>
      </c>
      <c r="AA962" t="s">
        <v>3683</v>
      </c>
      <c r="AB962" t="s">
        <v>1278</v>
      </c>
      <c r="AC962" t="s">
        <v>2802</v>
      </c>
      <c r="AE962">
        <v>1</v>
      </c>
      <c r="AO962" t="s">
        <v>3644</v>
      </c>
      <c r="AP962" t="s">
        <v>2401</v>
      </c>
    </row>
    <row r="963" spans="1:42">
      <c r="A963" t="s">
        <v>1904</v>
      </c>
      <c r="B963" t="s">
        <v>2389</v>
      </c>
      <c r="C963" t="s">
        <v>2390</v>
      </c>
      <c r="D963" t="s">
        <v>2379</v>
      </c>
      <c r="E963" t="s">
        <v>12</v>
      </c>
      <c r="F963" t="s">
        <v>3193</v>
      </c>
      <c r="G963" t="s">
        <v>12</v>
      </c>
      <c r="H963" t="b">
        <v>1</v>
      </c>
      <c r="I963" s="8">
        <v>45939.514652777776</v>
      </c>
      <c r="J963" t="s">
        <v>2380</v>
      </c>
      <c r="L963">
        <v>609841</v>
      </c>
      <c r="M963" t="s">
        <v>2381</v>
      </c>
      <c r="P963" t="s">
        <v>3681</v>
      </c>
      <c r="Q963" t="s">
        <v>2383</v>
      </c>
      <c r="R963">
        <v>1</v>
      </c>
      <c r="S963" t="s">
        <v>2380</v>
      </c>
      <c r="T963" t="s">
        <v>2383</v>
      </c>
      <c r="U963" s="8">
        <v>45937.497395833336</v>
      </c>
      <c r="V963" s="8">
        <v>45940.958333333336</v>
      </c>
      <c r="W963">
        <v>1</v>
      </c>
      <c r="X963">
        <v>2.0172569440000001</v>
      </c>
      <c r="Y963" t="s">
        <v>3194</v>
      </c>
      <c r="Z963" t="s">
        <v>3690</v>
      </c>
      <c r="AA963" t="s">
        <v>3683</v>
      </c>
      <c r="AB963" t="s">
        <v>1278</v>
      </c>
      <c r="AC963" t="s">
        <v>2802</v>
      </c>
      <c r="AE963">
        <v>1</v>
      </c>
      <c r="AO963" t="s">
        <v>3644</v>
      </c>
      <c r="AP963" t="s">
        <v>2401</v>
      </c>
    </row>
    <row r="964" spans="1:42">
      <c r="A964" t="s">
        <v>1852</v>
      </c>
      <c r="B964" t="s">
        <v>2389</v>
      </c>
      <c r="C964" t="s">
        <v>2390</v>
      </c>
      <c r="D964" t="s">
        <v>2379</v>
      </c>
      <c r="E964" t="s">
        <v>12</v>
      </c>
      <c r="F964" t="s">
        <v>3193</v>
      </c>
      <c r="G964" t="s">
        <v>12</v>
      </c>
      <c r="H964" t="b">
        <v>1</v>
      </c>
      <c r="I964" s="8">
        <v>45939.515925925924</v>
      </c>
      <c r="J964" t="s">
        <v>2380</v>
      </c>
      <c r="L964">
        <v>609841</v>
      </c>
      <c r="M964" t="s">
        <v>2381</v>
      </c>
      <c r="P964" t="s">
        <v>3681</v>
      </c>
      <c r="Q964" t="s">
        <v>2383</v>
      </c>
      <c r="R964">
        <v>1</v>
      </c>
      <c r="S964" t="s">
        <v>2380</v>
      </c>
      <c r="T964" t="s">
        <v>2383</v>
      </c>
      <c r="U964" s="8">
        <v>45937.497627314813</v>
      </c>
      <c r="V964" s="8">
        <v>45940.958333333336</v>
      </c>
      <c r="W964">
        <v>1</v>
      </c>
      <c r="X964">
        <v>2.0182986110000001</v>
      </c>
      <c r="Y964" t="s">
        <v>3194</v>
      </c>
      <c r="Z964" t="s">
        <v>3691</v>
      </c>
      <c r="AA964" t="s">
        <v>3683</v>
      </c>
      <c r="AB964" t="s">
        <v>1278</v>
      </c>
      <c r="AC964" t="s">
        <v>2802</v>
      </c>
      <c r="AE964">
        <v>1</v>
      </c>
      <c r="AO964" t="s">
        <v>3644</v>
      </c>
      <c r="AP964" t="s">
        <v>2401</v>
      </c>
    </row>
    <row r="965" spans="1:42">
      <c r="A965" t="s">
        <v>1918</v>
      </c>
      <c r="B965" t="s">
        <v>2389</v>
      </c>
      <c r="C965" t="s">
        <v>2390</v>
      </c>
      <c r="D965" t="s">
        <v>2379</v>
      </c>
      <c r="E965" t="s">
        <v>12</v>
      </c>
      <c r="F965" t="s">
        <v>3193</v>
      </c>
      <c r="G965" t="s">
        <v>12</v>
      </c>
      <c r="H965" t="b">
        <v>1</v>
      </c>
      <c r="I965" s="8">
        <v>45939.514166666668</v>
      </c>
      <c r="J965" t="s">
        <v>2380</v>
      </c>
      <c r="L965">
        <v>609841</v>
      </c>
      <c r="M965" t="s">
        <v>2381</v>
      </c>
      <c r="P965" t="s">
        <v>3681</v>
      </c>
      <c r="Q965" t="s">
        <v>2383</v>
      </c>
      <c r="R965">
        <v>1</v>
      </c>
      <c r="S965" t="s">
        <v>2380</v>
      </c>
      <c r="T965" t="s">
        <v>2383</v>
      </c>
      <c r="U965" s="8">
        <v>45937.498043981483</v>
      </c>
      <c r="V965" s="8">
        <v>45940.958333333336</v>
      </c>
      <c r="W965">
        <v>1</v>
      </c>
      <c r="X965">
        <v>2.016122685</v>
      </c>
      <c r="Y965" t="s">
        <v>3194</v>
      </c>
      <c r="Z965" t="s">
        <v>3692</v>
      </c>
      <c r="AA965" t="s">
        <v>3683</v>
      </c>
      <c r="AB965" t="s">
        <v>1278</v>
      </c>
      <c r="AC965" t="s">
        <v>2802</v>
      </c>
      <c r="AE965">
        <v>1</v>
      </c>
      <c r="AO965" t="s">
        <v>3644</v>
      </c>
      <c r="AP965" t="s">
        <v>2401</v>
      </c>
    </row>
    <row r="966" spans="1:42">
      <c r="A966" t="s">
        <v>1906</v>
      </c>
      <c r="B966" t="s">
        <v>2389</v>
      </c>
      <c r="C966" t="s">
        <v>2390</v>
      </c>
      <c r="D966" t="s">
        <v>2379</v>
      </c>
      <c r="E966" t="s">
        <v>12</v>
      </c>
      <c r="F966" t="s">
        <v>3193</v>
      </c>
      <c r="G966" t="s">
        <v>12</v>
      </c>
      <c r="H966" t="b">
        <v>1</v>
      </c>
      <c r="I966" s="8">
        <v>45939.514641203707</v>
      </c>
      <c r="J966" t="s">
        <v>2380</v>
      </c>
      <c r="L966">
        <v>609841</v>
      </c>
      <c r="M966" t="s">
        <v>2381</v>
      </c>
      <c r="P966" t="s">
        <v>3681</v>
      </c>
      <c r="Q966" t="s">
        <v>2383</v>
      </c>
      <c r="R966">
        <v>1</v>
      </c>
      <c r="S966" t="s">
        <v>2380</v>
      </c>
      <c r="T966" t="s">
        <v>2383</v>
      </c>
      <c r="U966" s="8">
        <v>45937.498310185183</v>
      </c>
      <c r="V966" s="8">
        <v>45940.958333333336</v>
      </c>
      <c r="W966">
        <v>1</v>
      </c>
      <c r="X966">
        <v>2.0163310189999999</v>
      </c>
      <c r="Y966" t="s">
        <v>3194</v>
      </c>
      <c r="Z966" t="s">
        <v>3694</v>
      </c>
      <c r="AA966" t="s">
        <v>3683</v>
      </c>
      <c r="AB966" t="s">
        <v>1278</v>
      </c>
      <c r="AC966" t="s">
        <v>2802</v>
      </c>
      <c r="AE966">
        <v>1</v>
      </c>
      <c r="AO966" t="s">
        <v>3644</v>
      </c>
      <c r="AP966" t="s">
        <v>2401</v>
      </c>
    </row>
    <row r="967" spans="1:42">
      <c r="A967" t="s">
        <v>1912</v>
      </c>
      <c r="B967" t="s">
        <v>2389</v>
      </c>
      <c r="C967" t="s">
        <v>2390</v>
      </c>
      <c r="D967" t="s">
        <v>2379</v>
      </c>
      <c r="E967" t="s">
        <v>12</v>
      </c>
      <c r="F967" t="s">
        <v>3193</v>
      </c>
      <c r="G967" t="s">
        <v>12</v>
      </c>
      <c r="H967" t="b">
        <v>1</v>
      </c>
      <c r="I967" s="8">
        <v>45939.514421296299</v>
      </c>
      <c r="J967" t="s">
        <v>2380</v>
      </c>
      <c r="L967">
        <v>609841</v>
      </c>
      <c r="M967" t="s">
        <v>2381</v>
      </c>
      <c r="P967" t="s">
        <v>3681</v>
      </c>
      <c r="Q967" t="s">
        <v>2383</v>
      </c>
      <c r="R967">
        <v>1</v>
      </c>
      <c r="S967" t="s">
        <v>2380</v>
      </c>
      <c r="T967" t="s">
        <v>2383</v>
      </c>
      <c r="U967" s="8">
        <v>45937.498518518521</v>
      </c>
      <c r="V967" s="8">
        <v>45940.958333333336</v>
      </c>
      <c r="W967">
        <v>1</v>
      </c>
      <c r="X967">
        <v>2.0159027780000001</v>
      </c>
      <c r="Y967" t="s">
        <v>3194</v>
      </c>
      <c r="Z967" t="s">
        <v>3693</v>
      </c>
      <c r="AA967" t="s">
        <v>3683</v>
      </c>
      <c r="AB967" t="s">
        <v>1278</v>
      </c>
      <c r="AC967" t="s">
        <v>2802</v>
      </c>
      <c r="AE967">
        <v>1</v>
      </c>
      <c r="AO967" t="s">
        <v>3644</v>
      </c>
      <c r="AP967" t="s">
        <v>2401</v>
      </c>
    </row>
    <row r="968" spans="1:42">
      <c r="A968" t="s">
        <v>1733</v>
      </c>
      <c r="B968" t="s">
        <v>2389</v>
      </c>
      <c r="C968" t="s">
        <v>2378</v>
      </c>
      <c r="D968" t="s">
        <v>2379</v>
      </c>
      <c r="E968" t="s">
        <v>28</v>
      </c>
      <c r="F968" t="s">
        <v>2417</v>
      </c>
      <c r="G968" t="s">
        <v>28</v>
      </c>
      <c r="H968" t="b">
        <v>1</v>
      </c>
      <c r="I968" s="8">
        <v>45940.675543981481</v>
      </c>
      <c r="J968" t="s">
        <v>2380</v>
      </c>
      <c r="K968">
        <v>1201688</v>
      </c>
      <c r="L968">
        <v>601991</v>
      </c>
      <c r="M968" t="s">
        <v>2381</v>
      </c>
      <c r="N968">
        <v>15</v>
      </c>
      <c r="P968" t="s">
        <v>5290</v>
      </c>
      <c r="Q968" t="s">
        <v>2383</v>
      </c>
      <c r="R968">
        <v>1</v>
      </c>
      <c r="S968" t="s">
        <v>2380</v>
      </c>
      <c r="T968" t="s">
        <v>2383</v>
      </c>
      <c r="U968" s="8">
        <v>45937.498541666668</v>
      </c>
      <c r="V968" s="8">
        <v>45940.958333333336</v>
      </c>
      <c r="W968">
        <v>1</v>
      </c>
      <c r="X968">
        <v>3.1770023150000002</v>
      </c>
      <c r="Y968" t="s">
        <v>2418</v>
      </c>
      <c r="Z968" t="s">
        <v>5504</v>
      </c>
      <c r="AA968" t="s">
        <v>5292</v>
      </c>
      <c r="AB968" t="s">
        <v>1278</v>
      </c>
      <c r="AC968" t="s">
        <v>5505</v>
      </c>
      <c r="AD968" t="s">
        <v>2708</v>
      </c>
      <c r="AE968">
        <v>1</v>
      </c>
      <c r="AO968" t="s">
        <v>2408</v>
      </c>
      <c r="AP968" t="s">
        <v>2401</v>
      </c>
    </row>
    <row r="969" spans="1:42">
      <c r="A969" t="s">
        <v>1854</v>
      </c>
      <c r="B969" t="s">
        <v>2389</v>
      </c>
      <c r="C969" t="s">
        <v>2390</v>
      </c>
      <c r="D969" t="s">
        <v>2379</v>
      </c>
      <c r="E969" t="s">
        <v>12</v>
      </c>
      <c r="F969" t="s">
        <v>3193</v>
      </c>
      <c r="G969" t="s">
        <v>12</v>
      </c>
      <c r="H969" t="b">
        <v>1</v>
      </c>
      <c r="I969" s="8">
        <v>45939.515925925924</v>
      </c>
      <c r="J969" t="s">
        <v>2380</v>
      </c>
      <c r="L969">
        <v>609841</v>
      </c>
      <c r="M969" t="s">
        <v>2381</v>
      </c>
      <c r="P969" t="s">
        <v>3681</v>
      </c>
      <c r="Q969" t="s">
        <v>2383</v>
      </c>
      <c r="R969">
        <v>1</v>
      </c>
      <c r="S969" t="s">
        <v>2380</v>
      </c>
      <c r="T969" t="s">
        <v>2383</v>
      </c>
      <c r="U969" s="8">
        <v>45937.498703703706</v>
      </c>
      <c r="V969" s="8">
        <v>45940.958333333336</v>
      </c>
      <c r="W969">
        <v>1</v>
      </c>
      <c r="X969">
        <v>2.017222222</v>
      </c>
      <c r="Y969" t="s">
        <v>3194</v>
      </c>
      <c r="Z969" t="s">
        <v>3695</v>
      </c>
      <c r="AA969" t="s">
        <v>3683</v>
      </c>
      <c r="AB969" t="s">
        <v>1278</v>
      </c>
      <c r="AC969" t="s">
        <v>2802</v>
      </c>
      <c r="AE969">
        <v>1</v>
      </c>
      <c r="AO969" t="s">
        <v>3644</v>
      </c>
      <c r="AP969" t="s">
        <v>2401</v>
      </c>
    </row>
    <row r="970" spans="1:42">
      <c r="A970" t="s">
        <v>1902</v>
      </c>
      <c r="B970" t="s">
        <v>2389</v>
      </c>
      <c r="C970" t="s">
        <v>2390</v>
      </c>
      <c r="D970" t="s">
        <v>2379</v>
      </c>
      <c r="E970" t="s">
        <v>12</v>
      </c>
      <c r="F970" t="s">
        <v>3193</v>
      </c>
      <c r="G970" t="s">
        <v>12</v>
      </c>
      <c r="H970" t="b">
        <v>1</v>
      </c>
      <c r="I970" s="8">
        <v>45939.514675925922</v>
      </c>
      <c r="J970" t="s">
        <v>2380</v>
      </c>
      <c r="L970">
        <v>609841</v>
      </c>
      <c r="M970" t="s">
        <v>2381</v>
      </c>
      <c r="P970" t="s">
        <v>3681</v>
      </c>
      <c r="Q970" t="s">
        <v>2383</v>
      </c>
      <c r="R970">
        <v>1</v>
      </c>
      <c r="S970" t="s">
        <v>2380</v>
      </c>
      <c r="T970" t="s">
        <v>2383</v>
      </c>
      <c r="U970" s="8">
        <v>45937.498888888891</v>
      </c>
      <c r="V970" s="8">
        <v>45940.958333333336</v>
      </c>
      <c r="W970">
        <v>1</v>
      </c>
      <c r="X970">
        <v>2.0157870369999999</v>
      </c>
      <c r="Y970" t="s">
        <v>3194</v>
      </c>
      <c r="Z970" t="s">
        <v>3696</v>
      </c>
      <c r="AA970" t="s">
        <v>3683</v>
      </c>
      <c r="AB970" t="s">
        <v>1278</v>
      </c>
      <c r="AC970" t="s">
        <v>2802</v>
      </c>
      <c r="AE970">
        <v>1</v>
      </c>
      <c r="AO970" t="s">
        <v>3644</v>
      </c>
      <c r="AP970" t="s">
        <v>2401</v>
      </c>
    </row>
    <row r="971" spans="1:42">
      <c r="A971" t="s">
        <v>1932</v>
      </c>
      <c r="B971" t="s">
        <v>2389</v>
      </c>
      <c r="C971" t="s">
        <v>2390</v>
      </c>
      <c r="D971" t="s">
        <v>2379</v>
      </c>
      <c r="E971" t="s">
        <v>12</v>
      </c>
      <c r="F971" t="s">
        <v>3193</v>
      </c>
      <c r="G971" t="s">
        <v>12</v>
      </c>
      <c r="H971" t="b">
        <v>1</v>
      </c>
      <c r="I971" s="8">
        <v>45939.513784722221</v>
      </c>
      <c r="J971" t="s">
        <v>2380</v>
      </c>
      <c r="L971">
        <v>609841</v>
      </c>
      <c r="M971" t="s">
        <v>2381</v>
      </c>
      <c r="P971" t="s">
        <v>3681</v>
      </c>
      <c r="Q971" t="s">
        <v>2383</v>
      </c>
      <c r="R971">
        <v>1</v>
      </c>
      <c r="S971" t="s">
        <v>2380</v>
      </c>
      <c r="T971" t="s">
        <v>2383</v>
      </c>
      <c r="U971" s="8">
        <v>45937.499108796299</v>
      </c>
      <c r="V971" s="8">
        <v>45940.958333333336</v>
      </c>
      <c r="W971">
        <v>1</v>
      </c>
      <c r="X971">
        <v>2.0146759259999998</v>
      </c>
      <c r="Y971" t="s">
        <v>3194</v>
      </c>
      <c r="Z971" t="s">
        <v>3697</v>
      </c>
      <c r="AA971" t="s">
        <v>3683</v>
      </c>
      <c r="AB971" t="s">
        <v>1278</v>
      </c>
      <c r="AC971" t="s">
        <v>2802</v>
      </c>
      <c r="AE971">
        <v>1</v>
      </c>
      <c r="AO971" t="s">
        <v>3644</v>
      </c>
      <c r="AP971" t="s">
        <v>2401</v>
      </c>
    </row>
    <row r="972" spans="1:42">
      <c r="A972" t="s">
        <v>1930</v>
      </c>
      <c r="B972" t="s">
        <v>2389</v>
      </c>
      <c r="C972" t="s">
        <v>2390</v>
      </c>
      <c r="D972" t="s">
        <v>2379</v>
      </c>
      <c r="E972" t="s">
        <v>12</v>
      </c>
      <c r="F972" t="s">
        <v>3193</v>
      </c>
      <c r="G972" t="s">
        <v>12</v>
      </c>
      <c r="H972" t="b">
        <v>1</v>
      </c>
      <c r="I972" s="8">
        <v>45939.513854166667</v>
      </c>
      <c r="J972" t="s">
        <v>2380</v>
      </c>
      <c r="L972">
        <v>609841</v>
      </c>
      <c r="M972" t="s">
        <v>2381</v>
      </c>
      <c r="P972" t="s">
        <v>3681</v>
      </c>
      <c r="Q972" t="s">
        <v>2383</v>
      </c>
      <c r="R972">
        <v>1</v>
      </c>
      <c r="S972" t="s">
        <v>2380</v>
      </c>
      <c r="T972" t="s">
        <v>2383</v>
      </c>
      <c r="U972" s="8">
        <v>45937.499305555553</v>
      </c>
      <c r="V972" s="8">
        <v>45940.958333333336</v>
      </c>
      <c r="W972">
        <v>1</v>
      </c>
      <c r="X972">
        <v>2.0145486109999999</v>
      </c>
      <c r="Y972" t="s">
        <v>3194</v>
      </c>
      <c r="Z972" t="s">
        <v>3698</v>
      </c>
      <c r="AA972" t="s">
        <v>3683</v>
      </c>
      <c r="AB972" t="s">
        <v>1278</v>
      </c>
      <c r="AC972" t="s">
        <v>2802</v>
      </c>
      <c r="AE972">
        <v>1</v>
      </c>
      <c r="AO972" t="s">
        <v>3644</v>
      </c>
      <c r="AP972" t="s">
        <v>2401</v>
      </c>
    </row>
    <row r="973" spans="1:42">
      <c r="A973" t="s">
        <v>1900</v>
      </c>
      <c r="B973" t="s">
        <v>2389</v>
      </c>
      <c r="C973" t="s">
        <v>2390</v>
      </c>
      <c r="D973" t="s">
        <v>2379</v>
      </c>
      <c r="E973" t="s">
        <v>12</v>
      </c>
      <c r="F973" t="s">
        <v>3193</v>
      </c>
      <c r="G973" t="s">
        <v>12</v>
      </c>
      <c r="H973" t="b">
        <v>1</v>
      </c>
      <c r="I973" s="8">
        <v>45939.514733796299</v>
      </c>
      <c r="J973" t="s">
        <v>2380</v>
      </c>
      <c r="L973">
        <v>609841</v>
      </c>
      <c r="M973" t="s">
        <v>2381</v>
      </c>
      <c r="P973" t="s">
        <v>3681</v>
      </c>
      <c r="Q973" t="s">
        <v>2383</v>
      </c>
      <c r="R973">
        <v>1</v>
      </c>
      <c r="S973" t="s">
        <v>2380</v>
      </c>
      <c r="T973" t="s">
        <v>2383</v>
      </c>
      <c r="U973" s="8">
        <v>45937.499513888892</v>
      </c>
      <c r="V973" s="8">
        <v>45940.958333333336</v>
      </c>
      <c r="W973">
        <v>1</v>
      </c>
      <c r="X973">
        <v>2.0152199070000001</v>
      </c>
      <c r="Y973" t="s">
        <v>3194</v>
      </c>
      <c r="Z973" t="s">
        <v>3699</v>
      </c>
      <c r="AA973" t="s">
        <v>3683</v>
      </c>
      <c r="AB973" t="s">
        <v>1278</v>
      </c>
      <c r="AC973" t="s">
        <v>2802</v>
      </c>
      <c r="AE973">
        <v>1</v>
      </c>
      <c r="AO973" t="s">
        <v>3644</v>
      </c>
      <c r="AP973" t="s">
        <v>2401</v>
      </c>
    </row>
    <row r="974" spans="1:42">
      <c r="A974" t="s">
        <v>1892</v>
      </c>
      <c r="B974" t="s">
        <v>2389</v>
      </c>
      <c r="C974" t="s">
        <v>2390</v>
      </c>
      <c r="D974" t="s">
        <v>2379</v>
      </c>
      <c r="E974" t="s">
        <v>12</v>
      </c>
      <c r="F974" t="s">
        <v>3193</v>
      </c>
      <c r="G974" t="s">
        <v>12</v>
      </c>
      <c r="H974" t="b">
        <v>1</v>
      </c>
      <c r="I974" s="8">
        <v>45939.514953703707</v>
      </c>
      <c r="J974" t="s">
        <v>2380</v>
      </c>
      <c r="L974">
        <v>609841</v>
      </c>
      <c r="M974" t="s">
        <v>2381</v>
      </c>
      <c r="P974" t="s">
        <v>3681</v>
      </c>
      <c r="Q974" t="s">
        <v>2383</v>
      </c>
      <c r="R974">
        <v>1</v>
      </c>
      <c r="S974" t="s">
        <v>2380</v>
      </c>
      <c r="T974" t="s">
        <v>2383</v>
      </c>
      <c r="U974" s="8">
        <v>45937.499745370369</v>
      </c>
      <c r="V974" s="8">
        <v>45940.958333333336</v>
      </c>
      <c r="W974">
        <v>1</v>
      </c>
      <c r="X974">
        <v>2.0152083329999999</v>
      </c>
      <c r="Y974" t="s">
        <v>3194</v>
      </c>
      <c r="Z974" t="s">
        <v>3700</v>
      </c>
      <c r="AA974" t="s">
        <v>3683</v>
      </c>
      <c r="AB974" t="s">
        <v>1278</v>
      </c>
      <c r="AC974" t="s">
        <v>2802</v>
      </c>
      <c r="AE974">
        <v>1</v>
      </c>
      <c r="AO974" t="s">
        <v>3644</v>
      </c>
      <c r="AP974" t="s">
        <v>2401</v>
      </c>
    </row>
    <row r="975" spans="1:42">
      <c r="A975" t="s">
        <v>1858</v>
      </c>
      <c r="B975" t="s">
        <v>2389</v>
      </c>
      <c r="C975" t="s">
        <v>2390</v>
      </c>
      <c r="D975" t="s">
        <v>2379</v>
      </c>
      <c r="E975" t="s">
        <v>12</v>
      </c>
      <c r="F975" t="s">
        <v>3193</v>
      </c>
      <c r="G975" t="s">
        <v>12</v>
      </c>
      <c r="H975" t="b">
        <v>1</v>
      </c>
      <c r="I975" s="8">
        <v>45939.515729166669</v>
      </c>
      <c r="J975" t="s">
        <v>2380</v>
      </c>
      <c r="L975">
        <v>609841</v>
      </c>
      <c r="M975" t="s">
        <v>2381</v>
      </c>
      <c r="P975" t="s">
        <v>3681</v>
      </c>
      <c r="Q975" t="s">
        <v>2383</v>
      </c>
      <c r="R975">
        <v>1</v>
      </c>
      <c r="S975" t="s">
        <v>2380</v>
      </c>
      <c r="T975" t="s">
        <v>2383</v>
      </c>
      <c r="U975" s="8">
        <v>45937.499930555554</v>
      </c>
      <c r="V975" s="8">
        <v>45940.958333333336</v>
      </c>
      <c r="W975">
        <v>1</v>
      </c>
      <c r="X975">
        <v>2.0157986110000001</v>
      </c>
      <c r="Y975" t="s">
        <v>3194</v>
      </c>
      <c r="Z975" t="s">
        <v>3701</v>
      </c>
      <c r="AA975" t="s">
        <v>3683</v>
      </c>
      <c r="AB975" t="s">
        <v>1278</v>
      </c>
      <c r="AC975" t="s">
        <v>2802</v>
      </c>
      <c r="AE975">
        <v>1</v>
      </c>
      <c r="AO975" t="s">
        <v>3644</v>
      </c>
      <c r="AP975" t="s">
        <v>2401</v>
      </c>
    </row>
    <row r="976" spans="1:42">
      <c r="A976" t="s">
        <v>1916</v>
      </c>
      <c r="B976" t="s">
        <v>2389</v>
      </c>
      <c r="C976" t="s">
        <v>2390</v>
      </c>
      <c r="D976" t="s">
        <v>2379</v>
      </c>
      <c r="E976" t="s">
        <v>12</v>
      </c>
      <c r="F976" t="s">
        <v>3193</v>
      </c>
      <c r="G976" t="s">
        <v>12</v>
      </c>
      <c r="H976" t="b">
        <v>1</v>
      </c>
      <c r="I976" s="8">
        <v>45939.514236111114</v>
      </c>
      <c r="J976" t="s">
        <v>2380</v>
      </c>
      <c r="L976">
        <v>609841</v>
      </c>
      <c r="M976" t="s">
        <v>2381</v>
      </c>
      <c r="P976" t="s">
        <v>3681</v>
      </c>
      <c r="Q976" t="s">
        <v>2383</v>
      </c>
      <c r="R976">
        <v>1</v>
      </c>
      <c r="S976" t="s">
        <v>2380</v>
      </c>
      <c r="T976" t="s">
        <v>2383</v>
      </c>
      <c r="U976" s="8">
        <v>45937.500150462962</v>
      </c>
      <c r="V976" s="8">
        <v>45940.958333333336</v>
      </c>
      <c r="W976">
        <v>1</v>
      </c>
      <c r="X976">
        <v>2.014085648</v>
      </c>
      <c r="Y976" t="s">
        <v>3194</v>
      </c>
      <c r="Z976" t="s">
        <v>3702</v>
      </c>
      <c r="AA976" t="s">
        <v>3683</v>
      </c>
      <c r="AB976" t="s">
        <v>1278</v>
      </c>
      <c r="AC976" t="s">
        <v>2802</v>
      </c>
      <c r="AE976">
        <v>1</v>
      </c>
      <c r="AO976" t="s">
        <v>3644</v>
      </c>
      <c r="AP976" t="s">
        <v>2401</v>
      </c>
    </row>
    <row r="977" spans="1:42">
      <c r="A977" t="s">
        <v>1928</v>
      </c>
      <c r="B977" t="s">
        <v>2389</v>
      </c>
      <c r="C977" t="s">
        <v>2390</v>
      </c>
      <c r="D977" t="s">
        <v>2379</v>
      </c>
      <c r="E977" t="s">
        <v>12</v>
      </c>
      <c r="F977" t="s">
        <v>3193</v>
      </c>
      <c r="G977" t="s">
        <v>12</v>
      </c>
      <c r="H977" t="b">
        <v>1</v>
      </c>
      <c r="I977" s="8">
        <v>45939.513888888891</v>
      </c>
      <c r="J977" t="s">
        <v>2380</v>
      </c>
      <c r="L977">
        <v>609841</v>
      </c>
      <c r="M977" t="s">
        <v>2381</v>
      </c>
      <c r="P977" t="s">
        <v>3681</v>
      </c>
      <c r="Q977" t="s">
        <v>2383</v>
      </c>
      <c r="R977">
        <v>1</v>
      </c>
      <c r="S977" t="s">
        <v>2380</v>
      </c>
      <c r="T977" t="s">
        <v>2383</v>
      </c>
      <c r="U977" s="8">
        <v>45937.50037037037</v>
      </c>
      <c r="V977" s="8">
        <v>45940.958333333336</v>
      </c>
      <c r="W977">
        <v>1</v>
      </c>
      <c r="X977">
        <v>2.0135185189999998</v>
      </c>
      <c r="Y977" t="s">
        <v>3194</v>
      </c>
      <c r="Z977" t="s">
        <v>3703</v>
      </c>
      <c r="AA977" t="s">
        <v>3683</v>
      </c>
      <c r="AB977" t="s">
        <v>1278</v>
      </c>
      <c r="AC977" t="s">
        <v>2802</v>
      </c>
      <c r="AE977">
        <v>1</v>
      </c>
      <c r="AO977" t="s">
        <v>3644</v>
      </c>
      <c r="AP977" t="s">
        <v>2401</v>
      </c>
    </row>
    <row r="978" spans="1:42">
      <c r="A978" t="s">
        <v>1924</v>
      </c>
      <c r="B978" t="s">
        <v>2389</v>
      </c>
      <c r="C978" t="s">
        <v>2390</v>
      </c>
      <c r="D978" t="s">
        <v>2379</v>
      </c>
      <c r="E978" t="s">
        <v>12</v>
      </c>
      <c r="F978" t="s">
        <v>3193</v>
      </c>
      <c r="G978" t="s">
        <v>12</v>
      </c>
      <c r="H978" t="b">
        <v>1</v>
      </c>
      <c r="I978" s="8">
        <v>45939.514039351852</v>
      </c>
      <c r="J978" t="s">
        <v>2380</v>
      </c>
      <c r="L978">
        <v>609841</v>
      </c>
      <c r="M978" t="s">
        <v>2381</v>
      </c>
      <c r="P978" t="s">
        <v>3681</v>
      </c>
      <c r="Q978" t="s">
        <v>2383</v>
      </c>
      <c r="R978">
        <v>1</v>
      </c>
      <c r="S978" t="s">
        <v>2380</v>
      </c>
      <c r="T978" t="s">
        <v>2383</v>
      </c>
      <c r="U978" s="8">
        <v>45937.500740740739</v>
      </c>
      <c r="V978" s="8">
        <v>45940.958333333336</v>
      </c>
      <c r="W978">
        <v>1</v>
      </c>
      <c r="X978">
        <v>2.0132986110000002</v>
      </c>
      <c r="Y978" t="s">
        <v>3194</v>
      </c>
      <c r="Z978" t="s">
        <v>3704</v>
      </c>
      <c r="AA978" t="s">
        <v>3683</v>
      </c>
      <c r="AB978" t="s">
        <v>1278</v>
      </c>
      <c r="AC978" t="s">
        <v>2802</v>
      </c>
      <c r="AE978">
        <v>1</v>
      </c>
      <c r="AO978" t="s">
        <v>3644</v>
      </c>
      <c r="AP978" t="s">
        <v>2401</v>
      </c>
    </row>
    <row r="979" spans="1:42">
      <c r="A979" t="s">
        <v>1856</v>
      </c>
      <c r="B979" t="s">
        <v>2389</v>
      </c>
      <c r="C979" t="s">
        <v>2390</v>
      </c>
      <c r="D979" t="s">
        <v>2379</v>
      </c>
      <c r="E979" t="s">
        <v>12</v>
      </c>
      <c r="F979" t="s">
        <v>3193</v>
      </c>
      <c r="G979" t="s">
        <v>12</v>
      </c>
      <c r="H979" t="b">
        <v>1</v>
      </c>
      <c r="I979" s="8">
        <v>45939.515810185185</v>
      </c>
      <c r="J979" t="s">
        <v>2380</v>
      </c>
      <c r="L979">
        <v>609841</v>
      </c>
      <c r="M979" t="s">
        <v>2381</v>
      </c>
      <c r="P979" t="s">
        <v>3681</v>
      </c>
      <c r="Q979" t="s">
        <v>2383</v>
      </c>
      <c r="R979">
        <v>1</v>
      </c>
      <c r="S979" t="s">
        <v>2380</v>
      </c>
      <c r="T979" t="s">
        <v>2383</v>
      </c>
      <c r="U979" s="8">
        <v>45937.501863425925</v>
      </c>
      <c r="V979" s="8">
        <v>45940.958333333336</v>
      </c>
      <c r="W979">
        <v>1</v>
      </c>
      <c r="X979">
        <v>2.013946759</v>
      </c>
      <c r="Y979" t="s">
        <v>3194</v>
      </c>
      <c r="Z979" t="s">
        <v>3705</v>
      </c>
      <c r="AA979" t="s">
        <v>3683</v>
      </c>
      <c r="AB979" t="s">
        <v>1278</v>
      </c>
      <c r="AC979" t="s">
        <v>2802</v>
      </c>
      <c r="AE979">
        <v>1</v>
      </c>
      <c r="AO979" t="s">
        <v>3644</v>
      </c>
      <c r="AP979" t="s">
        <v>2401</v>
      </c>
    </row>
    <row r="980" spans="1:42">
      <c r="A980" t="s">
        <v>1926</v>
      </c>
      <c r="B980" t="s">
        <v>2389</v>
      </c>
      <c r="C980" t="s">
        <v>2390</v>
      </c>
      <c r="D980" t="s">
        <v>2379</v>
      </c>
      <c r="E980" t="s">
        <v>12</v>
      </c>
      <c r="F980" t="s">
        <v>3193</v>
      </c>
      <c r="G980" t="s">
        <v>12</v>
      </c>
      <c r="H980" t="b">
        <v>1</v>
      </c>
      <c r="I980" s="8">
        <v>45939.513969907406</v>
      </c>
      <c r="J980" t="s">
        <v>2380</v>
      </c>
      <c r="L980">
        <v>609841</v>
      </c>
      <c r="M980" t="s">
        <v>2381</v>
      </c>
      <c r="P980" t="s">
        <v>3681</v>
      </c>
      <c r="Q980" t="s">
        <v>2383</v>
      </c>
      <c r="R980">
        <v>1</v>
      </c>
      <c r="S980" t="s">
        <v>2380</v>
      </c>
      <c r="T980" t="s">
        <v>2383</v>
      </c>
      <c r="U980" s="8">
        <v>45937.502071759256</v>
      </c>
      <c r="V980" s="8">
        <v>45940.958333333336</v>
      </c>
      <c r="W980">
        <v>1</v>
      </c>
      <c r="X980">
        <v>2.0118981480000002</v>
      </c>
      <c r="Y980" t="s">
        <v>3194</v>
      </c>
      <c r="Z980" t="s">
        <v>3706</v>
      </c>
      <c r="AA980" t="s">
        <v>3683</v>
      </c>
      <c r="AB980" t="s">
        <v>1278</v>
      </c>
      <c r="AC980" t="s">
        <v>2802</v>
      </c>
      <c r="AE980">
        <v>1</v>
      </c>
      <c r="AO980" t="s">
        <v>3644</v>
      </c>
      <c r="AP980" t="s">
        <v>2401</v>
      </c>
    </row>
    <row r="981" spans="1:42">
      <c r="A981" t="s">
        <v>1910</v>
      </c>
      <c r="B981" t="s">
        <v>2389</v>
      </c>
      <c r="C981" t="s">
        <v>2390</v>
      </c>
      <c r="D981" t="s">
        <v>2379</v>
      </c>
      <c r="E981" t="s">
        <v>12</v>
      </c>
      <c r="F981" t="s">
        <v>3193</v>
      </c>
      <c r="G981" t="s">
        <v>12</v>
      </c>
      <c r="H981" t="b">
        <v>1</v>
      </c>
      <c r="I981" s="8">
        <v>45939.514502314814</v>
      </c>
      <c r="J981" t="s">
        <v>2380</v>
      </c>
      <c r="L981">
        <v>609841</v>
      </c>
      <c r="M981" t="s">
        <v>2381</v>
      </c>
      <c r="P981" t="s">
        <v>3681</v>
      </c>
      <c r="Q981" t="s">
        <v>2383</v>
      </c>
      <c r="R981">
        <v>1</v>
      </c>
      <c r="S981" t="s">
        <v>2380</v>
      </c>
      <c r="T981" t="s">
        <v>2383</v>
      </c>
      <c r="U981" s="8">
        <v>45937.502291666664</v>
      </c>
      <c r="V981" s="8">
        <v>45940.958333333336</v>
      </c>
      <c r="W981">
        <v>1</v>
      </c>
      <c r="X981">
        <v>2.0122106479999999</v>
      </c>
      <c r="Y981" t="s">
        <v>3194</v>
      </c>
      <c r="Z981" t="s">
        <v>3707</v>
      </c>
      <c r="AA981" t="s">
        <v>3683</v>
      </c>
      <c r="AB981" t="s">
        <v>1278</v>
      </c>
      <c r="AC981" t="s">
        <v>2802</v>
      </c>
      <c r="AE981">
        <v>1</v>
      </c>
      <c r="AO981" t="s">
        <v>3644</v>
      </c>
      <c r="AP981" t="s">
        <v>2401</v>
      </c>
    </row>
    <row r="982" spans="1:42">
      <c r="A982" t="s">
        <v>1914</v>
      </c>
      <c r="B982" t="s">
        <v>2389</v>
      </c>
      <c r="C982" t="s">
        <v>2390</v>
      </c>
      <c r="D982" t="s">
        <v>2379</v>
      </c>
      <c r="E982" t="s">
        <v>12</v>
      </c>
      <c r="F982" t="s">
        <v>3193</v>
      </c>
      <c r="G982" t="s">
        <v>12</v>
      </c>
      <c r="H982" t="b">
        <v>1</v>
      </c>
      <c r="I982" s="8">
        <v>45939.514363425929</v>
      </c>
      <c r="J982" t="s">
        <v>2380</v>
      </c>
      <c r="L982">
        <v>609841</v>
      </c>
      <c r="M982" t="s">
        <v>2381</v>
      </c>
      <c r="P982" t="s">
        <v>3681</v>
      </c>
      <c r="Q982" t="s">
        <v>2383</v>
      </c>
      <c r="R982">
        <v>1</v>
      </c>
      <c r="S982" t="s">
        <v>2380</v>
      </c>
      <c r="T982" t="s">
        <v>2383</v>
      </c>
      <c r="U982" s="8">
        <v>45937.502488425926</v>
      </c>
      <c r="V982" s="8">
        <v>45940.958333333336</v>
      </c>
      <c r="W982">
        <v>1</v>
      </c>
      <c r="X982">
        <v>2.0118749999999999</v>
      </c>
      <c r="Y982" t="s">
        <v>3194</v>
      </c>
      <c r="Z982" t="s">
        <v>3708</v>
      </c>
      <c r="AA982" t="s">
        <v>3683</v>
      </c>
      <c r="AB982" t="s">
        <v>1278</v>
      </c>
      <c r="AC982" t="s">
        <v>2802</v>
      </c>
      <c r="AE982">
        <v>1</v>
      </c>
      <c r="AO982" t="s">
        <v>3644</v>
      </c>
      <c r="AP982" t="s">
        <v>2401</v>
      </c>
    </row>
    <row r="983" spans="1:42">
      <c r="A983" t="s">
        <v>1886</v>
      </c>
      <c r="B983" t="s">
        <v>2389</v>
      </c>
      <c r="C983" t="s">
        <v>2390</v>
      </c>
      <c r="D983" t="s">
        <v>2379</v>
      </c>
      <c r="E983" t="s">
        <v>12</v>
      </c>
      <c r="F983" t="s">
        <v>3193</v>
      </c>
      <c r="G983" t="s">
        <v>12</v>
      </c>
      <c r="H983" t="b">
        <v>1</v>
      </c>
      <c r="I983" s="8">
        <v>45939.515127314815</v>
      </c>
      <c r="J983" t="s">
        <v>2380</v>
      </c>
      <c r="L983">
        <v>609841</v>
      </c>
      <c r="M983" t="s">
        <v>2381</v>
      </c>
      <c r="P983" t="s">
        <v>3681</v>
      </c>
      <c r="Q983" t="s">
        <v>2383</v>
      </c>
      <c r="R983">
        <v>1</v>
      </c>
      <c r="S983" t="s">
        <v>2380</v>
      </c>
      <c r="T983" t="s">
        <v>2383</v>
      </c>
      <c r="U983" s="8">
        <v>45937.502708333333</v>
      </c>
      <c r="V983" s="8">
        <v>45940.958333333336</v>
      </c>
      <c r="W983">
        <v>1</v>
      </c>
      <c r="X983">
        <v>2.0124189810000002</v>
      </c>
      <c r="Y983" t="s">
        <v>3194</v>
      </c>
      <c r="Z983" t="s">
        <v>3710</v>
      </c>
      <c r="AA983" t="s">
        <v>3683</v>
      </c>
      <c r="AB983" t="s">
        <v>1278</v>
      </c>
      <c r="AC983" t="s">
        <v>2802</v>
      </c>
      <c r="AE983">
        <v>1</v>
      </c>
      <c r="AO983" t="s">
        <v>3644</v>
      </c>
      <c r="AP983" t="s">
        <v>2401</v>
      </c>
    </row>
    <row r="984" spans="1:42">
      <c r="A984" t="s">
        <v>1862</v>
      </c>
      <c r="B984" t="s">
        <v>2389</v>
      </c>
      <c r="C984" t="s">
        <v>2390</v>
      </c>
      <c r="D984" t="s">
        <v>2379</v>
      </c>
      <c r="E984" t="s">
        <v>12</v>
      </c>
      <c r="F984" t="s">
        <v>3193</v>
      </c>
      <c r="G984" t="s">
        <v>12</v>
      </c>
      <c r="H984" t="b">
        <v>1</v>
      </c>
      <c r="I984" s="8">
        <v>45939.515659722223</v>
      </c>
      <c r="J984" t="s">
        <v>2380</v>
      </c>
      <c r="L984">
        <v>609841</v>
      </c>
      <c r="M984" t="s">
        <v>2381</v>
      </c>
      <c r="P984" t="s">
        <v>3681</v>
      </c>
      <c r="Q984" t="s">
        <v>2383</v>
      </c>
      <c r="R984">
        <v>1</v>
      </c>
      <c r="S984" t="s">
        <v>2380</v>
      </c>
      <c r="T984" t="s">
        <v>2383</v>
      </c>
      <c r="U984" s="8">
        <v>45937.502893518518</v>
      </c>
      <c r="V984" s="8">
        <v>45940.958333333336</v>
      </c>
      <c r="W984">
        <v>1</v>
      </c>
      <c r="X984">
        <v>2.0127662040000001</v>
      </c>
      <c r="Y984" t="s">
        <v>3194</v>
      </c>
      <c r="Z984" t="s">
        <v>3709</v>
      </c>
      <c r="AA984" t="s">
        <v>3683</v>
      </c>
      <c r="AB984" t="s">
        <v>1278</v>
      </c>
      <c r="AC984" t="s">
        <v>2802</v>
      </c>
      <c r="AE984">
        <v>1</v>
      </c>
      <c r="AO984" t="s">
        <v>3644</v>
      </c>
      <c r="AP984" t="s">
        <v>2401</v>
      </c>
    </row>
    <row r="985" spans="1:42">
      <c r="A985" t="s">
        <v>1876</v>
      </c>
      <c r="B985" t="s">
        <v>2389</v>
      </c>
      <c r="C985" t="s">
        <v>2390</v>
      </c>
      <c r="D985" t="s">
        <v>2379</v>
      </c>
      <c r="E985" t="s">
        <v>12</v>
      </c>
      <c r="F985" t="s">
        <v>3193</v>
      </c>
      <c r="G985" t="s">
        <v>12</v>
      </c>
      <c r="H985" t="b">
        <v>1</v>
      </c>
      <c r="I985" s="8">
        <v>45939.515405092592</v>
      </c>
      <c r="J985" t="s">
        <v>2380</v>
      </c>
      <c r="L985">
        <v>609841</v>
      </c>
      <c r="M985" t="s">
        <v>2381</v>
      </c>
      <c r="P985" t="s">
        <v>3681</v>
      </c>
      <c r="Q985" t="s">
        <v>2383</v>
      </c>
      <c r="R985">
        <v>1</v>
      </c>
      <c r="S985" t="s">
        <v>2380</v>
      </c>
      <c r="T985" t="s">
        <v>2383</v>
      </c>
      <c r="U985" s="8">
        <v>45937.503206018519</v>
      </c>
      <c r="V985" s="8">
        <v>45940.958333333336</v>
      </c>
      <c r="W985">
        <v>1</v>
      </c>
      <c r="X985">
        <v>2.0121990740000002</v>
      </c>
      <c r="Y985" t="s">
        <v>3194</v>
      </c>
      <c r="Z985" t="s">
        <v>3712</v>
      </c>
      <c r="AA985" t="s">
        <v>3683</v>
      </c>
      <c r="AB985" t="s">
        <v>1278</v>
      </c>
      <c r="AC985" t="s">
        <v>2802</v>
      </c>
      <c r="AE985">
        <v>1</v>
      </c>
      <c r="AO985" t="s">
        <v>3644</v>
      </c>
      <c r="AP985" t="s">
        <v>2401</v>
      </c>
    </row>
    <row r="986" spans="1:42">
      <c r="A986" t="s">
        <v>1890</v>
      </c>
      <c r="B986" t="s">
        <v>2389</v>
      </c>
      <c r="C986" t="s">
        <v>2390</v>
      </c>
      <c r="D986" t="s">
        <v>2379</v>
      </c>
      <c r="E986" t="s">
        <v>12</v>
      </c>
      <c r="F986" t="s">
        <v>3193</v>
      </c>
      <c r="G986" t="s">
        <v>12</v>
      </c>
      <c r="H986" t="b">
        <v>1</v>
      </c>
      <c r="I986" s="8">
        <v>45939.514965277776</v>
      </c>
      <c r="J986" t="s">
        <v>2380</v>
      </c>
      <c r="L986">
        <v>609841</v>
      </c>
      <c r="M986" t="s">
        <v>2381</v>
      </c>
      <c r="P986" t="s">
        <v>3681</v>
      </c>
      <c r="Q986" t="s">
        <v>2383</v>
      </c>
      <c r="R986">
        <v>1</v>
      </c>
      <c r="S986" t="s">
        <v>2380</v>
      </c>
      <c r="T986" t="s">
        <v>2383</v>
      </c>
      <c r="U986" s="8">
        <v>45937.503784722219</v>
      </c>
      <c r="V986" s="8">
        <v>45940.958333333336</v>
      </c>
      <c r="W986">
        <v>1</v>
      </c>
      <c r="X986">
        <v>2.0111805559999998</v>
      </c>
      <c r="Y986" t="s">
        <v>3194</v>
      </c>
      <c r="Z986" t="s">
        <v>3711</v>
      </c>
      <c r="AA986" t="s">
        <v>3683</v>
      </c>
      <c r="AB986" t="s">
        <v>1278</v>
      </c>
      <c r="AC986" t="s">
        <v>2802</v>
      </c>
      <c r="AE986">
        <v>1</v>
      </c>
      <c r="AO986" t="s">
        <v>3644</v>
      </c>
      <c r="AP986" t="s">
        <v>2401</v>
      </c>
    </row>
    <row r="987" spans="1:42">
      <c r="A987" t="s">
        <v>1864</v>
      </c>
      <c r="B987" t="s">
        <v>2389</v>
      </c>
      <c r="C987" t="s">
        <v>2390</v>
      </c>
      <c r="D987" t="s">
        <v>2379</v>
      </c>
      <c r="E987" t="s">
        <v>12</v>
      </c>
      <c r="F987" t="s">
        <v>3193</v>
      </c>
      <c r="G987" t="s">
        <v>12</v>
      </c>
      <c r="H987" t="b">
        <v>1</v>
      </c>
      <c r="I987" s="8">
        <v>45939.515659722223</v>
      </c>
      <c r="J987" t="s">
        <v>2380</v>
      </c>
      <c r="L987">
        <v>609841</v>
      </c>
      <c r="M987" t="s">
        <v>2381</v>
      </c>
      <c r="P987" t="s">
        <v>3681</v>
      </c>
      <c r="Q987" t="s">
        <v>2383</v>
      </c>
      <c r="R987">
        <v>1</v>
      </c>
      <c r="S987" t="s">
        <v>2380</v>
      </c>
      <c r="T987" t="s">
        <v>2383</v>
      </c>
      <c r="U987" s="8">
        <v>45937.504502314812</v>
      </c>
      <c r="V987" s="8">
        <v>45940.958333333336</v>
      </c>
      <c r="W987">
        <v>1</v>
      </c>
      <c r="X987">
        <v>2.0111574069999998</v>
      </c>
      <c r="Y987" t="s">
        <v>3194</v>
      </c>
      <c r="Z987" t="s">
        <v>3713</v>
      </c>
      <c r="AA987" t="s">
        <v>3683</v>
      </c>
      <c r="AB987" t="s">
        <v>1278</v>
      </c>
      <c r="AC987" t="s">
        <v>2802</v>
      </c>
      <c r="AE987">
        <v>1</v>
      </c>
      <c r="AO987" t="s">
        <v>3644</v>
      </c>
      <c r="AP987" t="s">
        <v>2401</v>
      </c>
    </row>
    <row r="988" spans="1:42">
      <c r="A988" t="s">
        <v>1860</v>
      </c>
      <c r="B988" t="s">
        <v>2389</v>
      </c>
      <c r="C988" t="s">
        <v>2390</v>
      </c>
      <c r="D988" t="s">
        <v>2379</v>
      </c>
      <c r="E988" t="s">
        <v>12</v>
      </c>
      <c r="F988" t="s">
        <v>3193</v>
      </c>
      <c r="G988" t="s">
        <v>12</v>
      </c>
      <c r="H988" t="b">
        <v>1</v>
      </c>
      <c r="I988" s="8">
        <v>45939.515729166669</v>
      </c>
      <c r="J988" t="s">
        <v>2380</v>
      </c>
      <c r="L988">
        <v>609841</v>
      </c>
      <c r="M988" t="s">
        <v>2381</v>
      </c>
      <c r="P988" t="s">
        <v>3681</v>
      </c>
      <c r="Q988" t="s">
        <v>2383</v>
      </c>
      <c r="R988">
        <v>1</v>
      </c>
      <c r="S988" t="s">
        <v>2380</v>
      </c>
      <c r="T988" t="s">
        <v>2383</v>
      </c>
      <c r="U988" s="8">
        <v>45937.504687499997</v>
      </c>
      <c r="V988" s="8">
        <v>45940.958333333336</v>
      </c>
      <c r="W988">
        <v>1</v>
      </c>
      <c r="X988">
        <v>2.0110416670000002</v>
      </c>
      <c r="Y988" t="s">
        <v>3194</v>
      </c>
      <c r="Z988" t="s">
        <v>3714</v>
      </c>
      <c r="AA988" t="s">
        <v>3683</v>
      </c>
      <c r="AB988" t="s">
        <v>1278</v>
      </c>
      <c r="AC988" t="s">
        <v>2802</v>
      </c>
      <c r="AE988">
        <v>1</v>
      </c>
      <c r="AO988" t="s">
        <v>3644</v>
      </c>
      <c r="AP988" t="s">
        <v>2401</v>
      </c>
    </row>
    <row r="989" spans="1:42">
      <c r="A989" t="s">
        <v>1880</v>
      </c>
      <c r="B989" t="s">
        <v>2389</v>
      </c>
      <c r="C989" t="s">
        <v>2390</v>
      </c>
      <c r="D989" t="s">
        <v>2379</v>
      </c>
      <c r="E989" t="s">
        <v>12</v>
      </c>
      <c r="F989" t="s">
        <v>3193</v>
      </c>
      <c r="G989" t="s">
        <v>12</v>
      </c>
      <c r="H989" t="b">
        <v>1</v>
      </c>
      <c r="I989" s="8">
        <v>45939.515266203707</v>
      </c>
      <c r="J989" t="s">
        <v>2380</v>
      </c>
      <c r="L989">
        <v>609841</v>
      </c>
      <c r="M989" t="s">
        <v>2381</v>
      </c>
      <c r="P989" t="s">
        <v>3681</v>
      </c>
      <c r="Q989" t="s">
        <v>2383</v>
      </c>
      <c r="R989">
        <v>1</v>
      </c>
      <c r="S989" t="s">
        <v>2380</v>
      </c>
      <c r="T989" t="s">
        <v>2383</v>
      </c>
      <c r="U989" s="8">
        <v>45937.504907407405</v>
      </c>
      <c r="V989" s="8">
        <v>45940.958333333336</v>
      </c>
      <c r="W989">
        <v>1</v>
      </c>
      <c r="X989">
        <v>2.0103587959999998</v>
      </c>
      <c r="Y989" t="s">
        <v>3194</v>
      </c>
      <c r="Z989" t="s">
        <v>3715</v>
      </c>
      <c r="AA989" t="s">
        <v>3683</v>
      </c>
      <c r="AB989" t="s">
        <v>1278</v>
      </c>
      <c r="AC989" t="s">
        <v>2802</v>
      </c>
      <c r="AE989">
        <v>1</v>
      </c>
      <c r="AO989" t="s">
        <v>3644</v>
      </c>
      <c r="AP989" t="s">
        <v>2401</v>
      </c>
    </row>
    <row r="990" spans="1:42">
      <c r="A990" t="s">
        <v>770</v>
      </c>
      <c r="B990" t="s">
        <v>2377</v>
      </c>
      <c r="C990" t="s">
        <v>2390</v>
      </c>
      <c r="D990" t="s">
        <v>2379</v>
      </c>
      <c r="E990" t="s">
        <v>28</v>
      </c>
      <c r="F990" t="s">
        <v>3891</v>
      </c>
      <c r="G990" t="s">
        <v>28</v>
      </c>
      <c r="H990" t="b">
        <v>1</v>
      </c>
      <c r="I990" s="8">
        <v>45939.628819444442</v>
      </c>
      <c r="J990" t="s">
        <v>2380</v>
      </c>
      <c r="L990">
        <v>603961</v>
      </c>
      <c r="M990" t="s">
        <v>2381</v>
      </c>
      <c r="N990">
        <v>15</v>
      </c>
      <c r="P990" t="s">
        <v>3896</v>
      </c>
      <c r="Q990" t="s">
        <v>2383</v>
      </c>
      <c r="R990">
        <v>1</v>
      </c>
      <c r="S990" t="s">
        <v>2380</v>
      </c>
      <c r="T990" t="s">
        <v>2383</v>
      </c>
      <c r="U990" s="8">
        <v>45937.504930555559</v>
      </c>
      <c r="V990" s="8">
        <v>45940.958333333336</v>
      </c>
      <c r="W990">
        <v>1</v>
      </c>
      <c r="X990">
        <v>2.1238888889999998</v>
      </c>
      <c r="Y990" t="s">
        <v>3892</v>
      </c>
      <c r="Z990" t="s">
        <v>5045</v>
      </c>
      <c r="AA990" t="s">
        <v>5046</v>
      </c>
      <c r="AB990" t="s">
        <v>1278</v>
      </c>
      <c r="AC990" t="s">
        <v>3066</v>
      </c>
      <c r="AD990" t="s">
        <v>2708</v>
      </c>
      <c r="AE990">
        <v>1</v>
      </c>
      <c r="AO990" t="s">
        <v>2715</v>
      </c>
      <c r="AP990" t="s">
        <v>2401</v>
      </c>
    </row>
    <row r="991" spans="1:42">
      <c r="A991" t="s">
        <v>1874</v>
      </c>
      <c r="B991" t="s">
        <v>2389</v>
      </c>
      <c r="C991" t="s">
        <v>2390</v>
      </c>
      <c r="D991" t="s">
        <v>2379</v>
      </c>
      <c r="E991" t="s">
        <v>12</v>
      </c>
      <c r="F991" t="s">
        <v>3193</v>
      </c>
      <c r="G991" t="s">
        <v>12</v>
      </c>
      <c r="H991" t="b">
        <v>1</v>
      </c>
      <c r="I991" s="8">
        <v>45939.515462962961</v>
      </c>
      <c r="J991" t="s">
        <v>2380</v>
      </c>
      <c r="L991">
        <v>609841</v>
      </c>
      <c r="M991" t="s">
        <v>2381</v>
      </c>
      <c r="P991" t="s">
        <v>3681</v>
      </c>
      <c r="Q991" t="s">
        <v>2383</v>
      </c>
      <c r="R991">
        <v>1</v>
      </c>
      <c r="S991" t="s">
        <v>2380</v>
      </c>
      <c r="T991" t="s">
        <v>2383</v>
      </c>
      <c r="U991" s="8">
        <v>45937.50509259259</v>
      </c>
      <c r="V991" s="8">
        <v>45940.958333333336</v>
      </c>
      <c r="W991">
        <v>1</v>
      </c>
      <c r="X991">
        <v>2.01037037</v>
      </c>
      <c r="Y991" t="s">
        <v>3194</v>
      </c>
      <c r="Z991" t="s">
        <v>3716</v>
      </c>
      <c r="AA991" t="s">
        <v>3683</v>
      </c>
      <c r="AB991" t="s">
        <v>1278</v>
      </c>
      <c r="AC991" t="s">
        <v>2802</v>
      </c>
      <c r="AE991">
        <v>1</v>
      </c>
      <c r="AO991" t="s">
        <v>3644</v>
      </c>
      <c r="AP991" t="s">
        <v>2401</v>
      </c>
    </row>
    <row r="992" spans="1:42">
      <c r="A992" t="s">
        <v>1870</v>
      </c>
      <c r="B992" t="s">
        <v>2389</v>
      </c>
      <c r="C992" t="s">
        <v>2390</v>
      </c>
      <c r="D992" t="s">
        <v>2379</v>
      </c>
      <c r="E992" t="s">
        <v>12</v>
      </c>
      <c r="F992" t="s">
        <v>3193</v>
      </c>
      <c r="G992" t="s">
        <v>12</v>
      </c>
      <c r="H992" t="b">
        <v>1</v>
      </c>
      <c r="I992" s="8">
        <v>45939.5155787037</v>
      </c>
      <c r="J992" t="s">
        <v>2380</v>
      </c>
      <c r="L992">
        <v>609841</v>
      </c>
      <c r="M992" t="s">
        <v>2381</v>
      </c>
      <c r="P992" t="s">
        <v>3681</v>
      </c>
      <c r="Q992" t="s">
        <v>2383</v>
      </c>
      <c r="R992">
        <v>1</v>
      </c>
      <c r="S992" t="s">
        <v>2380</v>
      </c>
      <c r="T992" t="s">
        <v>2383</v>
      </c>
      <c r="U992" s="8">
        <v>45937.50540509259</v>
      </c>
      <c r="V992" s="8">
        <v>45940.958333333336</v>
      </c>
      <c r="W992">
        <v>1</v>
      </c>
      <c r="X992">
        <v>2.0101736109999999</v>
      </c>
      <c r="Y992" t="s">
        <v>3194</v>
      </c>
      <c r="Z992" t="s">
        <v>3717</v>
      </c>
      <c r="AA992" t="s">
        <v>3683</v>
      </c>
      <c r="AB992" t="s">
        <v>1278</v>
      </c>
      <c r="AC992" t="s">
        <v>2802</v>
      </c>
      <c r="AE992">
        <v>1</v>
      </c>
      <c r="AO992" t="s">
        <v>3644</v>
      </c>
      <c r="AP992" t="s">
        <v>2401</v>
      </c>
    </row>
    <row r="993" spans="1:42">
      <c r="A993" t="s">
        <v>1882</v>
      </c>
      <c r="B993" t="s">
        <v>2389</v>
      </c>
      <c r="C993" t="s">
        <v>2390</v>
      </c>
      <c r="D993" t="s">
        <v>2379</v>
      </c>
      <c r="E993" t="s">
        <v>12</v>
      </c>
      <c r="F993" t="s">
        <v>3193</v>
      </c>
      <c r="G993" t="s">
        <v>12</v>
      </c>
      <c r="H993" t="b">
        <v>1</v>
      </c>
      <c r="I993" s="8">
        <v>45939.515208333331</v>
      </c>
      <c r="J993" t="s">
        <v>2380</v>
      </c>
      <c r="L993">
        <v>609841</v>
      </c>
      <c r="M993" t="s">
        <v>2381</v>
      </c>
      <c r="P993" t="s">
        <v>3681</v>
      </c>
      <c r="Q993" t="s">
        <v>2383</v>
      </c>
      <c r="R993">
        <v>1</v>
      </c>
      <c r="S993" t="s">
        <v>2380</v>
      </c>
      <c r="T993" t="s">
        <v>2383</v>
      </c>
      <c r="U993" s="8">
        <v>45937.505937499998</v>
      </c>
      <c r="V993" s="8">
        <v>45940.958333333336</v>
      </c>
      <c r="W993">
        <v>1</v>
      </c>
      <c r="X993">
        <v>2.009270833</v>
      </c>
      <c r="Y993" t="s">
        <v>3194</v>
      </c>
      <c r="Z993" t="s">
        <v>3718</v>
      </c>
      <c r="AA993" t="s">
        <v>3683</v>
      </c>
      <c r="AB993" t="s">
        <v>1278</v>
      </c>
      <c r="AC993" t="s">
        <v>2802</v>
      </c>
      <c r="AE993">
        <v>1</v>
      </c>
      <c r="AO993" t="s">
        <v>3644</v>
      </c>
      <c r="AP993" t="s">
        <v>2401</v>
      </c>
    </row>
    <row r="994" spans="1:42">
      <c r="A994" t="s">
        <v>1868</v>
      </c>
      <c r="B994" t="s">
        <v>2389</v>
      </c>
      <c r="C994" t="s">
        <v>2390</v>
      </c>
      <c r="D994" t="s">
        <v>2379</v>
      </c>
      <c r="E994" t="s">
        <v>12</v>
      </c>
      <c r="F994" t="s">
        <v>3193</v>
      </c>
      <c r="G994" t="s">
        <v>12</v>
      </c>
      <c r="H994" t="b">
        <v>1</v>
      </c>
      <c r="I994" s="8">
        <v>45939.5155787037</v>
      </c>
      <c r="J994" t="s">
        <v>2380</v>
      </c>
      <c r="L994">
        <v>609841</v>
      </c>
      <c r="M994" t="s">
        <v>2381</v>
      </c>
      <c r="P994" t="s">
        <v>3681</v>
      </c>
      <c r="Q994" t="s">
        <v>2383</v>
      </c>
      <c r="R994">
        <v>1</v>
      </c>
      <c r="S994" t="s">
        <v>2380</v>
      </c>
      <c r="T994" t="s">
        <v>2383</v>
      </c>
      <c r="U994" s="8">
        <v>45937.506793981483</v>
      </c>
      <c r="V994" s="8">
        <v>45940.958333333336</v>
      </c>
      <c r="W994">
        <v>1</v>
      </c>
      <c r="X994">
        <v>2.0087847220000001</v>
      </c>
      <c r="Y994" t="s">
        <v>3194</v>
      </c>
      <c r="Z994" t="s">
        <v>3720</v>
      </c>
      <c r="AA994" t="s">
        <v>3683</v>
      </c>
      <c r="AB994" t="s">
        <v>1278</v>
      </c>
      <c r="AC994" t="s">
        <v>2802</v>
      </c>
      <c r="AE994">
        <v>1</v>
      </c>
      <c r="AO994" t="s">
        <v>3644</v>
      </c>
      <c r="AP994" t="s">
        <v>2401</v>
      </c>
    </row>
    <row r="995" spans="1:42">
      <c r="A995" t="s">
        <v>1878</v>
      </c>
      <c r="B995" t="s">
        <v>2389</v>
      </c>
      <c r="C995" t="s">
        <v>2390</v>
      </c>
      <c r="D995" t="s">
        <v>2379</v>
      </c>
      <c r="E995" t="s">
        <v>12</v>
      </c>
      <c r="F995" t="s">
        <v>3193</v>
      </c>
      <c r="G995" t="s">
        <v>12</v>
      </c>
      <c r="H995" t="b">
        <v>1</v>
      </c>
      <c r="I995" s="8">
        <v>45939.515405092592</v>
      </c>
      <c r="J995" t="s">
        <v>2380</v>
      </c>
      <c r="L995">
        <v>609841</v>
      </c>
      <c r="M995" t="s">
        <v>2381</v>
      </c>
      <c r="P995" t="s">
        <v>3681</v>
      </c>
      <c r="Q995" t="s">
        <v>2383</v>
      </c>
      <c r="R995">
        <v>1</v>
      </c>
      <c r="S995" t="s">
        <v>2380</v>
      </c>
      <c r="T995" t="s">
        <v>2383</v>
      </c>
      <c r="U995" s="8">
        <v>45937.506990740738</v>
      </c>
      <c r="V995" s="8">
        <v>45940.958333333336</v>
      </c>
      <c r="W995">
        <v>1</v>
      </c>
      <c r="X995">
        <v>2.008414352</v>
      </c>
      <c r="Y995" t="s">
        <v>3194</v>
      </c>
      <c r="Z995" t="s">
        <v>3719</v>
      </c>
      <c r="AA995" t="s">
        <v>3683</v>
      </c>
      <c r="AB995" t="s">
        <v>1278</v>
      </c>
      <c r="AC995" t="s">
        <v>2802</v>
      </c>
      <c r="AE995">
        <v>1</v>
      </c>
      <c r="AO995" t="s">
        <v>3644</v>
      </c>
      <c r="AP995" t="s">
        <v>2401</v>
      </c>
    </row>
    <row r="996" spans="1:42">
      <c r="A996" t="s">
        <v>1888</v>
      </c>
      <c r="B996" t="s">
        <v>2389</v>
      </c>
      <c r="C996" t="s">
        <v>2390</v>
      </c>
      <c r="D996" t="s">
        <v>2379</v>
      </c>
      <c r="E996" t="s">
        <v>12</v>
      </c>
      <c r="F996" t="s">
        <v>3193</v>
      </c>
      <c r="G996" t="s">
        <v>12</v>
      </c>
      <c r="H996" t="b">
        <v>1</v>
      </c>
      <c r="I996" s="8">
        <v>45939.515034722222</v>
      </c>
      <c r="J996" t="s">
        <v>2380</v>
      </c>
      <c r="L996">
        <v>609841</v>
      </c>
      <c r="M996" t="s">
        <v>2381</v>
      </c>
      <c r="P996" t="s">
        <v>3681</v>
      </c>
      <c r="Q996" t="s">
        <v>2383</v>
      </c>
      <c r="R996">
        <v>1</v>
      </c>
      <c r="S996" t="s">
        <v>2380</v>
      </c>
      <c r="T996" t="s">
        <v>2383</v>
      </c>
      <c r="U996" s="8">
        <v>45937.507314814815</v>
      </c>
      <c r="V996" s="8">
        <v>45940.958333333336</v>
      </c>
      <c r="W996">
        <v>1</v>
      </c>
      <c r="X996">
        <v>2.0077199069999998</v>
      </c>
      <c r="Y996" t="s">
        <v>3194</v>
      </c>
      <c r="Z996" t="s">
        <v>3721</v>
      </c>
      <c r="AA996" t="s">
        <v>3683</v>
      </c>
      <c r="AB996" t="s">
        <v>1278</v>
      </c>
      <c r="AC996" t="s">
        <v>2802</v>
      </c>
      <c r="AE996">
        <v>1</v>
      </c>
      <c r="AO996" t="s">
        <v>3644</v>
      </c>
      <c r="AP996" t="s">
        <v>2401</v>
      </c>
    </row>
    <row r="997" spans="1:42">
      <c r="A997" t="s">
        <v>771</v>
      </c>
      <c r="B997" t="s">
        <v>2377</v>
      </c>
      <c r="C997" t="s">
        <v>2390</v>
      </c>
      <c r="D997" t="s">
        <v>2379</v>
      </c>
      <c r="E997" t="s">
        <v>28</v>
      </c>
      <c r="F997" t="s">
        <v>3891</v>
      </c>
      <c r="G997" t="s">
        <v>28</v>
      </c>
      <c r="H997" t="b">
        <v>1</v>
      </c>
      <c r="I997" s="8">
        <v>45939.650625000002</v>
      </c>
      <c r="J997" t="s">
        <v>2380</v>
      </c>
      <c r="L997">
        <v>606882</v>
      </c>
      <c r="M997" t="s">
        <v>2381</v>
      </c>
      <c r="N997">
        <v>15</v>
      </c>
      <c r="P997" t="s">
        <v>3896</v>
      </c>
      <c r="Q997" t="s">
        <v>2383</v>
      </c>
      <c r="R997">
        <v>1</v>
      </c>
      <c r="S997" t="s">
        <v>2380</v>
      </c>
      <c r="T997" t="s">
        <v>2383</v>
      </c>
      <c r="U997" s="8">
        <v>45937.510243055556</v>
      </c>
      <c r="V997" s="8">
        <v>45940.958333333336</v>
      </c>
      <c r="W997">
        <v>1</v>
      </c>
      <c r="X997">
        <v>2.140381944</v>
      </c>
      <c r="Y997" t="s">
        <v>3892</v>
      </c>
      <c r="Z997" t="s">
        <v>5047</v>
      </c>
      <c r="AA997" t="s">
        <v>5048</v>
      </c>
      <c r="AB997" t="s">
        <v>1278</v>
      </c>
      <c r="AC997" t="s">
        <v>3066</v>
      </c>
      <c r="AD997" t="s">
        <v>2708</v>
      </c>
      <c r="AE997">
        <v>1</v>
      </c>
      <c r="AO997" t="s">
        <v>2715</v>
      </c>
      <c r="AP997" t="s">
        <v>2401</v>
      </c>
    </row>
    <row r="998" spans="1:42">
      <c r="A998" t="s">
        <v>1866</v>
      </c>
      <c r="B998" t="s">
        <v>2389</v>
      </c>
      <c r="C998" t="s">
        <v>2390</v>
      </c>
      <c r="D998" t="s">
        <v>2379</v>
      </c>
      <c r="E998" t="s">
        <v>12</v>
      </c>
      <c r="F998" t="s">
        <v>3193</v>
      </c>
      <c r="G998" t="s">
        <v>12</v>
      </c>
      <c r="H998" t="b">
        <v>1</v>
      </c>
      <c r="I998" s="8">
        <v>45939.515590277777</v>
      </c>
      <c r="J998" t="s">
        <v>2380</v>
      </c>
      <c r="L998">
        <v>609841</v>
      </c>
      <c r="M998" t="s">
        <v>2381</v>
      </c>
      <c r="P998" t="s">
        <v>3681</v>
      </c>
      <c r="Q998" t="s">
        <v>2383</v>
      </c>
      <c r="R998">
        <v>1</v>
      </c>
      <c r="S998" t="s">
        <v>2380</v>
      </c>
      <c r="T998" t="s">
        <v>2383</v>
      </c>
      <c r="U998" s="8">
        <v>45937.511238425926</v>
      </c>
      <c r="V998" s="8">
        <v>45940.958333333336</v>
      </c>
      <c r="W998">
        <v>1</v>
      </c>
      <c r="X998">
        <v>2.0043518520000001</v>
      </c>
      <c r="Y998" t="s">
        <v>3194</v>
      </c>
      <c r="Z998" t="s">
        <v>3722</v>
      </c>
      <c r="AA998" t="s">
        <v>3683</v>
      </c>
      <c r="AB998" t="s">
        <v>1278</v>
      </c>
      <c r="AC998" t="s">
        <v>2802</v>
      </c>
      <c r="AE998">
        <v>1</v>
      </c>
      <c r="AO998" t="s">
        <v>3644</v>
      </c>
      <c r="AP998" t="s">
        <v>2401</v>
      </c>
    </row>
    <row r="999" spans="1:42">
      <c r="A999" t="s">
        <v>1008</v>
      </c>
      <c r="B999" t="s">
        <v>2377</v>
      </c>
      <c r="C999" t="s">
        <v>2390</v>
      </c>
      <c r="D999" t="s">
        <v>2379</v>
      </c>
      <c r="E999" t="s">
        <v>25</v>
      </c>
      <c r="F999" t="s">
        <v>2417</v>
      </c>
      <c r="G999" t="s">
        <v>25</v>
      </c>
      <c r="H999" t="b">
        <v>1</v>
      </c>
      <c r="I999" s="8">
        <v>45940.359467592592</v>
      </c>
      <c r="J999" t="s">
        <v>2380</v>
      </c>
      <c r="L999">
        <v>603026</v>
      </c>
      <c r="M999" t="s">
        <v>2381</v>
      </c>
      <c r="N999">
        <v>8</v>
      </c>
      <c r="P999" t="s">
        <v>3597</v>
      </c>
      <c r="Q999" t="s">
        <v>2383</v>
      </c>
      <c r="R999">
        <v>1</v>
      </c>
      <c r="S999" t="s">
        <v>2380</v>
      </c>
      <c r="T999" t="s">
        <v>2383</v>
      </c>
      <c r="U999" s="8">
        <v>45937.511273148149</v>
      </c>
      <c r="V999" s="8">
        <v>45940.958333333336</v>
      </c>
      <c r="W999">
        <v>1</v>
      </c>
      <c r="X999">
        <v>2.8481944440000002</v>
      </c>
      <c r="Y999" t="s">
        <v>2418</v>
      </c>
      <c r="Z999" t="s">
        <v>9626</v>
      </c>
      <c r="AA999" t="s">
        <v>1533</v>
      </c>
      <c r="AB999" t="s">
        <v>1278</v>
      </c>
      <c r="AC999" t="s">
        <v>9597</v>
      </c>
      <c r="AD999" t="s">
        <v>2708</v>
      </c>
      <c r="AE999">
        <v>1</v>
      </c>
      <c r="AO999" t="s">
        <v>3586</v>
      </c>
      <c r="AP999" t="s">
        <v>2401</v>
      </c>
    </row>
    <row r="1000" spans="1:42">
      <c r="A1000" t="s">
        <v>1872</v>
      </c>
      <c r="B1000" t="s">
        <v>2389</v>
      </c>
      <c r="C1000" t="s">
        <v>2390</v>
      </c>
      <c r="D1000" t="s">
        <v>2379</v>
      </c>
      <c r="E1000" t="s">
        <v>12</v>
      </c>
      <c r="F1000" t="s">
        <v>3193</v>
      </c>
      <c r="G1000" t="s">
        <v>12</v>
      </c>
      <c r="H1000" t="b">
        <v>1</v>
      </c>
      <c r="I1000" s="8">
        <v>45939.515497685185</v>
      </c>
      <c r="J1000" t="s">
        <v>2380</v>
      </c>
      <c r="L1000">
        <v>609841</v>
      </c>
      <c r="M1000" t="s">
        <v>2381</v>
      </c>
      <c r="P1000" t="s">
        <v>3681</v>
      </c>
      <c r="Q1000" t="s">
        <v>2383</v>
      </c>
      <c r="R1000">
        <v>1</v>
      </c>
      <c r="S1000" t="s">
        <v>2380</v>
      </c>
      <c r="T1000" t="s">
        <v>2383</v>
      </c>
      <c r="U1000" s="8">
        <v>45937.511423611111</v>
      </c>
      <c r="V1000" s="8">
        <v>45940.958333333336</v>
      </c>
      <c r="W1000">
        <v>1</v>
      </c>
      <c r="X1000">
        <v>2.004074074</v>
      </c>
      <c r="Y1000" t="s">
        <v>3194</v>
      </c>
      <c r="Z1000" t="s">
        <v>3723</v>
      </c>
      <c r="AA1000" t="s">
        <v>3683</v>
      </c>
      <c r="AB1000" t="s">
        <v>1278</v>
      </c>
      <c r="AC1000" t="s">
        <v>2802</v>
      </c>
      <c r="AE1000">
        <v>1</v>
      </c>
      <c r="AO1000" t="s">
        <v>3644</v>
      </c>
      <c r="AP1000" t="s">
        <v>2401</v>
      </c>
    </row>
    <row r="1001" spans="1:42">
      <c r="A1001" t="s">
        <v>1010</v>
      </c>
      <c r="B1001" t="s">
        <v>2377</v>
      </c>
      <c r="C1001" t="s">
        <v>2378</v>
      </c>
      <c r="D1001" t="s">
        <v>2379</v>
      </c>
      <c r="E1001" t="s">
        <v>24</v>
      </c>
      <c r="F1001" t="s">
        <v>4897</v>
      </c>
      <c r="G1001" t="s">
        <v>24</v>
      </c>
      <c r="H1001" t="b">
        <v>1</v>
      </c>
      <c r="I1001" s="8">
        <v>45940.636435185188</v>
      </c>
      <c r="J1001" t="s">
        <v>2380</v>
      </c>
      <c r="L1001">
        <v>602481</v>
      </c>
      <c r="M1001" t="s">
        <v>2381</v>
      </c>
      <c r="P1001" t="s">
        <v>3896</v>
      </c>
      <c r="Q1001" t="s">
        <v>2383</v>
      </c>
      <c r="R1001">
        <v>1</v>
      </c>
      <c r="S1001" t="s">
        <v>2380</v>
      </c>
      <c r="T1001" t="s">
        <v>2383</v>
      </c>
      <c r="U1001" s="8">
        <v>45937.514791666668</v>
      </c>
      <c r="V1001" s="8">
        <v>45940.958333333336</v>
      </c>
      <c r="W1001">
        <v>1</v>
      </c>
      <c r="X1001">
        <v>3.121643519</v>
      </c>
      <c r="Y1001" t="s">
        <v>4898</v>
      </c>
      <c r="Z1001" t="s">
        <v>4914</v>
      </c>
      <c r="AA1001" t="s">
        <v>4915</v>
      </c>
      <c r="AB1001" t="s">
        <v>1278</v>
      </c>
      <c r="AC1001" t="s">
        <v>4916</v>
      </c>
      <c r="AD1001" t="s">
        <v>2708</v>
      </c>
      <c r="AE1001">
        <v>1</v>
      </c>
      <c r="AO1001" t="s">
        <v>2715</v>
      </c>
      <c r="AP1001" t="s">
        <v>2401</v>
      </c>
    </row>
    <row r="1002" spans="1:42">
      <c r="A1002" t="s">
        <v>577</v>
      </c>
      <c r="B1002" t="s">
        <v>2377</v>
      </c>
      <c r="C1002" t="s">
        <v>2438</v>
      </c>
      <c r="D1002" t="s">
        <v>2379</v>
      </c>
      <c r="E1002" t="s">
        <v>28</v>
      </c>
      <c r="F1002" t="s">
        <v>2402</v>
      </c>
      <c r="G1002" t="s">
        <v>28</v>
      </c>
      <c r="H1002" t="b">
        <v>1</v>
      </c>
      <c r="I1002" s="8">
        <v>45937.538321759261</v>
      </c>
      <c r="J1002" t="s">
        <v>2380</v>
      </c>
      <c r="L1002">
        <v>609347</v>
      </c>
      <c r="M1002" t="s">
        <v>2381</v>
      </c>
      <c r="N1002">
        <v>20</v>
      </c>
      <c r="P1002" t="s">
        <v>2704</v>
      </c>
      <c r="Q1002" t="s">
        <v>2383</v>
      </c>
      <c r="R1002">
        <v>1</v>
      </c>
      <c r="S1002" t="s">
        <v>2380</v>
      </c>
      <c r="T1002" t="s">
        <v>2383</v>
      </c>
      <c r="U1002" s="8">
        <v>45937.5158912037</v>
      </c>
      <c r="V1002" s="8">
        <v>45940.958333333336</v>
      </c>
      <c r="W1002">
        <v>1</v>
      </c>
      <c r="X1002">
        <v>2.2430556000000001E-2</v>
      </c>
      <c r="Y1002" t="s">
        <v>2403</v>
      </c>
      <c r="Z1002" t="s">
        <v>8102</v>
      </c>
      <c r="AA1002" t="s">
        <v>8083</v>
      </c>
      <c r="AB1002" t="s">
        <v>1278</v>
      </c>
      <c r="AC1002" t="s">
        <v>8103</v>
      </c>
      <c r="AD1002" t="s">
        <v>2708</v>
      </c>
      <c r="AE1002">
        <v>1</v>
      </c>
      <c r="AO1002" t="s">
        <v>4121</v>
      </c>
      <c r="AP1002" t="s">
        <v>2401</v>
      </c>
    </row>
    <row r="1003" spans="1:42">
      <c r="A1003" t="s">
        <v>2055</v>
      </c>
      <c r="B1003" t="s">
        <v>2389</v>
      </c>
      <c r="C1003" t="s">
        <v>2691</v>
      </c>
      <c r="D1003" t="s">
        <v>2379</v>
      </c>
      <c r="E1003" t="s">
        <v>25</v>
      </c>
      <c r="F1003" t="s">
        <v>2402</v>
      </c>
      <c r="G1003" t="s">
        <v>25</v>
      </c>
      <c r="H1003" t="b">
        <v>1</v>
      </c>
      <c r="I1003" s="8">
        <v>45947.455104166664</v>
      </c>
      <c r="J1003" t="s">
        <v>2380</v>
      </c>
      <c r="K1003">
        <v>1203188</v>
      </c>
      <c r="L1003">
        <v>602880</v>
      </c>
      <c r="M1003" t="s">
        <v>2381</v>
      </c>
      <c r="N1003">
        <v>5</v>
      </c>
      <c r="P1003" t="s">
        <v>3051</v>
      </c>
      <c r="Q1003" t="s">
        <v>2383</v>
      </c>
      <c r="R1003">
        <v>1</v>
      </c>
      <c r="S1003" t="s">
        <v>2380</v>
      </c>
      <c r="T1003" t="s">
        <v>2383</v>
      </c>
      <c r="U1003" s="8">
        <v>45937.518587962964</v>
      </c>
      <c r="V1003" s="8">
        <v>45952.958333333336</v>
      </c>
      <c r="W1003">
        <v>1</v>
      </c>
      <c r="X1003">
        <v>7.9365162040000001</v>
      </c>
      <c r="Y1003" t="s">
        <v>2403</v>
      </c>
      <c r="Z1003" t="s">
        <v>5553</v>
      </c>
      <c r="AA1003" t="s">
        <v>1776</v>
      </c>
      <c r="AB1003" t="s">
        <v>1278</v>
      </c>
      <c r="AC1003" t="s">
        <v>5554</v>
      </c>
      <c r="AD1003" t="s">
        <v>2708</v>
      </c>
      <c r="AE1003">
        <v>1</v>
      </c>
      <c r="AO1003" t="s">
        <v>2408</v>
      </c>
      <c r="AP1003" t="s">
        <v>2401</v>
      </c>
    </row>
    <row r="1004" spans="1:42">
      <c r="A1004" t="s">
        <v>1778</v>
      </c>
      <c r="B1004" t="s">
        <v>2389</v>
      </c>
      <c r="C1004" t="s">
        <v>2390</v>
      </c>
      <c r="D1004" t="s">
        <v>2379</v>
      </c>
      <c r="E1004" t="s">
        <v>25</v>
      </c>
      <c r="F1004" t="s">
        <v>2402</v>
      </c>
      <c r="G1004" t="s">
        <v>25</v>
      </c>
      <c r="H1004" t="b">
        <v>1</v>
      </c>
      <c r="I1004" s="8">
        <v>45940.473391203705</v>
      </c>
      <c r="J1004" t="s">
        <v>2380</v>
      </c>
      <c r="K1004">
        <v>1201504</v>
      </c>
      <c r="L1004">
        <v>602880</v>
      </c>
      <c r="M1004" t="s">
        <v>2381</v>
      </c>
      <c r="N1004">
        <v>5</v>
      </c>
      <c r="P1004" t="s">
        <v>3051</v>
      </c>
      <c r="Q1004" t="s">
        <v>2383</v>
      </c>
      <c r="R1004">
        <v>1</v>
      </c>
      <c r="S1004" t="s">
        <v>2380</v>
      </c>
      <c r="T1004" t="s">
        <v>2383</v>
      </c>
      <c r="U1004" s="8">
        <v>45937.519861111112</v>
      </c>
      <c r="V1004" s="8">
        <v>45940.958333333336</v>
      </c>
      <c r="W1004">
        <v>1</v>
      </c>
      <c r="X1004">
        <v>2.9535300929999999</v>
      </c>
      <c r="Y1004" t="s">
        <v>2403</v>
      </c>
      <c r="Z1004" t="s">
        <v>5551</v>
      </c>
      <c r="AA1004" t="s">
        <v>1776</v>
      </c>
      <c r="AB1004" t="s">
        <v>1278</v>
      </c>
      <c r="AC1004" t="s">
        <v>5552</v>
      </c>
      <c r="AD1004" t="s">
        <v>2708</v>
      </c>
      <c r="AE1004">
        <v>1</v>
      </c>
      <c r="AO1004" t="s">
        <v>2408</v>
      </c>
      <c r="AP1004" t="s">
        <v>2401</v>
      </c>
    </row>
    <row r="1005" spans="1:42">
      <c r="A1005" t="s">
        <v>1782</v>
      </c>
      <c r="B1005" t="s">
        <v>2389</v>
      </c>
      <c r="C1005" t="s">
        <v>2390</v>
      </c>
      <c r="D1005" t="s">
        <v>2379</v>
      </c>
      <c r="E1005" t="s">
        <v>25</v>
      </c>
      <c r="F1005" t="s">
        <v>2402</v>
      </c>
      <c r="G1005" t="s">
        <v>25</v>
      </c>
      <c r="H1005" t="b">
        <v>1</v>
      </c>
      <c r="I1005" s="8">
        <v>45940.466736111113</v>
      </c>
      <c r="J1005" t="s">
        <v>2380</v>
      </c>
      <c r="K1005">
        <v>1201502</v>
      </c>
      <c r="L1005">
        <v>602880</v>
      </c>
      <c r="M1005" t="s">
        <v>2381</v>
      </c>
      <c r="N1005">
        <v>5</v>
      </c>
      <c r="P1005" t="s">
        <v>3051</v>
      </c>
      <c r="Q1005" t="s">
        <v>2383</v>
      </c>
      <c r="R1005">
        <v>1</v>
      </c>
      <c r="S1005" t="s">
        <v>2380</v>
      </c>
      <c r="T1005" t="s">
        <v>2383</v>
      </c>
      <c r="U1005" s="8">
        <v>45937.52065972222</v>
      </c>
      <c r="V1005" s="8">
        <v>45940.958333333336</v>
      </c>
      <c r="W1005">
        <v>1</v>
      </c>
      <c r="X1005">
        <v>2.9460763889999999</v>
      </c>
      <c r="Y1005" t="s">
        <v>2403</v>
      </c>
      <c r="Z1005" t="s">
        <v>5555</v>
      </c>
      <c r="AA1005" t="s">
        <v>1776</v>
      </c>
      <c r="AB1005" t="s">
        <v>1278</v>
      </c>
      <c r="AC1005" t="s">
        <v>5556</v>
      </c>
      <c r="AD1005" t="s">
        <v>2708</v>
      </c>
      <c r="AE1005">
        <v>1</v>
      </c>
      <c r="AO1005" t="s">
        <v>2408</v>
      </c>
      <c r="AP1005" t="s">
        <v>2401</v>
      </c>
    </row>
    <row r="1006" spans="1:42">
      <c r="A1006" t="s">
        <v>1766</v>
      </c>
      <c r="B1006" t="s">
        <v>2389</v>
      </c>
      <c r="C1006" t="s">
        <v>2390</v>
      </c>
      <c r="D1006" t="s">
        <v>2379</v>
      </c>
      <c r="E1006" t="s">
        <v>2452</v>
      </c>
      <c r="F1006" t="s">
        <v>2578</v>
      </c>
      <c r="G1006" t="s">
        <v>2452</v>
      </c>
      <c r="H1006" t="b">
        <v>1</v>
      </c>
      <c r="I1006" s="8">
        <v>45940.498993055553</v>
      </c>
      <c r="J1006" t="s">
        <v>2380</v>
      </c>
      <c r="K1006">
        <v>1201516</v>
      </c>
      <c r="L1006">
        <v>605011</v>
      </c>
      <c r="M1006" t="s">
        <v>2381</v>
      </c>
      <c r="P1006" t="s">
        <v>3415</v>
      </c>
      <c r="Q1006" t="s">
        <v>2383</v>
      </c>
      <c r="R1006">
        <v>1</v>
      </c>
      <c r="S1006" t="s">
        <v>2380</v>
      </c>
      <c r="T1006" t="s">
        <v>2383</v>
      </c>
      <c r="U1006" s="8">
        <v>45937.520682870374</v>
      </c>
      <c r="V1006" s="8">
        <v>45940.958333333336</v>
      </c>
      <c r="W1006">
        <v>1</v>
      </c>
      <c r="X1006">
        <v>2.9783101850000002</v>
      </c>
      <c r="Y1006" t="s">
        <v>2579</v>
      </c>
      <c r="Z1006" t="s">
        <v>7097</v>
      </c>
      <c r="AA1006" t="s">
        <v>1764</v>
      </c>
      <c r="AB1006" t="s">
        <v>1278</v>
      </c>
      <c r="AC1006" t="s">
        <v>7098</v>
      </c>
      <c r="AD1006" t="s">
        <v>2708</v>
      </c>
      <c r="AE1006">
        <v>1</v>
      </c>
      <c r="AO1006" t="s">
        <v>2388</v>
      </c>
      <c r="AP1006" t="s">
        <v>2401</v>
      </c>
    </row>
    <row r="1007" spans="1:42">
      <c r="A1007" t="s">
        <v>1780</v>
      </c>
      <c r="B1007" t="s">
        <v>2389</v>
      </c>
      <c r="C1007" t="s">
        <v>2390</v>
      </c>
      <c r="D1007" t="s">
        <v>2379</v>
      </c>
      <c r="E1007" t="s">
        <v>25</v>
      </c>
      <c r="F1007" t="s">
        <v>2402</v>
      </c>
      <c r="G1007" t="s">
        <v>25</v>
      </c>
      <c r="H1007" t="b">
        <v>1</v>
      </c>
      <c r="I1007" s="8">
        <v>45940.468657407408</v>
      </c>
      <c r="J1007" t="s">
        <v>2380</v>
      </c>
      <c r="K1007">
        <v>1201503</v>
      </c>
      <c r="L1007">
        <v>602880</v>
      </c>
      <c r="M1007" t="s">
        <v>2381</v>
      </c>
      <c r="N1007">
        <v>5</v>
      </c>
      <c r="P1007" t="s">
        <v>3051</v>
      </c>
      <c r="Q1007" t="s">
        <v>2383</v>
      </c>
      <c r="R1007">
        <v>1</v>
      </c>
      <c r="S1007" t="s">
        <v>2380</v>
      </c>
      <c r="T1007" t="s">
        <v>2383</v>
      </c>
      <c r="U1007" s="8">
        <v>45937.523379629631</v>
      </c>
      <c r="V1007" s="8">
        <v>45940.958333333336</v>
      </c>
      <c r="W1007">
        <v>1</v>
      </c>
      <c r="X1007">
        <v>2.9452777779999999</v>
      </c>
      <c r="Y1007" t="s">
        <v>2403</v>
      </c>
      <c r="Z1007" t="s">
        <v>5557</v>
      </c>
      <c r="AA1007" t="s">
        <v>1776</v>
      </c>
      <c r="AB1007" t="s">
        <v>1278</v>
      </c>
      <c r="AC1007" t="s">
        <v>5558</v>
      </c>
      <c r="AD1007" t="s">
        <v>2708</v>
      </c>
      <c r="AE1007">
        <v>1</v>
      </c>
      <c r="AO1007" t="s">
        <v>2408</v>
      </c>
      <c r="AP1007" t="s">
        <v>2401</v>
      </c>
    </row>
    <row r="1008" spans="1:42">
      <c r="A1008" t="s">
        <v>172</v>
      </c>
      <c r="B1008" t="s">
        <v>2377</v>
      </c>
      <c r="C1008" t="s">
        <v>2390</v>
      </c>
      <c r="D1008" t="s">
        <v>2379</v>
      </c>
      <c r="E1008" t="s">
        <v>33</v>
      </c>
      <c r="F1008" t="s">
        <v>2588</v>
      </c>
      <c r="G1008" t="s">
        <v>33</v>
      </c>
      <c r="H1008" t="b">
        <v>1</v>
      </c>
      <c r="I1008" s="8">
        <v>45939.607847222222</v>
      </c>
      <c r="J1008" t="s">
        <v>2380</v>
      </c>
      <c r="L1008">
        <v>609688</v>
      </c>
      <c r="M1008" t="s">
        <v>2381</v>
      </c>
      <c r="P1008" t="s">
        <v>9197</v>
      </c>
      <c r="Q1008" t="s">
        <v>2383</v>
      </c>
      <c r="R1008">
        <v>1</v>
      </c>
      <c r="S1008" t="s">
        <v>2380</v>
      </c>
      <c r="T1008" t="s">
        <v>2383</v>
      </c>
      <c r="U1008" s="8">
        <v>45937.54991898148</v>
      </c>
      <c r="V1008" s="8">
        <v>45940.958333333336</v>
      </c>
      <c r="W1008">
        <v>1</v>
      </c>
      <c r="X1008">
        <v>2.0579282409999999</v>
      </c>
      <c r="Y1008" t="s">
        <v>2579</v>
      </c>
      <c r="Z1008" t="s">
        <v>9198</v>
      </c>
      <c r="AA1008" t="s">
        <v>9199</v>
      </c>
      <c r="AB1008" t="s">
        <v>1278</v>
      </c>
      <c r="AC1008" t="s">
        <v>9200</v>
      </c>
      <c r="AD1008" t="s">
        <v>2708</v>
      </c>
      <c r="AE1008">
        <v>1</v>
      </c>
      <c r="AH1008" t="s">
        <v>4895</v>
      </c>
      <c r="AI1008" s="8">
        <v>45939.586064814815</v>
      </c>
      <c r="AK1008" t="s">
        <v>2719</v>
      </c>
      <c r="AL1008" t="s">
        <v>2719</v>
      </c>
      <c r="AO1008" t="s">
        <v>3644</v>
      </c>
      <c r="AP1008" t="s">
        <v>2401</v>
      </c>
    </row>
    <row r="1009" spans="1:42">
      <c r="A1009" t="s">
        <v>179</v>
      </c>
      <c r="B1009" t="s">
        <v>2377</v>
      </c>
      <c r="C1009" t="s">
        <v>2443</v>
      </c>
      <c r="D1009" t="s">
        <v>2443</v>
      </c>
      <c r="E1009" t="s">
        <v>28</v>
      </c>
      <c r="F1009" t="s">
        <v>3747</v>
      </c>
      <c r="G1009" t="s">
        <v>28</v>
      </c>
      <c r="H1009" t="b">
        <v>1</v>
      </c>
      <c r="I1009" s="8">
        <v>45943.678576388891</v>
      </c>
      <c r="J1009" t="s">
        <v>2380</v>
      </c>
      <c r="L1009">
        <v>606966</v>
      </c>
      <c r="M1009" t="s">
        <v>2381</v>
      </c>
      <c r="N1009">
        <v>15</v>
      </c>
      <c r="P1009" t="s">
        <v>8626</v>
      </c>
      <c r="Q1009" t="s">
        <v>2383</v>
      </c>
      <c r="R1009">
        <v>1</v>
      </c>
      <c r="S1009" t="s">
        <v>2380</v>
      </c>
      <c r="T1009" t="s">
        <v>2383</v>
      </c>
      <c r="U1009" s="8">
        <v>45937.551828703705</v>
      </c>
      <c r="V1009" s="8">
        <v>45940.958333333336</v>
      </c>
      <c r="W1009">
        <v>1</v>
      </c>
      <c r="X1009">
        <v>4.1267476849999998</v>
      </c>
      <c r="Y1009" t="s">
        <v>3748</v>
      </c>
      <c r="Z1009" t="s">
        <v>9255</v>
      </c>
      <c r="AA1009" t="s">
        <v>1055</v>
      </c>
      <c r="AB1009" t="s">
        <v>1278</v>
      </c>
      <c r="AC1009" t="s">
        <v>4542</v>
      </c>
      <c r="AD1009" t="s">
        <v>2708</v>
      </c>
      <c r="AE1009">
        <v>1</v>
      </c>
      <c r="AH1009" t="s">
        <v>33</v>
      </c>
      <c r="AI1009" s="8">
        <v>45943.63726851852</v>
      </c>
      <c r="AK1009" t="s">
        <v>2719</v>
      </c>
      <c r="AL1009" t="s">
        <v>2719</v>
      </c>
      <c r="AO1009" t="s">
        <v>2712</v>
      </c>
      <c r="AP1009" t="s">
        <v>2401</v>
      </c>
    </row>
    <row r="1010" spans="1:42">
      <c r="A1010" t="s">
        <v>603</v>
      </c>
      <c r="B1010" t="s">
        <v>2377</v>
      </c>
      <c r="C1010" t="s">
        <v>2390</v>
      </c>
      <c r="D1010" t="s">
        <v>2379</v>
      </c>
      <c r="E1010" t="s">
        <v>28</v>
      </c>
      <c r="F1010" t="s">
        <v>4897</v>
      </c>
      <c r="G1010" t="s">
        <v>28</v>
      </c>
      <c r="H1010" t="b">
        <v>1</v>
      </c>
      <c r="I1010" s="8">
        <v>45939.658599537041</v>
      </c>
      <c r="J1010" t="s">
        <v>2380</v>
      </c>
      <c r="L1010">
        <v>603885</v>
      </c>
      <c r="M1010" t="s">
        <v>2381</v>
      </c>
      <c r="P1010" t="s">
        <v>2704</v>
      </c>
      <c r="Q1010" t="s">
        <v>2383</v>
      </c>
      <c r="R1010">
        <v>1</v>
      </c>
      <c r="S1010" t="s">
        <v>2380</v>
      </c>
      <c r="T1010" t="s">
        <v>2383</v>
      </c>
      <c r="U1010" s="8">
        <v>45937.554282407407</v>
      </c>
      <c r="V1010" s="8">
        <v>45940.958333333336</v>
      </c>
      <c r="W1010">
        <v>1</v>
      </c>
      <c r="X1010">
        <v>2.1043171300000001</v>
      </c>
      <c r="Y1010" t="s">
        <v>4898</v>
      </c>
      <c r="Z1010" t="s">
        <v>4920</v>
      </c>
      <c r="AA1010" t="s">
        <v>4921</v>
      </c>
      <c r="AB1010" t="s">
        <v>1278</v>
      </c>
      <c r="AC1010" t="s">
        <v>3066</v>
      </c>
      <c r="AD1010" t="s">
        <v>2708</v>
      </c>
      <c r="AE1010">
        <v>1</v>
      </c>
      <c r="AO1010" t="s">
        <v>2715</v>
      </c>
      <c r="AP1010" t="s">
        <v>2401</v>
      </c>
    </row>
    <row r="1011" spans="1:42">
      <c r="A1011" t="s">
        <v>1693</v>
      </c>
      <c r="B1011" t="s">
        <v>2389</v>
      </c>
      <c r="C1011" t="s">
        <v>2378</v>
      </c>
      <c r="D1011" t="s">
        <v>2379</v>
      </c>
      <c r="E1011" t="s">
        <v>2416</v>
      </c>
      <c r="F1011" t="s">
        <v>3500</v>
      </c>
      <c r="G1011" t="s">
        <v>2416</v>
      </c>
      <c r="H1011" t="b">
        <v>1</v>
      </c>
      <c r="I1011" s="8">
        <v>45943.482395833336</v>
      </c>
      <c r="J1011" t="s">
        <v>2380</v>
      </c>
      <c r="K1011">
        <v>1201792</v>
      </c>
      <c r="L1011">
        <v>609781</v>
      </c>
      <c r="M1011" t="s">
        <v>2381</v>
      </c>
      <c r="P1011" t="s">
        <v>4661</v>
      </c>
      <c r="Q1011" t="s">
        <v>2383</v>
      </c>
      <c r="R1011">
        <v>1</v>
      </c>
      <c r="S1011" t="s">
        <v>2380</v>
      </c>
      <c r="T1011" t="s">
        <v>2383</v>
      </c>
      <c r="U1011" s="8">
        <v>45937.581238425926</v>
      </c>
      <c r="V1011" s="8">
        <v>45946.958333333336</v>
      </c>
      <c r="W1011">
        <v>1</v>
      </c>
      <c r="X1011">
        <v>3.9011574069999999</v>
      </c>
      <c r="Y1011" t="s">
        <v>3501</v>
      </c>
      <c r="Z1011" t="s">
        <v>7879</v>
      </c>
      <c r="AA1011" t="s">
        <v>7574</v>
      </c>
      <c r="AB1011" t="s">
        <v>1278</v>
      </c>
      <c r="AC1011" t="s">
        <v>7880</v>
      </c>
      <c r="AD1011" t="s">
        <v>2708</v>
      </c>
      <c r="AE1011">
        <v>1</v>
      </c>
      <c r="AO1011" t="s">
        <v>2957</v>
      </c>
      <c r="AP1011" t="s">
        <v>2401</v>
      </c>
    </row>
    <row r="1012" spans="1:42">
      <c r="A1012" t="s">
        <v>194</v>
      </c>
      <c r="B1012" t="s">
        <v>2377</v>
      </c>
      <c r="C1012" t="s">
        <v>2447</v>
      </c>
      <c r="D1012" t="s">
        <v>2379</v>
      </c>
      <c r="E1012" t="s">
        <v>28</v>
      </c>
      <c r="F1012">
        <v>3801</v>
      </c>
      <c r="G1012" t="s">
        <v>28</v>
      </c>
      <c r="H1012" t="b">
        <v>1</v>
      </c>
      <c r="I1012" s="8">
        <v>45943.649444444447</v>
      </c>
      <c r="J1012" t="s">
        <v>2380</v>
      </c>
      <c r="L1012">
        <v>603922</v>
      </c>
      <c r="M1012" t="s">
        <v>2381</v>
      </c>
      <c r="N1012">
        <v>20</v>
      </c>
      <c r="P1012" t="s">
        <v>2704</v>
      </c>
      <c r="Q1012" t="s">
        <v>2383</v>
      </c>
      <c r="R1012">
        <v>1</v>
      </c>
      <c r="S1012" t="s">
        <v>2380</v>
      </c>
      <c r="T1012" t="s">
        <v>2383</v>
      </c>
      <c r="U1012" s="8">
        <v>45937.588819444441</v>
      </c>
      <c r="V1012" s="8">
        <v>45943.958333333336</v>
      </c>
      <c r="W1012">
        <v>1</v>
      </c>
      <c r="X1012">
        <v>4.0606249999999999</v>
      </c>
      <c r="Y1012" t="s">
        <v>3318</v>
      </c>
      <c r="Z1012" t="s">
        <v>7265</v>
      </c>
      <c r="AA1012" t="s">
        <v>3321</v>
      </c>
      <c r="AB1012" t="s">
        <v>1278</v>
      </c>
      <c r="AC1012" t="s">
        <v>3076</v>
      </c>
      <c r="AD1012" t="s">
        <v>2708</v>
      </c>
      <c r="AE1012">
        <v>1</v>
      </c>
      <c r="AO1012" t="s">
        <v>2388</v>
      </c>
      <c r="AP1012" t="s">
        <v>2401</v>
      </c>
    </row>
    <row r="1013" spans="1:42">
      <c r="A1013" t="s">
        <v>1756</v>
      </c>
      <c r="B1013" t="s">
        <v>2389</v>
      </c>
      <c r="C1013" t="s">
        <v>2390</v>
      </c>
      <c r="D1013" t="s">
        <v>2379</v>
      </c>
      <c r="E1013" t="s">
        <v>2452</v>
      </c>
      <c r="F1013" t="s">
        <v>2779</v>
      </c>
      <c r="G1013" t="s">
        <v>2452</v>
      </c>
      <c r="H1013" t="b">
        <v>1</v>
      </c>
      <c r="I1013" s="8">
        <v>45940.545081018521</v>
      </c>
      <c r="J1013" t="s">
        <v>2380</v>
      </c>
      <c r="K1013">
        <v>1201631</v>
      </c>
      <c r="L1013">
        <v>601523</v>
      </c>
      <c r="M1013" t="s">
        <v>2381</v>
      </c>
      <c r="P1013" t="s">
        <v>2873</v>
      </c>
      <c r="Q1013" t="s">
        <v>2383</v>
      </c>
      <c r="R1013">
        <v>1</v>
      </c>
      <c r="S1013" t="s">
        <v>2380</v>
      </c>
      <c r="T1013" t="s">
        <v>2383</v>
      </c>
      <c r="U1013" s="8">
        <v>45937.59103009259</v>
      </c>
      <c r="V1013" s="8">
        <v>45945.958333333336</v>
      </c>
      <c r="W1013">
        <v>1</v>
      </c>
      <c r="X1013">
        <v>2.9540509259999999</v>
      </c>
      <c r="Y1013" t="s">
        <v>1352</v>
      </c>
      <c r="Z1013" t="s">
        <v>5403</v>
      </c>
      <c r="AA1013" t="s">
        <v>1748</v>
      </c>
      <c r="AB1013" t="s">
        <v>1278</v>
      </c>
      <c r="AC1013" t="s">
        <v>5404</v>
      </c>
      <c r="AD1013" t="s">
        <v>2708</v>
      </c>
      <c r="AE1013">
        <v>1</v>
      </c>
      <c r="AO1013" t="s">
        <v>2408</v>
      </c>
      <c r="AP1013" t="s">
        <v>2401</v>
      </c>
    </row>
    <row r="1014" spans="1:42">
      <c r="A1014" t="s">
        <v>1772</v>
      </c>
      <c r="B1014" t="s">
        <v>2389</v>
      </c>
      <c r="C1014" t="s">
        <v>2390</v>
      </c>
      <c r="D1014" t="s">
        <v>2379</v>
      </c>
      <c r="E1014" t="s">
        <v>2452</v>
      </c>
      <c r="F1014" t="s">
        <v>8583</v>
      </c>
      <c r="G1014" t="s">
        <v>2452</v>
      </c>
      <c r="H1014" t="b">
        <v>1</v>
      </c>
      <c r="I1014" s="8">
        <v>45940.479756944442</v>
      </c>
      <c r="J1014" t="s">
        <v>2380</v>
      </c>
      <c r="K1014">
        <v>1201505</v>
      </c>
      <c r="L1014">
        <v>602225</v>
      </c>
      <c r="M1014" t="s">
        <v>2381</v>
      </c>
      <c r="P1014" t="s">
        <v>8584</v>
      </c>
      <c r="Q1014" t="s">
        <v>2383</v>
      </c>
      <c r="R1014">
        <v>1</v>
      </c>
      <c r="S1014" t="s">
        <v>2380</v>
      </c>
      <c r="T1014" t="s">
        <v>2383</v>
      </c>
      <c r="U1014" s="8">
        <v>45937.59820601852</v>
      </c>
      <c r="V1014" s="8">
        <v>45940.958333333336</v>
      </c>
      <c r="W1014">
        <v>1</v>
      </c>
      <c r="X1014">
        <v>2.8815509260000001</v>
      </c>
      <c r="Y1014" t="s">
        <v>1588</v>
      </c>
      <c r="Z1014" t="s">
        <v>9698</v>
      </c>
      <c r="AA1014" t="s">
        <v>9699</v>
      </c>
      <c r="AB1014" t="s">
        <v>1278</v>
      </c>
      <c r="AC1014" t="s">
        <v>9700</v>
      </c>
      <c r="AD1014" t="s">
        <v>2708</v>
      </c>
      <c r="AE1014">
        <v>1</v>
      </c>
      <c r="AO1014" t="s">
        <v>3608</v>
      </c>
      <c r="AP1014" t="s">
        <v>2401</v>
      </c>
    </row>
    <row r="1015" spans="1:42">
      <c r="A1015" t="s">
        <v>375</v>
      </c>
      <c r="B1015" t="s">
        <v>2377</v>
      </c>
      <c r="C1015" t="s">
        <v>2438</v>
      </c>
      <c r="D1015" t="s">
        <v>2379</v>
      </c>
      <c r="E1015" t="s">
        <v>33</v>
      </c>
      <c r="F1015" t="s">
        <v>2715</v>
      </c>
      <c r="G1015" t="s">
        <v>33</v>
      </c>
      <c r="H1015" t="b">
        <v>1</v>
      </c>
      <c r="I1015" s="8">
        <v>45938.585729166669</v>
      </c>
      <c r="J1015" t="s">
        <v>2380</v>
      </c>
      <c r="L1015">
        <v>603100</v>
      </c>
      <c r="M1015" t="s">
        <v>2381</v>
      </c>
      <c r="P1015" t="s">
        <v>9201</v>
      </c>
      <c r="Q1015" t="s">
        <v>2383</v>
      </c>
      <c r="R1015">
        <v>1</v>
      </c>
      <c r="S1015" t="s">
        <v>2380</v>
      </c>
      <c r="T1015" t="s">
        <v>2383</v>
      </c>
      <c r="U1015" s="8">
        <v>45937.607245370367</v>
      </c>
      <c r="V1015" s="8">
        <v>45940.958333333336</v>
      </c>
      <c r="W1015">
        <v>1</v>
      </c>
      <c r="X1015">
        <v>0.97848379600000002</v>
      </c>
      <c r="Y1015" t="s">
        <v>4653</v>
      </c>
      <c r="Z1015" t="s">
        <v>9202</v>
      </c>
      <c r="AA1015" t="s">
        <v>1994</v>
      </c>
      <c r="AB1015" t="s">
        <v>1278</v>
      </c>
      <c r="AC1015" t="s">
        <v>2387</v>
      </c>
      <c r="AD1015" t="s">
        <v>2708</v>
      </c>
      <c r="AE1015">
        <v>1</v>
      </c>
      <c r="AH1015" t="s">
        <v>4895</v>
      </c>
      <c r="AI1015" s="8">
        <v>45938.584479166668</v>
      </c>
      <c r="AK1015" t="s">
        <v>2719</v>
      </c>
      <c r="AL1015" t="s">
        <v>2719</v>
      </c>
      <c r="AO1015" t="s">
        <v>3644</v>
      </c>
      <c r="AP1015" t="s">
        <v>2401</v>
      </c>
    </row>
    <row r="1016" spans="1:42">
      <c r="A1016" t="s">
        <v>1787</v>
      </c>
      <c r="B1016" t="s">
        <v>2389</v>
      </c>
      <c r="C1016" t="s">
        <v>2390</v>
      </c>
      <c r="D1016" t="s">
        <v>2379</v>
      </c>
      <c r="E1016" t="s">
        <v>33</v>
      </c>
      <c r="F1016" t="s">
        <v>4112</v>
      </c>
      <c r="G1016" t="s">
        <v>33</v>
      </c>
      <c r="H1016" t="b">
        <v>1</v>
      </c>
      <c r="I1016" s="8">
        <v>45940.406365740739</v>
      </c>
      <c r="J1016" t="s">
        <v>2380</v>
      </c>
      <c r="K1016">
        <v>1201463</v>
      </c>
      <c r="L1016">
        <v>606982</v>
      </c>
      <c r="M1016" t="s">
        <v>2381</v>
      </c>
      <c r="P1016" t="s">
        <v>3896</v>
      </c>
      <c r="Q1016" t="s">
        <v>2383</v>
      </c>
      <c r="R1016">
        <v>1</v>
      </c>
      <c r="S1016" t="s">
        <v>2380</v>
      </c>
      <c r="T1016" t="s">
        <v>2383</v>
      </c>
      <c r="U1016" s="8">
        <v>45937.608715277776</v>
      </c>
      <c r="V1016" s="8">
        <v>45940.958333333336</v>
      </c>
      <c r="W1016">
        <v>1</v>
      </c>
      <c r="X1016">
        <v>2.7976504630000001</v>
      </c>
      <c r="Y1016" t="s">
        <v>3901</v>
      </c>
      <c r="Z1016" t="s">
        <v>4968</v>
      </c>
      <c r="AA1016" t="s">
        <v>4956</v>
      </c>
      <c r="AB1016" t="s">
        <v>1278</v>
      </c>
      <c r="AC1016" t="s">
        <v>2802</v>
      </c>
      <c r="AD1016" t="s">
        <v>2708</v>
      </c>
      <c r="AE1016">
        <v>1</v>
      </c>
      <c r="AO1016" t="s">
        <v>2715</v>
      </c>
      <c r="AP1016" t="s">
        <v>2401</v>
      </c>
    </row>
    <row r="1017" spans="1:42">
      <c r="A1017" t="s">
        <v>880</v>
      </c>
      <c r="B1017" t="s">
        <v>2377</v>
      </c>
      <c r="C1017" t="s">
        <v>2415</v>
      </c>
      <c r="D1017" t="s">
        <v>2379</v>
      </c>
      <c r="E1017" t="s">
        <v>33</v>
      </c>
      <c r="F1017" t="s">
        <v>2627</v>
      </c>
      <c r="G1017" t="s">
        <v>33</v>
      </c>
      <c r="H1017" t="b">
        <v>1</v>
      </c>
      <c r="I1017" s="8">
        <v>45939.607858796298</v>
      </c>
      <c r="J1017" t="s">
        <v>2380</v>
      </c>
      <c r="L1017">
        <v>602686</v>
      </c>
      <c r="M1017" t="s">
        <v>2381</v>
      </c>
      <c r="P1017" t="s">
        <v>2704</v>
      </c>
      <c r="Q1017" t="s">
        <v>2383</v>
      </c>
      <c r="R1017">
        <v>1</v>
      </c>
      <c r="S1017" t="s">
        <v>2380</v>
      </c>
      <c r="T1017" t="s">
        <v>2383</v>
      </c>
      <c r="U1017" s="8">
        <v>45937.613368055558</v>
      </c>
      <c r="V1017" s="8">
        <v>45940.958333333336</v>
      </c>
      <c r="W1017">
        <v>1</v>
      </c>
      <c r="X1017">
        <v>1.9944907409999999</v>
      </c>
      <c r="Y1017" t="s">
        <v>2628</v>
      </c>
      <c r="Z1017" t="s">
        <v>9185</v>
      </c>
      <c r="AA1017" t="s">
        <v>3585</v>
      </c>
      <c r="AB1017" t="s">
        <v>1278</v>
      </c>
      <c r="AC1017" t="s">
        <v>9186</v>
      </c>
      <c r="AD1017" t="s">
        <v>2708</v>
      </c>
      <c r="AE1017">
        <v>1</v>
      </c>
      <c r="AH1017" t="s">
        <v>4895</v>
      </c>
      <c r="AI1017" s="8">
        <v>45939.586944444447</v>
      </c>
      <c r="AK1017" t="s">
        <v>2719</v>
      </c>
      <c r="AL1017" t="s">
        <v>2719</v>
      </c>
      <c r="AO1017" t="s">
        <v>3586</v>
      </c>
      <c r="AP1017" t="s">
        <v>2401</v>
      </c>
    </row>
    <row r="1018" spans="1:42">
      <c r="A1018" t="s">
        <v>1834</v>
      </c>
      <c r="B1018" t="s">
        <v>2377</v>
      </c>
      <c r="C1018" t="s">
        <v>2415</v>
      </c>
      <c r="D1018" t="s">
        <v>2379</v>
      </c>
      <c r="E1018" t="s">
        <v>33</v>
      </c>
      <c r="F1018" t="s">
        <v>2588</v>
      </c>
      <c r="G1018" t="s">
        <v>33</v>
      </c>
      <c r="H1018" t="b">
        <v>1</v>
      </c>
      <c r="I1018" s="8">
        <v>45939.607916666668</v>
      </c>
      <c r="J1018" t="s">
        <v>2380</v>
      </c>
      <c r="L1018">
        <v>609701</v>
      </c>
      <c r="M1018" t="s">
        <v>2381</v>
      </c>
      <c r="P1018" t="s">
        <v>3677</v>
      </c>
      <c r="Q1018" t="s">
        <v>2383</v>
      </c>
      <c r="R1018">
        <v>1</v>
      </c>
      <c r="S1018" t="s">
        <v>2380</v>
      </c>
      <c r="T1018" t="s">
        <v>2383</v>
      </c>
      <c r="U1018" s="8">
        <v>45937.615659722222</v>
      </c>
      <c r="V1018" s="8">
        <v>45940.958333333336</v>
      </c>
      <c r="W1018">
        <v>1</v>
      </c>
      <c r="X1018">
        <v>1.992256944</v>
      </c>
      <c r="Y1018" t="s">
        <v>2579</v>
      </c>
      <c r="Z1018" t="s">
        <v>9576</v>
      </c>
      <c r="AA1018" t="s">
        <v>3679</v>
      </c>
      <c r="AB1018" t="s">
        <v>1278</v>
      </c>
      <c r="AC1018" t="s">
        <v>9577</v>
      </c>
      <c r="AE1018">
        <v>1</v>
      </c>
      <c r="AH1018" t="s">
        <v>4895</v>
      </c>
      <c r="AI1018" s="8">
        <v>45939.584606481483</v>
      </c>
      <c r="AK1018" t="s">
        <v>2719</v>
      </c>
      <c r="AL1018" t="s">
        <v>2719</v>
      </c>
      <c r="AO1018" t="s">
        <v>3644</v>
      </c>
      <c r="AP1018" t="s">
        <v>2401</v>
      </c>
    </row>
    <row r="1019" spans="1:42">
      <c r="A1019" t="s">
        <v>1978</v>
      </c>
      <c r="B1019" t="s">
        <v>2389</v>
      </c>
      <c r="C1019" t="s">
        <v>2438</v>
      </c>
      <c r="D1019" t="s">
        <v>2379</v>
      </c>
      <c r="E1019" t="s">
        <v>33</v>
      </c>
      <c r="F1019" t="s">
        <v>2588</v>
      </c>
      <c r="G1019" t="s">
        <v>33</v>
      </c>
      <c r="H1019" t="b">
        <v>1</v>
      </c>
      <c r="I1019" s="8">
        <v>45938.633159722223</v>
      </c>
      <c r="J1019" t="s">
        <v>2380</v>
      </c>
      <c r="K1019">
        <v>1200902</v>
      </c>
      <c r="L1019">
        <v>609701</v>
      </c>
      <c r="M1019" t="s">
        <v>2381</v>
      </c>
      <c r="P1019" t="s">
        <v>3677</v>
      </c>
      <c r="Q1019" t="s">
        <v>2383</v>
      </c>
      <c r="R1019">
        <v>1</v>
      </c>
      <c r="S1019" t="s">
        <v>2380</v>
      </c>
      <c r="T1019" t="s">
        <v>2383</v>
      </c>
      <c r="U1019" s="8">
        <v>45937.637384259258</v>
      </c>
      <c r="V1019" s="8">
        <v>45940.958333333336</v>
      </c>
      <c r="W1019">
        <v>1</v>
      </c>
      <c r="X1019">
        <v>0.99577546299999997</v>
      </c>
      <c r="Y1019" t="s">
        <v>2579</v>
      </c>
      <c r="Z1019" t="s">
        <v>9845</v>
      </c>
      <c r="AA1019" t="s">
        <v>3679</v>
      </c>
      <c r="AB1019" t="s">
        <v>1278</v>
      </c>
      <c r="AC1019" t="s">
        <v>9846</v>
      </c>
      <c r="AD1019" t="s">
        <v>2708</v>
      </c>
      <c r="AE1019">
        <v>1</v>
      </c>
      <c r="AO1019" t="s">
        <v>3644</v>
      </c>
      <c r="AP1019" t="s">
        <v>2401</v>
      </c>
    </row>
    <row r="1020" spans="1:42">
      <c r="A1020" t="s">
        <v>1980</v>
      </c>
      <c r="B1020" t="s">
        <v>2389</v>
      </c>
      <c r="C1020" t="s">
        <v>2438</v>
      </c>
      <c r="D1020" t="s">
        <v>2379</v>
      </c>
      <c r="E1020" t="s">
        <v>33</v>
      </c>
      <c r="F1020" t="s">
        <v>2588</v>
      </c>
      <c r="G1020" t="s">
        <v>33</v>
      </c>
      <c r="H1020" t="b">
        <v>1</v>
      </c>
      <c r="I1020" s="8">
        <v>45938.629305555558</v>
      </c>
      <c r="J1020" t="s">
        <v>2380</v>
      </c>
      <c r="L1020">
        <v>609701</v>
      </c>
      <c r="M1020" t="s">
        <v>2381</v>
      </c>
      <c r="P1020" t="s">
        <v>3677</v>
      </c>
      <c r="Q1020" t="s">
        <v>2383</v>
      </c>
      <c r="R1020">
        <v>1</v>
      </c>
      <c r="S1020" t="s">
        <v>2380</v>
      </c>
      <c r="T1020" t="s">
        <v>2383</v>
      </c>
      <c r="U1020" s="8">
        <v>45937.637650462966</v>
      </c>
      <c r="V1020" s="8">
        <v>45940.958333333336</v>
      </c>
      <c r="W1020">
        <v>1</v>
      </c>
      <c r="X1020">
        <v>0.99165509299999999</v>
      </c>
      <c r="Y1020" t="s">
        <v>2579</v>
      </c>
      <c r="Z1020" t="s">
        <v>3678</v>
      </c>
      <c r="AA1020" t="s">
        <v>3679</v>
      </c>
      <c r="AB1020" t="s">
        <v>1278</v>
      </c>
      <c r="AC1020" t="s">
        <v>3680</v>
      </c>
      <c r="AE1020">
        <v>1</v>
      </c>
      <c r="AO1020" t="s">
        <v>3644</v>
      </c>
      <c r="AP1020" t="s">
        <v>2401</v>
      </c>
    </row>
    <row r="1021" spans="1:42">
      <c r="A1021" t="s">
        <v>1985</v>
      </c>
      <c r="B1021" t="s">
        <v>2389</v>
      </c>
      <c r="C1021" t="s">
        <v>2438</v>
      </c>
      <c r="D1021" t="s">
        <v>2379</v>
      </c>
      <c r="E1021" t="s">
        <v>33</v>
      </c>
      <c r="F1021" t="s">
        <v>2588</v>
      </c>
      <c r="G1021" t="s">
        <v>33</v>
      </c>
      <c r="H1021" t="b">
        <v>1</v>
      </c>
      <c r="I1021" s="8">
        <v>45938.614328703705</v>
      </c>
      <c r="J1021" t="s">
        <v>2380</v>
      </c>
      <c r="K1021">
        <v>1200879</v>
      </c>
      <c r="L1021">
        <v>609701</v>
      </c>
      <c r="M1021" t="s">
        <v>2381</v>
      </c>
      <c r="P1021" t="s">
        <v>3677</v>
      </c>
      <c r="Q1021" t="s">
        <v>2383</v>
      </c>
      <c r="R1021">
        <v>1</v>
      </c>
      <c r="S1021" t="s">
        <v>2380</v>
      </c>
      <c r="T1021" t="s">
        <v>2383</v>
      </c>
      <c r="U1021" s="8">
        <v>45937.637962962966</v>
      </c>
      <c r="V1021" s="8">
        <v>45940.958333333336</v>
      </c>
      <c r="W1021">
        <v>1</v>
      </c>
      <c r="X1021">
        <v>0.97636574099999995</v>
      </c>
      <c r="Y1021" t="s">
        <v>2579</v>
      </c>
      <c r="Z1021" t="s">
        <v>9847</v>
      </c>
      <c r="AA1021" t="s">
        <v>3679</v>
      </c>
      <c r="AB1021" t="s">
        <v>1278</v>
      </c>
      <c r="AC1021" t="s">
        <v>9848</v>
      </c>
      <c r="AD1021" t="s">
        <v>2708</v>
      </c>
      <c r="AE1021">
        <v>1</v>
      </c>
      <c r="AO1021" t="s">
        <v>3644</v>
      </c>
      <c r="AP1021" t="s">
        <v>2401</v>
      </c>
    </row>
    <row r="1022" spans="1:42">
      <c r="A1022" t="s">
        <v>1750</v>
      </c>
      <c r="B1022" t="s">
        <v>2389</v>
      </c>
      <c r="C1022" t="s">
        <v>2390</v>
      </c>
      <c r="D1022" t="s">
        <v>2379</v>
      </c>
      <c r="E1022" t="s">
        <v>2416</v>
      </c>
      <c r="F1022" t="s">
        <v>2779</v>
      </c>
      <c r="G1022" t="s">
        <v>2416</v>
      </c>
      <c r="H1022" t="b">
        <v>1</v>
      </c>
      <c r="I1022" s="8">
        <v>45940.611956018518</v>
      </c>
      <c r="J1022" t="s">
        <v>2380</v>
      </c>
      <c r="L1022">
        <v>601523</v>
      </c>
      <c r="M1022" t="s">
        <v>2381</v>
      </c>
      <c r="P1022" t="s">
        <v>2873</v>
      </c>
      <c r="Q1022" t="s">
        <v>2383</v>
      </c>
      <c r="R1022">
        <v>1</v>
      </c>
      <c r="S1022" t="s">
        <v>2380</v>
      </c>
      <c r="T1022" t="s">
        <v>2383</v>
      </c>
      <c r="U1022" s="8">
        <v>45937.639027777775</v>
      </c>
      <c r="V1022" s="8">
        <v>45940.958333333336</v>
      </c>
      <c r="W1022">
        <v>1</v>
      </c>
      <c r="X1022">
        <v>2.972928241</v>
      </c>
      <c r="Y1022" t="s">
        <v>1352</v>
      </c>
      <c r="Z1022" t="s">
        <v>2874</v>
      </c>
      <c r="AA1022" t="s">
        <v>1748</v>
      </c>
      <c r="AB1022" t="s">
        <v>1278</v>
      </c>
      <c r="AC1022" t="s">
        <v>2875</v>
      </c>
      <c r="AE1022">
        <v>1</v>
      </c>
      <c r="AO1022" t="s">
        <v>2408</v>
      </c>
      <c r="AP1022" t="s">
        <v>2401</v>
      </c>
    </row>
    <row r="1023" spans="1:42">
      <c r="A1023" t="s">
        <v>7612</v>
      </c>
      <c r="B1023" t="s">
        <v>2389</v>
      </c>
      <c r="C1023" t="s">
        <v>2415</v>
      </c>
      <c r="D1023" t="s">
        <v>2379</v>
      </c>
      <c r="E1023" t="s">
        <v>2601</v>
      </c>
      <c r="F1023" t="s">
        <v>7611</v>
      </c>
      <c r="G1023" t="s">
        <v>2601</v>
      </c>
      <c r="H1023" t="b">
        <v>1</v>
      </c>
      <c r="I1023" s="8">
        <v>45939.494293981479</v>
      </c>
      <c r="J1023" t="s">
        <v>2380</v>
      </c>
      <c r="K1023">
        <v>1201270</v>
      </c>
      <c r="L1023">
        <v>603871</v>
      </c>
      <c r="M1023" t="s">
        <v>2381</v>
      </c>
      <c r="P1023" t="s">
        <v>2670</v>
      </c>
      <c r="Q1023" t="s">
        <v>2383</v>
      </c>
      <c r="R1023">
        <v>1</v>
      </c>
      <c r="S1023" t="s">
        <v>2380</v>
      </c>
      <c r="T1023" t="s">
        <v>2383</v>
      </c>
      <c r="U1023" s="8">
        <v>45937.63989583333</v>
      </c>
      <c r="V1023" s="8">
        <v>45940.958333333336</v>
      </c>
      <c r="W1023">
        <v>1</v>
      </c>
      <c r="X1023">
        <v>1.854398148</v>
      </c>
      <c r="Y1023" t="s">
        <v>3521</v>
      </c>
      <c r="Z1023" t="s">
        <v>7613</v>
      </c>
      <c r="AA1023" t="s">
        <v>7614</v>
      </c>
      <c r="AB1023" t="s">
        <v>1278</v>
      </c>
      <c r="AC1023" t="s">
        <v>7615</v>
      </c>
      <c r="AD1023" t="s">
        <v>2708</v>
      </c>
      <c r="AE1023">
        <v>1</v>
      </c>
      <c r="AO1023" t="s">
        <v>2957</v>
      </c>
      <c r="AP1023" t="s">
        <v>2401</v>
      </c>
    </row>
    <row r="1024" spans="1:42">
      <c r="A1024" t="s">
        <v>9654</v>
      </c>
      <c r="B1024" t="s">
        <v>2389</v>
      </c>
      <c r="C1024" t="s">
        <v>2415</v>
      </c>
      <c r="D1024" t="s">
        <v>2379</v>
      </c>
      <c r="E1024" t="s">
        <v>2601</v>
      </c>
      <c r="F1024" t="s">
        <v>7611</v>
      </c>
      <c r="G1024" t="s">
        <v>2601</v>
      </c>
      <c r="H1024" t="b">
        <v>1</v>
      </c>
      <c r="I1024" s="8">
        <v>45939.473576388889</v>
      </c>
      <c r="J1024" t="s">
        <v>2380</v>
      </c>
      <c r="K1024">
        <v>1201257</v>
      </c>
      <c r="L1024">
        <v>603059</v>
      </c>
      <c r="M1024" t="s">
        <v>2381</v>
      </c>
      <c r="P1024" t="s">
        <v>2670</v>
      </c>
      <c r="Q1024" t="s">
        <v>2383</v>
      </c>
      <c r="R1024">
        <v>1</v>
      </c>
      <c r="S1024" t="s">
        <v>2380</v>
      </c>
      <c r="T1024" t="s">
        <v>2383</v>
      </c>
      <c r="U1024" s="8">
        <v>45937.644791666666</v>
      </c>
      <c r="V1024" s="8">
        <v>45940.958333333336</v>
      </c>
      <c r="W1024">
        <v>1</v>
      </c>
      <c r="X1024">
        <v>1.828784722</v>
      </c>
      <c r="Y1024" t="s">
        <v>3521</v>
      </c>
      <c r="Z1024" t="s">
        <v>9655</v>
      </c>
      <c r="AA1024" t="s">
        <v>9656</v>
      </c>
      <c r="AB1024" t="s">
        <v>1278</v>
      </c>
      <c r="AD1024" t="s">
        <v>2708</v>
      </c>
      <c r="AE1024">
        <v>1</v>
      </c>
      <c r="AO1024" t="s">
        <v>3608</v>
      </c>
      <c r="AP1024" t="s">
        <v>2401</v>
      </c>
    </row>
    <row r="1025" spans="1:42">
      <c r="A1025" t="s">
        <v>188</v>
      </c>
      <c r="B1025" t="s">
        <v>2377</v>
      </c>
      <c r="C1025" t="s">
        <v>2390</v>
      </c>
      <c r="D1025" t="s">
        <v>2379</v>
      </c>
      <c r="E1025" t="s">
        <v>24</v>
      </c>
      <c r="F1025" t="s">
        <v>2578</v>
      </c>
      <c r="G1025" t="s">
        <v>24</v>
      </c>
      <c r="H1025" t="b">
        <v>1</v>
      </c>
      <c r="I1025" s="8">
        <v>45940.599652777775</v>
      </c>
      <c r="J1025" t="s">
        <v>2380</v>
      </c>
      <c r="L1025">
        <v>605249</v>
      </c>
      <c r="M1025" t="s">
        <v>2381</v>
      </c>
      <c r="P1025" t="s">
        <v>6554</v>
      </c>
      <c r="Q1025" t="s">
        <v>2383</v>
      </c>
      <c r="R1025">
        <v>1</v>
      </c>
      <c r="S1025" t="s">
        <v>2380</v>
      </c>
      <c r="T1025" t="s">
        <v>2383</v>
      </c>
      <c r="U1025" s="8">
        <v>45937.648912037039</v>
      </c>
      <c r="V1025" s="8">
        <v>45940.958333333336</v>
      </c>
      <c r="W1025">
        <v>1</v>
      </c>
      <c r="X1025">
        <v>2.9507407410000002</v>
      </c>
      <c r="Y1025" t="s">
        <v>2579</v>
      </c>
      <c r="Z1025" t="s">
        <v>6555</v>
      </c>
      <c r="AA1025" t="s">
        <v>1751</v>
      </c>
      <c r="AB1025" t="s">
        <v>1278</v>
      </c>
      <c r="AC1025" t="s">
        <v>6556</v>
      </c>
      <c r="AD1025" t="s">
        <v>2708</v>
      </c>
      <c r="AE1025">
        <v>1</v>
      </c>
      <c r="AO1025" t="s">
        <v>2388</v>
      </c>
      <c r="AP1025" t="s">
        <v>2401</v>
      </c>
    </row>
    <row r="1026" spans="1:42">
      <c r="A1026" t="s">
        <v>1953</v>
      </c>
      <c r="B1026" t="s">
        <v>2389</v>
      </c>
      <c r="C1026" t="s">
        <v>2415</v>
      </c>
      <c r="D1026" t="s">
        <v>2379</v>
      </c>
      <c r="E1026" t="s">
        <v>25</v>
      </c>
      <c r="F1026" t="s">
        <v>2588</v>
      </c>
      <c r="G1026" t="s">
        <v>25</v>
      </c>
      <c r="H1026" t="b">
        <v>1</v>
      </c>
      <c r="I1026" s="8">
        <v>45939.439571759256</v>
      </c>
      <c r="J1026" t="s">
        <v>2380</v>
      </c>
      <c r="K1026">
        <v>1201242</v>
      </c>
      <c r="L1026">
        <v>601152</v>
      </c>
      <c r="M1026" t="s">
        <v>2381</v>
      </c>
      <c r="N1026">
        <v>5</v>
      </c>
      <c r="P1026" t="s">
        <v>6606</v>
      </c>
      <c r="Q1026" t="s">
        <v>2383</v>
      </c>
      <c r="R1026">
        <v>1</v>
      </c>
      <c r="S1026" t="s">
        <v>2380</v>
      </c>
      <c r="T1026" t="s">
        <v>2383</v>
      </c>
      <c r="U1026" s="8">
        <v>45937.655115740738</v>
      </c>
      <c r="V1026" s="8">
        <v>45940.958333333336</v>
      </c>
      <c r="W1026">
        <v>1</v>
      </c>
      <c r="X1026">
        <v>1.7844560190000001</v>
      </c>
      <c r="Y1026" t="s">
        <v>2579</v>
      </c>
      <c r="Z1026" t="s">
        <v>7390</v>
      </c>
      <c r="AA1026" t="s">
        <v>3353</v>
      </c>
      <c r="AB1026" t="s">
        <v>1278</v>
      </c>
      <c r="AC1026" t="s">
        <v>7391</v>
      </c>
      <c r="AD1026" t="s">
        <v>2708</v>
      </c>
      <c r="AE1026">
        <v>1</v>
      </c>
      <c r="AO1026" t="s">
        <v>2388</v>
      </c>
      <c r="AP1026" t="s">
        <v>2401</v>
      </c>
    </row>
    <row r="1027" spans="1:42">
      <c r="A1027" t="s">
        <v>1945</v>
      </c>
      <c r="B1027" t="s">
        <v>2389</v>
      </c>
      <c r="C1027" t="s">
        <v>2415</v>
      </c>
      <c r="D1027" t="s">
        <v>2379</v>
      </c>
      <c r="E1027" t="s">
        <v>25</v>
      </c>
      <c r="F1027" t="s">
        <v>2588</v>
      </c>
      <c r="G1027" t="s">
        <v>25</v>
      </c>
      <c r="H1027" t="b">
        <v>1</v>
      </c>
      <c r="I1027" s="8">
        <v>45939.494039351855</v>
      </c>
      <c r="J1027" t="s">
        <v>2380</v>
      </c>
      <c r="K1027">
        <v>1201271</v>
      </c>
      <c r="L1027">
        <v>601152</v>
      </c>
      <c r="M1027" t="s">
        <v>2381</v>
      </c>
      <c r="N1027">
        <v>5</v>
      </c>
      <c r="P1027" t="s">
        <v>6606</v>
      </c>
      <c r="Q1027" t="s">
        <v>2383</v>
      </c>
      <c r="R1027">
        <v>1</v>
      </c>
      <c r="S1027" t="s">
        <v>2380</v>
      </c>
      <c r="T1027" t="s">
        <v>2383</v>
      </c>
      <c r="U1027" s="8">
        <v>45937.656273148146</v>
      </c>
      <c r="V1027" s="8">
        <v>45940.958333333336</v>
      </c>
      <c r="W1027">
        <v>1</v>
      </c>
      <c r="X1027">
        <v>1.837766204</v>
      </c>
      <c r="Y1027" t="s">
        <v>2579</v>
      </c>
      <c r="Z1027" t="s">
        <v>7392</v>
      </c>
      <c r="AA1027" t="s">
        <v>3353</v>
      </c>
      <c r="AB1027" t="s">
        <v>1278</v>
      </c>
      <c r="AC1027" t="s">
        <v>7393</v>
      </c>
      <c r="AD1027" t="s">
        <v>2708</v>
      </c>
      <c r="AE1027">
        <v>1</v>
      </c>
      <c r="AO1027" t="s">
        <v>2388</v>
      </c>
      <c r="AP1027" t="s">
        <v>2401</v>
      </c>
    </row>
    <row r="1028" spans="1:42">
      <c r="A1028" t="s">
        <v>1268</v>
      </c>
      <c r="B1028" t="s">
        <v>2377</v>
      </c>
      <c r="C1028" t="s">
        <v>2390</v>
      </c>
      <c r="D1028" t="s">
        <v>2379</v>
      </c>
      <c r="E1028" t="s">
        <v>18</v>
      </c>
      <c r="F1028" t="s">
        <v>2417</v>
      </c>
      <c r="G1028" t="s">
        <v>2416</v>
      </c>
      <c r="H1028" t="b">
        <v>1</v>
      </c>
      <c r="I1028" s="8">
        <v>45939.764189814814</v>
      </c>
      <c r="J1028" t="s">
        <v>2380</v>
      </c>
      <c r="L1028">
        <v>601657</v>
      </c>
      <c r="M1028" t="s">
        <v>2381</v>
      </c>
      <c r="P1028" t="s">
        <v>8055</v>
      </c>
      <c r="Q1028" t="s">
        <v>2383</v>
      </c>
      <c r="R1028">
        <v>1</v>
      </c>
      <c r="S1028" t="s">
        <v>2380</v>
      </c>
      <c r="T1028" t="s">
        <v>2383</v>
      </c>
      <c r="U1028" s="8">
        <v>45937.67759259259</v>
      </c>
      <c r="V1028" s="8">
        <v>45940.958333333336</v>
      </c>
      <c r="W1028">
        <v>1</v>
      </c>
      <c r="X1028">
        <v>2.086597222</v>
      </c>
      <c r="Y1028" t="s">
        <v>2418</v>
      </c>
      <c r="Z1028" t="s">
        <v>8056</v>
      </c>
      <c r="AA1028" t="s">
        <v>8057</v>
      </c>
      <c r="AB1028" t="s">
        <v>1278</v>
      </c>
      <c r="AC1028" t="s">
        <v>6584</v>
      </c>
      <c r="AD1028" t="s">
        <v>2708</v>
      </c>
      <c r="AE1028">
        <v>1</v>
      </c>
      <c r="AO1028" t="s">
        <v>4121</v>
      </c>
      <c r="AP1028" t="s">
        <v>2401</v>
      </c>
    </row>
    <row r="1029" spans="1:42">
      <c r="A1029" t="s">
        <v>1938</v>
      </c>
      <c r="B1029" t="s">
        <v>2389</v>
      </c>
      <c r="C1029" t="s">
        <v>2415</v>
      </c>
      <c r="D1029" t="s">
        <v>2379</v>
      </c>
      <c r="E1029" t="s">
        <v>25</v>
      </c>
      <c r="F1029" t="s">
        <v>2588</v>
      </c>
      <c r="G1029" t="s">
        <v>25</v>
      </c>
      <c r="H1029" t="b">
        <v>1</v>
      </c>
      <c r="I1029" s="8">
        <v>45939.506018518521</v>
      </c>
      <c r="J1029" t="s">
        <v>2380</v>
      </c>
      <c r="K1029">
        <v>1201281</v>
      </c>
      <c r="L1029">
        <v>601152</v>
      </c>
      <c r="M1029" t="s">
        <v>2381</v>
      </c>
      <c r="N1029">
        <v>5</v>
      </c>
      <c r="P1029" t="s">
        <v>6606</v>
      </c>
      <c r="Q1029" t="s">
        <v>2383</v>
      </c>
      <c r="R1029">
        <v>1</v>
      </c>
      <c r="S1029" t="s">
        <v>2380</v>
      </c>
      <c r="T1029" t="s">
        <v>2383</v>
      </c>
      <c r="U1029" s="8">
        <v>45937.683715277781</v>
      </c>
      <c r="V1029" s="8">
        <v>45940.958333333336</v>
      </c>
      <c r="W1029">
        <v>1</v>
      </c>
      <c r="X1029">
        <v>1.822303241</v>
      </c>
      <c r="Y1029" t="s">
        <v>2579</v>
      </c>
      <c r="Z1029" t="s">
        <v>7394</v>
      </c>
      <c r="AA1029" t="s">
        <v>3353</v>
      </c>
      <c r="AB1029" t="s">
        <v>1278</v>
      </c>
      <c r="AC1029" t="s">
        <v>7395</v>
      </c>
      <c r="AD1029" t="s">
        <v>2708</v>
      </c>
      <c r="AE1029">
        <v>1</v>
      </c>
      <c r="AO1029" t="s">
        <v>2388</v>
      </c>
      <c r="AP1029" t="s">
        <v>2401</v>
      </c>
    </row>
    <row r="1030" spans="1:42">
      <c r="A1030" t="s">
        <v>1846</v>
      </c>
      <c r="B1030" t="s">
        <v>2389</v>
      </c>
      <c r="C1030" t="s">
        <v>2415</v>
      </c>
      <c r="D1030" t="s">
        <v>2379</v>
      </c>
      <c r="E1030" t="s">
        <v>25</v>
      </c>
      <c r="F1030" t="s">
        <v>2578</v>
      </c>
      <c r="G1030" t="s">
        <v>25</v>
      </c>
      <c r="H1030" t="b">
        <v>1</v>
      </c>
      <c r="I1030" s="8">
        <v>45939.544340277775</v>
      </c>
      <c r="J1030" t="s">
        <v>2380</v>
      </c>
      <c r="L1030">
        <v>606871</v>
      </c>
      <c r="M1030" t="s">
        <v>2381</v>
      </c>
      <c r="P1030" t="s">
        <v>3280</v>
      </c>
      <c r="Q1030" t="s">
        <v>2383</v>
      </c>
      <c r="R1030">
        <v>1</v>
      </c>
      <c r="S1030" t="s">
        <v>2380</v>
      </c>
      <c r="T1030" t="s">
        <v>2383</v>
      </c>
      <c r="U1030" s="8">
        <v>45937.690289351849</v>
      </c>
      <c r="V1030" s="8">
        <v>45940.958333333336</v>
      </c>
      <c r="W1030">
        <v>1</v>
      </c>
      <c r="X1030">
        <v>1.854050926</v>
      </c>
      <c r="Y1030" t="s">
        <v>2579</v>
      </c>
      <c r="Z1030" t="s">
        <v>3299</v>
      </c>
      <c r="AA1030" t="s">
        <v>3283</v>
      </c>
      <c r="AB1030" t="s">
        <v>1278</v>
      </c>
      <c r="AC1030" t="s">
        <v>3300</v>
      </c>
      <c r="AE1030">
        <v>1</v>
      </c>
      <c r="AO1030" t="s">
        <v>2388</v>
      </c>
      <c r="AP1030" t="s">
        <v>2401</v>
      </c>
    </row>
    <row r="1031" spans="1:42">
      <c r="A1031" t="s">
        <v>1261</v>
      </c>
      <c r="B1031" t="s">
        <v>2377</v>
      </c>
      <c r="C1031" t="s">
        <v>2438</v>
      </c>
      <c r="D1031" t="s">
        <v>2379</v>
      </c>
      <c r="E1031" t="s">
        <v>18</v>
      </c>
      <c r="F1031" t="s">
        <v>2402</v>
      </c>
      <c r="G1031" t="s">
        <v>2416</v>
      </c>
      <c r="H1031" t="b">
        <v>1</v>
      </c>
      <c r="I1031" s="8">
        <v>45937.722719907404</v>
      </c>
      <c r="J1031" t="s">
        <v>2380</v>
      </c>
      <c r="L1031">
        <v>602645</v>
      </c>
      <c r="M1031" t="s">
        <v>2381</v>
      </c>
      <c r="P1031" t="s">
        <v>2704</v>
      </c>
      <c r="Q1031" t="s">
        <v>2383</v>
      </c>
      <c r="R1031">
        <v>1</v>
      </c>
      <c r="S1031" t="s">
        <v>2380</v>
      </c>
      <c r="T1031" t="s">
        <v>2383</v>
      </c>
      <c r="U1031" s="8">
        <v>45937.696944444448</v>
      </c>
      <c r="V1031" s="8">
        <v>45940.958333333336</v>
      </c>
      <c r="W1031">
        <v>1</v>
      </c>
      <c r="X1031">
        <v>2.5775462999999998E-2</v>
      </c>
      <c r="Y1031" t="s">
        <v>2403</v>
      </c>
      <c r="Z1031" t="s">
        <v>4187</v>
      </c>
      <c r="AA1031" t="s">
        <v>2475</v>
      </c>
      <c r="AB1031" t="s">
        <v>1278</v>
      </c>
      <c r="AC1031" t="s">
        <v>3064</v>
      </c>
      <c r="AD1031" t="s">
        <v>2708</v>
      </c>
      <c r="AE1031">
        <v>1</v>
      </c>
      <c r="AO1031" t="s">
        <v>2408</v>
      </c>
      <c r="AP1031" t="s">
        <v>2401</v>
      </c>
    </row>
    <row r="1032" spans="1:42">
      <c r="A1032" t="s">
        <v>402</v>
      </c>
      <c r="B1032" t="s">
        <v>2377</v>
      </c>
      <c r="C1032" t="s">
        <v>2390</v>
      </c>
      <c r="D1032" t="s">
        <v>2379</v>
      </c>
      <c r="E1032" t="s">
        <v>18</v>
      </c>
      <c r="F1032" t="s">
        <v>2627</v>
      </c>
      <c r="G1032" t="s">
        <v>2416</v>
      </c>
      <c r="H1032" t="b">
        <v>1</v>
      </c>
      <c r="I1032" s="8">
        <v>45940.512812499997</v>
      </c>
      <c r="J1032" t="s">
        <v>2380</v>
      </c>
      <c r="L1032">
        <v>603744</v>
      </c>
      <c r="M1032" t="s">
        <v>2381</v>
      </c>
      <c r="P1032" t="s">
        <v>8047</v>
      </c>
      <c r="Q1032" t="s">
        <v>2383</v>
      </c>
      <c r="R1032">
        <v>1</v>
      </c>
      <c r="S1032" t="s">
        <v>2380</v>
      </c>
      <c r="T1032" t="s">
        <v>2383</v>
      </c>
      <c r="U1032" s="8">
        <v>45937.706516203703</v>
      </c>
      <c r="V1032" s="8">
        <v>45940.958333333336</v>
      </c>
      <c r="W1032">
        <v>1</v>
      </c>
      <c r="X1032">
        <v>2.8062962960000002</v>
      </c>
      <c r="Y1032" t="s">
        <v>2628</v>
      </c>
      <c r="Z1032" t="s">
        <v>8048</v>
      </c>
      <c r="AA1032" t="s">
        <v>1289</v>
      </c>
      <c r="AB1032" t="s">
        <v>1278</v>
      </c>
      <c r="AC1032" t="s">
        <v>8049</v>
      </c>
      <c r="AD1032" t="s">
        <v>2708</v>
      </c>
      <c r="AE1032">
        <v>1</v>
      </c>
      <c r="AO1032" t="s">
        <v>4121</v>
      </c>
      <c r="AP1032" t="s">
        <v>2401</v>
      </c>
    </row>
    <row r="1033" spans="1:42">
      <c r="A1033" t="s">
        <v>873</v>
      </c>
      <c r="B1033" t="s">
        <v>2377</v>
      </c>
      <c r="C1033" t="s">
        <v>2415</v>
      </c>
      <c r="D1033" t="s">
        <v>2379</v>
      </c>
      <c r="E1033" t="s">
        <v>25</v>
      </c>
      <c r="F1033" t="s">
        <v>2417</v>
      </c>
      <c r="G1033" t="s">
        <v>25</v>
      </c>
      <c r="H1033" t="b">
        <v>1</v>
      </c>
      <c r="I1033" s="8">
        <v>45939.403425925928</v>
      </c>
      <c r="J1033" t="s">
        <v>2380</v>
      </c>
      <c r="L1033">
        <v>602067</v>
      </c>
      <c r="M1033" t="s">
        <v>2381</v>
      </c>
      <c r="N1033">
        <v>10</v>
      </c>
      <c r="P1033" t="s">
        <v>5449</v>
      </c>
      <c r="Q1033" t="s">
        <v>2383</v>
      </c>
      <c r="R1033">
        <v>1</v>
      </c>
      <c r="S1033" t="s">
        <v>2380</v>
      </c>
      <c r="T1033" t="s">
        <v>2383</v>
      </c>
      <c r="U1033" s="8">
        <v>45937.728703703702</v>
      </c>
      <c r="V1033" s="8">
        <v>45940.958333333336</v>
      </c>
      <c r="W1033">
        <v>1</v>
      </c>
      <c r="X1033">
        <v>1.674722222</v>
      </c>
      <c r="Y1033" t="s">
        <v>2418</v>
      </c>
      <c r="Z1033" t="s">
        <v>5450</v>
      </c>
      <c r="AA1033" t="s">
        <v>2808</v>
      </c>
      <c r="AB1033" t="s">
        <v>1278</v>
      </c>
      <c r="AC1033" t="s">
        <v>5451</v>
      </c>
      <c r="AD1033" t="s">
        <v>2708</v>
      </c>
      <c r="AE1033">
        <v>1</v>
      </c>
      <c r="AO1033" t="s">
        <v>2408</v>
      </c>
      <c r="AP1033" t="s">
        <v>2401</v>
      </c>
    </row>
    <row r="1034" spans="1:42">
      <c r="A1034" t="s">
        <v>1800</v>
      </c>
      <c r="B1034" t="s">
        <v>2389</v>
      </c>
      <c r="C1034" t="s">
        <v>2415</v>
      </c>
      <c r="D1034" t="s">
        <v>2379</v>
      </c>
      <c r="E1034" t="s">
        <v>307</v>
      </c>
      <c r="F1034" t="s">
        <v>3500</v>
      </c>
      <c r="G1034" t="s">
        <v>307</v>
      </c>
      <c r="H1034" t="b">
        <v>1</v>
      </c>
      <c r="I1034" s="8">
        <v>45939.882581018515</v>
      </c>
      <c r="J1034" t="s">
        <v>2380</v>
      </c>
      <c r="K1034">
        <v>1201451</v>
      </c>
      <c r="L1034">
        <v>609781</v>
      </c>
      <c r="M1034" t="s">
        <v>2381</v>
      </c>
      <c r="P1034" t="s">
        <v>4661</v>
      </c>
      <c r="Q1034" t="s">
        <v>2383</v>
      </c>
      <c r="R1034">
        <v>1</v>
      </c>
      <c r="S1034" t="s">
        <v>2380</v>
      </c>
      <c r="T1034" t="s">
        <v>2383</v>
      </c>
      <c r="U1034" s="8">
        <v>45938.389884259261</v>
      </c>
      <c r="V1034" s="8">
        <v>45943.958333333336</v>
      </c>
      <c r="W1034">
        <v>1</v>
      </c>
      <c r="X1034">
        <v>1.492696759</v>
      </c>
      <c r="Y1034" t="s">
        <v>3501</v>
      </c>
      <c r="Z1034" t="s">
        <v>7573</v>
      </c>
      <c r="AA1034" t="s">
        <v>7574</v>
      </c>
      <c r="AB1034" t="s">
        <v>1278</v>
      </c>
      <c r="AC1034" t="s">
        <v>7575</v>
      </c>
      <c r="AD1034" t="s">
        <v>2708</v>
      </c>
      <c r="AE1034">
        <v>1</v>
      </c>
      <c r="AO1034" t="s">
        <v>2957</v>
      </c>
      <c r="AP1034" t="s">
        <v>2401</v>
      </c>
    </row>
    <row r="1035" spans="1:42">
      <c r="A1035" t="s">
        <v>1747</v>
      </c>
      <c r="B1035" t="s">
        <v>2389</v>
      </c>
      <c r="C1035" t="s">
        <v>2390</v>
      </c>
      <c r="D1035" t="s">
        <v>2379</v>
      </c>
      <c r="E1035" t="s">
        <v>307</v>
      </c>
      <c r="F1035" t="s">
        <v>2477</v>
      </c>
      <c r="G1035" t="s">
        <v>307</v>
      </c>
      <c r="H1035" t="b">
        <v>1</v>
      </c>
      <c r="I1035" s="8">
        <v>45940.616585648146</v>
      </c>
      <c r="J1035" t="s">
        <v>2380</v>
      </c>
      <c r="K1035">
        <v>1201655</v>
      </c>
      <c r="L1035">
        <v>603944</v>
      </c>
      <c r="M1035" t="s">
        <v>2381</v>
      </c>
      <c r="P1035" t="s">
        <v>5265</v>
      </c>
      <c r="Q1035" t="s">
        <v>2383</v>
      </c>
      <c r="R1035">
        <v>1</v>
      </c>
      <c r="S1035" t="s">
        <v>2380</v>
      </c>
      <c r="T1035" t="s">
        <v>2383</v>
      </c>
      <c r="U1035" s="8">
        <v>45938.394502314812</v>
      </c>
      <c r="V1035" s="8">
        <v>45943.958333333336</v>
      </c>
      <c r="W1035">
        <v>1</v>
      </c>
      <c r="X1035">
        <v>2.222083333</v>
      </c>
      <c r="Y1035" t="s">
        <v>2403</v>
      </c>
      <c r="Z1035" t="s">
        <v>5266</v>
      </c>
      <c r="AA1035" t="s">
        <v>1745</v>
      </c>
      <c r="AB1035" t="s">
        <v>1278</v>
      </c>
      <c r="AC1035" t="s">
        <v>5267</v>
      </c>
      <c r="AD1035" t="s">
        <v>2708</v>
      </c>
      <c r="AE1035">
        <v>1</v>
      </c>
      <c r="AO1035" t="s">
        <v>2408</v>
      </c>
      <c r="AP1035" t="s">
        <v>2401</v>
      </c>
    </row>
    <row r="1036" spans="1:42">
      <c r="A1036" t="s">
        <v>1789</v>
      </c>
      <c r="B1036" t="s">
        <v>2389</v>
      </c>
      <c r="C1036" t="s">
        <v>2415</v>
      </c>
      <c r="D1036" t="s">
        <v>2379</v>
      </c>
      <c r="E1036" t="s">
        <v>25</v>
      </c>
      <c r="F1036" t="s">
        <v>2402</v>
      </c>
      <c r="G1036" t="s">
        <v>25</v>
      </c>
      <c r="H1036" t="b">
        <v>1</v>
      </c>
      <c r="I1036" s="8">
        <v>45940.390694444446</v>
      </c>
      <c r="J1036" t="s">
        <v>2380</v>
      </c>
      <c r="K1036">
        <v>1201460</v>
      </c>
      <c r="L1036">
        <v>602880</v>
      </c>
      <c r="M1036" t="s">
        <v>2381</v>
      </c>
      <c r="N1036">
        <v>5</v>
      </c>
      <c r="P1036" t="s">
        <v>3051</v>
      </c>
      <c r="Q1036" t="s">
        <v>2383</v>
      </c>
      <c r="R1036">
        <v>1</v>
      </c>
      <c r="S1036" t="s">
        <v>2380</v>
      </c>
      <c r="T1036" t="s">
        <v>2383</v>
      </c>
      <c r="U1036" s="8">
        <v>45938.404305555552</v>
      </c>
      <c r="V1036" s="8">
        <v>45943.958333333336</v>
      </c>
      <c r="W1036">
        <v>1</v>
      </c>
      <c r="X1036">
        <v>1.9863888890000001</v>
      </c>
      <c r="Y1036" t="s">
        <v>2403</v>
      </c>
      <c r="Z1036" t="s">
        <v>5559</v>
      </c>
      <c r="AA1036" t="s">
        <v>1776</v>
      </c>
      <c r="AB1036" t="s">
        <v>1278</v>
      </c>
      <c r="AC1036" t="s">
        <v>5560</v>
      </c>
      <c r="AD1036" t="s">
        <v>2708</v>
      </c>
      <c r="AE1036">
        <v>1</v>
      </c>
      <c r="AO1036" t="s">
        <v>2408</v>
      </c>
      <c r="AP1036" t="s">
        <v>2401</v>
      </c>
    </row>
    <row r="1037" spans="1:42">
      <c r="A1037" t="s">
        <v>1798</v>
      </c>
      <c r="B1037" t="s">
        <v>2389</v>
      </c>
      <c r="C1037" t="s">
        <v>2415</v>
      </c>
      <c r="D1037" t="s">
        <v>2379</v>
      </c>
      <c r="E1037" t="s">
        <v>307</v>
      </c>
      <c r="F1037" t="s">
        <v>2578</v>
      </c>
      <c r="G1037" t="s">
        <v>307</v>
      </c>
      <c r="H1037" t="b">
        <v>1</v>
      </c>
      <c r="I1037" s="8">
        <v>45939.899895833332</v>
      </c>
      <c r="J1037" t="s">
        <v>2380</v>
      </c>
      <c r="K1037">
        <v>1201452</v>
      </c>
      <c r="L1037">
        <v>609773</v>
      </c>
      <c r="M1037" t="s">
        <v>2381</v>
      </c>
      <c r="P1037" t="s">
        <v>6779</v>
      </c>
      <c r="Q1037" t="s">
        <v>2383</v>
      </c>
      <c r="R1037">
        <v>1</v>
      </c>
      <c r="S1037" t="s">
        <v>2380</v>
      </c>
      <c r="T1037" t="s">
        <v>2383</v>
      </c>
      <c r="U1037" s="8">
        <v>45938.404398148145</v>
      </c>
      <c r="V1037" s="8">
        <v>45943.958333333336</v>
      </c>
      <c r="W1037">
        <v>1</v>
      </c>
      <c r="X1037">
        <v>1.4954976849999999</v>
      </c>
      <c r="Y1037" t="s">
        <v>2579</v>
      </c>
      <c r="Z1037" t="s">
        <v>6780</v>
      </c>
      <c r="AA1037" t="s">
        <v>6781</v>
      </c>
      <c r="AB1037" t="s">
        <v>1278</v>
      </c>
      <c r="AC1037" t="s">
        <v>2802</v>
      </c>
      <c r="AD1037" t="s">
        <v>2708</v>
      </c>
      <c r="AE1037">
        <v>1</v>
      </c>
      <c r="AO1037" t="s">
        <v>2388</v>
      </c>
      <c r="AP1037" t="s">
        <v>2401</v>
      </c>
    </row>
    <row r="1038" spans="1:42">
      <c r="A1038" t="s">
        <v>1791</v>
      </c>
      <c r="B1038" t="s">
        <v>2389</v>
      </c>
      <c r="C1038" t="s">
        <v>2415</v>
      </c>
      <c r="D1038" t="s">
        <v>2379</v>
      </c>
      <c r="E1038" t="s">
        <v>25</v>
      </c>
      <c r="F1038" t="s">
        <v>2402</v>
      </c>
      <c r="G1038" t="s">
        <v>25</v>
      </c>
      <c r="H1038" t="b">
        <v>1</v>
      </c>
      <c r="I1038" s="8">
        <v>45940.388842592591</v>
      </c>
      <c r="J1038" t="s">
        <v>2380</v>
      </c>
      <c r="K1038">
        <v>1201459</v>
      </c>
      <c r="L1038">
        <v>602880</v>
      </c>
      <c r="M1038" t="s">
        <v>2381</v>
      </c>
      <c r="N1038">
        <v>5</v>
      </c>
      <c r="P1038" t="s">
        <v>3051</v>
      </c>
      <c r="Q1038" t="s">
        <v>2383</v>
      </c>
      <c r="R1038">
        <v>1</v>
      </c>
      <c r="S1038" t="s">
        <v>2380</v>
      </c>
      <c r="T1038" t="s">
        <v>2383</v>
      </c>
      <c r="U1038" s="8">
        <v>45938.404872685183</v>
      </c>
      <c r="V1038" s="8">
        <v>45943.958333333336</v>
      </c>
      <c r="W1038">
        <v>1</v>
      </c>
      <c r="X1038">
        <v>1.9839699070000001</v>
      </c>
      <c r="Y1038" t="s">
        <v>2403</v>
      </c>
      <c r="Z1038" t="s">
        <v>5561</v>
      </c>
      <c r="AA1038" t="s">
        <v>1776</v>
      </c>
      <c r="AB1038" t="s">
        <v>1278</v>
      </c>
      <c r="AC1038" t="s">
        <v>5562</v>
      </c>
      <c r="AD1038" t="s">
        <v>2708</v>
      </c>
      <c r="AE1038">
        <v>1</v>
      </c>
      <c r="AO1038" t="s">
        <v>2408</v>
      </c>
      <c r="AP1038" t="s">
        <v>2401</v>
      </c>
    </row>
    <row r="1039" spans="1:42">
      <c r="A1039" t="s">
        <v>581</v>
      </c>
      <c r="B1039" t="s">
        <v>2377</v>
      </c>
      <c r="C1039" t="s">
        <v>2438</v>
      </c>
      <c r="D1039" t="s">
        <v>2379</v>
      </c>
      <c r="E1039" t="s">
        <v>18</v>
      </c>
      <c r="F1039" t="s">
        <v>3218</v>
      </c>
      <c r="G1039" t="s">
        <v>2416</v>
      </c>
      <c r="H1039" t="b">
        <v>1</v>
      </c>
      <c r="I1039" s="8">
        <v>45938.455925925926</v>
      </c>
      <c r="J1039" t="s">
        <v>2380</v>
      </c>
      <c r="L1039">
        <v>603551</v>
      </c>
      <c r="M1039" t="s">
        <v>2381</v>
      </c>
      <c r="P1039" t="s">
        <v>2704</v>
      </c>
      <c r="Q1039" t="s">
        <v>2383</v>
      </c>
      <c r="R1039">
        <v>1</v>
      </c>
      <c r="S1039" t="s">
        <v>2380</v>
      </c>
      <c r="T1039" t="s">
        <v>2383</v>
      </c>
      <c r="U1039" s="8">
        <v>45938.431956018518</v>
      </c>
      <c r="V1039" s="8">
        <v>45943.958333333336</v>
      </c>
      <c r="W1039">
        <v>1</v>
      </c>
      <c r="X1039">
        <v>2.3969906999999999E-2</v>
      </c>
      <c r="Y1039" t="s">
        <v>3219</v>
      </c>
      <c r="Z1039" t="s">
        <v>6593</v>
      </c>
      <c r="AA1039" t="s">
        <v>3222</v>
      </c>
      <c r="AB1039" t="s">
        <v>1278</v>
      </c>
      <c r="AC1039" t="s">
        <v>6594</v>
      </c>
      <c r="AD1039" t="s">
        <v>2708</v>
      </c>
      <c r="AE1039">
        <v>1</v>
      </c>
      <c r="AO1039" t="s">
        <v>2388</v>
      </c>
      <c r="AP1039" t="s">
        <v>2401</v>
      </c>
    </row>
    <row r="1040" spans="1:42">
      <c r="A1040" t="s">
        <v>1795</v>
      </c>
      <c r="B1040" t="s">
        <v>2389</v>
      </c>
      <c r="C1040" t="s">
        <v>2415</v>
      </c>
      <c r="D1040" t="s">
        <v>2379</v>
      </c>
      <c r="E1040" t="s">
        <v>307</v>
      </c>
      <c r="F1040" t="s">
        <v>2578</v>
      </c>
      <c r="G1040" t="s">
        <v>307</v>
      </c>
      <c r="H1040" t="b">
        <v>1</v>
      </c>
      <c r="I1040" s="8">
        <v>45939.91238425926</v>
      </c>
      <c r="J1040" t="s">
        <v>2380</v>
      </c>
      <c r="K1040">
        <v>1201453</v>
      </c>
      <c r="L1040">
        <v>601385</v>
      </c>
      <c r="M1040" t="s">
        <v>2381</v>
      </c>
      <c r="P1040" t="s">
        <v>6787</v>
      </c>
      <c r="Q1040" t="s">
        <v>2383</v>
      </c>
      <c r="R1040">
        <v>1</v>
      </c>
      <c r="S1040" t="s">
        <v>2380</v>
      </c>
      <c r="T1040" t="s">
        <v>2383</v>
      </c>
      <c r="U1040" s="8">
        <v>45938.437939814816</v>
      </c>
      <c r="V1040" s="8">
        <v>45943.958333333336</v>
      </c>
      <c r="W1040">
        <v>1</v>
      </c>
      <c r="X1040">
        <v>1.474444444</v>
      </c>
      <c r="Y1040" t="s">
        <v>2579</v>
      </c>
      <c r="Z1040" t="s">
        <v>6788</v>
      </c>
      <c r="AA1040" t="s">
        <v>1760</v>
      </c>
      <c r="AB1040" t="s">
        <v>1278</v>
      </c>
      <c r="AC1040" t="s">
        <v>6789</v>
      </c>
      <c r="AD1040" t="s">
        <v>2708</v>
      </c>
      <c r="AE1040">
        <v>1</v>
      </c>
      <c r="AO1040" t="s">
        <v>2388</v>
      </c>
      <c r="AP1040" t="s">
        <v>2401</v>
      </c>
    </row>
    <row r="1041" spans="1:42">
      <c r="A1041" t="s">
        <v>2950</v>
      </c>
      <c r="B1041" t="s">
        <v>2389</v>
      </c>
      <c r="C1041" t="s">
        <v>2443</v>
      </c>
      <c r="D1041" t="s">
        <v>2443</v>
      </c>
      <c r="E1041" t="s">
        <v>13</v>
      </c>
      <c r="F1041" t="s">
        <v>2588</v>
      </c>
      <c r="G1041" t="s">
        <v>13</v>
      </c>
      <c r="H1041" t="b">
        <v>1</v>
      </c>
      <c r="I1041" s="8">
        <v>45953.638506944444</v>
      </c>
      <c r="J1041" t="s">
        <v>2942</v>
      </c>
      <c r="K1041">
        <v>1203504</v>
      </c>
      <c r="L1041">
        <v>607205</v>
      </c>
      <c r="M1041" t="s">
        <v>2381</v>
      </c>
      <c r="P1041" t="s">
        <v>2394</v>
      </c>
      <c r="Q1041" t="s">
        <v>2943</v>
      </c>
      <c r="R1041">
        <v>1</v>
      </c>
      <c r="S1041" t="s">
        <v>2942</v>
      </c>
      <c r="T1041" t="s">
        <v>2383</v>
      </c>
      <c r="U1041" s="8">
        <v>45712.393043981479</v>
      </c>
      <c r="V1041" s="8">
        <v>45947.958333333336</v>
      </c>
      <c r="W1041">
        <v>1</v>
      </c>
      <c r="X1041">
        <v>173.24546296299999</v>
      </c>
      <c r="Y1041" t="s">
        <v>2579</v>
      </c>
      <c r="Z1041" t="s">
        <v>2951</v>
      </c>
      <c r="AA1041" t="s">
        <v>2946</v>
      </c>
      <c r="AB1041" t="s">
        <v>1278</v>
      </c>
      <c r="AC1041" t="s">
        <v>2952</v>
      </c>
      <c r="AD1041" t="s">
        <v>2708</v>
      </c>
      <c r="AE1041">
        <v>1</v>
      </c>
      <c r="AH1041" t="s">
        <v>2948</v>
      </c>
      <c r="AI1041" s="8">
        <v>45952.555567129632</v>
      </c>
      <c r="AK1041" t="s">
        <v>2719</v>
      </c>
      <c r="AL1041" t="s">
        <v>2719</v>
      </c>
      <c r="AO1041" t="s">
        <v>2949</v>
      </c>
      <c r="AP1041" t="s">
        <v>2401</v>
      </c>
    </row>
    <row r="1042" spans="1:42">
      <c r="A1042" t="s">
        <v>2944</v>
      </c>
      <c r="B1042" t="s">
        <v>2389</v>
      </c>
      <c r="C1042" t="s">
        <v>2443</v>
      </c>
      <c r="D1042" t="s">
        <v>2443</v>
      </c>
      <c r="E1042" t="s">
        <v>13</v>
      </c>
      <c r="F1042" t="s">
        <v>2588</v>
      </c>
      <c r="G1042" t="s">
        <v>13</v>
      </c>
      <c r="H1042" t="b">
        <v>1</v>
      </c>
      <c r="I1042" s="8">
        <v>45953.638819444444</v>
      </c>
      <c r="J1042" t="s">
        <v>2942</v>
      </c>
      <c r="K1042">
        <v>1203497</v>
      </c>
      <c r="L1042">
        <v>607205</v>
      </c>
      <c r="M1042" t="s">
        <v>2381</v>
      </c>
      <c r="Q1042" t="s">
        <v>2943</v>
      </c>
      <c r="R1042">
        <v>1</v>
      </c>
      <c r="S1042" t="s">
        <v>2942</v>
      </c>
      <c r="T1042" t="s">
        <v>2383</v>
      </c>
      <c r="U1042" s="8">
        <v>45769.476851851854</v>
      </c>
      <c r="V1042" s="8">
        <v>45947.958333333336</v>
      </c>
      <c r="W1042">
        <v>1</v>
      </c>
      <c r="X1042">
        <v>132.16196759300001</v>
      </c>
      <c r="Y1042" t="s">
        <v>2579</v>
      </c>
      <c r="Z1042" t="s">
        <v>2945</v>
      </c>
      <c r="AA1042" t="s">
        <v>2946</v>
      </c>
      <c r="AB1042" t="s">
        <v>1278</v>
      </c>
      <c r="AC1042" t="s">
        <v>2947</v>
      </c>
      <c r="AD1042" t="s">
        <v>2708</v>
      </c>
      <c r="AE1042">
        <v>1</v>
      </c>
      <c r="AH1042" t="s">
        <v>2948</v>
      </c>
      <c r="AI1042" s="8">
        <v>45952.555694444447</v>
      </c>
      <c r="AK1042" t="s">
        <v>2719</v>
      </c>
      <c r="AL1042" t="s">
        <v>2719</v>
      </c>
      <c r="AO1042" t="s">
        <v>2949</v>
      </c>
      <c r="AP1042" t="s">
        <v>2401</v>
      </c>
    </row>
    <row r="1043" spans="1:42">
      <c r="A1043" t="s">
        <v>10462</v>
      </c>
      <c r="B1043" t="s">
        <v>2389</v>
      </c>
      <c r="C1043" t="s">
        <v>2691</v>
      </c>
      <c r="D1043" t="s">
        <v>2379</v>
      </c>
      <c r="E1043" t="s">
        <v>8023</v>
      </c>
      <c r="F1043" t="s">
        <v>2588</v>
      </c>
      <c r="G1043" t="s">
        <v>8023</v>
      </c>
      <c r="H1043" t="b">
        <v>1</v>
      </c>
      <c r="I1043" s="8">
        <v>45960.509467592594</v>
      </c>
      <c r="J1043" t="s">
        <v>2942</v>
      </c>
      <c r="K1043">
        <v>1205812</v>
      </c>
      <c r="L1043">
        <v>607205</v>
      </c>
      <c r="M1043" t="s">
        <v>2381</v>
      </c>
      <c r="P1043" t="s">
        <v>2394</v>
      </c>
      <c r="Q1043" t="s">
        <v>2943</v>
      </c>
      <c r="R1043">
        <v>1</v>
      </c>
      <c r="S1043" t="s">
        <v>2942</v>
      </c>
      <c r="T1043" t="s">
        <v>2383</v>
      </c>
      <c r="U1043" s="8">
        <v>45786.700173611112</v>
      </c>
      <c r="V1043" s="8">
        <v>45961.958333333336</v>
      </c>
      <c r="W1043">
        <v>1</v>
      </c>
      <c r="X1043">
        <v>123.809293981</v>
      </c>
      <c r="Y1043" t="s">
        <v>2579</v>
      </c>
      <c r="Z1043" t="s">
        <v>10463</v>
      </c>
      <c r="AA1043" t="s">
        <v>2946</v>
      </c>
      <c r="AB1043" t="s">
        <v>1278</v>
      </c>
      <c r="AC1043" t="s">
        <v>10464</v>
      </c>
      <c r="AD1043" t="s">
        <v>2708</v>
      </c>
      <c r="AE1043">
        <v>1</v>
      </c>
      <c r="AO1043" t="s">
        <v>2949</v>
      </c>
      <c r="AP1043" t="s">
        <v>2401</v>
      </c>
    </row>
    <row r="1044" spans="1:42">
      <c r="A1044" t="s">
        <v>10465</v>
      </c>
      <c r="B1044" t="s">
        <v>2389</v>
      </c>
      <c r="C1044" t="s">
        <v>2691</v>
      </c>
      <c r="D1044" t="s">
        <v>2379</v>
      </c>
      <c r="E1044" t="s">
        <v>8023</v>
      </c>
      <c r="F1044" t="s">
        <v>2588</v>
      </c>
      <c r="G1044" t="s">
        <v>8023</v>
      </c>
      <c r="H1044" t="b">
        <v>1</v>
      </c>
      <c r="I1044" s="8">
        <v>45952.671990740739</v>
      </c>
      <c r="J1044" t="s">
        <v>2942</v>
      </c>
      <c r="K1044">
        <v>1204051</v>
      </c>
      <c r="L1044">
        <v>607227</v>
      </c>
      <c r="M1044" t="s">
        <v>2381</v>
      </c>
      <c r="P1044" t="s">
        <v>2394</v>
      </c>
      <c r="Q1044" t="s">
        <v>2943</v>
      </c>
      <c r="R1044">
        <v>1</v>
      </c>
      <c r="S1044" t="s">
        <v>2942</v>
      </c>
      <c r="T1044" t="s">
        <v>2383</v>
      </c>
      <c r="U1044" s="8">
        <v>45798.470219907409</v>
      </c>
      <c r="V1044" s="8">
        <v>45953.958333333336</v>
      </c>
      <c r="W1044">
        <v>1</v>
      </c>
      <c r="X1044">
        <v>110.201770833</v>
      </c>
      <c r="Y1044" t="s">
        <v>2579</v>
      </c>
      <c r="Z1044" t="s">
        <v>10466</v>
      </c>
      <c r="AA1044" t="s">
        <v>8026</v>
      </c>
      <c r="AB1044" t="s">
        <v>1278</v>
      </c>
      <c r="AC1044" t="s">
        <v>10467</v>
      </c>
      <c r="AD1044" t="s">
        <v>2708</v>
      </c>
      <c r="AE1044">
        <v>1</v>
      </c>
      <c r="AO1044" t="s">
        <v>2949</v>
      </c>
      <c r="AP1044" t="s">
        <v>2401</v>
      </c>
    </row>
    <row r="1045" spans="1:42">
      <c r="A1045" t="s">
        <v>10453</v>
      </c>
      <c r="B1045" t="s">
        <v>2389</v>
      </c>
      <c r="C1045" t="s">
        <v>2691</v>
      </c>
      <c r="D1045" t="s">
        <v>2379</v>
      </c>
      <c r="E1045" t="s">
        <v>8023</v>
      </c>
      <c r="F1045" t="s">
        <v>2588</v>
      </c>
      <c r="G1045" t="s">
        <v>8023</v>
      </c>
      <c r="H1045" t="b">
        <v>1</v>
      </c>
      <c r="I1045" s="8">
        <v>45943.598009259258</v>
      </c>
      <c r="J1045" t="s">
        <v>2942</v>
      </c>
      <c r="K1045">
        <v>1201944</v>
      </c>
      <c r="L1045">
        <v>607227</v>
      </c>
      <c r="M1045" t="s">
        <v>2381</v>
      </c>
      <c r="P1045" t="s">
        <v>2394</v>
      </c>
      <c r="Q1045" t="s">
        <v>2943</v>
      </c>
      <c r="R1045">
        <v>1</v>
      </c>
      <c r="S1045" t="s">
        <v>2942</v>
      </c>
      <c r="T1045" t="s">
        <v>2383</v>
      </c>
      <c r="U1045" s="8">
        <v>45805.394976851851</v>
      </c>
      <c r="V1045" s="8">
        <v>45943.958333333336</v>
      </c>
      <c r="W1045">
        <v>1</v>
      </c>
      <c r="X1045">
        <v>98.203032406999995</v>
      </c>
      <c r="Y1045" t="s">
        <v>2579</v>
      </c>
      <c r="Z1045" t="s">
        <v>10454</v>
      </c>
      <c r="AA1045" t="s">
        <v>8026</v>
      </c>
      <c r="AB1045" t="s">
        <v>1278</v>
      </c>
      <c r="AC1045" t="s">
        <v>10455</v>
      </c>
      <c r="AD1045" t="s">
        <v>2708</v>
      </c>
      <c r="AE1045">
        <v>1</v>
      </c>
      <c r="AO1045" t="s">
        <v>2949</v>
      </c>
      <c r="AP1045" t="s">
        <v>2401</v>
      </c>
    </row>
    <row r="1046" spans="1:42">
      <c r="A1046" t="s">
        <v>10450</v>
      </c>
      <c r="B1046" t="s">
        <v>2389</v>
      </c>
      <c r="C1046" t="s">
        <v>2691</v>
      </c>
      <c r="D1046" t="s">
        <v>2379</v>
      </c>
      <c r="E1046" t="s">
        <v>8023</v>
      </c>
      <c r="F1046" t="s">
        <v>2588</v>
      </c>
      <c r="G1046" t="s">
        <v>8023</v>
      </c>
      <c r="H1046" t="b">
        <v>1</v>
      </c>
      <c r="I1046" s="8">
        <v>45958.526817129627</v>
      </c>
      <c r="J1046" t="s">
        <v>2942</v>
      </c>
      <c r="K1046">
        <v>1204954</v>
      </c>
      <c r="L1046">
        <v>607227</v>
      </c>
      <c r="M1046" t="s">
        <v>2381</v>
      </c>
      <c r="Q1046" t="s">
        <v>2943</v>
      </c>
      <c r="R1046">
        <v>1</v>
      </c>
      <c r="S1046" t="s">
        <v>2942</v>
      </c>
      <c r="T1046" t="s">
        <v>2383</v>
      </c>
      <c r="U1046" s="8">
        <v>45797.467488425929</v>
      </c>
      <c r="V1046" s="8">
        <v>45958.958333333336</v>
      </c>
      <c r="W1046">
        <v>1</v>
      </c>
      <c r="X1046">
        <v>115.059328704</v>
      </c>
      <c r="Y1046" t="s">
        <v>2579</v>
      </c>
      <c r="Z1046" t="s">
        <v>10451</v>
      </c>
      <c r="AA1046" t="s">
        <v>8026</v>
      </c>
      <c r="AB1046" t="s">
        <v>1278</v>
      </c>
      <c r="AC1046" t="s">
        <v>10452</v>
      </c>
      <c r="AD1046" t="s">
        <v>2708</v>
      </c>
      <c r="AE1046">
        <v>1</v>
      </c>
      <c r="AO1046" t="s">
        <v>2949</v>
      </c>
      <c r="AP1046" t="s">
        <v>2401</v>
      </c>
    </row>
    <row r="1047" spans="1:42">
      <c r="A1047" t="s">
        <v>10459</v>
      </c>
      <c r="B1047" t="s">
        <v>2389</v>
      </c>
      <c r="C1047" t="s">
        <v>2443</v>
      </c>
      <c r="D1047" t="s">
        <v>2443</v>
      </c>
      <c r="E1047" t="s">
        <v>13</v>
      </c>
      <c r="F1047" t="s">
        <v>2588</v>
      </c>
      <c r="G1047" t="s">
        <v>13</v>
      </c>
      <c r="H1047" t="b">
        <v>1</v>
      </c>
      <c r="I1047" s="8">
        <v>45946.611076388886</v>
      </c>
      <c r="J1047" t="s">
        <v>2942</v>
      </c>
      <c r="K1047">
        <v>1202407</v>
      </c>
      <c r="L1047">
        <v>607227</v>
      </c>
      <c r="M1047" t="s">
        <v>2381</v>
      </c>
      <c r="Q1047" t="s">
        <v>2943</v>
      </c>
      <c r="R1047">
        <v>1</v>
      </c>
      <c r="S1047" t="s">
        <v>2942</v>
      </c>
      <c r="T1047" t="s">
        <v>2383</v>
      </c>
      <c r="U1047" s="8">
        <v>45817.477905092594</v>
      </c>
      <c r="V1047" s="8">
        <v>45943.958333333336</v>
      </c>
      <c r="W1047">
        <v>1</v>
      </c>
      <c r="X1047">
        <v>93.133171296</v>
      </c>
      <c r="Y1047" t="s">
        <v>2579</v>
      </c>
      <c r="Z1047" t="s">
        <v>10460</v>
      </c>
      <c r="AA1047" t="s">
        <v>8026</v>
      </c>
      <c r="AB1047" t="s">
        <v>1278</v>
      </c>
      <c r="AC1047" t="s">
        <v>10461</v>
      </c>
      <c r="AD1047" t="s">
        <v>2708</v>
      </c>
      <c r="AE1047">
        <v>1</v>
      </c>
      <c r="AH1047" t="s">
        <v>9118</v>
      </c>
      <c r="AI1047" s="8">
        <v>45945.748240740744</v>
      </c>
      <c r="AK1047" t="s">
        <v>2719</v>
      </c>
      <c r="AL1047" t="s">
        <v>2719</v>
      </c>
      <c r="AO1047" t="s">
        <v>2949</v>
      </c>
      <c r="AP1047" t="s">
        <v>2401</v>
      </c>
    </row>
    <row r="1048" spans="1:42">
      <c r="A1048" t="s">
        <v>10456</v>
      </c>
      <c r="B1048" t="s">
        <v>2389</v>
      </c>
      <c r="C1048" t="s">
        <v>2691</v>
      </c>
      <c r="D1048" t="s">
        <v>2379</v>
      </c>
      <c r="E1048" t="s">
        <v>8023</v>
      </c>
      <c r="F1048" t="s">
        <v>2588</v>
      </c>
      <c r="G1048" t="s">
        <v>8023</v>
      </c>
      <c r="H1048" t="b">
        <v>1</v>
      </c>
      <c r="I1048" s="8">
        <v>45938.461342592593</v>
      </c>
      <c r="J1048" t="s">
        <v>2942</v>
      </c>
      <c r="K1048">
        <v>1200742</v>
      </c>
      <c r="L1048">
        <v>607205</v>
      </c>
      <c r="M1048" t="s">
        <v>2381</v>
      </c>
      <c r="P1048" t="s">
        <v>2394</v>
      </c>
      <c r="Q1048" t="s">
        <v>2943</v>
      </c>
      <c r="R1048">
        <v>1</v>
      </c>
      <c r="S1048" t="s">
        <v>2942</v>
      </c>
      <c r="T1048" t="s">
        <v>2383</v>
      </c>
      <c r="U1048" s="8">
        <v>45825.660196759258</v>
      </c>
      <c r="V1048" s="8">
        <v>45938.958333333336</v>
      </c>
      <c r="W1048">
        <v>1</v>
      </c>
      <c r="X1048">
        <v>80.801145833000007</v>
      </c>
      <c r="Y1048" t="s">
        <v>2579</v>
      </c>
      <c r="Z1048" t="s">
        <v>10457</v>
      </c>
      <c r="AA1048" t="s">
        <v>2946</v>
      </c>
      <c r="AB1048" t="s">
        <v>1278</v>
      </c>
      <c r="AC1048" t="s">
        <v>10458</v>
      </c>
      <c r="AD1048" t="s">
        <v>2708</v>
      </c>
      <c r="AE1048">
        <v>1</v>
      </c>
      <c r="AO1048" t="s">
        <v>2949</v>
      </c>
      <c r="AP1048" t="s">
        <v>2401</v>
      </c>
    </row>
    <row r="1049" spans="1:42">
      <c r="A1049" t="s">
        <v>10300</v>
      </c>
      <c r="B1049" t="s">
        <v>2389</v>
      </c>
      <c r="C1049" t="s">
        <v>2443</v>
      </c>
      <c r="D1049" t="s">
        <v>2443</v>
      </c>
      <c r="E1049" t="s">
        <v>13</v>
      </c>
      <c r="F1049" t="s">
        <v>2588</v>
      </c>
      <c r="G1049" t="s">
        <v>2948</v>
      </c>
      <c r="H1049" t="b">
        <v>1</v>
      </c>
      <c r="I1049" s="8">
        <v>45940.341458333336</v>
      </c>
      <c r="J1049" t="s">
        <v>2942</v>
      </c>
      <c r="K1049">
        <v>1200529</v>
      </c>
      <c r="L1049">
        <v>607205</v>
      </c>
      <c r="M1049" t="s">
        <v>2381</v>
      </c>
      <c r="P1049" t="s">
        <v>2394</v>
      </c>
      <c r="Q1049" t="s">
        <v>2943</v>
      </c>
      <c r="R1049">
        <v>1</v>
      </c>
      <c r="S1049" t="s">
        <v>2942</v>
      </c>
      <c r="T1049" t="s">
        <v>2383</v>
      </c>
      <c r="U1049" s="8">
        <v>45849.418055555558</v>
      </c>
      <c r="V1049" s="8">
        <v>45938.958333333336</v>
      </c>
      <c r="W1049">
        <v>1</v>
      </c>
      <c r="X1049">
        <v>64.923402777999996</v>
      </c>
      <c r="Y1049" t="s">
        <v>2579</v>
      </c>
      <c r="Z1049" t="s">
        <v>10301</v>
      </c>
      <c r="AA1049" t="s">
        <v>2946</v>
      </c>
      <c r="AB1049" t="s">
        <v>1278</v>
      </c>
      <c r="AC1049" t="s">
        <v>10302</v>
      </c>
      <c r="AD1049" t="s">
        <v>2708</v>
      </c>
      <c r="AE1049">
        <v>1</v>
      </c>
      <c r="AH1049" t="s">
        <v>9118</v>
      </c>
      <c r="AI1049" s="8">
        <v>45939.462812500002</v>
      </c>
      <c r="AK1049" t="s">
        <v>2719</v>
      </c>
      <c r="AL1049" t="s">
        <v>2719</v>
      </c>
      <c r="AO1049" t="s">
        <v>2949</v>
      </c>
      <c r="AP1049" t="s">
        <v>2401</v>
      </c>
    </row>
    <row r="1050" spans="1:42">
      <c r="A1050" t="s">
        <v>10274</v>
      </c>
      <c r="B1050" t="s">
        <v>2389</v>
      </c>
      <c r="C1050" t="s">
        <v>2691</v>
      </c>
      <c r="D1050" t="s">
        <v>2379</v>
      </c>
      <c r="E1050" t="s">
        <v>25</v>
      </c>
      <c r="F1050" t="s">
        <v>2541</v>
      </c>
      <c r="G1050" t="s">
        <v>25</v>
      </c>
      <c r="H1050" t="b">
        <v>1</v>
      </c>
      <c r="I1050" s="8">
        <v>45931.405555555553</v>
      </c>
      <c r="J1050" t="s">
        <v>2380</v>
      </c>
      <c r="K1050">
        <v>1199631</v>
      </c>
      <c r="L1050">
        <v>608626</v>
      </c>
      <c r="M1050" t="s">
        <v>2381</v>
      </c>
      <c r="N1050">
        <v>5</v>
      </c>
      <c r="P1050" t="s">
        <v>2427</v>
      </c>
      <c r="Q1050" t="s">
        <v>2383</v>
      </c>
      <c r="R1050">
        <v>1</v>
      </c>
      <c r="S1050" t="s">
        <v>2380</v>
      </c>
      <c r="T1050" t="s">
        <v>2383</v>
      </c>
      <c r="U1050" s="8">
        <v>45855.522118055553</v>
      </c>
      <c r="V1050" s="8">
        <v>45931.958333333336</v>
      </c>
      <c r="W1050">
        <v>1</v>
      </c>
      <c r="X1050">
        <v>53.883437499999999</v>
      </c>
      <c r="Y1050" t="s">
        <v>2542</v>
      </c>
      <c r="Z1050" t="s">
        <v>10275</v>
      </c>
      <c r="AA1050" t="s">
        <v>10276</v>
      </c>
      <c r="AB1050" t="s">
        <v>1278</v>
      </c>
      <c r="AC1050" t="s">
        <v>10277</v>
      </c>
      <c r="AD1050" t="s">
        <v>2708</v>
      </c>
      <c r="AE1050">
        <v>1</v>
      </c>
      <c r="AO1050" t="s">
        <v>2547</v>
      </c>
      <c r="AP1050" t="s">
        <v>2401</v>
      </c>
    </row>
    <row r="1051" spans="1:42">
      <c r="A1051" t="s">
        <v>10281</v>
      </c>
      <c r="B1051" t="s">
        <v>2389</v>
      </c>
      <c r="C1051" t="s">
        <v>2443</v>
      </c>
      <c r="D1051" t="s">
        <v>2443</v>
      </c>
      <c r="E1051" t="s">
        <v>8023</v>
      </c>
      <c r="F1051" t="s">
        <v>2588</v>
      </c>
      <c r="G1051" t="s">
        <v>8023</v>
      </c>
      <c r="H1051" t="b">
        <v>1</v>
      </c>
      <c r="I1051" s="8">
        <v>45937.527581018519</v>
      </c>
      <c r="J1051" t="s">
        <v>2942</v>
      </c>
      <c r="K1051">
        <v>1200496</v>
      </c>
      <c r="L1051">
        <v>607241</v>
      </c>
      <c r="M1051" t="s">
        <v>2381</v>
      </c>
      <c r="P1051" t="s">
        <v>2394</v>
      </c>
      <c r="Q1051" t="s">
        <v>2943</v>
      </c>
      <c r="R1051">
        <v>1</v>
      </c>
      <c r="S1051" t="s">
        <v>2942</v>
      </c>
      <c r="T1051" t="s">
        <v>2383</v>
      </c>
      <c r="U1051" s="8">
        <v>45859.644479166665</v>
      </c>
      <c r="V1051" s="8">
        <v>45936.958333333336</v>
      </c>
      <c r="W1051">
        <v>1</v>
      </c>
      <c r="X1051">
        <v>55.883101852000003</v>
      </c>
      <c r="Y1051" t="s">
        <v>2579</v>
      </c>
      <c r="Z1051" t="s">
        <v>10282</v>
      </c>
      <c r="AA1051" t="s">
        <v>10138</v>
      </c>
      <c r="AB1051" t="s">
        <v>1278</v>
      </c>
      <c r="AC1051" t="s">
        <v>10283</v>
      </c>
      <c r="AD1051" t="s">
        <v>2708</v>
      </c>
      <c r="AE1051">
        <v>1</v>
      </c>
      <c r="AO1051" t="s">
        <v>2949</v>
      </c>
      <c r="AP1051" t="s">
        <v>2401</v>
      </c>
    </row>
    <row r="1052" spans="1:42">
      <c r="A1052" t="s">
        <v>10271</v>
      </c>
      <c r="B1052" t="s">
        <v>2389</v>
      </c>
      <c r="C1052" t="s">
        <v>2691</v>
      </c>
      <c r="D1052" t="s">
        <v>2379</v>
      </c>
      <c r="E1052" t="s">
        <v>25</v>
      </c>
      <c r="F1052" t="s">
        <v>2541</v>
      </c>
      <c r="G1052" t="s">
        <v>25</v>
      </c>
      <c r="H1052" t="b">
        <v>1</v>
      </c>
      <c r="I1052" s="8">
        <v>45952.379074074073</v>
      </c>
      <c r="J1052" t="s">
        <v>2380</v>
      </c>
      <c r="K1052">
        <v>1203893</v>
      </c>
      <c r="L1052">
        <v>601096</v>
      </c>
      <c r="M1052" t="s">
        <v>2381</v>
      </c>
      <c r="N1052">
        <v>5</v>
      </c>
      <c r="P1052" t="s">
        <v>2548</v>
      </c>
      <c r="Q1052" t="s">
        <v>2383</v>
      </c>
      <c r="R1052">
        <v>1</v>
      </c>
      <c r="S1052" t="s">
        <v>2380</v>
      </c>
      <c r="T1052" t="s">
        <v>2383</v>
      </c>
      <c r="U1052" s="8">
        <v>45862.683657407404</v>
      </c>
      <c r="V1052" s="8">
        <v>45958.958333333336</v>
      </c>
      <c r="W1052">
        <v>1</v>
      </c>
      <c r="X1052">
        <v>63.695416667000003</v>
      </c>
      <c r="Y1052" t="s">
        <v>2542</v>
      </c>
      <c r="Z1052" t="s">
        <v>10272</v>
      </c>
      <c r="AA1052" t="s">
        <v>2888</v>
      </c>
      <c r="AB1052" t="s">
        <v>1278</v>
      </c>
      <c r="AC1052" t="s">
        <v>10273</v>
      </c>
      <c r="AD1052" t="s">
        <v>2708</v>
      </c>
      <c r="AE1052">
        <v>1</v>
      </c>
      <c r="AO1052" t="s">
        <v>2547</v>
      </c>
      <c r="AP1052" t="s">
        <v>2401</v>
      </c>
    </row>
    <row r="1053" spans="1:42">
      <c r="A1053" t="s">
        <v>10438</v>
      </c>
      <c r="B1053" t="s">
        <v>2377</v>
      </c>
      <c r="C1053" t="s">
        <v>2443</v>
      </c>
      <c r="D1053" t="s">
        <v>2443</v>
      </c>
      <c r="E1053" t="s">
        <v>84</v>
      </c>
      <c r="G1053" t="s">
        <v>84</v>
      </c>
      <c r="H1053" t="b">
        <v>1</v>
      </c>
      <c r="I1053" s="8">
        <v>45955.354988425926</v>
      </c>
      <c r="J1053" t="s">
        <v>2393</v>
      </c>
      <c r="L1053">
        <v>605374</v>
      </c>
      <c r="M1053" t="s">
        <v>2381</v>
      </c>
      <c r="P1053" t="s">
        <v>2394</v>
      </c>
      <c r="Q1053" t="s">
        <v>2383</v>
      </c>
      <c r="R1053">
        <v>1</v>
      </c>
      <c r="S1053" t="s">
        <v>2393</v>
      </c>
      <c r="T1053" t="s">
        <v>2383</v>
      </c>
      <c r="U1053" s="8">
        <v>45868.461423611108</v>
      </c>
      <c r="V1053" s="8">
        <v>45874.958333333336</v>
      </c>
      <c r="W1053">
        <v>1</v>
      </c>
      <c r="X1053">
        <v>62.893564814999998</v>
      </c>
      <c r="Z1053" t="s">
        <v>10439</v>
      </c>
      <c r="AB1053" t="s">
        <v>1278</v>
      </c>
      <c r="AC1053" t="s">
        <v>10440</v>
      </c>
      <c r="AE1053">
        <v>1</v>
      </c>
    </row>
    <row r="1054" spans="1:42">
      <c r="A1054" t="s">
        <v>10265</v>
      </c>
      <c r="B1054" t="s">
        <v>2389</v>
      </c>
      <c r="C1054" t="s">
        <v>2691</v>
      </c>
      <c r="D1054" t="s">
        <v>2379</v>
      </c>
      <c r="E1054" t="s">
        <v>25</v>
      </c>
      <c r="F1054" t="s">
        <v>2578</v>
      </c>
      <c r="G1054" t="s">
        <v>25</v>
      </c>
      <c r="H1054" t="b">
        <v>1</v>
      </c>
      <c r="I1054" s="8">
        <v>45931.381828703707</v>
      </c>
      <c r="J1054" t="s">
        <v>2380</v>
      </c>
      <c r="K1054">
        <v>1199628</v>
      </c>
      <c r="L1054">
        <v>602543</v>
      </c>
      <c r="M1054" t="s">
        <v>2381</v>
      </c>
      <c r="P1054" t="s">
        <v>2394</v>
      </c>
      <c r="Q1054" t="s">
        <v>2383</v>
      </c>
      <c r="R1054">
        <v>1</v>
      </c>
      <c r="S1054" t="s">
        <v>2380</v>
      </c>
      <c r="T1054" t="s">
        <v>2383</v>
      </c>
      <c r="U1054" s="8">
        <v>45869.619930555556</v>
      </c>
      <c r="V1054" s="8">
        <v>45931.958333333336</v>
      </c>
      <c r="W1054">
        <v>1</v>
      </c>
      <c r="X1054">
        <v>43.761898148</v>
      </c>
      <c r="Y1054" t="s">
        <v>2579</v>
      </c>
      <c r="Z1054" t="s">
        <v>10266</v>
      </c>
      <c r="AA1054" t="s">
        <v>6048</v>
      </c>
      <c r="AB1054" t="s">
        <v>1278</v>
      </c>
      <c r="AC1054" t="s">
        <v>10267</v>
      </c>
      <c r="AD1054" t="s">
        <v>2708</v>
      </c>
      <c r="AE1054">
        <v>1</v>
      </c>
      <c r="AO1054" t="s">
        <v>2547</v>
      </c>
      <c r="AP1054" t="s">
        <v>2401</v>
      </c>
    </row>
    <row r="1055" spans="1:42">
      <c r="A1055" t="s">
        <v>10268</v>
      </c>
      <c r="B1055" t="s">
        <v>2389</v>
      </c>
      <c r="C1055" t="s">
        <v>2691</v>
      </c>
      <c r="D1055" t="s">
        <v>2379</v>
      </c>
      <c r="E1055" t="s">
        <v>25</v>
      </c>
      <c r="F1055" t="s">
        <v>2541</v>
      </c>
      <c r="G1055" t="s">
        <v>25</v>
      </c>
      <c r="H1055" t="b">
        <v>1</v>
      </c>
      <c r="I1055" s="8">
        <v>45931.735567129632</v>
      </c>
      <c r="J1055" t="s">
        <v>2380</v>
      </c>
      <c r="K1055">
        <v>1199785</v>
      </c>
      <c r="L1055">
        <v>602299</v>
      </c>
      <c r="M1055" t="s">
        <v>2381</v>
      </c>
      <c r="P1055" t="s">
        <v>2548</v>
      </c>
      <c r="Q1055" t="s">
        <v>2383</v>
      </c>
      <c r="R1055">
        <v>1</v>
      </c>
      <c r="S1055" t="s">
        <v>2380</v>
      </c>
      <c r="T1055" t="s">
        <v>2383</v>
      </c>
      <c r="U1055" s="8">
        <v>45869.677002314813</v>
      </c>
      <c r="V1055" s="8">
        <v>45933.958333333336</v>
      </c>
      <c r="W1055">
        <v>1</v>
      </c>
      <c r="X1055">
        <v>44.058564814999997</v>
      </c>
      <c r="Y1055" t="s">
        <v>2542</v>
      </c>
      <c r="Z1055" t="s">
        <v>10269</v>
      </c>
      <c r="AA1055" t="s">
        <v>2927</v>
      </c>
      <c r="AB1055" t="s">
        <v>1278</v>
      </c>
      <c r="AC1055" t="s">
        <v>10270</v>
      </c>
      <c r="AD1055" t="s">
        <v>2708</v>
      </c>
      <c r="AE1055">
        <v>1</v>
      </c>
      <c r="AO1055" t="s">
        <v>2547</v>
      </c>
      <c r="AP1055" t="s">
        <v>2401</v>
      </c>
    </row>
    <row r="1056" spans="1:42">
      <c r="A1056" t="s">
        <v>10441</v>
      </c>
      <c r="B1056" t="s">
        <v>2389</v>
      </c>
      <c r="C1056" t="s">
        <v>2443</v>
      </c>
      <c r="D1056" t="s">
        <v>2443</v>
      </c>
      <c r="E1056" t="s">
        <v>84</v>
      </c>
      <c r="G1056" t="s">
        <v>84</v>
      </c>
      <c r="H1056" t="b">
        <v>1</v>
      </c>
      <c r="I1056" s="8">
        <v>45955.356226851851</v>
      </c>
      <c r="J1056" t="s">
        <v>2393</v>
      </c>
      <c r="L1056">
        <v>605374</v>
      </c>
      <c r="M1056" t="s">
        <v>2381</v>
      </c>
      <c r="P1056" t="s">
        <v>2394</v>
      </c>
      <c r="Q1056" t="s">
        <v>2383</v>
      </c>
      <c r="R1056">
        <v>1</v>
      </c>
      <c r="S1056" t="s">
        <v>2393</v>
      </c>
      <c r="T1056" t="s">
        <v>2383</v>
      </c>
      <c r="U1056" s="8">
        <v>45873.461886574078</v>
      </c>
      <c r="V1056" s="8">
        <v>45876.958333333336</v>
      </c>
      <c r="W1056">
        <v>1</v>
      </c>
      <c r="X1056">
        <v>59.894340278000001</v>
      </c>
      <c r="Z1056" t="s">
        <v>10442</v>
      </c>
      <c r="AB1056" t="s">
        <v>1278</v>
      </c>
      <c r="AC1056" t="s">
        <v>10443</v>
      </c>
      <c r="AE1056">
        <v>1</v>
      </c>
    </row>
    <row r="1057" spans="1:42">
      <c r="A1057" t="s">
        <v>10259</v>
      </c>
      <c r="B1057" t="s">
        <v>2389</v>
      </c>
      <c r="C1057" t="s">
        <v>2691</v>
      </c>
      <c r="D1057" t="s">
        <v>2379</v>
      </c>
      <c r="E1057" t="s">
        <v>25</v>
      </c>
      <c r="F1057" t="s">
        <v>2477</v>
      </c>
      <c r="G1057" t="s">
        <v>25</v>
      </c>
      <c r="H1057" t="b">
        <v>1</v>
      </c>
      <c r="I1057" s="8">
        <v>45931.690370370372</v>
      </c>
      <c r="J1057" t="s">
        <v>2380</v>
      </c>
      <c r="K1057">
        <v>1199774</v>
      </c>
      <c r="L1057">
        <v>603944</v>
      </c>
      <c r="M1057" t="s">
        <v>2381</v>
      </c>
      <c r="N1057">
        <v>5</v>
      </c>
      <c r="Q1057" t="s">
        <v>2383</v>
      </c>
      <c r="R1057">
        <v>1</v>
      </c>
      <c r="S1057" t="s">
        <v>2380</v>
      </c>
      <c r="T1057" t="s">
        <v>2383</v>
      </c>
      <c r="U1057" s="8">
        <v>45876.663206018522</v>
      </c>
      <c r="V1057" s="8">
        <v>45932.958333333336</v>
      </c>
      <c r="W1057">
        <v>1</v>
      </c>
      <c r="X1057">
        <v>39.027164352</v>
      </c>
      <c r="Y1057" t="s">
        <v>2403</v>
      </c>
      <c r="Z1057" t="s">
        <v>10260</v>
      </c>
      <c r="AA1057" t="s">
        <v>1745</v>
      </c>
      <c r="AB1057" t="s">
        <v>1278</v>
      </c>
      <c r="AC1057" t="s">
        <v>10261</v>
      </c>
      <c r="AD1057" t="s">
        <v>2708</v>
      </c>
      <c r="AE1057">
        <v>1</v>
      </c>
      <c r="AO1057" t="s">
        <v>2408</v>
      </c>
      <c r="AP1057" t="s">
        <v>2401</v>
      </c>
    </row>
    <row r="1058" spans="1:42">
      <c r="A1058" t="s">
        <v>10278</v>
      </c>
      <c r="B1058" t="s">
        <v>2389</v>
      </c>
      <c r="C1058" t="s">
        <v>2691</v>
      </c>
      <c r="D1058" t="s">
        <v>2379</v>
      </c>
      <c r="E1058" t="s">
        <v>8023</v>
      </c>
      <c r="F1058" t="s">
        <v>2588</v>
      </c>
      <c r="G1058" t="s">
        <v>8023</v>
      </c>
      <c r="H1058" t="b">
        <v>1</v>
      </c>
      <c r="I1058" s="8">
        <v>45958.49554398148</v>
      </c>
      <c r="J1058" t="s">
        <v>2942</v>
      </c>
      <c r="K1058">
        <v>1204898</v>
      </c>
      <c r="L1058">
        <v>607205</v>
      </c>
      <c r="M1058" t="s">
        <v>2381</v>
      </c>
      <c r="Q1058" t="s">
        <v>2943</v>
      </c>
      <c r="R1058">
        <v>1</v>
      </c>
      <c r="S1058" t="s">
        <v>2942</v>
      </c>
      <c r="T1058" t="s">
        <v>2383</v>
      </c>
      <c r="U1058" s="8">
        <v>45876.600393518522</v>
      </c>
      <c r="V1058" s="8">
        <v>45958.958333333336</v>
      </c>
      <c r="W1058">
        <v>1</v>
      </c>
      <c r="X1058">
        <v>57.895150463</v>
      </c>
      <c r="Y1058" t="s">
        <v>2579</v>
      </c>
      <c r="Z1058" t="s">
        <v>10279</v>
      </c>
      <c r="AA1058" t="s">
        <v>2946</v>
      </c>
      <c r="AB1058" t="s">
        <v>1278</v>
      </c>
      <c r="AC1058" t="s">
        <v>10280</v>
      </c>
      <c r="AD1058" t="s">
        <v>2708</v>
      </c>
      <c r="AE1058">
        <v>1</v>
      </c>
      <c r="AO1058" t="s">
        <v>2949</v>
      </c>
      <c r="AP1058" t="s">
        <v>2401</v>
      </c>
    </row>
    <row r="1059" spans="1:42">
      <c r="A1059" t="s">
        <v>10293</v>
      </c>
      <c r="B1059" t="s">
        <v>2389</v>
      </c>
      <c r="C1059" t="s">
        <v>2691</v>
      </c>
      <c r="D1059" t="s">
        <v>2379</v>
      </c>
      <c r="E1059" t="s">
        <v>25</v>
      </c>
      <c r="F1059" t="s">
        <v>2779</v>
      </c>
      <c r="G1059" t="s">
        <v>25</v>
      </c>
      <c r="H1059" t="b">
        <v>1</v>
      </c>
      <c r="I1059" s="8">
        <v>45932.597928240742</v>
      </c>
      <c r="J1059" t="s">
        <v>2380</v>
      </c>
      <c r="K1059">
        <v>1199713</v>
      </c>
      <c r="L1059">
        <v>601371</v>
      </c>
      <c r="M1059" t="s">
        <v>2381</v>
      </c>
      <c r="P1059" t="s">
        <v>2394</v>
      </c>
      <c r="Q1059" t="s">
        <v>2383</v>
      </c>
      <c r="R1059">
        <v>1</v>
      </c>
      <c r="S1059" t="s">
        <v>2380</v>
      </c>
      <c r="T1059" t="s">
        <v>2383</v>
      </c>
      <c r="U1059" s="8">
        <v>45881.636921296296</v>
      </c>
      <c r="V1059" s="8">
        <v>45932.958333333336</v>
      </c>
      <c r="W1059">
        <v>1</v>
      </c>
      <c r="X1059">
        <v>36.961006943999998</v>
      </c>
      <c r="Y1059" t="s">
        <v>1352</v>
      </c>
      <c r="Z1059" t="s">
        <v>10294</v>
      </c>
      <c r="AA1059" t="s">
        <v>10295</v>
      </c>
      <c r="AB1059" t="s">
        <v>1278</v>
      </c>
      <c r="AC1059" t="s">
        <v>10296</v>
      </c>
      <c r="AD1059" t="s">
        <v>2708</v>
      </c>
      <c r="AE1059">
        <v>1</v>
      </c>
      <c r="AH1059" t="s">
        <v>33</v>
      </c>
      <c r="AI1059" s="8">
        <v>45932.591932870368</v>
      </c>
      <c r="AK1059" t="s">
        <v>2719</v>
      </c>
      <c r="AL1059" t="s">
        <v>2719</v>
      </c>
      <c r="AO1059" t="s">
        <v>2408</v>
      </c>
      <c r="AP1059" t="s">
        <v>2401</v>
      </c>
    </row>
    <row r="1060" spans="1:42">
      <c r="A1060" t="s">
        <v>10252</v>
      </c>
      <c r="B1060" t="s">
        <v>2389</v>
      </c>
      <c r="C1060" t="s">
        <v>2691</v>
      </c>
      <c r="D1060" t="s">
        <v>2379</v>
      </c>
      <c r="E1060" t="s">
        <v>33</v>
      </c>
      <c r="F1060" t="s">
        <v>2402</v>
      </c>
      <c r="G1060" t="s">
        <v>33</v>
      </c>
      <c r="H1060" t="b">
        <v>1</v>
      </c>
      <c r="I1060" s="8">
        <v>45931.591527777775</v>
      </c>
      <c r="J1060" t="s">
        <v>2380</v>
      </c>
      <c r="K1060">
        <v>1199688</v>
      </c>
      <c r="L1060">
        <v>603570</v>
      </c>
      <c r="M1060" t="s">
        <v>2381</v>
      </c>
      <c r="P1060" t="s">
        <v>2394</v>
      </c>
      <c r="Q1060" t="s">
        <v>2383</v>
      </c>
      <c r="R1060">
        <v>1</v>
      </c>
      <c r="S1060" t="s">
        <v>2380</v>
      </c>
      <c r="T1060" t="s">
        <v>2383</v>
      </c>
      <c r="U1060" s="8">
        <v>45881.766574074078</v>
      </c>
      <c r="V1060" s="8">
        <v>45936.958333333336</v>
      </c>
      <c r="W1060">
        <v>1</v>
      </c>
      <c r="X1060">
        <v>35.824953704000002</v>
      </c>
      <c r="Y1060" t="s">
        <v>2403</v>
      </c>
      <c r="Z1060" t="s">
        <v>10253</v>
      </c>
      <c r="AA1060" t="s">
        <v>10254</v>
      </c>
      <c r="AB1060" t="s">
        <v>1278</v>
      </c>
      <c r="AC1060" t="s">
        <v>10255</v>
      </c>
      <c r="AD1060" t="s">
        <v>2708</v>
      </c>
      <c r="AE1060">
        <v>1</v>
      </c>
      <c r="AO1060" t="s">
        <v>2408</v>
      </c>
      <c r="AP1060" t="s">
        <v>2401</v>
      </c>
    </row>
    <row r="1061" spans="1:42">
      <c r="A1061" t="s">
        <v>10256</v>
      </c>
      <c r="B1061" t="s">
        <v>2389</v>
      </c>
      <c r="C1061" t="s">
        <v>2691</v>
      </c>
      <c r="D1061" t="s">
        <v>2379</v>
      </c>
      <c r="E1061" t="s">
        <v>33</v>
      </c>
      <c r="F1061" t="s">
        <v>2402</v>
      </c>
      <c r="G1061" t="s">
        <v>33</v>
      </c>
      <c r="H1061" t="b">
        <v>1</v>
      </c>
      <c r="I1061" s="8">
        <v>45943.668993055559</v>
      </c>
      <c r="J1061" t="s">
        <v>2380</v>
      </c>
      <c r="K1061">
        <v>1202044</v>
      </c>
      <c r="L1061">
        <v>609839</v>
      </c>
      <c r="M1061" t="s">
        <v>2381</v>
      </c>
      <c r="P1061" t="s">
        <v>2394</v>
      </c>
      <c r="Q1061" t="s">
        <v>2383</v>
      </c>
      <c r="R1061">
        <v>1</v>
      </c>
      <c r="S1061" t="s">
        <v>2380</v>
      </c>
      <c r="T1061" t="s">
        <v>2383</v>
      </c>
      <c r="U1061" s="8">
        <v>45882.426655092589</v>
      </c>
      <c r="V1061" s="8">
        <v>45946.958333333336</v>
      </c>
      <c r="W1061">
        <v>1</v>
      </c>
      <c r="X1061">
        <v>43.242337962999997</v>
      </c>
      <c r="Y1061" t="s">
        <v>2403</v>
      </c>
      <c r="Z1061" t="s">
        <v>10257</v>
      </c>
      <c r="AA1061" t="s">
        <v>2760</v>
      </c>
      <c r="AB1061" t="s">
        <v>1278</v>
      </c>
      <c r="AC1061" t="s">
        <v>10258</v>
      </c>
      <c r="AD1061" t="s">
        <v>2708</v>
      </c>
      <c r="AE1061">
        <v>1</v>
      </c>
      <c r="AO1061" t="s">
        <v>2408</v>
      </c>
      <c r="AP1061" t="s">
        <v>2401</v>
      </c>
    </row>
    <row r="1062" spans="1:42">
      <c r="A1062" t="s">
        <v>10262</v>
      </c>
      <c r="B1062" t="s">
        <v>2389</v>
      </c>
      <c r="C1062" t="s">
        <v>2443</v>
      </c>
      <c r="D1062" t="s">
        <v>2443</v>
      </c>
      <c r="E1062" t="s">
        <v>33</v>
      </c>
      <c r="F1062" t="s">
        <v>2541</v>
      </c>
      <c r="G1062" t="s">
        <v>33</v>
      </c>
      <c r="H1062" t="b">
        <v>1</v>
      </c>
      <c r="I1062" s="8">
        <v>45936.399745370371</v>
      </c>
      <c r="J1062" t="s">
        <v>2380</v>
      </c>
      <c r="K1062">
        <v>1200250</v>
      </c>
      <c r="L1062">
        <v>601096</v>
      </c>
      <c r="M1062" t="s">
        <v>2381</v>
      </c>
      <c r="P1062" t="s">
        <v>2394</v>
      </c>
      <c r="Q1062" t="s">
        <v>2383</v>
      </c>
      <c r="R1062">
        <v>1</v>
      </c>
      <c r="S1062" t="s">
        <v>2380</v>
      </c>
      <c r="T1062" t="s">
        <v>2383</v>
      </c>
      <c r="U1062" s="8">
        <v>45883.419479166667</v>
      </c>
      <c r="V1062" s="8">
        <v>45890.958333333336</v>
      </c>
      <c r="W1062">
        <v>1</v>
      </c>
      <c r="X1062">
        <v>36.980266204000003</v>
      </c>
      <c r="Y1062" t="s">
        <v>2542</v>
      </c>
      <c r="Z1062" t="s">
        <v>10263</v>
      </c>
      <c r="AA1062" t="s">
        <v>2888</v>
      </c>
      <c r="AB1062" t="s">
        <v>1278</v>
      </c>
      <c r="AC1062" t="s">
        <v>10264</v>
      </c>
      <c r="AD1062" t="s">
        <v>2708</v>
      </c>
      <c r="AE1062">
        <v>1</v>
      </c>
      <c r="AO1062" t="s">
        <v>2547</v>
      </c>
      <c r="AP1062" t="s">
        <v>2401</v>
      </c>
    </row>
    <row r="1063" spans="1:42">
      <c r="A1063" t="s">
        <v>10290</v>
      </c>
      <c r="B1063" t="s">
        <v>2389</v>
      </c>
      <c r="C1063" t="s">
        <v>2691</v>
      </c>
      <c r="D1063" t="s">
        <v>2379</v>
      </c>
      <c r="E1063" t="s">
        <v>25</v>
      </c>
      <c r="F1063" t="s">
        <v>2779</v>
      </c>
      <c r="G1063" t="s">
        <v>25</v>
      </c>
      <c r="H1063" t="b">
        <v>1</v>
      </c>
      <c r="I1063" s="8">
        <v>45931.657361111109</v>
      </c>
      <c r="J1063" t="s">
        <v>2380</v>
      </c>
      <c r="K1063">
        <v>1199747</v>
      </c>
      <c r="L1063">
        <v>604220</v>
      </c>
      <c r="M1063" t="s">
        <v>2381</v>
      </c>
      <c r="N1063">
        <v>5</v>
      </c>
      <c r="P1063" t="s">
        <v>2548</v>
      </c>
      <c r="Q1063" t="s">
        <v>2395</v>
      </c>
      <c r="R1063">
        <v>1</v>
      </c>
      <c r="S1063" t="s">
        <v>2380</v>
      </c>
      <c r="T1063" t="s">
        <v>2383</v>
      </c>
      <c r="U1063" s="8">
        <v>45885.362627314818</v>
      </c>
      <c r="V1063" s="8">
        <v>45932.958333333336</v>
      </c>
      <c r="W1063">
        <v>1</v>
      </c>
      <c r="X1063">
        <v>32.294733796000003</v>
      </c>
      <c r="Y1063" t="s">
        <v>1352</v>
      </c>
      <c r="Z1063" t="s">
        <v>10291</v>
      </c>
      <c r="AA1063" t="s">
        <v>8200</v>
      </c>
      <c r="AB1063" t="s">
        <v>1278</v>
      </c>
      <c r="AC1063" t="s">
        <v>10292</v>
      </c>
      <c r="AD1063" t="s">
        <v>2708</v>
      </c>
      <c r="AE1063">
        <v>1</v>
      </c>
      <c r="AO1063" t="s">
        <v>4137</v>
      </c>
      <c r="AP1063" t="s">
        <v>2401</v>
      </c>
    </row>
    <row r="1064" spans="1:42">
      <c r="A1064" t="s">
        <v>10284</v>
      </c>
      <c r="B1064" t="s">
        <v>2389</v>
      </c>
      <c r="C1064" t="s">
        <v>2691</v>
      </c>
      <c r="D1064" t="s">
        <v>2379</v>
      </c>
      <c r="E1064" t="s">
        <v>8023</v>
      </c>
      <c r="F1064" t="s">
        <v>2588</v>
      </c>
      <c r="G1064" t="s">
        <v>8023</v>
      </c>
      <c r="H1064" t="b">
        <v>1</v>
      </c>
      <c r="I1064" s="8">
        <v>45952.516377314816</v>
      </c>
      <c r="J1064" t="s">
        <v>2942</v>
      </c>
      <c r="K1064">
        <v>1203981</v>
      </c>
      <c r="L1064">
        <v>607241</v>
      </c>
      <c r="M1064" t="s">
        <v>2381</v>
      </c>
      <c r="P1064" t="s">
        <v>5429</v>
      </c>
      <c r="Q1064" t="s">
        <v>2943</v>
      </c>
      <c r="R1064">
        <v>1</v>
      </c>
      <c r="S1064" t="s">
        <v>2942</v>
      </c>
      <c r="T1064" t="s">
        <v>2383</v>
      </c>
      <c r="U1064" s="8">
        <v>45887.34951388889</v>
      </c>
      <c r="V1064" s="8">
        <v>45953.958333333336</v>
      </c>
      <c r="W1064">
        <v>1</v>
      </c>
      <c r="X1064">
        <v>47.166863425999999</v>
      </c>
      <c r="Y1064" t="s">
        <v>2579</v>
      </c>
      <c r="Z1064" t="s">
        <v>10285</v>
      </c>
      <c r="AA1064" t="s">
        <v>10138</v>
      </c>
      <c r="AB1064" t="s">
        <v>1278</v>
      </c>
      <c r="AC1064" t="s">
        <v>10286</v>
      </c>
      <c r="AD1064" t="s">
        <v>2708</v>
      </c>
      <c r="AE1064">
        <v>1</v>
      </c>
      <c r="AO1064" t="s">
        <v>2949</v>
      </c>
      <c r="AP1064" t="s">
        <v>2401</v>
      </c>
    </row>
    <row r="1065" spans="1:42">
      <c r="A1065" t="s">
        <v>10444</v>
      </c>
      <c r="B1065" t="s">
        <v>2389</v>
      </c>
      <c r="C1065" t="s">
        <v>2443</v>
      </c>
      <c r="D1065" t="s">
        <v>2443</v>
      </c>
      <c r="E1065" t="s">
        <v>84</v>
      </c>
      <c r="G1065" t="s">
        <v>84</v>
      </c>
      <c r="H1065" t="b">
        <v>1</v>
      </c>
      <c r="I1065" s="8">
        <v>45955.363067129627</v>
      </c>
      <c r="J1065" t="s">
        <v>2393</v>
      </c>
      <c r="L1065">
        <v>605374</v>
      </c>
      <c r="M1065" t="s">
        <v>2381</v>
      </c>
      <c r="P1065" t="s">
        <v>2394</v>
      </c>
      <c r="Q1065" t="s">
        <v>2383</v>
      </c>
      <c r="R1065">
        <v>1</v>
      </c>
      <c r="S1065" t="s">
        <v>2393</v>
      </c>
      <c r="T1065" t="s">
        <v>2383</v>
      </c>
      <c r="U1065" s="8">
        <v>45887.461238425924</v>
      </c>
      <c r="V1065" s="8">
        <v>45890.958333333336</v>
      </c>
      <c r="W1065">
        <v>1</v>
      </c>
      <c r="X1065">
        <v>49.901828704000003</v>
      </c>
      <c r="Z1065" t="s">
        <v>10445</v>
      </c>
      <c r="AB1065" t="s">
        <v>1278</v>
      </c>
      <c r="AC1065" t="s">
        <v>10446</v>
      </c>
      <c r="AE1065">
        <v>1</v>
      </c>
    </row>
    <row r="1066" spans="1:42">
      <c r="A1066" t="s">
        <v>10287</v>
      </c>
      <c r="B1066" t="s">
        <v>2389</v>
      </c>
      <c r="C1066" t="s">
        <v>2691</v>
      </c>
      <c r="D1066" t="s">
        <v>2379</v>
      </c>
      <c r="E1066" t="s">
        <v>8023</v>
      </c>
      <c r="F1066" t="s">
        <v>2588</v>
      </c>
      <c r="G1066" t="s">
        <v>8023</v>
      </c>
      <c r="H1066" t="b">
        <v>1</v>
      </c>
      <c r="I1066" s="8">
        <v>45958.457453703704</v>
      </c>
      <c r="J1066" t="s">
        <v>2942</v>
      </c>
      <c r="K1066">
        <v>1204878</v>
      </c>
      <c r="L1066">
        <v>607227</v>
      </c>
      <c r="M1066" t="s">
        <v>2381</v>
      </c>
      <c r="P1066" t="s">
        <v>2427</v>
      </c>
      <c r="Q1066" t="s">
        <v>2943</v>
      </c>
      <c r="R1066">
        <v>1</v>
      </c>
      <c r="S1066" t="s">
        <v>2942</v>
      </c>
      <c r="T1066" t="s">
        <v>2383</v>
      </c>
      <c r="U1066" s="8">
        <v>45889.492430555554</v>
      </c>
      <c r="V1066" s="8">
        <v>45958.958333333336</v>
      </c>
      <c r="W1066">
        <v>1</v>
      </c>
      <c r="X1066">
        <v>48.965023148</v>
      </c>
      <c r="Y1066" t="s">
        <v>2579</v>
      </c>
      <c r="Z1066" t="s">
        <v>10288</v>
      </c>
      <c r="AA1066" t="s">
        <v>8026</v>
      </c>
      <c r="AB1066" t="s">
        <v>1278</v>
      </c>
      <c r="AC1066" t="s">
        <v>10289</v>
      </c>
      <c r="AD1066" t="s">
        <v>2708</v>
      </c>
      <c r="AE1066">
        <v>1</v>
      </c>
      <c r="AO1066" t="s">
        <v>2949</v>
      </c>
      <c r="AP1066" t="s">
        <v>2401</v>
      </c>
    </row>
    <row r="1067" spans="1:42">
      <c r="A1067" t="s">
        <v>10297</v>
      </c>
      <c r="B1067" t="s">
        <v>2389</v>
      </c>
      <c r="C1067" t="s">
        <v>2691</v>
      </c>
      <c r="D1067" t="s">
        <v>2379</v>
      </c>
      <c r="E1067" t="s">
        <v>13</v>
      </c>
      <c r="F1067" t="s">
        <v>2588</v>
      </c>
      <c r="G1067" t="s">
        <v>13</v>
      </c>
      <c r="H1067" t="b">
        <v>1</v>
      </c>
      <c r="I1067" s="8">
        <v>45944.586886574078</v>
      </c>
      <c r="J1067" t="s">
        <v>2942</v>
      </c>
      <c r="K1067">
        <v>1201793</v>
      </c>
      <c r="L1067">
        <v>607205</v>
      </c>
      <c r="M1067" t="s">
        <v>2381</v>
      </c>
      <c r="P1067" t="s">
        <v>2427</v>
      </c>
      <c r="Q1067" t="s">
        <v>2943</v>
      </c>
      <c r="R1067">
        <v>1</v>
      </c>
      <c r="S1067" t="s">
        <v>2942</v>
      </c>
      <c r="T1067" t="s">
        <v>2383</v>
      </c>
      <c r="U1067" s="8">
        <v>45889.60292824074</v>
      </c>
      <c r="V1067" s="8">
        <v>45944.958333333336</v>
      </c>
      <c r="W1067">
        <v>1</v>
      </c>
      <c r="X1067">
        <v>38.983958332999997</v>
      </c>
      <c r="Y1067" t="s">
        <v>2579</v>
      </c>
      <c r="Z1067" t="s">
        <v>10298</v>
      </c>
      <c r="AA1067" t="s">
        <v>2946</v>
      </c>
      <c r="AB1067" t="s">
        <v>1278</v>
      </c>
      <c r="AC1067" t="s">
        <v>10299</v>
      </c>
      <c r="AD1067" t="s">
        <v>2708</v>
      </c>
      <c r="AE1067">
        <v>1</v>
      </c>
      <c r="AH1067" t="s">
        <v>2948</v>
      </c>
      <c r="AI1067" s="8">
        <v>45943.671643518515</v>
      </c>
      <c r="AK1067" t="s">
        <v>2719</v>
      </c>
      <c r="AL1067" t="s">
        <v>2719</v>
      </c>
      <c r="AO1067" t="s">
        <v>2949</v>
      </c>
      <c r="AP1067" t="s">
        <v>2401</v>
      </c>
    </row>
    <row r="1068" spans="1:42">
      <c r="A1068" t="s">
        <v>10447</v>
      </c>
      <c r="B1068" t="s">
        <v>2389</v>
      </c>
      <c r="C1068" t="s">
        <v>2443</v>
      </c>
      <c r="D1068" t="s">
        <v>2443</v>
      </c>
      <c r="E1068" t="s">
        <v>84</v>
      </c>
      <c r="G1068" t="s">
        <v>84</v>
      </c>
      <c r="H1068" t="b">
        <v>1</v>
      </c>
      <c r="I1068" s="8">
        <v>45955.364953703705</v>
      </c>
      <c r="J1068" t="s">
        <v>2393</v>
      </c>
      <c r="L1068">
        <v>605374</v>
      </c>
      <c r="M1068" t="s">
        <v>2381</v>
      </c>
      <c r="P1068" t="s">
        <v>2394</v>
      </c>
      <c r="Q1068" t="s">
        <v>2383</v>
      </c>
      <c r="R1068">
        <v>1</v>
      </c>
      <c r="S1068" t="s">
        <v>2393</v>
      </c>
      <c r="T1068" t="s">
        <v>2383</v>
      </c>
      <c r="U1068" s="8">
        <v>45894.46166666667</v>
      </c>
      <c r="V1068" s="8">
        <v>45897.958333333336</v>
      </c>
      <c r="W1068">
        <v>1</v>
      </c>
      <c r="X1068">
        <v>44.903287036999998</v>
      </c>
      <c r="Z1068" t="s">
        <v>10448</v>
      </c>
      <c r="AB1068" t="s">
        <v>1278</v>
      </c>
      <c r="AC1068" t="s">
        <v>10449</v>
      </c>
      <c r="AE1068">
        <v>1</v>
      </c>
    </row>
    <row r="1069" spans="1:42">
      <c r="A1069" t="s">
        <v>5652</v>
      </c>
      <c r="B1069" t="s">
        <v>2389</v>
      </c>
      <c r="C1069" t="s">
        <v>2691</v>
      </c>
      <c r="D1069" t="s">
        <v>2379</v>
      </c>
      <c r="E1069" t="s">
        <v>33</v>
      </c>
      <c r="F1069" t="s">
        <v>2541</v>
      </c>
      <c r="G1069" t="s">
        <v>33</v>
      </c>
      <c r="H1069" t="b">
        <v>1</v>
      </c>
      <c r="I1069" s="8">
        <v>45940.607048611113</v>
      </c>
      <c r="J1069" t="s">
        <v>2380</v>
      </c>
      <c r="K1069">
        <v>1201652</v>
      </c>
      <c r="L1069">
        <v>601441</v>
      </c>
      <c r="M1069" t="s">
        <v>2381</v>
      </c>
      <c r="P1069" t="s">
        <v>2548</v>
      </c>
      <c r="Q1069" t="s">
        <v>2383</v>
      </c>
      <c r="R1069">
        <v>1</v>
      </c>
      <c r="S1069" t="s">
        <v>2380</v>
      </c>
      <c r="T1069" t="s">
        <v>2383</v>
      </c>
      <c r="U1069" s="8">
        <v>45895.808148148149</v>
      </c>
      <c r="V1069" s="8">
        <v>45945.958333333336</v>
      </c>
      <c r="W1069">
        <v>1</v>
      </c>
      <c r="X1069">
        <v>32.798900463000003</v>
      </c>
      <c r="Y1069" t="s">
        <v>2542</v>
      </c>
      <c r="Z1069" t="s">
        <v>5653</v>
      </c>
      <c r="AA1069" t="s">
        <v>2884</v>
      </c>
      <c r="AB1069" t="s">
        <v>1278</v>
      </c>
      <c r="AC1069" t="s">
        <v>5654</v>
      </c>
      <c r="AD1069" t="s">
        <v>2708</v>
      </c>
      <c r="AE1069">
        <v>1</v>
      </c>
      <c r="AO1069" t="s">
        <v>2547</v>
      </c>
      <c r="AP1069" t="s">
        <v>2401</v>
      </c>
    </row>
    <row r="1070" spans="1:42">
      <c r="A1070" t="s">
        <v>5580</v>
      </c>
      <c r="B1070" t="s">
        <v>2389</v>
      </c>
      <c r="C1070" t="s">
        <v>2691</v>
      </c>
      <c r="D1070" t="s">
        <v>2379</v>
      </c>
      <c r="E1070" t="s">
        <v>5578</v>
      </c>
      <c r="F1070" t="s">
        <v>2779</v>
      </c>
      <c r="H1070" t="b">
        <v>1</v>
      </c>
      <c r="I1070" s="8">
        <v>45943.570393518516</v>
      </c>
      <c r="J1070" t="s">
        <v>5579</v>
      </c>
      <c r="K1070">
        <v>1201939</v>
      </c>
      <c r="L1070">
        <v>608381</v>
      </c>
      <c r="M1070" t="s">
        <v>2381</v>
      </c>
      <c r="P1070" t="s">
        <v>5429</v>
      </c>
      <c r="Q1070" t="s">
        <v>2383</v>
      </c>
      <c r="R1070">
        <v>1</v>
      </c>
      <c r="S1070" t="s">
        <v>5579</v>
      </c>
      <c r="T1070" t="s">
        <v>2383</v>
      </c>
      <c r="U1070" s="8">
        <v>45896.638460648152</v>
      </c>
      <c r="V1070" s="8">
        <v>45946.958333333336</v>
      </c>
      <c r="W1070">
        <v>1</v>
      </c>
      <c r="X1070">
        <v>32.931932869999997</v>
      </c>
      <c r="Y1070" t="s">
        <v>1352</v>
      </c>
      <c r="Z1070" t="s">
        <v>5581</v>
      </c>
      <c r="AA1070" t="s">
        <v>3030</v>
      </c>
      <c r="AB1070" t="s">
        <v>1278</v>
      </c>
      <c r="AC1070" t="s">
        <v>5582</v>
      </c>
      <c r="AD1070" t="s">
        <v>2708</v>
      </c>
      <c r="AE1070">
        <v>1</v>
      </c>
      <c r="AO1070" t="s">
        <v>2408</v>
      </c>
      <c r="AP1070" t="s">
        <v>2401</v>
      </c>
    </row>
    <row r="1071" spans="1:42">
      <c r="A1071" t="s">
        <v>5583</v>
      </c>
      <c r="B1071" t="s">
        <v>2389</v>
      </c>
      <c r="C1071" t="s">
        <v>2691</v>
      </c>
      <c r="D1071" t="s">
        <v>2379</v>
      </c>
      <c r="E1071" t="s">
        <v>5578</v>
      </c>
      <c r="F1071" t="s">
        <v>2779</v>
      </c>
      <c r="G1071" t="s">
        <v>5578</v>
      </c>
      <c r="H1071" t="b">
        <v>1</v>
      </c>
      <c r="I1071" s="8">
        <v>45943.636377314811</v>
      </c>
      <c r="J1071" t="s">
        <v>5579</v>
      </c>
      <c r="K1071">
        <v>1201948</v>
      </c>
      <c r="L1071">
        <v>608381</v>
      </c>
      <c r="M1071" t="s">
        <v>2381</v>
      </c>
      <c r="P1071" t="s">
        <v>5429</v>
      </c>
      <c r="Q1071" t="s">
        <v>2383</v>
      </c>
      <c r="R1071">
        <v>1</v>
      </c>
      <c r="S1071" t="s">
        <v>5579</v>
      </c>
      <c r="T1071" t="s">
        <v>2383</v>
      </c>
      <c r="U1071" s="8">
        <v>45896.638715277775</v>
      </c>
      <c r="V1071" s="8">
        <v>45946.958333333336</v>
      </c>
      <c r="W1071">
        <v>1</v>
      </c>
      <c r="X1071">
        <v>32.997662036999998</v>
      </c>
      <c r="Y1071" t="s">
        <v>1352</v>
      </c>
      <c r="Z1071" t="s">
        <v>5584</v>
      </c>
      <c r="AA1071" t="s">
        <v>3030</v>
      </c>
      <c r="AB1071" t="s">
        <v>1278</v>
      </c>
      <c r="AC1071" t="s">
        <v>5585</v>
      </c>
      <c r="AD1071" t="s">
        <v>2708</v>
      </c>
      <c r="AE1071">
        <v>1</v>
      </c>
      <c r="AO1071" t="s">
        <v>2408</v>
      </c>
      <c r="AP1071" t="s">
        <v>2401</v>
      </c>
    </row>
    <row r="1072" spans="1:42">
      <c r="A1072" t="s">
        <v>9563</v>
      </c>
      <c r="B1072" t="s">
        <v>2389</v>
      </c>
      <c r="C1072" t="s">
        <v>2443</v>
      </c>
      <c r="D1072" t="s">
        <v>2443</v>
      </c>
      <c r="E1072" t="s">
        <v>33</v>
      </c>
      <c r="F1072" t="s">
        <v>4897</v>
      </c>
      <c r="G1072" t="s">
        <v>4895</v>
      </c>
      <c r="H1072" t="b">
        <v>1</v>
      </c>
      <c r="I1072" s="8">
        <v>45933.382361111115</v>
      </c>
      <c r="J1072" t="s">
        <v>2380</v>
      </c>
      <c r="L1072">
        <v>604381</v>
      </c>
      <c r="M1072" t="s">
        <v>2381</v>
      </c>
      <c r="P1072" t="s">
        <v>2394</v>
      </c>
      <c r="Q1072" t="s">
        <v>2395</v>
      </c>
      <c r="R1072">
        <v>1</v>
      </c>
      <c r="S1072" t="s">
        <v>2380</v>
      </c>
      <c r="T1072" t="s">
        <v>2383</v>
      </c>
      <c r="U1072" s="8">
        <v>45901.475682870368</v>
      </c>
      <c r="V1072" s="8">
        <v>45930.958333333336</v>
      </c>
      <c r="W1072">
        <v>1</v>
      </c>
      <c r="X1072">
        <v>23.906678241000002</v>
      </c>
      <c r="Y1072" t="s">
        <v>4898</v>
      </c>
      <c r="Z1072" t="s">
        <v>9564</v>
      </c>
      <c r="AA1072" t="s">
        <v>9565</v>
      </c>
      <c r="AB1072" t="s">
        <v>1278</v>
      </c>
      <c r="AC1072" t="s">
        <v>9566</v>
      </c>
      <c r="AE1072">
        <v>1</v>
      </c>
      <c r="AH1072" t="s">
        <v>4895</v>
      </c>
      <c r="AI1072" s="8">
        <v>45933.373090277775</v>
      </c>
      <c r="AK1072" t="s">
        <v>2719</v>
      </c>
      <c r="AL1072" t="s">
        <v>2719</v>
      </c>
      <c r="AO1072" t="s">
        <v>4137</v>
      </c>
      <c r="AP1072" t="s">
        <v>2401</v>
      </c>
    </row>
    <row r="1073" spans="1:42">
      <c r="A1073" t="s">
        <v>9559</v>
      </c>
      <c r="B1073" t="s">
        <v>2389</v>
      </c>
      <c r="C1073" t="s">
        <v>2443</v>
      </c>
      <c r="D1073" t="s">
        <v>2443</v>
      </c>
      <c r="E1073" t="s">
        <v>8023</v>
      </c>
      <c r="F1073" t="s">
        <v>2588</v>
      </c>
      <c r="G1073" t="s">
        <v>2948</v>
      </c>
      <c r="H1073" t="b">
        <v>1</v>
      </c>
      <c r="I1073" s="8">
        <v>45940.340509259258</v>
      </c>
      <c r="J1073" t="s">
        <v>2942</v>
      </c>
      <c r="L1073">
        <v>607227</v>
      </c>
      <c r="M1073" t="s">
        <v>2381</v>
      </c>
      <c r="P1073" t="s">
        <v>2394</v>
      </c>
      <c r="Q1073" t="s">
        <v>2943</v>
      </c>
      <c r="R1073">
        <v>1</v>
      </c>
      <c r="S1073" t="s">
        <v>2942</v>
      </c>
      <c r="T1073" t="s">
        <v>2383</v>
      </c>
      <c r="U1073" s="8">
        <v>45903.743888888886</v>
      </c>
      <c r="V1073" s="8">
        <v>45918.958333333336</v>
      </c>
      <c r="W1073">
        <v>1</v>
      </c>
      <c r="X1073">
        <v>26.59662037</v>
      </c>
      <c r="Y1073" t="s">
        <v>2579</v>
      </c>
      <c r="Z1073" t="s">
        <v>9560</v>
      </c>
      <c r="AA1073" t="s">
        <v>8026</v>
      </c>
      <c r="AB1073" t="s">
        <v>1278</v>
      </c>
      <c r="AC1073" t="s">
        <v>9561</v>
      </c>
      <c r="AE1073">
        <v>1</v>
      </c>
      <c r="AH1073" t="s">
        <v>9562</v>
      </c>
      <c r="AI1073" s="8">
        <v>45918.435196759259</v>
      </c>
      <c r="AK1073" t="s">
        <v>2719</v>
      </c>
      <c r="AL1073" t="s">
        <v>2719</v>
      </c>
      <c r="AO1073" t="s">
        <v>2949</v>
      </c>
      <c r="AP1073" t="s">
        <v>2401</v>
      </c>
    </row>
    <row r="1074" spans="1:42">
      <c r="A1074" t="s">
        <v>9119</v>
      </c>
      <c r="B1074" t="s">
        <v>2389</v>
      </c>
      <c r="C1074" t="s">
        <v>2691</v>
      </c>
      <c r="D1074" t="s">
        <v>2379</v>
      </c>
      <c r="E1074" t="s">
        <v>13</v>
      </c>
      <c r="F1074" t="s">
        <v>2588</v>
      </c>
      <c r="G1074" t="s">
        <v>13</v>
      </c>
      <c r="H1074" t="b">
        <v>1</v>
      </c>
      <c r="I1074" s="8">
        <v>45932.668067129627</v>
      </c>
      <c r="J1074" t="s">
        <v>2942</v>
      </c>
      <c r="K1074">
        <v>1199589</v>
      </c>
      <c r="L1074">
        <v>607205</v>
      </c>
      <c r="M1074" t="s">
        <v>2381</v>
      </c>
      <c r="Q1074" t="s">
        <v>2943</v>
      </c>
      <c r="R1074">
        <v>1</v>
      </c>
      <c r="S1074" t="s">
        <v>2942</v>
      </c>
      <c r="T1074" t="s">
        <v>2383</v>
      </c>
      <c r="U1074" s="8">
        <v>45904.616550925923</v>
      </c>
      <c r="V1074" s="8">
        <v>45932.958333333336</v>
      </c>
      <c r="W1074">
        <v>1</v>
      </c>
      <c r="X1074">
        <v>20.051516203999999</v>
      </c>
      <c r="Y1074" t="s">
        <v>2579</v>
      </c>
      <c r="Z1074" t="s">
        <v>9120</v>
      </c>
      <c r="AA1074" t="s">
        <v>2946</v>
      </c>
      <c r="AB1074" t="s">
        <v>1278</v>
      </c>
      <c r="AC1074" t="s">
        <v>9121</v>
      </c>
      <c r="AD1074" t="s">
        <v>2708</v>
      </c>
      <c r="AE1074">
        <v>1</v>
      </c>
      <c r="AH1074" t="s">
        <v>9118</v>
      </c>
      <c r="AI1074" s="8">
        <v>45931.658750000002</v>
      </c>
      <c r="AK1074" t="s">
        <v>2719</v>
      </c>
      <c r="AL1074" t="s">
        <v>2719</v>
      </c>
      <c r="AO1074" t="s">
        <v>2949</v>
      </c>
      <c r="AP1074" t="s">
        <v>2401</v>
      </c>
    </row>
    <row r="1075" spans="1:42">
      <c r="A1075" t="s">
        <v>9274</v>
      </c>
      <c r="B1075" t="s">
        <v>2389</v>
      </c>
      <c r="C1075" t="s">
        <v>2443</v>
      </c>
      <c r="D1075" t="s">
        <v>2443</v>
      </c>
      <c r="E1075" t="s">
        <v>2452</v>
      </c>
      <c r="F1075" t="s">
        <v>2417</v>
      </c>
      <c r="G1075" t="s">
        <v>2452</v>
      </c>
      <c r="H1075" t="b">
        <v>1</v>
      </c>
      <c r="I1075" s="8">
        <v>45937.621655092589</v>
      </c>
      <c r="J1075" t="s">
        <v>2380</v>
      </c>
      <c r="K1075">
        <v>1200543</v>
      </c>
      <c r="L1075">
        <v>603558</v>
      </c>
      <c r="M1075" t="s">
        <v>2381</v>
      </c>
      <c r="P1075" t="s">
        <v>2394</v>
      </c>
      <c r="Q1075" t="s">
        <v>2383</v>
      </c>
      <c r="R1075">
        <v>1</v>
      </c>
      <c r="S1075" t="s">
        <v>2380</v>
      </c>
      <c r="T1075" t="s">
        <v>2383</v>
      </c>
      <c r="U1075" s="8">
        <v>45905.471597222226</v>
      </c>
      <c r="V1075" s="8">
        <v>45910.958333333336</v>
      </c>
      <c r="W1075">
        <v>1</v>
      </c>
      <c r="X1075">
        <v>22.150057870000001</v>
      </c>
      <c r="Y1075" t="s">
        <v>2418</v>
      </c>
      <c r="Z1075" t="s">
        <v>9275</v>
      </c>
      <c r="AA1075" t="s">
        <v>2989</v>
      </c>
      <c r="AB1075" t="s">
        <v>1278</v>
      </c>
      <c r="AC1075" t="s">
        <v>9276</v>
      </c>
      <c r="AD1075" t="s">
        <v>2708</v>
      </c>
      <c r="AE1075">
        <v>1</v>
      </c>
      <c r="AF1075" t="s">
        <v>18</v>
      </c>
      <c r="AH1075" t="s">
        <v>2452</v>
      </c>
      <c r="AI1075" s="8">
        <v>45937.620312500003</v>
      </c>
      <c r="AK1075" t="s">
        <v>2719</v>
      </c>
      <c r="AL1075" t="s">
        <v>2719</v>
      </c>
      <c r="AO1075" t="s">
        <v>2408</v>
      </c>
      <c r="AP1075" t="s">
        <v>2401</v>
      </c>
    </row>
    <row r="1076" spans="1:42">
      <c r="A1076" t="s">
        <v>8028</v>
      </c>
      <c r="B1076" t="s">
        <v>2389</v>
      </c>
      <c r="C1076" t="s">
        <v>2691</v>
      </c>
      <c r="D1076" t="s">
        <v>2379</v>
      </c>
      <c r="E1076" t="s">
        <v>8023</v>
      </c>
      <c r="F1076" t="s">
        <v>2588</v>
      </c>
      <c r="G1076" t="s">
        <v>8023</v>
      </c>
      <c r="H1076" t="b">
        <v>1</v>
      </c>
      <c r="I1076" s="8">
        <v>45958.432187500002</v>
      </c>
      <c r="J1076" t="s">
        <v>2942</v>
      </c>
      <c r="K1076">
        <v>1204852</v>
      </c>
      <c r="L1076">
        <v>607227</v>
      </c>
      <c r="M1076" t="s">
        <v>2381</v>
      </c>
      <c r="P1076" t="s">
        <v>5429</v>
      </c>
      <c r="Q1076" t="s">
        <v>2943</v>
      </c>
      <c r="R1076">
        <v>1</v>
      </c>
      <c r="S1076" t="s">
        <v>2942</v>
      </c>
      <c r="T1076" t="s">
        <v>2383</v>
      </c>
      <c r="U1076" s="8">
        <v>45908.423020833332</v>
      </c>
      <c r="V1076" s="8">
        <v>45961.958333333336</v>
      </c>
      <c r="W1076">
        <v>1</v>
      </c>
      <c r="X1076">
        <v>36.009166667000002</v>
      </c>
      <c r="Y1076" t="s">
        <v>2579</v>
      </c>
      <c r="Z1076" t="s">
        <v>8029</v>
      </c>
      <c r="AA1076" t="s">
        <v>8026</v>
      </c>
      <c r="AB1076" t="s">
        <v>1278</v>
      </c>
      <c r="AC1076" t="s">
        <v>8030</v>
      </c>
      <c r="AD1076" t="s">
        <v>2708</v>
      </c>
      <c r="AE1076">
        <v>1</v>
      </c>
      <c r="AO1076" t="s">
        <v>2949</v>
      </c>
      <c r="AP1076" t="s">
        <v>2401</v>
      </c>
    </row>
    <row r="1077" spans="1:42">
      <c r="A1077" t="s">
        <v>3652</v>
      </c>
      <c r="B1077" t="s">
        <v>2377</v>
      </c>
      <c r="C1077" t="s">
        <v>2691</v>
      </c>
      <c r="D1077" t="s">
        <v>2379</v>
      </c>
      <c r="E1077" t="s">
        <v>12</v>
      </c>
      <c r="F1077" t="s">
        <v>2578</v>
      </c>
      <c r="G1077" t="s">
        <v>12</v>
      </c>
      <c r="H1077" t="b">
        <v>1</v>
      </c>
      <c r="I1077" s="8">
        <v>45937.555127314816</v>
      </c>
      <c r="J1077" t="s">
        <v>2380</v>
      </c>
      <c r="L1077">
        <v>603766</v>
      </c>
      <c r="M1077" t="s">
        <v>2381</v>
      </c>
      <c r="P1077" t="s">
        <v>2427</v>
      </c>
      <c r="Q1077" t="s">
        <v>2383</v>
      </c>
      <c r="R1077">
        <v>1</v>
      </c>
      <c r="S1077" t="s">
        <v>2380</v>
      </c>
      <c r="T1077" t="s">
        <v>2383</v>
      </c>
      <c r="U1077" s="8">
        <v>45910.400092592594</v>
      </c>
      <c r="V1077" s="8">
        <v>45937.958333333336</v>
      </c>
      <c r="W1077">
        <v>1</v>
      </c>
      <c r="X1077">
        <v>19.155034722</v>
      </c>
      <c r="Y1077" t="s">
        <v>2579</v>
      </c>
      <c r="Z1077" t="s">
        <v>3653</v>
      </c>
      <c r="AA1077" t="s">
        <v>1308</v>
      </c>
      <c r="AB1077" t="s">
        <v>1278</v>
      </c>
      <c r="AC1077" t="s">
        <v>3654</v>
      </c>
      <c r="AE1077">
        <v>1</v>
      </c>
      <c r="AO1077" t="s">
        <v>3644</v>
      </c>
      <c r="AP1077" t="s">
        <v>2401</v>
      </c>
    </row>
    <row r="1078" spans="1:42">
      <c r="A1078" t="s">
        <v>9122</v>
      </c>
      <c r="B1078" t="s">
        <v>2389</v>
      </c>
      <c r="C1078" t="s">
        <v>2443</v>
      </c>
      <c r="D1078" t="s">
        <v>2443</v>
      </c>
      <c r="E1078" t="s">
        <v>13</v>
      </c>
      <c r="F1078" t="s">
        <v>2588</v>
      </c>
      <c r="G1078" t="s">
        <v>13</v>
      </c>
      <c r="H1078" t="b">
        <v>1</v>
      </c>
      <c r="I1078" s="8">
        <v>45939.658668981479</v>
      </c>
      <c r="J1078" t="s">
        <v>2942</v>
      </c>
      <c r="K1078">
        <v>1200177</v>
      </c>
      <c r="L1078">
        <v>607205</v>
      </c>
      <c r="M1078" t="s">
        <v>2381</v>
      </c>
      <c r="Q1078" t="s">
        <v>2943</v>
      </c>
      <c r="R1078">
        <v>1</v>
      </c>
      <c r="S1078" t="s">
        <v>2942</v>
      </c>
      <c r="T1078" t="s">
        <v>2383</v>
      </c>
      <c r="U1078" s="8">
        <v>45910.505532407406</v>
      </c>
      <c r="V1078" s="8">
        <v>45926.958333333336</v>
      </c>
      <c r="W1078">
        <v>1</v>
      </c>
      <c r="X1078">
        <v>21.153136574000001</v>
      </c>
      <c r="Y1078" t="s">
        <v>2579</v>
      </c>
      <c r="Z1078" t="s">
        <v>9123</v>
      </c>
      <c r="AA1078" t="s">
        <v>2946</v>
      </c>
      <c r="AB1078" t="s">
        <v>1278</v>
      </c>
      <c r="AC1078" t="s">
        <v>9124</v>
      </c>
      <c r="AD1078" t="s">
        <v>2708</v>
      </c>
      <c r="AE1078">
        <v>1</v>
      </c>
      <c r="AH1078" t="s">
        <v>9118</v>
      </c>
      <c r="AI1078" s="8">
        <v>45939.47625</v>
      </c>
      <c r="AK1078" t="s">
        <v>2719</v>
      </c>
      <c r="AL1078" t="s">
        <v>2719</v>
      </c>
      <c r="AO1078" t="s">
        <v>2949</v>
      </c>
      <c r="AP1078" t="s">
        <v>2401</v>
      </c>
    </row>
    <row r="1079" spans="1:42">
      <c r="A1079" t="s">
        <v>2810</v>
      </c>
      <c r="B1079" t="s">
        <v>2389</v>
      </c>
      <c r="C1079" t="s">
        <v>2691</v>
      </c>
      <c r="D1079" t="s">
        <v>2379</v>
      </c>
      <c r="E1079" t="s">
        <v>2452</v>
      </c>
      <c r="F1079" t="s">
        <v>2477</v>
      </c>
      <c r="G1079" t="s">
        <v>2452</v>
      </c>
      <c r="H1079" t="b">
        <v>1</v>
      </c>
      <c r="I1079" s="8">
        <v>45931.438206018516</v>
      </c>
      <c r="J1079" t="s">
        <v>2380</v>
      </c>
      <c r="L1079">
        <v>601035</v>
      </c>
      <c r="M1079" t="s">
        <v>2381</v>
      </c>
      <c r="P1079" t="s">
        <v>2394</v>
      </c>
      <c r="Q1079" t="s">
        <v>2383</v>
      </c>
      <c r="R1079">
        <v>1</v>
      </c>
      <c r="S1079" t="s">
        <v>2380</v>
      </c>
      <c r="T1079" t="s">
        <v>2383</v>
      </c>
      <c r="U1079" s="8">
        <v>45911.430231481485</v>
      </c>
      <c r="V1079" s="8">
        <v>45936.958333333336</v>
      </c>
      <c r="W1079">
        <v>1</v>
      </c>
      <c r="X1079">
        <v>14.007974537000001</v>
      </c>
      <c r="Y1079" t="s">
        <v>2403</v>
      </c>
      <c r="Z1079" t="s">
        <v>2811</v>
      </c>
      <c r="AA1079" t="s">
        <v>2303</v>
      </c>
      <c r="AB1079" t="s">
        <v>1278</v>
      </c>
      <c r="AC1079" t="s">
        <v>2812</v>
      </c>
      <c r="AE1079">
        <v>1</v>
      </c>
      <c r="AO1079" t="s">
        <v>2408</v>
      </c>
      <c r="AP1079" t="s">
        <v>2401</v>
      </c>
    </row>
    <row r="1080" spans="1:42">
      <c r="A1080" t="s">
        <v>9150</v>
      </c>
      <c r="B1080" t="s">
        <v>2389</v>
      </c>
      <c r="C1080" t="s">
        <v>2443</v>
      </c>
      <c r="D1080" t="s">
        <v>2443</v>
      </c>
      <c r="E1080" t="s">
        <v>33</v>
      </c>
      <c r="F1080" t="s">
        <v>2588</v>
      </c>
      <c r="G1080" t="s">
        <v>33</v>
      </c>
      <c r="H1080" t="b">
        <v>1</v>
      </c>
      <c r="I1080" s="8">
        <v>45937.558645833335</v>
      </c>
      <c r="J1080" t="s">
        <v>2380</v>
      </c>
      <c r="K1080">
        <v>1199392</v>
      </c>
      <c r="L1080">
        <v>604105</v>
      </c>
      <c r="M1080" t="s">
        <v>2381</v>
      </c>
      <c r="P1080" t="s">
        <v>2394</v>
      </c>
      <c r="Q1080" t="s">
        <v>2395</v>
      </c>
      <c r="R1080">
        <v>1</v>
      </c>
      <c r="S1080" t="s">
        <v>2380</v>
      </c>
      <c r="T1080" t="s">
        <v>2383</v>
      </c>
      <c r="U1080" s="8">
        <v>45911.571782407409</v>
      </c>
      <c r="V1080" s="8">
        <v>45924.958333333336</v>
      </c>
      <c r="W1080">
        <v>1</v>
      </c>
      <c r="X1080">
        <v>17.986863425999999</v>
      </c>
      <c r="Y1080" t="s">
        <v>2579</v>
      </c>
      <c r="Z1080" t="s">
        <v>9151</v>
      </c>
      <c r="AA1080" t="s">
        <v>9152</v>
      </c>
      <c r="AB1080" t="s">
        <v>1278</v>
      </c>
      <c r="AC1080" t="s">
        <v>9153</v>
      </c>
      <c r="AD1080" t="s">
        <v>2708</v>
      </c>
      <c r="AE1080">
        <v>1</v>
      </c>
      <c r="AH1080" t="s">
        <v>12</v>
      </c>
      <c r="AI1080" s="8">
        <v>45937.55740740741</v>
      </c>
      <c r="AK1080" t="s">
        <v>2719</v>
      </c>
      <c r="AL1080" t="s">
        <v>2719</v>
      </c>
      <c r="AO1080" t="s">
        <v>4137</v>
      </c>
      <c r="AP1080" t="s">
        <v>2401</v>
      </c>
    </row>
    <row r="1081" spans="1:42">
      <c r="A1081" t="s">
        <v>2705</v>
      </c>
      <c r="B1081" t="s">
        <v>2377</v>
      </c>
      <c r="C1081" t="s">
        <v>2691</v>
      </c>
      <c r="D1081" t="s">
        <v>2379</v>
      </c>
      <c r="E1081" t="s">
        <v>12</v>
      </c>
      <c r="G1081" t="s">
        <v>12</v>
      </c>
      <c r="H1081" t="b">
        <v>1</v>
      </c>
      <c r="I1081" s="8">
        <v>45936.603321759256</v>
      </c>
      <c r="J1081" t="s">
        <v>2380</v>
      </c>
      <c r="L1081">
        <v>605239</v>
      </c>
      <c r="M1081" t="s">
        <v>2381</v>
      </c>
      <c r="P1081" t="s">
        <v>2704</v>
      </c>
      <c r="Q1081" t="s">
        <v>2383</v>
      </c>
      <c r="R1081">
        <v>1</v>
      </c>
      <c r="S1081" t="s">
        <v>2380</v>
      </c>
      <c r="T1081" t="s">
        <v>2383</v>
      </c>
      <c r="U1081" s="8">
        <v>45911.503599537034</v>
      </c>
      <c r="V1081" s="8">
        <v>45936.958333333336</v>
      </c>
      <c r="W1081">
        <v>1</v>
      </c>
      <c r="X1081">
        <v>17.099722222</v>
      </c>
      <c r="Z1081" t="s">
        <v>2706</v>
      </c>
      <c r="AA1081" t="s">
        <v>1616</v>
      </c>
      <c r="AB1081" t="s">
        <v>1278</v>
      </c>
      <c r="AC1081" t="s">
        <v>2707</v>
      </c>
      <c r="AD1081" t="s">
        <v>2708</v>
      </c>
      <c r="AE1081">
        <v>1</v>
      </c>
      <c r="AO1081" t="s">
        <v>2408</v>
      </c>
    </row>
    <row r="1082" spans="1:42">
      <c r="A1082" t="s">
        <v>8072</v>
      </c>
      <c r="B1082" t="s">
        <v>2389</v>
      </c>
      <c r="C1082" t="s">
        <v>2691</v>
      </c>
      <c r="D1082" t="s">
        <v>2379</v>
      </c>
      <c r="E1082" t="s">
        <v>2452</v>
      </c>
      <c r="F1082" t="s">
        <v>2417</v>
      </c>
      <c r="G1082" t="s">
        <v>2452</v>
      </c>
      <c r="H1082" t="b">
        <v>1</v>
      </c>
      <c r="I1082" s="8">
        <v>45933.651377314818</v>
      </c>
      <c r="J1082" t="s">
        <v>2380</v>
      </c>
      <c r="K1082">
        <v>1200162</v>
      </c>
      <c r="L1082">
        <v>603085</v>
      </c>
      <c r="M1082" t="s">
        <v>2381</v>
      </c>
      <c r="P1082" t="s">
        <v>2394</v>
      </c>
      <c r="Q1082" t="s">
        <v>2383</v>
      </c>
      <c r="R1082">
        <v>1</v>
      </c>
      <c r="S1082" t="s">
        <v>2380</v>
      </c>
      <c r="T1082" t="s">
        <v>2383</v>
      </c>
      <c r="U1082" s="8">
        <v>45911.635868055557</v>
      </c>
      <c r="V1082" s="8">
        <v>45938.958333333336</v>
      </c>
      <c r="W1082">
        <v>1</v>
      </c>
      <c r="X1082">
        <v>16.015509259000002</v>
      </c>
      <c r="Y1082" t="s">
        <v>2418</v>
      </c>
      <c r="Z1082" t="s">
        <v>8073</v>
      </c>
      <c r="AA1082" t="s">
        <v>2089</v>
      </c>
      <c r="AB1082" t="s">
        <v>1278</v>
      </c>
      <c r="AC1082" t="s">
        <v>8074</v>
      </c>
      <c r="AD1082" t="s">
        <v>2708</v>
      </c>
      <c r="AE1082">
        <v>1</v>
      </c>
      <c r="AO1082" t="s">
        <v>4121</v>
      </c>
      <c r="AP1082" t="s">
        <v>2401</v>
      </c>
    </row>
    <row r="1083" spans="1:42">
      <c r="A1083" t="s">
        <v>9146</v>
      </c>
      <c r="B1083" t="s">
        <v>2389</v>
      </c>
      <c r="C1083" t="s">
        <v>2443</v>
      </c>
      <c r="D1083" t="s">
        <v>2443</v>
      </c>
      <c r="E1083" t="s">
        <v>33</v>
      </c>
      <c r="F1083">
        <v>3801</v>
      </c>
      <c r="G1083" t="s">
        <v>33</v>
      </c>
      <c r="H1083" t="b">
        <v>1</v>
      </c>
      <c r="I1083" s="8">
        <v>45937.566678240742</v>
      </c>
      <c r="J1083" t="s">
        <v>2380</v>
      </c>
      <c r="K1083">
        <v>1199391</v>
      </c>
      <c r="L1083">
        <v>604465</v>
      </c>
      <c r="M1083" t="s">
        <v>2381</v>
      </c>
      <c r="P1083" t="s">
        <v>2394</v>
      </c>
      <c r="Q1083" t="s">
        <v>2395</v>
      </c>
      <c r="R1083">
        <v>1</v>
      </c>
      <c r="S1083" t="s">
        <v>2380</v>
      </c>
      <c r="T1083" t="s">
        <v>2383</v>
      </c>
      <c r="U1083" s="8">
        <v>45912.308831018519</v>
      </c>
      <c r="V1083" s="8">
        <v>45924.958333333336</v>
      </c>
      <c r="W1083">
        <v>1</v>
      </c>
      <c r="X1083">
        <v>17.257847221999999</v>
      </c>
      <c r="Y1083" t="s">
        <v>3318</v>
      </c>
      <c r="Z1083" t="s">
        <v>9147</v>
      </c>
      <c r="AA1083" t="s">
        <v>9148</v>
      </c>
      <c r="AB1083" t="s">
        <v>1278</v>
      </c>
      <c r="AC1083" t="s">
        <v>9149</v>
      </c>
      <c r="AD1083" t="s">
        <v>2708</v>
      </c>
      <c r="AE1083">
        <v>1</v>
      </c>
      <c r="AH1083" t="s">
        <v>12</v>
      </c>
      <c r="AI1083" s="8">
        <v>45937.564131944448</v>
      </c>
      <c r="AK1083" t="s">
        <v>2719</v>
      </c>
      <c r="AL1083" t="s">
        <v>2719</v>
      </c>
      <c r="AO1083" t="s">
        <v>4137</v>
      </c>
      <c r="AP1083" t="s">
        <v>2401</v>
      </c>
    </row>
    <row r="1084" spans="1:42">
      <c r="A1084" t="s">
        <v>9959</v>
      </c>
      <c r="B1084" t="s">
        <v>2377</v>
      </c>
      <c r="C1084" t="s">
        <v>2691</v>
      </c>
      <c r="D1084" t="s">
        <v>2379</v>
      </c>
      <c r="E1084" t="s">
        <v>25</v>
      </c>
      <c r="F1084" t="s">
        <v>3301</v>
      </c>
      <c r="G1084" t="s">
        <v>25</v>
      </c>
      <c r="H1084" t="b">
        <v>1</v>
      </c>
      <c r="I1084" s="8">
        <v>45931.398287037038</v>
      </c>
      <c r="J1084" t="s">
        <v>2380</v>
      </c>
      <c r="L1084">
        <v>602685</v>
      </c>
      <c r="M1084" t="s">
        <v>2381</v>
      </c>
      <c r="Q1084" t="s">
        <v>2383</v>
      </c>
      <c r="R1084">
        <v>1</v>
      </c>
      <c r="S1084" t="s">
        <v>2380</v>
      </c>
      <c r="T1084" t="s">
        <v>2383</v>
      </c>
      <c r="U1084" s="8">
        <v>45913.455949074072</v>
      </c>
      <c r="V1084" s="8">
        <v>45931.958333333336</v>
      </c>
      <c r="W1084">
        <v>1</v>
      </c>
      <c r="X1084">
        <v>11.942337963</v>
      </c>
      <c r="Y1084" t="s">
        <v>3302</v>
      </c>
      <c r="Z1084" t="s">
        <v>9960</v>
      </c>
      <c r="AA1084" t="s">
        <v>9961</v>
      </c>
      <c r="AB1084" t="s">
        <v>1278</v>
      </c>
      <c r="AC1084" t="s">
        <v>9962</v>
      </c>
      <c r="AE1084">
        <v>1</v>
      </c>
      <c r="AO1084" t="s">
        <v>2957</v>
      </c>
      <c r="AP1084" t="s">
        <v>2401</v>
      </c>
    </row>
    <row r="1085" spans="1:42">
      <c r="A1085" t="s">
        <v>3805</v>
      </c>
      <c r="B1085" t="s">
        <v>2377</v>
      </c>
      <c r="C1085" t="s">
        <v>2691</v>
      </c>
      <c r="D1085" t="s">
        <v>2379</v>
      </c>
      <c r="E1085" t="s">
        <v>2416</v>
      </c>
      <c r="F1085" t="s">
        <v>3747</v>
      </c>
      <c r="G1085" t="s">
        <v>2416</v>
      </c>
      <c r="H1085" t="b">
        <v>1</v>
      </c>
      <c r="I1085" s="8">
        <v>45947.43041666667</v>
      </c>
      <c r="J1085" t="s">
        <v>2380</v>
      </c>
      <c r="L1085">
        <v>609918</v>
      </c>
      <c r="M1085" t="s">
        <v>2381</v>
      </c>
      <c r="P1085" t="s">
        <v>2427</v>
      </c>
      <c r="Q1085" t="s">
        <v>2383</v>
      </c>
      <c r="R1085">
        <v>1</v>
      </c>
      <c r="S1085" t="s">
        <v>2380</v>
      </c>
      <c r="T1085" t="s">
        <v>2383</v>
      </c>
      <c r="U1085" s="8">
        <v>45913.682245370372</v>
      </c>
      <c r="V1085" s="8">
        <v>45947.958333333336</v>
      </c>
      <c r="W1085">
        <v>1</v>
      </c>
      <c r="X1085">
        <v>23.748171295999999</v>
      </c>
      <c r="Y1085" t="s">
        <v>3748</v>
      </c>
      <c r="Z1085" t="s">
        <v>3806</v>
      </c>
      <c r="AA1085" t="s">
        <v>3807</v>
      </c>
      <c r="AB1085" t="s">
        <v>1278</v>
      </c>
      <c r="AC1085" t="s">
        <v>3808</v>
      </c>
      <c r="AE1085">
        <v>1</v>
      </c>
      <c r="AO1085" t="s">
        <v>2712</v>
      </c>
      <c r="AP1085" t="s">
        <v>2401</v>
      </c>
    </row>
    <row r="1086" spans="1:42">
      <c r="A1086" t="s">
        <v>4224</v>
      </c>
      <c r="B1086" t="s">
        <v>2389</v>
      </c>
      <c r="C1086" t="s">
        <v>2691</v>
      </c>
      <c r="D1086" t="s">
        <v>2379</v>
      </c>
      <c r="E1086" t="s">
        <v>33</v>
      </c>
      <c r="F1086" t="s">
        <v>2402</v>
      </c>
      <c r="G1086" t="s">
        <v>33</v>
      </c>
      <c r="H1086" t="b">
        <v>1</v>
      </c>
      <c r="I1086" s="8">
        <v>45946.490902777776</v>
      </c>
      <c r="J1086" t="s">
        <v>2380</v>
      </c>
      <c r="K1086">
        <v>1202733</v>
      </c>
      <c r="L1086">
        <v>605277</v>
      </c>
      <c r="M1086" t="s">
        <v>2381</v>
      </c>
      <c r="Q1086" t="s">
        <v>2383</v>
      </c>
      <c r="R1086">
        <v>1</v>
      </c>
      <c r="S1086" t="s">
        <v>2380</v>
      </c>
      <c r="T1086" t="s">
        <v>2383</v>
      </c>
      <c r="U1086" s="8">
        <v>45915.65966435185</v>
      </c>
      <c r="V1086" s="8">
        <v>45950.958333333336</v>
      </c>
      <c r="W1086">
        <v>1</v>
      </c>
      <c r="X1086">
        <v>22.831238425999999</v>
      </c>
      <c r="Y1086" t="s">
        <v>2403</v>
      </c>
      <c r="Z1086" t="s">
        <v>4225</v>
      </c>
      <c r="AA1086" t="s">
        <v>4226</v>
      </c>
      <c r="AB1086" t="s">
        <v>1278</v>
      </c>
      <c r="AC1086" t="s">
        <v>4227</v>
      </c>
      <c r="AD1086" t="s">
        <v>2708</v>
      </c>
      <c r="AE1086">
        <v>1</v>
      </c>
      <c r="AO1086" t="s">
        <v>2408</v>
      </c>
      <c r="AP1086" t="s">
        <v>2401</v>
      </c>
    </row>
    <row r="1087" spans="1:42">
      <c r="A1087" t="s">
        <v>7938</v>
      </c>
      <c r="B1087" t="s">
        <v>2389</v>
      </c>
      <c r="C1087" t="s">
        <v>2691</v>
      </c>
      <c r="D1087" t="s">
        <v>2379</v>
      </c>
      <c r="E1087" t="s">
        <v>28</v>
      </c>
      <c r="F1087" t="s">
        <v>3500</v>
      </c>
      <c r="G1087" t="s">
        <v>28</v>
      </c>
      <c r="H1087" t="b">
        <v>1</v>
      </c>
      <c r="I1087" s="8">
        <v>45933.510833333334</v>
      </c>
      <c r="J1087" t="s">
        <v>2380</v>
      </c>
      <c r="K1087">
        <v>1200080</v>
      </c>
      <c r="L1087">
        <v>609991</v>
      </c>
      <c r="M1087" t="s">
        <v>2381</v>
      </c>
      <c r="N1087">
        <v>15</v>
      </c>
      <c r="P1087" t="s">
        <v>2394</v>
      </c>
      <c r="Q1087" t="s">
        <v>2383</v>
      </c>
      <c r="R1087">
        <v>1</v>
      </c>
      <c r="S1087" t="s">
        <v>2380</v>
      </c>
      <c r="T1087" t="s">
        <v>2383</v>
      </c>
      <c r="U1087" s="8">
        <v>45916.463136574072</v>
      </c>
      <c r="V1087" s="8">
        <v>45933.958333333336</v>
      </c>
      <c r="W1087">
        <v>1</v>
      </c>
      <c r="X1087">
        <v>13.047696759000001</v>
      </c>
      <c r="Y1087" t="s">
        <v>3501</v>
      </c>
      <c r="Z1087" t="s">
        <v>7939</v>
      </c>
      <c r="AA1087" t="s">
        <v>3504</v>
      </c>
      <c r="AB1087" t="s">
        <v>1278</v>
      </c>
      <c r="AC1087" t="s">
        <v>7940</v>
      </c>
      <c r="AD1087" t="s">
        <v>2708</v>
      </c>
      <c r="AE1087">
        <v>1</v>
      </c>
      <c r="AO1087" t="s">
        <v>2957</v>
      </c>
      <c r="AP1087" t="s">
        <v>2401</v>
      </c>
    </row>
    <row r="1088" spans="1:42">
      <c r="A1088" t="s">
        <v>7052</v>
      </c>
      <c r="B1088" t="s">
        <v>2389</v>
      </c>
      <c r="C1088" t="s">
        <v>2691</v>
      </c>
      <c r="D1088" t="s">
        <v>2379</v>
      </c>
      <c r="E1088" t="s">
        <v>2452</v>
      </c>
      <c r="F1088" t="s">
        <v>7050</v>
      </c>
      <c r="G1088" t="s">
        <v>2452</v>
      </c>
      <c r="H1088" t="b">
        <v>1</v>
      </c>
      <c r="I1088" s="8">
        <v>45938.348761574074</v>
      </c>
      <c r="J1088" t="s">
        <v>2380</v>
      </c>
      <c r="K1088">
        <v>1200720</v>
      </c>
      <c r="L1088">
        <v>603125</v>
      </c>
      <c r="M1088" t="s">
        <v>2381</v>
      </c>
      <c r="P1088" t="s">
        <v>2394</v>
      </c>
      <c r="Q1088" t="s">
        <v>2383</v>
      </c>
      <c r="R1088">
        <v>1</v>
      </c>
      <c r="S1088" t="s">
        <v>2380</v>
      </c>
      <c r="T1088" t="s">
        <v>2383</v>
      </c>
      <c r="U1088" s="8">
        <v>45916.637777777774</v>
      </c>
      <c r="V1088" s="8">
        <v>45940.958333333336</v>
      </c>
      <c r="W1088">
        <v>1</v>
      </c>
      <c r="X1088">
        <v>15.710983796000001</v>
      </c>
      <c r="Y1088" t="s">
        <v>7051</v>
      </c>
      <c r="Z1088" t="s">
        <v>7053</v>
      </c>
      <c r="AA1088" t="s">
        <v>1387</v>
      </c>
      <c r="AB1088" t="s">
        <v>1278</v>
      </c>
      <c r="AC1088" t="s">
        <v>7054</v>
      </c>
      <c r="AD1088" t="s">
        <v>2708</v>
      </c>
      <c r="AE1088">
        <v>1</v>
      </c>
      <c r="AO1088" t="s">
        <v>2388</v>
      </c>
      <c r="AP1088" t="s">
        <v>2401</v>
      </c>
    </row>
    <row r="1089" spans="1:42">
      <c r="A1089" t="s">
        <v>9455</v>
      </c>
      <c r="B1089" t="s">
        <v>2389</v>
      </c>
      <c r="C1089" t="s">
        <v>2691</v>
      </c>
      <c r="D1089" t="s">
        <v>2379</v>
      </c>
      <c r="E1089" t="s">
        <v>2452</v>
      </c>
      <c r="F1089">
        <v>6394</v>
      </c>
      <c r="G1089" t="s">
        <v>2452</v>
      </c>
      <c r="H1089" t="b">
        <v>1</v>
      </c>
      <c r="I1089" s="8">
        <v>45931.425567129627</v>
      </c>
      <c r="J1089" t="s">
        <v>2380</v>
      </c>
      <c r="K1089">
        <v>1199637</v>
      </c>
      <c r="L1089">
        <v>605798</v>
      </c>
      <c r="M1089" t="s">
        <v>2381</v>
      </c>
      <c r="P1089" t="s">
        <v>2394</v>
      </c>
      <c r="Q1089" t="s">
        <v>2383</v>
      </c>
      <c r="R1089">
        <v>1</v>
      </c>
      <c r="S1089" t="s">
        <v>2380</v>
      </c>
      <c r="T1089" t="s">
        <v>2383</v>
      </c>
      <c r="U1089" s="8">
        <v>45916.674097222225</v>
      </c>
      <c r="V1089" s="8">
        <v>45936.958333333336</v>
      </c>
      <c r="W1089">
        <v>1</v>
      </c>
      <c r="X1089">
        <v>10.751469907000001</v>
      </c>
      <c r="Y1089" t="s">
        <v>3241</v>
      </c>
      <c r="Z1089" t="s">
        <v>9456</v>
      </c>
      <c r="AA1089" t="s">
        <v>9419</v>
      </c>
      <c r="AB1089" t="s">
        <v>1278</v>
      </c>
      <c r="AC1089" t="s">
        <v>9457</v>
      </c>
      <c r="AD1089" t="s">
        <v>2708</v>
      </c>
      <c r="AE1089">
        <v>1</v>
      </c>
      <c r="AO1089" t="s">
        <v>2388</v>
      </c>
      <c r="AP1089" t="s">
        <v>8931</v>
      </c>
    </row>
    <row r="1090" spans="1:42">
      <c r="A1090" t="s">
        <v>9115</v>
      </c>
      <c r="B1090" t="s">
        <v>2389</v>
      </c>
      <c r="C1090" t="s">
        <v>2691</v>
      </c>
      <c r="D1090" t="s">
        <v>2379</v>
      </c>
      <c r="E1090" t="s">
        <v>8023</v>
      </c>
      <c r="F1090" t="s">
        <v>2588</v>
      </c>
      <c r="G1090" t="s">
        <v>8023</v>
      </c>
      <c r="H1090" t="b">
        <v>1</v>
      </c>
      <c r="I1090" s="8">
        <v>45939.501817129632</v>
      </c>
      <c r="J1090" t="s">
        <v>2942</v>
      </c>
      <c r="K1090">
        <v>1201243</v>
      </c>
      <c r="L1090">
        <v>607227</v>
      </c>
      <c r="M1090" t="s">
        <v>2381</v>
      </c>
      <c r="P1090" t="s">
        <v>5429</v>
      </c>
      <c r="Q1090" t="s">
        <v>2943</v>
      </c>
      <c r="R1090">
        <v>1</v>
      </c>
      <c r="S1090" t="s">
        <v>2942</v>
      </c>
      <c r="T1090" t="s">
        <v>2383</v>
      </c>
      <c r="U1090" s="8">
        <v>45917.488020833334</v>
      </c>
      <c r="V1090" s="8">
        <v>45940.958333333336</v>
      </c>
      <c r="W1090">
        <v>1</v>
      </c>
      <c r="X1090">
        <v>16.013796295999999</v>
      </c>
      <c r="Y1090" t="s">
        <v>2579</v>
      </c>
      <c r="Z1090" t="s">
        <v>9116</v>
      </c>
      <c r="AA1090" t="s">
        <v>8026</v>
      </c>
      <c r="AB1090" t="s">
        <v>1278</v>
      </c>
      <c r="AC1090" t="s">
        <v>9117</v>
      </c>
      <c r="AD1090" t="s">
        <v>2708</v>
      </c>
      <c r="AE1090">
        <v>1</v>
      </c>
      <c r="AH1090" t="s">
        <v>9118</v>
      </c>
      <c r="AI1090" s="8">
        <v>45939.487384259257</v>
      </c>
      <c r="AK1090" t="s">
        <v>2719</v>
      </c>
      <c r="AL1090" t="s">
        <v>2719</v>
      </c>
      <c r="AO1090" t="s">
        <v>2949</v>
      </c>
      <c r="AP1090" t="s">
        <v>2401</v>
      </c>
    </row>
    <row r="1091" spans="1:42">
      <c r="A1091" t="s">
        <v>8198</v>
      </c>
      <c r="B1091" t="s">
        <v>2389</v>
      </c>
      <c r="C1091" t="s">
        <v>2443</v>
      </c>
      <c r="D1091" t="s">
        <v>2443</v>
      </c>
      <c r="E1091" t="s">
        <v>307</v>
      </c>
      <c r="F1091" t="s">
        <v>2779</v>
      </c>
      <c r="G1091" t="s">
        <v>307</v>
      </c>
      <c r="H1091" t="b">
        <v>1</v>
      </c>
      <c r="I1091" s="8">
        <v>45936.653113425928</v>
      </c>
      <c r="J1091" t="s">
        <v>2380</v>
      </c>
      <c r="K1091">
        <v>1200369</v>
      </c>
      <c r="L1091">
        <v>604220</v>
      </c>
      <c r="M1091" t="s">
        <v>2381</v>
      </c>
      <c r="P1091" t="s">
        <v>2548</v>
      </c>
      <c r="Q1091" t="s">
        <v>2395</v>
      </c>
      <c r="R1091">
        <v>1</v>
      </c>
      <c r="S1091" t="s">
        <v>2380</v>
      </c>
      <c r="T1091" t="s">
        <v>2383</v>
      </c>
      <c r="U1091" s="8">
        <v>45917.5155787037</v>
      </c>
      <c r="V1091" s="8">
        <v>45933.958333333336</v>
      </c>
      <c r="W1091">
        <v>1</v>
      </c>
      <c r="X1091">
        <v>13.137534722</v>
      </c>
      <c r="Y1091" t="s">
        <v>1352</v>
      </c>
      <c r="Z1091" t="s">
        <v>8199</v>
      </c>
      <c r="AA1091" t="s">
        <v>8200</v>
      </c>
      <c r="AB1091" t="s">
        <v>1278</v>
      </c>
      <c r="AD1091" t="s">
        <v>2708</v>
      </c>
      <c r="AE1091">
        <v>1</v>
      </c>
      <c r="AO1091" t="s">
        <v>4137</v>
      </c>
      <c r="AP1091" t="s">
        <v>2401</v>
      </c>
    </row>
    <row r="1092" spans="1:42">
      <c r="A1092" t="s">
        <v>3215</v>
      </c>
      <c r="B1092" t="s">
        <v>2377</v>
      </c>
      <c r="C1092" t="s">
        <v>2691</v>
      </c>
      <c r="D1092" t="s">
        <v>2379</v>
      </c>
      <c r="E1092" t="s">
        <v>2416</v>
      </c>
      <c r="F1092" t="s">
        <v>3213</v>
      </c>
      <c r="G1092" t="s">
        <v>2416</v>
      </c>
      <c r="H1092" t="b">
        <v>1</v>
      </c>
      <c r="I1092" s="8">
        <v>45938.760439814818</v>
      </c>
      <c r="J1092" t="s">
        <v>2380</v>
      </c>
      <c r="L1092">
        <v>603358</v>
      </c>
      <c r="M1092" t="s">
        <v>2381</v>
      </c>
      <c r="Q1092" t="s">
        <v>2383</v>
      </c>
      <c r="R1092">
        <v>1</v>
      </c>
      <c r="S1092" t="s">
        <v>2380</v>
      </c>
      <c r="T1092" t="s">
        <v>2383</v>
      </c>
      <c r="U1092" s="8">
        <v>45917.674409722225</v>
      </c>
      <c r="V1092" s="8">
        <v>45943.958333333336</v>
      </c>
      <c r="W1092">
        <v>1</v>
      </c>
      <c r="X1092">
        <v>15.086030093</v>
      </c>
      <c r="Y1092" t="s">
        <v>3214</v>
      </c>
      <c r="Z1092" t="s">
        <v>3216</v>
      </c>
      <c r="AA1092" t="s">
        <v>2302</v>
      </c>
      <c r="AB1092" t="s">
        <v>1278</v>
      </c>
      <c r="AC1092" t="s">
        <v>3217</v>
      </c>
      <c r="AE1092">
        <v>1</v>
      </c>
      <c r="AO1092" t="s">
        <v>2388</v>
      </c>
      <c r="AP1092" t="s">
        <v>2401</v>
      </c>
    </row>
    <row r="1093" spans="1:42">
      <c r="A1093" t="s">
        <v>8177</v>
      </c>
      <c r="B1093" t="s">
        <v>2389</v>
      </c>
      <c r="C1093" t="s">
        <v>2691</v>
      </c>
      <c r="D1093" t="s">
        <v>2379</v>
      </c>
      <c r="E1093" t="s">
        <v>307</v>
      </c>
      <c r="F1093">
        <v>6415</v>
      </c>
      <c r="G1093" t="s">
        <v>307</v>
      </c>
      <c r="H1093" t="b">
        <v>1</v>
      </c>
      <c r="I1093" s="8">
        <v>45933.620821759258</v>
      </c>
      <c r="J1093" t="s">
        <v>2380</v>
      </c>
      <c r="K1093">
        <v>1200150</v>
      </c>
      <c r="L1093">
        <v>604475</v>
      </c>
      <c r="M1093" t="s">
        <v>2381</v>
      </c>
      <c r="Q1093" t="s">
        <v>2395</v>
      </c>
      <c r="R1093">
        <v>1</v>
      </c>
      <c r="S1093" t="s">
        <v>2380</v>
      </c>
      <c r="T1093" t="s">
        <v>2383</v>
      </c>
      <c r="U1093" s="8">
        <v>45918.680138888885</v>
      </c>
      <c r="V1093" s="8">
        <v>45938.958333333336</v>
      </c>
      <c r="W1093">
        <v>1</v>
      </c>
      <c r="X1093">
        <v>10.94068287</v>
      </c>
      <c r="Y1093" t="s">
        <v>8176</v>
      </c>
      <c r="Z1093" t="s">
        <v>8178</v>
      </c>
      <c r="AA1093" t="s">
        <v>8179</v>
      </c>
      <c r="AB1093" t="s">
        <v>1278</v>
      </c>
      <c r="AC1093" t="s">
        <v>8180</v>
      </c>
      <c r="AD1093" t="s">
        <v>2708</v>
      </c>
      <c r="AE1093">
        <v>1</v>
      </c>
      <c r="AO1093" t="s">
        <v>4137</v>
      </c>
      <c r="AP1093" t="s">
        <v>2401</v>
      </c>
    </row>
    <row r="1094" spans="1:42">
      <c r="A1094" t="s">
        <v>7723</v>
      </c>
      <c r="B1094" t="s">
        <v>2389</v>
      </c>
      <c r="C1094" t="s">
        <v>2691</v>
      </c>
      <c r="D1094" t="s">
        <v>2379</v>
      </c>
      <c r="E1094" t="s">
        <v>2452</v>
      </c>
      <c r="F1094" t="s">
        <v>4709</v>
      </c>
      <c r="G1094" t="s">
        <v>2452</v>
      </c>
      <c r="H1094" t="b">
        <v>1</v>
      </c>
      <c r="I1094" s="8">
        <v>45939.603888888887</v>
      </c>
      <c r="J1094" t="s">
        <v>2380</v>
      </c>
      <c r="K1094">
        <v>1201348</v>
      </c>
      <c r="L1094">
        <v>603571</v>
      </c>
      <c r="M1094" t="s">
        <v>2381</v>
      </c>
      <c r="P1094" t="s">
        <v>2394</v>
      </c>
      <c r="Q1094" t="s">
        <v>2383</v>
      </c>
      <c r="R1094">
        <v>1</v>
      </c>
      <c r="S1094" t="s">
        <v>2380</v>
      </c>
      <c r="T1094" t="s">
        <v>2383</v>
      </c>
      <c r="U1094" s="8">
        <v>45922.466064814813</v>
      </c>
      <c r="V1094" s="8">
        <v>45944.958333333336</v>
      </c>
      <c r="W1094">
        <v>1</v>
      </c>
      <c r="X1094">
        <v>13.137824073999999</v>
      </c>
      <c r="Y1094" t="s">
        <v>4653</v>
      </c>
      <c r="Z1094" t="s">
        <v>7724</v>
      </c>
      <c r="AA1094" t="s">
        <v>7725</v>
      </c>
      <c r="AB1094" t="s">
        <v>1278</v>
      </c>
      <c r="AC1094" t="s">
        <v>7726</v>
      </c>
      <c r="AD1094" t="s">
        <v>2708</v>
      </c>
      <c r="AE1094">
        <v>1</v>
      </c>
      <c r="AO1094" t="s">
        <v>2957</v>
      </c>
      <c r="AP1094" t="s">
        <v>2401</v>
      </c>
    </row>
    <row r="1095" spans="1:42">
      <c r="A1095" t="s">
        <v>7634</v>
      </c>
      <c r="B1095" t="s">
        <v>2389</v>
      </c>
      <c r="C1095" t="s">
        <v>2691</v>
      </c>
      <c r="D1095" t="s">
        <v>2379</v>
      </c>
      <c r="E1095" t="s">
        <v>2452</v>
      </c>
      <c r="F1095" t="s">
        <v>3261</v>
      </c>
      <c r="G1095" t="s">
        <v>2452</v>
      </c>
      <c r="H1095" t="b">
        <v>1</v>
      </c>
      <c r="I1095" s="8">
        <v>45931.465740740743</v>
      </c>
      <c r="J1095" t="s">
        <v>2380</v>
      </c>
      <c r="K1095">
        <v>1199656</v>
      </c>
      <c r="L1095">
        <v>603162</v>
      </c>
      <c r="M1095" t="s">
        <v>2381</v>
      </c>
      <c r="Q1095" t="s">
        <v>2383</v>
      </c>
      <c r="R1095">
        <v>1</v>
      </c>
      <c r="S1095" t="s">
        <v>2380</v>
      </c>
      <c r="T1095" t="s">
        <v>2383</v>
      </c>
      <c r="U1095" s="8">
        <v>45922.533935185187</v>
      </c>
      <c r="V1095" s="8">
        <v>45936.958333333336</v>
      </c>
      <c r="W1095">
        <v>1</v>
      </c>
      <c r="X1095">
        <v>6.9318055559999996</v>
      </c>
      <c r="Y1095" t="s">
        <v>3262</v>
      </c>
      <c r="Z1095" t="s">
        <v>7635</v>
      </c>
      <c r="AA1095" t="s">
        <v>7636</v>
      </c>
      <c r="AB1095" t="s">
        <v>1278</v>
      </c>
      <c r="AC1095" t="s">
        <v>7637</v>
      </c>
      <c r="AD1095" t="s">
        <v>2708</v>
      </c>
      <c r="AE1095">
        <v>1</v>
      </c>
      <c r="AO1095" t="s">
        <v>2957</v>
      </c>
      <c r="AP1095" t="s">
        <v>2401</v>
      </c>
    </row>
    <row r="1096" spans="1:42">
      <c r="A1096" t="s">
        <v>7064</v>
      </c>
      <c r="B1096" t="s">
        <v>2389</v>
      </c>
      <c r="C1096" t="s">
        <v>2691</v>
      </c>
      <c r="D1096" t="s">
        <v>2379</v>
      </c>
      <c r="E1096" t="s">
        <v>2452</v>
      </c>
      <c r="F1096" t="s">
        <v>2578</v>
      </c>
      <c r="G1096" t="s">
        <v>2452</v>
      </c>
      <c r="H1096" t="b">
        <v>1</v>
      </c>
      <c r="I1096" s="8">
        <v>45932.671493055554</v>
      </c>
      <c r="J1096" t="s">
        <v>2380</v>
      </c>
      <c r="K1096">
        <v>1199991</v>
      </c>
      <c r="L1096">
        <v>601850</v>
      </c>
      <c r="M1096" t="s">
        <v>2381</v>
      </c>
      <c r="P1096" t="s">
        <v>2427</v>
      </c>
      <c r="Q1096" t="s">
        <v>2383</v>
      </c>
      <c r="R1096">
        <v>1</v>
      </c>
      <c r="S1096" t="s">
        <v>2380</v>
      </c>
      <c r="T1096" t="s">
        <v>2383</v>
      </c>
      <c r="U1096" s="8">
        <v>45922.589826388888</v>
      </c>
      <c r="V1096" s="8">
        <v>45937.958333333336</v>
      </c>
      <c r="W1096">
        <v>1</v>
      </c>
      <c r="X1096">
        <v>8.0816666670000004</v>
      </c>
      <c r="Y1096" t="s">
        <v>2579</v>
      </c>
      <c r="Z1096" t="s">
        <v>7065</v>
      </c>
      <c r="AA1096" t="s">
        <v>2649</v>
      </c>
      <c r="AB1096" t="s">
        <v>1278</v>
      </c>
      <c r="AC1096" t="s">
        <v>7066</v>
      </c>
      <c r="AD1096" t="s">
        <v>2708</v>
      </c>
      <c r="AE1096">
        <v>1</v>
      </c>
      <c r="AO1096" t="s">
        <v>2388</v>
      </c>
      <c r="AP1096" t="s">
        <v>2401</v>
      </c>
    </row>
    <row r="1097" spans="1:42">
      <c r="A1097" t="s">
        <v>7067</v>
      </c>
      <c r="B1097" t="s">
        <v>2389</v>
      </c>
      <c r="C1097" t="s">
        <v>2691</v>
      </c>
      <c r="D1097" t="s">
        <v>2379</v>
      </c>
      <c r="E1097" t="s">
        <v>2452</v>
      </c>
      <c r="F1097" t="s">
        <v>2588</v>
      </c>
      <c r="G1097" t="s">
        <v>2452</v>
      </c>
      <c r="H1097" t="b">
        <v>1</v>
      </c>
      <c r="I1097" s="8">
        <v>45933.390555555554</v>
      </c>
      <c r="J1097" t="s">
        <v>2380</v>
      </c>
      <c r="K1097">
        <v>1200000</v>
      </c>
      <c r="L1097">
        <v>603525</v>
      </c>
      <c r="M1097" t="s">
        <v>2381</v>
      </c>
      <c r="P1097" t="s">
        <v>2427</v>
      </c>
      <c r="Q1097" t="s">
        <v>2383</v>
      </c>
      <c r="R1097">
        <v>1</v>
      </c>
      <c r="S1097" t="s">
        <v>2380</v>
      </c>
      <c r="T1097" t="s">
        <v>2383</v>
      </c>
      <c r="U1097" s="8">
        <v>45923.390289351853</v>
      </c>
      <c r="V1097" s="8">
        <v>45938.958333333336</v>
      </c>
      <c r="W1097">
        <v>1</v>
      </c>
      <c r="X1097">
        <v>8.0002662040000008</v>
      </c>
      <c r="Y1097" t="s">
        <v>2579</v>
      </c>
      <c r="Z1097" t="s">
        <v>7068</v>
      </c>
      <c r="AA1097" t="s">
        <v>2699</v>
      </c>
      <c r="AB1097" t="s">
        <v>1278</v>
      </c>
      <c r="AC1097" t="s">
        <v>7069</v>
      </c>
      <c r="AD1097" t="s">
        <v>2708</v>
      </c>
      <c r="AE1097">
        <v>1</v>
      </c>
      <c r="AO1097" t="s">
        <v>2388</v>
      </c>
      <c r="AP1097" t="s">
        <v>2401</v>
      </c>
    </row>
    <row r="1098" spans="1:42">
      <c r="A1098" t="s">
        <v>9728</v>
      </c>
      <c r="B1098" t="s">
        <v>2389</v>
      </c>
      <c r="C1098" t="s">
        <v>2691</v>
      </c>
      <c r="D1098" t="s">
        <v>2379</v>
      </c>
      <c r="E1098" t="s">
        <v>28</v>
      </c>
      <c r="F1098" t="s">
        <v>3636</v>
      </c>
      <c r="G1098" t="s">
        <v>28</v>
      </c>
      <c r="H1098" t="b">
        <v>1</v>
      </c>
      <c r="I1098" s="8">
        <v>45931.522511574076</v>
      </c>
      <c r="J1098" t="s">
        <v>2380</v>
      </c>
      <c r="K1098">
        <v>1199672</v>
      </c>
      <c r="L1098">
        <v>608493</v>
      </c>
      <c r="M1098" t="s">
        <v>2381</v>
      </c>
      <c r="N1098">
        <v>15</v>
      </c>
      <c r="P1098" t="s">
        <v>2394</v>
      </c>
      <c r="Q1098" t="s">
        <v>2383</v>
      </c>
      <c r="R1098">
        <v>1</v>
      </c>
      <c r="S1098" t="s">
        <v>2380</v>
      </c>
      <c r="T1098" t="s">
        <v>2383</v>
      </c>
      <c r="U1098" s="8">
        <v>45923.398773148147</v>
      </c>
      <c r="V1098" s="8">
        <v>45931.958333333336</v>
      </c>
      <c r="W1098">
        <v>1</v>
      </c>
      <c r="X1098">
        <v>6.1237384260000001</v>
      </c>
      <c r="Y1098" t="s">
        <v>2628</v>
      </c>
      <c r="Z1098" t="s">
        <v>9729</v>
      </c>
      <c r="AA1098" t="s">
        <v>9730</v>
      </c>
      <c r="AB1098" t="s">
        <v>1278</v>
      </c>
      <c r="AC1098" t="s">
        <v>9731</v>
      </c>
      <c r="AD1098" t="s">
        <v>2708</v>
      </c>
      <c r="AE1098">
        <v>1</v>
      </c>
      <c r="AO1098" t="s">
        <v>3608</v>
      </c>
      <c r="AP1098" t="s">
        <v>2401</v>
      </c>
    </row>
    <row r="1099" spans="1:42">
      <c r="A1099" t="s">
        <v>7278</v>
      </c>
      <c r="B1099" t="s">
        <v>2389</v>
      </c>
      <c r="C1099" t="s">
        <v>2443</v>
      </c>
      <c r="D1099" t="s">
        <v>2443</v>
      </c>
      <c r="E1099" t="s">
        <v>25</v>
      </c>
      <c r="F1099" t="s">
        <v>2588</v>
      </c>
      <c r="G1099" t="s">
        <v>25</v>
      </c>
      <c r="H1099" t="b">
        <v>1</v>
      </c>
      <c r="I1099" s="8">
        <v>45931.358472222222</v>
      </c>
      <c r="J1099" t="s">
        <v>2380</v>
      </c>
      <c r="K1099">
        <v>1199622</v>
      </c>
      <c r="L1099">
        <v>602896</v>
      </c>
      <c r="M1099" t="s">
        <v>2381</v>
      </c>
      <c r="N1099">
        <v>5</v>
      </c>
      <c r="Q1099" t="s">
        <v>2383</v>
      </c>
      <c r="R1099">
        <v>1</v>
      </c>
      <c r="S1099" t="s">
        <v>2380</v>
      </c>
      <c r="T1099" t="s">
        <v>2383</v>
      </c>
      <c r="U1099" s="8">
        <v>45923.403252314813</v>
      </c>
      <c r="V1099" s="8">
        <v>45929.958333333336</v>
      </c>
      <c r="W1099">
        <v>1</v>
      </c>
      <c r="X1099">
        <v>5.955219907</v>
      </c>
      <c r="Y1099" t="s">
        <v>2579</v>
      </c>
      <c r="Z1099" t="s">
        <v>7279</v>
      </c>
      <c r="AA1099" t="s">
        <v>1446</v>
      </c>
      <c r="AB1099" t="s">
        <v>1278</v>
      </c>
      <c r="AC1099" t="s">
        <v>7280</v>
      </c>
      <c r="AD1099" t="s">
        <v>2708</v>
      </c>
      <c r="AE1099">
        <v>1</v>
      </c>
      <c r="AO1099" t="s">
        <v>2388</v>
      </c>
      <c r="AP1099" t="s">
        <v>2401</v>
      </c>
    </row>
    <row r="1100" spans="1:42">
      <c r="A1100" t="s">
        <v>4008</v>
      </c>
      <c r="B1100" t="s">
        <v>2389</v>
      </c>
      <c r="C1100" t="s">
        <v>2691</v>
      </c>
      <c r="D1100" t="s">
        <v>2379</v>
      </c>
      <c r="E1100" t="s">
        <v>24</v>
      </c>
      <c r="F1100" t="s">
        <v>3747</v>
      </c>
      <c r="G1100" t="s">
        <v>24</v>
      </c>
      <c r="H1100" t="b">
        <v>1</v>
      </c>
      <c r="I1100" s="8">
        <v>45931.657233796293</v>
      </c>
      <c r="J1100" t="s">
        <v>2380</v>
      </c>
      <c r="K1100">
        <v>1199733</v>
      </c>
      <c r="L1100">
        <v>606823</v>
      </c>
      <c r="M1100" t="s">
        <v>2381</v>
      </c>
      <c r="P1100" t="s">
        <v>2394</v>
      </c>
      <c r="Q1100" t="s">
        <v>2383</v>
      </c>
      <c r="R1100">
        <v>1</v>
      </c>
      <c r="S1100" t="s">
        <v>2380</v>
      </c>
      <c r="T1100" t="s">
        <v>2383</v>
      </c>
      <c r="U1100" s="8">
        <v>45923.412199074075</v>
      </c>
      <c r="V1100" s="8">
        <v>45931.958333333336</v>
      </c>
      <c r="W1100">
        <v>1</v>
      </c>
      <c r="X1100">
        <v>6.2450347219999998</v>
      </c>
      <c r="Y1100" t="s">
        <v>3748</v>
      </c>
      <c r="Z1100" t="s">
        <v>4009</v>
      </c>
      <c r="AA1100" t="s">
        <v>3883</v>
      </c>
      <c r="AB1100" t="s">
        <v>1278</v>
      </c>
      <c r="AC1100" t="s">
        <v>4010</v>
      </c>
      <c r="AD1100" t="s">
        <v>2708</v>
      </c>
      <c r="AE1100">
        <v>1</v>
      </c>
      <c r="AO1100" t="s">
        <v>2712</v>
      </c>
      <c r="AP1100" t="s">
        <v>2401</v>
      </c>
    </row>
    <row r="1101" spans="1:42">
      <c r="A1101" t="s">
        <v>4289</v>
      </c>
      <c r="B1101" t="s">
        <v>2389</v>
      </c>
      <c r="C1101" t="s">
        <v>2691</v>
      </c>
      <c r="D1101" t="s">
        <v>2379</v>
      </c>
      <c r="E1101" t="s">
        <v>33</v>
      </c>
      <c r="F1101" t="s">
        <v>2431</v>
      </c>
      <c r="G1101" t="s">
        <v>33</v>
      </c>
      <c r="H1101" t="b">
        <v>1</v>
      </c>
      <c r="I1101" s="8">
        <v>45958.437962962962</v>
      </c>
      <c r="J1101" t="s">
        <v>2380</v>
      </c>
      <c r="K1101">
        <v>1204862</v>
      </c>
      <c r="L1101">
        <v>602731</v>
      </c>
      <c r="M1101" t="s">
        <v>2381</v>
      </c>
      <c r="P1101" t="s">
        <v>2394</v>
      </c>
      <c r="Q1101" t="s">
        <v>2383</v>
      </c>
      <c r="R1101">
        <v>1</v>
      </c>
      <c r="S1101" t="s">
        <v>2380</v>
      </c>
      <c r="T1101" t="s">
        <v>2383</v>
      </c>
      <c r="U1101" s="8">
        <v>45923.743009259262</v>
      </c>
      <c r="V1101" s="8">
        <v>45958.958333333336</v>
      </c>
      <c r="W1101">
        <v>1</v>
      </c>
      <c r="X1101">
        <v>24.694953704</v>
      </c>
      <c r="Y1101" t="s">
        <v>2433</v>
      </c>
      <c r="Z1101" t="s">
        <v>4290</v>
      </c>
      <c r="AA1101" t="s">
        <v>2993</v>
      </c>
      <c r="AB1101" t="s">
        <v>1278</v>
      </c>
      <c r="AC1101" t="s">
        <v>4291</v>
      </c>
      <c r="AD1101" t="s">
        <v>2708</v>
      </c>
      <c r="AE1101">
        <v>1</v>
      </c>
      <c r="AO1101" t="s">
        <v>2408</v>
      </c>
      <c r="AP1101" t="s">
        <v>2401</v>
      </c>
    </row>
    <row r="1102" spans="1:42">
      <c r="A1102" t="s">
        <v>4864</v>
      </c>
      <c r="B1102" t="s">
        <v>2389</v>
      </c>
      <c r="C1102" t="s">
        <v>2691</v>
      </c>
      <c r="D1102" t="s">
        <v>2379</v>
      </c>
      <c r="E1102" t="s">
        <v>28</v>
      </c>
      <c r="F1102" t="s">
        <v>3747</v>
      </c>
      <c r="G1102" t="s">
        <v>28</v>
      </c>
      <c r="H1102" t="b">
        <v>1</v>
      </c>
      <c r="I1102" s="8">
        <v>45932.422418981485</v>
      </c>
      <c r="J1102" t="s">
        <v>2380</v>
      </c>
      <c r="K1102">
        <v>1199810</v>
      </c>
      <c r="L1102">
        <v>601299</v>
      </c>
      <c r="M1102" t="s">
        <v>2381</v>
      </c>
      <c r="N1102">
        <v>15</v>
      </c>
      <c r="P1102" t="s">
        <v>2394</v>
      </c>
      <c r="Q1102" t="s">
        <v>2383</v>
      </c>
      <c r="R1102">
        <v>1</v>
      </c>
      <c r="S1102" t="s">
        <v>2380</v>
      </c>
      <c r="T1102" t="s">
        <v>2383</v>
      </c>
      <c r="U1102" s="8">
        <v>45924.309629629628</v>
      </c>
      <c r="V1102" s="8">
        <v>45932.958333333336</v>
      </c>
      <c r="W1102">
        <v>1</v>
      </c>
      <c r="X1102">
        <v>6.1127893520000001</v>
      </c>
      <c r="Y1102" t="s">
        <v>3748</v>
      </c>
      <c r="Z1102" t="s">
        <v>4865</v>
      </c>
      <c r="AA1102" t="s">
        <v>3758</v>
      </c>
      <c r="AB1102" t="s">
        <v>1278</v>
      </c>
      <c r="AC1102" t="s">
        <v>4866</v>
      </c>
      <c r="AD1102" t="s">
        <v>2708</v>
      </c>
      <c r="AE1102">
        <v>1</v>
      </c>
      <c r="AO1102" t="s">
        <v>2712</v>
      </c>
      <c r="AP1102" t="s">
        <v>2401</v>
      </c>
    </row>
    <row r="1103" spans="1:42">
      <c r="A1103" t="s">
        <v>4044</v>
      </c>
      <c r="B1103" t="s">
        <v>2389</v>
      </c>
      <c r="C1103" t="s">
        <v>2443</v>
      </c>
      <c r="D1103" t="s">
        <v>2443</v>
      </c>
      <c r="E1103" t="s">
        <v>307</v>
      </c>
      <c r="F1103" t="s">
        <v>3747</v>
      </c>
      <c r="G1103" t="s">
        <v>307</v>
      </c>
      <c r="H1103" t="b">
        <v>1</v>
      </c>
      <c r="I1103" s="8">
        <v>45933.453287037039</v>
      </c>
      <c r="J1103" t="s">
        <v>2380</v>
      </c>
      <c r="K1103">
        <v>1200046</v>
      </c>
      <c r="L1103">
        <v>602272</v>
      </c>
      <c r="M1103" t="s">
        <v>2381</v>
      </c>
      <c r="P1103" t="s">
        <v>2394</v>
      </c>
      <c r="Q1103" t="s">
        <v>2383</v>
      </c>
      <c r="R1103">
        <v>1</v>
      </c>
      <c r="S1103" t="s">
        <v>2380</v>
      </c>
      <c r="T1103" t="s">
        <v>2383</v>
      </c>
      <c r="U1103" s="8">
        <v>45924.426840277774</v>
      </c>
      <c r="V1103" s="8">
        <v>45932.958333333336</v>
      </c>
      <c r="W1103">
        <v>1</v>
      </c>
      <c r="X1103">
        <v>7.0264467589999997</v>
      </c>
      <c r="Y1103" t="s">
        <v>3748</v>
      </c>
      <c r="Z1103" t="s">
        <v>4045</v>
      </c>
      <c r="AA1103" t="s">
        <v>3824</v>
      </c>
      <c r="AB1103" t="s">
        <v>1278</v>
      </c>
      <c r="AC1103" t="s">
        <v>4046</v>
      </c>
      <c r="AD1103" t="s">
        <v>2708</v>
      </c>
      <c r="AE1103">
        <v>1</v>
      </c>
      <c r="AO1103" t="s">
        <v>2712</v>
      </c>
      <c r="AP1103" t="s">
        <v>2401</v>
      </c>
    </row>
    <row r="1104" spans="1:42">
      <c r="A1104" t="s">
        <v>9572</v>
      </c>
      <c r="B1104" t="s">
        <v>2377</v>
      </c>
      <c r="C1104" t="s">
        <v>2443</v>
      </c>
      <c r="D1104" t="s">
        <v>2443</v>
      </c>
      <c r="E1104" t="s">
        <v>9570</v>
      </c>
      <c r="F1104" t="s">
        <v>3218</v>
      </c>
      <c r="G1104" t="s">
        <v>9570</v>
      </c>
      <c r="H1104" t="b">
        <v>1</v>
      </c>
      <c r="I1104" s="8">
        <v>45952.711956018517</v>
      </c>
      <c r="J1104" t="s">
        <v>9571</v>
      </c>
      <c r="L1104">
        <v>604462</v>
      </c>
      <c r="M1104" t="s">
        <v>2381</v>
      </c>
      <c r="Q1104" t="s">
        <v>2383</v>
      </c>
      <c r="R1104">
        <v>1</v>
      </c>
      <c r="S1104" t="s">
        <v>9571</v>
      </c>
      <c r="T1104" t="s">
        <v>2383</v>
      </c>
      <c r="U1104" s="8">
        <v>45925.394305555557</v>
      </c>
      <c r="V1104" s="8">
        <v>45936.958333333336</v>
      </c>
      <c r="W1104">
        <v>1</v>
      </c>
      <c r="X1104">
        <v>19.317650463</v>
      </c>
      <c r="Y1104" t="s">
        <v>3219</v>
      </c>
      <c r="Z1104" t="s">
        <v>9573</v>
      </c>
      <c r="AA1104" t="s">
        <v>9574</v>
      </c>
      <c r="AB1104" t="s">
        <v>1278</v>
      </c>
      <c r="AC1104" t="s">
        <v>9575</v>
      </c>
      <c r="AE1104">
        <v>1</v>
      </c>
      <c r="AH1104" t="s">
        <v>2948</v>
      </c>
      <c r="AI1104" s="8">
        <v>45952.648912037039</v>
      </c>
      <c r="AK1104" t="s">
        <v>2719</v>
      </c>
      <c r="AL1104" t="s">
        <v>2719</v>
      </c>
      <c r="AO1104" t="s">
        <v>4137</v>
      </c>
      <c r="AP1104" t="s">
        <v>2401</v>
      </c>
    </row>
    <row r="1105" spans="1:42">
      <c r="A1105" t="s">
        <v>4011</v>
      </c>
      <c r="B1105" t="s">
        <v>2389</v>
      </c>
      <c r="C1105" t="s">
        <v>2691</v>
      </c>
      <c r="D1105" t="s">
        <v>2379</v>
      </c>
      <c r="E1105" t="s">
        <v>24</v>
      </c>
      <c r="F1105" t="s">
        <v>3747</v>
      </c>
      <c r="G1105" t="s">
        <v>24</v>
      </c>
      <c r="H1105" t="b">
        <v>1</v>
      </c>
      <c r="I1105" s="8">
        <v>45932.528182870374</v>
      </c>
      <c r="J1105" t="s">
        <v>2380</v>
      </c>
      <c r="K1105">
        <v>1199900</v>
      </c>
      <c r="L1105">
        <v>609121</v>
      </c>
      <c r="M1105" t="s">
        <v>2381</v>
      </c>
      <c r="P1105" t="s">
        <v>2394</v>
      </c>
      <c r="Q1105" t="s">
        <v>2383</v>
      </c>
      <c r="R1105">
        <v>1</v>
      </c>
      <c r="S1105" t="s">
        <v>2380</v>
      </c>
      <c r="T1105" t="s">
        <v>2383</v>
      </c>
      <c r="U1105" s="8">
        <v>45924.700567129628</v>
      </c>
      <c r="V1105" s="8">
        <v>45937.958333333336</v>
      </c>
      <c r="W1105">
        <v>1</v>
      </c>
      <c r="X1105">
        <v>5.8276157409999998</v>
      </c>
      <c r="Y1105" t="s">
        <v>3748</v>
      </c>
      <c r="Z1105" t="s">
        <v>4012</v>
      </c>
      <c r="AA1105" t="s">
        <v>3751</v>
      </c>
      <c r="AB1105" t="s">
        <v>1278</v>
      </c>
      <c r="AC1105" t="s">
        <v>4013</v>
      </c>
      <c r="AD1105" t="s">
        <v>2708</v>
      </c>
      <c r="AE1105">
        <v>1</v>
      </c>
      <c r="AO1105" t="s">
        <v>2712</v>
      </c>
      <c r="AP1105" t="s">
        <v>2401</v>
      </c>
    </row>
    <row r="1106" spans="1:42">
      <c r="A1106" t="s">
        <v>5163</v>
      </c>
      <c r="B1106" t="s">
        <v>2389</v>
      </c>
      <c r="C1106" t="s">
        <v>2443</v>
      </c>
      <c r="D1106" t="s">
        <v>2443</v>
      </c>
      <c r="E1106" t="s">
        <v>33</v>
      </c>
      <c r="F1106" t="s">
        <v>2541</v>
      </c>
      <c r="G1106" t="s">
        <v>33</v>
      </c>
      <c r="H1106" t="b">
        <v>1</v>
      </c>
      <c r="I1106" s="8">
        <v>45931.631273148145</v>
      </c>
      <c r="J1106" t="s">
        <v>2380</v>
      </c>
      <c r="K1106">
        <v>1199549</v>
      </c>
      <c r="L1106">
        <v>601441</v>
      </c>
      <c r="M1106" t="s">
        <v>2381</v>
      </c>
      <c r="P1106" t="s">
        <v>2548</v>
      </c>
      <c r="Q1106" t="s">
        <v>2383</v>
      </c>
      <c r="R1106">
        <v>1</v>
      </c>
      <c r="S1106" t="s">
        <v>2380</v>
      </c>
      <c r="T1106" t="s">
        <v>2383</v>
      </c>
      <c r="U1106" s="8">
        <v>45925.393229166664</v>
      </c>
      <c r="V1106" s="8">
        <v>45930.958333333336</v>
      </c>
      <c r="W1106">
        <v>1</v>
      </c>
      <c r="X1106">
        <v>4.2380439809999997</v>
      </c>
      <c r="Y1106" t="s">
        <v>2542</v>
      </c>
      <c r="Z1106" t="s">
        <v>5164</v>
      </c>
      <c r="AA1106" t="s">
        <v>2884</v>
      </c>
      <c r="AB1106" t="s">
        <v>1278</v>
      </c>
      <c r="AC1106" t="s">
        <v>5165</v>
      </c>
      <c r="AD1106" t="s">
        <v>2708</v>
      </c>
      <c r="AE1106">
        <v>1</v>
      </c>
      <c r="AH1106" t="s">
        <v>12</v>
      </c>
      <c r="AI1106" s="8">
        <v>45931.518842592595</v>
      </c>
      <c r="AK1106" t="s">
        <v>2719</v>
      </c>
      <c r="AL1106" t="s">
        <v>5161</v>
      </c>
      <c r="AM1106" t="s">
        <v>5162</v>
      </c>
      <c r="AO1106" t="s">
        <v>2547</v>
      </c>
      <c r="AP1106" t="s">
        <v>2401</v>
      </c>
    </row>
    <row r="1107" spans="1:42">
      <c r="A1107" t="s">
        <v>9102</v>
      </c>
      <c r="B1107" t="s">
        <v>2389</v>
      </c>
      <c r="C1107" t="s">
        <v>2443</v>
      </c>
      <c r="D1107" t="s">
        <v>2443</v>
      </c>
      <c r="E1107" t="s">
        <v>25</v>
      </c>
      <c r="F1107" t="s">
        <v>3261</v>
      </c>
      <c r="G1107" t="s">
        <v>25</v>
      </c>
      <c r="H1107" t="b">
        <v>1</v>
      </c>
      <c r="I1107" s="8">
        <v>45931.347199074073</v>
      </c>
      <c r="J1107" t="s">
        <v>2380</v>
      </c>
      <c r="K1107">
        <v>1199531</v>
      </c>
      <c r="L1107">
        <v>603896</v>
      </c>
      <c r="M1107" t="s">
        <v>2381</v>
      </c>
      <c r="N1107">
        <v>5</v>
      </c>
      <c r="Q1107" t="s">
        <v>2383</v>
      </c>
      <c r="R1107">
        <v>1</v>
      </c>
      <c r="S1107" t="s">
        <v>2380</v>
      </c>
      <c r="T1107" t="s">
        <v>2383</v>
      </c>
      <c r="U1107" s="8">
        <v>45925.429988425924</v>
      </c>
      <c r="V1107" s="8">
        <v>45930.958333333336</v>
      </c>
      <c r="W1107">
        <v>1</v>
      </c>
      <c r="X1107">
        <v>3.9172106480000002</v>
      </c>
      <c r="Y1107" t="s">
        <v>3262</v>
      </c>
      <c r="Z1107" t="s">
        <v>9103</v>
      </c>
      <c r="AA1107" t="s">
        <v>9104</v>
      </c>
      <c r="AB1107" t="s">
        <v>1278</v>
      </c>
      <c r="AC1107" t="s">
        <v>9105</v>
      </c>
      <c r="AD1107" t="s">
        <v>2708</v>
      </c>
      <c r="AE1107">
        <v>1</v>
      </c>
      <c r="AH1107" t="s">
        <v>33</v>
      </c>
      <c r="AI1107" s="8">
        <v>45930.641134259262</v>
      </c>
      <c r="AK1107" t="s">
        <v>2719</v>
      </c>
      <c r="AL1107" t="s">
        <v>2719</v>
      </c>
      <c r="AO1107" t="s">
        <v>2957</v>
      </c>
      <c r="AP1107" t="s">
        <v>2401</v>
      </c>
    </row>
    <row r="1108" spans="1:42">
      <c r="A1108" t="s">
        <v>4005</v>
      </c>
      <c r="B1108" t="s">
        <v>2389</v>
      </c>
      <c r="C1108" t="s">
        <v>2691</v>
      </c>
      <c r="D1108" t="s">
        <v>2379</v>
      </c>
      <c r="E1108" t="s">
        <v>24</v>
      </c>
      <c r="F1108" t="s">
        <v>3747</v>
      </c>
      <c r="G1108" t="s">
        <v>24</v>
      </c>
      <c r="H1108" t="b">
        <v>1</v>
      </c>
      <c r="I1108" s="8">
        <v>45933.497291666667</v>
      </c>
      <c r="J1108" t="s">
        <v>2380</v>
      </c>
      <c r="K1108">
        <v>1200075</v>
      </c>
      <c r="L1108">
        <v>609121</v>
      </c>
      <c r="M1108" t="s">
        <v>2381</v>
      </c>
      <c r="Q1108" t="s">
        <v>2383</v>
      </c>
      <c r="R1108">
        <v>1</v>
      </c>
      <c r="S1108" t="s">
        <v>2380</v>
      </c>
      <c r="T1108" t="s">
        <v>2383</v>
      </c>
      <c r="U1108" s="8">
        <v>45911.82708333333</v>
      </c>
      <c r="V1108" s="8">
        <v>45938.958333333336</v>
      </c>
      <c r="W1108">
        <v>1</v>
      </c>
      <c r="X1108">
        <v>15.670208333</v>
      </c>
      <c r="Y1108" t="s">
        <v>3748</v>
      </c>
      <c r="Z1108" t="s">
        <v>4006</v>
      </c>
      <c r="AA1108" t="s">
        <v>3751</v>
      </c>
      <c r="AB1108" t="s">
        <v>1278</v>
      </c>
      <c r="AC1108" t="s">
        <v>4007</v>
      </c>
      <c r="AD1108" t="s">
        <v>2708</v>
      </c>
      <c r="AE1108">
        <v>1</v>
      </c>
      <c r="AO1108" t="s">
        <v>2712</v>
      </c>
      <c r="AP1108" t="s">
        <v>2401</v>
      </c>
    </row>
    <row r="1109" spans="1:42">
      <c r="A1109" t="s">
        <v>9551</v>
      </c>
      <c r="B1109" t="s">
        <v>2377</v>
      </c>
      <c r="C1109" t="s">
        <v>2443</v>
      </c>
      <c r="D1109" t="s">
        <v>2443</v>
      </c>
      <c r="E1109" t="s">
        <v>33</v>
      </c>
      <c r="F1109" t="s">
        <v>3500</v>
      </c>
      <c r="G1109" t="s">
        <v>33</v>
      </c>
      <c r="H1109" t="b">
        <v>1</v>
      </c>
      <c r="I1109" s="8">
        <v>45936.623738425929</v>
      </c>
      <c r="J1109" t="s">
        <v>2380</v>
      </c>
      <c r="L1109">
        <v>609759</v>
      </c>
      <c r="M1109" t="s">
        <v>2381</v>
      </c>
      <c r="P1109" t="s">
        <v>2427</v>
      </c>
      <c r="Q1109" t="s">
        <v>2383</v>
      </c>
      <c r="R1109">
        <v>1</v>
      </c>
      <c r="S1109" t="s">
        <v>2380</v>
      </c>
      <c r="T1109" t="s">
        <v>2383</v>
      </c>
      <c r="U1109" s="8">
        <v>45925.504791666666</v>
      </c>
      <c r="V1109" s="8">
        <v>45933.958333333336</v>
      </c>
      <c r="W1109">
        <v>1</v>
      </c>
      <c r="X1109">
        <v>7.118946759</v>
      </c>
      <c r="Y1109" t="s">
        <v>3501</v>
      </c>
      <c r="Z1109" t="s">
        <v>9552</v>
      </c>
      <c r="AA1109" t="s">
        <v>9553</v>
      </c>
      <c r="AB1109" t="s">
        <v>1278</v>
      </c>
      <c r="AC1109" t="s">
        <v>9554</v>
      </c>
      <c r="AE1109">
        <v>1</v>
      </c>
      <c r="AH1109" t="s">
        <v>4895</v>
      </c>
      <c r="AI1109" s="8">
        <v>45936.623159722221</v>
      </c>
      <c r="AK1109" t="s">
        <v>2719</v>
      </c>
      <c r="AL1109" t="s">
        <v>2719</v>
      </c>
      <c r="AO1109" t="s">
        <v>2957</v>
      </c>
      <c r="AP1109" t="s">
        <v>2401</v>
      </c>
    </row>
    <row r="1110" spans="1:42">
      <c r="A1110" t="s">
        <v>4292</v>
      </c>
      <c r="B1110" t="s">
        <v>2389</v>
      </c>
      <c r="C1110" t="s">
        <v>2691</v>
      </c>
      <c r="D1110" t="s">
        <v>2379</v>
      </c>
      <c r="E1110" t="s">
        <v>33</v>
      </c>
      <c r="F1110" t="s">
        <v>2431</v>
      </c>
      <c r="G1110" t="s">
        <v>33</v>
      </c>
      <c r="H1110" t="b">
        <v>1</v>
      </c>
      <c r="I1110" s="8">
        <v>45958.436655092592</v>
      </c>
      <c r="J1110" t="s">
        <v>2380</v>
      </c>
      <c r="K1110">
        <v>1204860</v>
      </c>
      <c r="L1110">
        <v>602731</v>
      </c>
      <c r="M1110" t="s">
        <v>2381</v>
      </c>
      <c r="P1110" t="s">
        <v>2394</v>
      </c>
      <c r="Q1110" t="s">
        <v>2383</v>
      </c>
      <c r="R1110">
        <v>1</v>
      </c>
      <c r="S1110" t="s">
        <v>2380</v>
      </c>
      <c r="T1110" t="s">
        <v>2383</v>
      </c>
      <c r="U1110" s="8">
        <v>45923.743009259262</v>
      </c>
      <c r="V1110" s="8">
        <v>45958.958333333336</v>
      </c>
      <c r="W1110">
        <v>1</v>
      </c>
      <c r="X1110">
        <v>24.693645833000001</v>
      </c>
      <c r="Y1110" t="s">
        <v>2433</v>
      </c>
      <c r="Z1110" t="s">
        <v>4293</v>
      </c>
      <c r="AA1110" t="s">
        <v>2993</v>
      </c>
      <c r="AB1110" t="s">
        <v>1278</v>
      </c>
      <c r="AC1110" t="s">
        <v>4294</v>
      </c>
      <c r="AD1110" t="s">
        <v>2708</v>
      </c>
      <c r="AE1110">
        <v>1</v>
      </c>
      <c r="AO1110" t="s">
        <v>2408</v>
      </c>
      <c r="AP1110" t="s">
        <v>2401</v>
      </c>
    </row>
    <row r="1111" spans="1:42">
      <c r="A1111" t="s">
        <v>9252</v>
      </c>
      <c r="B1111" t="s">
        <v>2389</v>
      </c>
      <c r="C1111" t="s">
        <v>2443</v>
      </c>
      <c r="D1111" t="s">
        <v>2443</v>
      </c>
      <c r="E1111" t="s">
        <v>24</v>
      </c>
      <c r="F1111" t="s">
        <v>3747</v>
      </c>
      <c r="G1111" t="s">
        <v>24</v>
      </c>
      <c r="H1111" t="b">
        <v>1</v>
      </c>
      <c r="I1111" s="8">
        <v>45931.603946759256</v>
      </c>
      <c r="J1111" t="s">
        <v>2380</v>
      </c>
      <c r="K1111">
        <v>1199612</v>
      </c>
      <c r="L1111">
        <v>602272</v>
      </c>
      <c r="M1111" t="s">
        <v>2381</v>
      </c>
      <c r="Q1111" t="s">
        <v>2383</v>
      </c>
      <c r="R1111">
        <v>1</v>
      </c>
      <c r="S1111" t="s">
        <v>2380</v>
      </c>
      <c r="T1111" t="s">
        <v>2383</v>
      </c>
      <c r="U1111" s="8">
        <v>45925.61414351852</v>
      </c>
      <c r="V1111" s="8">
        <v>45930.958333333336</v>
      </c>
      <c r="W1111">
        <v>1</v>
      </c>
      <c r="X1111">
        <v>3.9898032410000002</v>
      </c>
      <c r="Y1111" t="s">
        <v>3748</v>
      </c>
      <c r="Z1111" t="s">
        <v>9253</v>
      </c>
      <c r="AA1111" t="s">
        <v>3824</v>
      </c>
      <c r="AB1111" t="s">
        <v>1278</v>
      </c>
      <c r="AD1111" t="s">
        <v>2708</v>
      </c>
      <c r="AE1111">
        <v>1</v>
      </c>
      <c r="AH1111" t="s">
        <v>12</v>
      </c>
      <c r="AI1111" s="8">
        <v>45931.602141203701</v>
      </c>
      <c r="AK1111" t="s">
        <v>2719</v>
      </c>
      <c r="AL1111" t="s">
        <v>2719</v>
      </c>
      <c r="AO1111" t="s">
        <v>2712</v>
      </c>
      <c r="AP1111" t="s">
        <v>2401</v>
      </c>
    </row>
    <row r="1112" spans="1:42">
      <c r="A1112" t="s">
        <v>6166</v>
      </c>
      <c r="B1112" t="s">
        <v>2389</v>
      </c>
      <c r="C1112" t="s">
        <v>2443</v>
      </c>
      <c r="D1112" t="s">
        <v>2443</v>
      </c>
      <c r="E1112" t="s">
        <v>25</v>
      </c>
      <c r="F1112" t="s">
        <v>2541</v>
      </c>
      <c r="G1112" t="s">
        <v>25</v>
      </c>
      <c r="H1112" t="b">
        <v>1</v>
      </c>
      <c r="I1112" s="8">
        <v>45931.625567129631</v>
      </c>
      <c r="J1112" t="s">
        <v>2380</v>
      </c>
      <c r="K1112">
        <v>1199716</v>
      </c>
      <c r="L1112">
        <v>608634</v>
      </c>
      <c r="M1112" t="s">
        <v>2381</v>
      </c>
      <c r="N1112">
        <v>5</v>
      </c>
      <c r="Q1112" t="s">
        <v>2383</v>
      </c>
      <c r="R1112">
        <v>1</v>
      </c>
      <c r="S1112" t="s">
        <v>2380</v>
      </c>
      <c r="T1112" t="s">
        <v>2383</v>
      </c>
      <c r="U1112" s="8">
        <v>45925.676168981481</v>
      </c>
      <c r="V1112" s="8">
        <v>45930.958333333336</v>
      </c>
      <c r="W1112">
        <v>1</v>
      </c>
      <c r="X1112">
        <v>3.9493981480000002</v>
      </c>
      <c r="Y1112" t="s">
        <v>2542</v>
      </c>
      <c r="Z1112" t="s">
        <v>6167</v>
      </c>
      <c r="AA1112" t="s">
        <v>3154</v>
      </c>
      <c r="AB1112" t="s">
        <v>1278</v>
      </c>
      <c r="AC1112" t="s">
        <v>6168</v>
      </c>
      <c r="AD1112" t="s">
        <v>2708</v>
      </c>
      <c r="AE1112">
        <v>1</v>
      </c>
      <c r="AO1112" t="s">
        <v>2547</v>
      </c>
      <c r="AP1112" t="s">
        <v>2401</v>
      </c>
    </row>
    <row r="1113" spans="1:42">
      <c r="A1113" t="s">
        <v>10133</v>
      </c>
      <c r="B1113" t="s">
        <v>2389</v>
      </c>
      <c r="C1113" t="s">
        <v>2691</v>
      </c>
      <c r="D1113" t="s">
        <v>2379</v>
      </c>
      <c r="E1113" t="s">
        <v>2416</v>
      </c>
      <c r="F1113" t="s">
        <v>7055</v>
      </c>
      <c r="G1113" t="s">
        <v>2416</v>
      </c>
      <c r="H1113" t="b">
        <v>1</v>
      </c>
      <c r="I1113" s="8">
        <v>45938.615682870368</v>
      </c>
      <c r="J1113" t="s">
        <v>2380</v>
      </c>
      <c r="L1113">
        <v>602629</v>
      </c>
      <c r="M1113" t="s">
        <v>2381</v>
      </c>
      <c r="P1113" t="s">
        <v>2394</v>
      </c>
      <c r="Q1113" t="s">
        <v>2383</v>
      </c>
      <c r="R1113">
        <v>1</v>
      </c>
      <c r="S1113" t="s">
        <v>2380</v>
      </c>
      <c r="T1113" t="s">
        <v>2383</v>
      </c>
      <c r="U1113" s="8">
        <v>45925.737384259257</v>
      </c>
      <c r="V1113" s="8">
        <v>45943.958333333336</v>
      </c>
      <c r="W1113">
        <v>1</v>
      </c>
      <c r="X1113">
        <v>8.878298611</v>
      </c>
      <c r="Y1113" t="s">
        <v>7056</v>
      </c>
      <c r="Z1113" t="s">
        <v>10134</v>
      </c>
      <c r="AA1113" t="s">
        <v>10039</v>
      </c>
      <c r="AB1113" t="s">
        <v>1278</v>
      </c>
      <c r="AC1113" t="s">
        <v>10135</v>
      </c>
      <c r="AE1113">
        <v>1</v>
      </c>
      <c r="AO1113" t="s">
        <v>2957</v>
      </c>
      <c r="AP1113" t="s">
        <v>2401</v>
      </c>
    </row>
    <row r="1114" spans="1:42">
      <c r="A1114" t="s">
        <v>2902</v>
      </c>
      <c r="B1114" t="s">
        <v>2389</v>
      </c>
      <c r="C1114" t="s">
        <v>2691</v>
      </c>
      <c r="D1114" t="s">
        <v>2379</v>
      </c>
      <c r="E1114" t="s">
        <v>307</v>
      </c>
      <c r="F1114" t="s">
        <v>2541</v>
      </c>
      <c r="G1114" t="s">
        <v>307</v>
      </c>
      <c r="H1114" t="b">
        <v>1</v>
      </c>
      <c r="I1114" s="8">
        <v>45935.782372685186</v>
      </c>
      <c r="J1114" t="s">
        <v>2380</v>
      </c>
      <c r="L1114">
        <v>608626</v>
      </c>
      <c r="M1114" t="s">
        <v>2381</v>
      </c>
      <c r="P1114" t="s">
        <v>2548</v>
      </c>
      <c r="Q1114" t="s">
        <v>2383</v>
      </c>
      <c r="R1114">
        <v>1</v>
      </c>
      <c r="S1114" t="s">
        <v>2380</v>
      </c>
      <c r="T1114" t="s">
        <v>2383</v>
      </c>
      <c r="U1114" s="8">
        <v>45925.83353009259</v>
      </c>
      <c r="V1114" s="8">
        <v>45938.958333333336</v>
      </c>
      <c r="W1114">
        <v>1</v>
      </c>
      <c r="X1114">
        <v>5.9488425930000002</v>
      </c>
      <c r="Y1114" t="s">
        <v>2542</v>
      </c>
      <c r="Z1114" t="s">
        <v>2903</v>
      </c>
      <c r="AA1114" t="s">
        <v>2551</v>
      </c>
      <c r="AB1114" t="s">
        <v>1278</v>
      </c>
      <c r="AC1114" t="s">
        <v>2800</v>
      </c>
      <c r="AE1114">
        <v>1</v>
      </c>
      <c r="AO1114" t="s">
        <v>2547</v>
      </c>
      <c r="AP1114" t="s">
        <v>2401</v>
      </c>
    </row>
    <row r="1115" spans="1:42">
      <c r="A1115" t="s">
        <v>9632</v>
      </c>
      <c r="B1115" t="s">
        <v>2389</v>
      </c>
      <c r="C1115" t="s">
        <v>2378</v>
      </c>
      <c r="D1115" t="s">
        <v>2379</v>
      </c>
      <c r="E1115" t="s">
        <v>24</v>
      </c>
      <c r="F1115" t="s">
        <v>3472</v>
      </c>
      <c r="G1115" t="s">
        <v>24</v>
      </c>
      <c r="H1115" t="b">
        <v>1</v>
      </c>
      <c r="I1115" s="8">
        <v>45931.658495370371</v>
      </c>
      <c r="J1115" t="s">
        <v>2380</v>
      </c>
      <c r="K1115">
        <v>1199750</v>
      </c>
      <c r="L1115">
        <v>603593</v>
      </c>
      <c r="M1115" t="s">
        <v>2381</v>
      </c>
      <c r="P1115" t="s">
        <v>2394</v>
      </c>
      <c r="Q1115" t="s">
        <v>2383</v>
      </c>
      <c r="R1115">
        <v>1</v>
      </c>
      <c r="S1115" t="s">
        <v>2380</v>
      </c>
      <c r="T1115" t="s">
        <v>2383</v>
      </c>
      <c r="U1115" s="8">
        <v>45926.350717592592</v>
      </c>
      <c r="V1115" s="8">
        <v>45931.958333333336</v>
      </c>
      <c r="W1115">
        <v>1</v>
      </c>
      <c r="X1115">
        <v>3.3077777780000002</v>
      </c>
      <c r="Y1115" t="s">
        <v>3473</v>
      </c>
      <c r="Z1115" t="s">
        <v>9633</v>
      </c>
      <c r="AA1115" t="s">
        <v>8564</v>
      </c>
      <c r="AB1115" t="s">
        <v>1278</v>
      </c>
      <c r="AD1115" t="s">
        <v>2708</v>
      </c>
      <c r="AE1115">
        <v>1</v>
      </c>
      <c r="AO1115" t="s">
        <v>3608</v>
      </c>
      <c r="AP1115" t="s">
        <v>2401</v>
      </c>
    </row>
    <row r="1116" spans="1:42">
      <c r="A1116" t="s">
        <v>9154</v>
      </c>
      <c r="B1116" t="s">
        <v>2389</v>
      </c>
      <c r="C1116" t="s">
        <v>2378</v>
      </c>
      <c r="D1116" t="s">
        <v>2379</v>
      </c>
      <c r="E1116" t="s">
        <v>33</v>
      </c>
      <c r="F1116" t="s">
        <v>2578</v>
      </c>
      <c r="G1116" t="s">
        <v>33</v>
      </c>
      <c r="H1116" t="b">
        <v>1</v>
      </c>
      <c r="I1116" s="8">
        <v>45931.631469907406</v>
      </c>
      <c r="J1116" t="s">
        <v>2380</v>
      </c>
      <c r="K1116">
        <v>1199574</v>
      </c>
      <c r="L1116">
        <v>604317</v>
      </c>
      <c r="M1116" t="s">
        <v>2381</v>
      </c>
      <c r="P1116" t="s">
        <v>2394</v>
      </c>
      <c r="Q1116" t="s">
        <v>2395</v>
      </c>
      <c r="R1116">
        <v>1</v>
      </c>
      <c r="S1116" t="s">
        <v>2380</v>
      </c>
      <c r="T1116" t="s">
        <v>2383</v>
      </c>
      <c r="U1116" s="8">
        <v>45926.370486111111</v>
      </c>
      <c r="V1116" s="8">
        <v>45931.958333333336</v>
      </c>
      <c r="W1116">
        <v>1</v>
      </c>
      <c r="X1116">
        <v>3.2609837960000001</v>
      </c>
      <c r="Y1116" t="s">
        <v>2579</v>
      </c>
      <c r="Z1116" t="s">
        <v>9155</v>
      </c>
      <c r="AA1116" t="s">
        <v>8189</v>
      </c>
      <c r="AB1116" t="s">
        <v>1278</v>
      </c>
      <c r="AC1116" t="s">
        <v>9156</v>
      </c>
      <c r="AD1116" t="s">
        <v>2708</v>
      </c>
      <c r="AE1116">
        <v>1</v>
      </c>
      <c r="AH1116" t="s">
        <v>12</v>
      </c>
      <c r="AI1116" s="8">
        <v>45931.606099537035</v>
      </c>
      <c r="AK1116" t="s">
        <v>2719</v>
      </c>
      <c r="AL1116" t="s">
        <v>2719</v>
      </c>
      <c r="AO1116" t="s">
        <v>4137</v>
      </c>
      <c r="AP1116" t="s">
        <v>2401</v>
      </c>
    </row>
    <row r="1117" spans="1:42">
      <c r="A1117" t="s">
        <v>5655</v>
      </c>
      <c r="B1117" t="s">
        <v>2389</v>
      </c>
      <c r="C1117" t="s">
        <v>2378</v>
      </c>
      <c r="D1117" t="s">
        <v>2379</v>
      </c>
      <c r="E1117" t="s">
        <v>33</v>
      </c>
      <c r="F1117" t="s">
        <v>2541</v>
      </c>
      <c r="G1117" t="s">
        <v>33</v>
      </c>
      <c r="H1117" t="b">
        <v>1</v>
      </c>
      <c r="I1117" s="8">
        <v>45931.474687499998</v>
      </c>
      <c r="J1117" t="s">
        <v>2380</v>
      </c>
      <c r="K1117">
        <v>1199659</v>
      </c>
      <c r="L1117">
        <v>608636</v>
      </c>
      <c r="M1117" t="s">
        <v>2381</v>
      </c>
      <c r="P1117" t="s">
        <v>2548</v>
      </c>
      <c r="Q1117" t="s">
        <v>2383</v>
      </c>
      <c r="R1117">
        <v>1</v>
      </c>
      <c r="S1117" t="s">
        <v>2380</v>
      </c>
      <c r="T1117" t="s">
        <v>2383</v>
      </c>
      <c r="U1117" s="8">
        <v>45926.38490740741</v>
      </c>
      <c r="V1117" s="8">
        <v>45931.958333333336</v>
      </c>
      <c r="W1117">
        <v>1</v>
      </c>
      <c r="X1117">
        <v>3.0897800929999999</v>
      </c>
      <c r="Y1117" t="s">
        <v>2542</v>
      </c>
      <c r="Z1117" t="s">
        <v>5656</v>
      </c>
      <c r="AA1117" t="s">
        <v>5657</v>
      </c>
      <c r="AB1117" t="s">
        <v>1278</v>
      </c>
      <c r="AC1117" t="s">
        <v>5658</v>
      </c>
      <c r="AD1117" t="s">
        <v>2708</v>
      </c>
      <c r="AE1117">
        <v>1</v>
      </c>
      <c r="AO1117" t="s">
        <v>2547</v>
      </c>
      <c r="AP1117" t="s">
        <v>2401</v>
      </c>
    </row>
    <row r="1118" spans="1:42">
      <c r="A1118" t="s">
        <v>6187</v>
      </c>
      <c r="B1118" t="s">
        <v>2389</v>
      </c>
      <c r="C1118" t="s">
        <v>2378</v>
      </c>
      <c r="D1118" t="s">
        <v>2379</v>
      </c>
      <c r="E1118" t="s">
        <v>25</v>
      </c>
      <c r="F1118" t="s">
        <v>2541</v>
      </c>
      <c r="G1118" t="s">
        <v>25</v>
      </c>
      <c r="H1118" t="b">
        <v>1</v>
      </c>
      <c r="I1118" s="8">
        <v>45931.54891203704</v>
      </c>
      <c r="J1118" t="s">
        <v>2380</v>
      </c>
      <c r="K1118">
        <v>1199687</v>
      </c>
      <c r="L1118">
        <v>608089</v>
      </c>
      <c r="M1118" t="s">
        <v>2381</v>
      </c>
      <c r="N1118">
        <v>5</v>
      </c>
      <c r="P1118" t="s">
        <v>2548</v>
      </c>
      <c r="Q1118" t="s">
        <v>2383</v>
      </c>
      <c r="R1118">
        <v>1</v>
      </c>
      <c r="S1118" t="s">
        <v>2380</v>
      </c>
      <c r="T1118" t="s">
        <v>2383</v>
      </c>
      <c r="U1118" s="8">
        <v>45926.422638888886</v>
      </c>
      <c r="V1118" s="8">
        <v>45931.958333333336</v>
      </c>
      <c r="W1118">
        <v>1</v>
      </c>
      <c r="X1118">
        <v>3.1262731480000001</v>
      </c>
      <c r="Y1118" t="s">
        <v>2542</v>
      </c>
      <c r="Z1118" t="s">
        <v>6188</v>
      </c>
      <c r="AA1118" t="s">
        <v>6189</v>
      </c>
      <c r="AB1118" t="s">
        <v>1278</v>
      </c>
      <c r="AC1118" t="s">
        <v>6190</v>
      </c>
      <c r="AD1118" t="s">
        <v>2708</v>
      </c>
      <c r="AE1118">
        <v>1</v>
      </c>
      <c r="AO1118" t="s">
        <v>2547</v>
      </c>
      <c r="AP1118" t="s">
        <v>2401</v>
      </c>
    </row>
    <row r="1119" spans="1:42">
      <c r="A1119" t="s">
        <v>5827</v>
      </c>
      <c r="B1119" t="s">
        <v>2389</v>
      </c>
      <c r="C1119" t="s">
        <v>2378</v>
      </c>
      <c r="D1119" t="s">
        <v>2379</v>
      </c>
      <c r="E1119" t="s">
        <v>25</v>
      </c>
      <c r="F1119" t="s">
        <v>2541</v>
      </c>
      <c r="G1119" t="s">
        <v>25</v>
      </c>
      <c r="H1119" t="b">
        <v>1</v>
      </c>
      <c r="I1119" s="8">
        <v>45931.641875000001</v>
      </c>
      <c r="J1119" t="s">
        <v>2380</v>
      </c>
      <c r="K1119">
        <v>1199738</v>
      </c>
      <c r="L1119">
        <v>608626</v>
      </c>
      <c r="M1119" t="s">
        <v>2381</v>
      </c>
      <c r="Q1119" t="s">
        <v>2383</v>
      </c>
      <c r="R1119">
        <v>1</v>
      </c>
      <c r="S1119" t="s">
        <v>2380</v>
      </c>
      <c r="T1119" t="s">
        <v>2383</v>
      </c>
      <c r="U1119" s="8">
        <v>45926.442407407405</v>
      </c>
      <c r="V1119" s="8">
        <v>45931.958333333336</v>
      </c>
      <c r="W1119">
        <v>1</v>
      </c>
      <c r="X1119">
        <v>3.1994675930000001</v>
      </c>
      <c r="Y1119" t="s">
        <v>2542</v>
      </c>
      <c r="Z1119" t="s">
        <v>5828</v>
      </c>
      <c r="AA1119" t="s">
        <v>2551</v>
      </c>
      <c r="AB1119" t="s">
        <v>1278</v>
      </c>
      <c r="AC1119" t="s">
        <v>5829</v>
      </c>
      <c r="AD1119" t="s">
        <v>2708</v>
      </c>
      <c r="AE1119">
        <v>1</v>
      </c>
      <c r="AO1119" t="s">
        <v>2547</v>
      </c>
      <c r="AP1119" t="s">
        <v>2401</v>
      </c>
    </row>
    <row r="1120" spans="1:42">
      <c r="A1120" t="s">
        <v>9525</v>
      </c>
      <c r="B1120" t="s">
        <v>2389</v>
      </c>
      <c r="C1120" t="s">
        <v>2378</v>
      </c>
      <c r="D1120" t="s">
        <v>2379</v>
      </c>
      <c r="E1120" t="s">
        <v>25</v>
      </c>
      <c r="F1120" t="s">
        <v>2402</v>
      </c>
      <c r="G1120" t="s">
        <v>25</v>
      </c>
      <c r="H1120" t="b">
        <v>1</v>
      </c>
      <c r="I1120" s="8">
        <v>45931.559675925928</v>
      </c>
      <c r="J1120" t="s">
        <v>2380</v>
      </c>
      <c r="L1120">
        <v>602880</v>
      </c>
      <c r="M1120" t="s">
        <v>2381</v>
      </c>
      <c r="N1120">
        <v>5</v>
      </c>
      <c r="P1120" t="s">
        <v>2394</v>
      </c>
      <c r="Q1120" t="s">
        <v>2383</v>
      </c>
      <c r="R1120">
        <v>1</v>
      </c>
      <c r="S1120" t="s">
        <v>2380</v>
      </c>
      <c r="T1120" t="s">
        <v>2383</v>
      </c>
      <c r="U1120" s="8">
        <v>45926.451956018522</v>
      </c>
      <c r="V1120" s="8">
        <v>45931.958333333336</v>
      </c>
      <c r="W1120">
        <v>1</v>
      </c>
      <c r="X1120">
        <v>3.1077199069999999</v>
      </c>
      <c r="Y1120" t="s">
        <v>2403</v>
      </c>
      <c r="Z1120" t="s">
        <v>9526</v>
      </c>
      <c r="AA1120" t="s">
        <v>1776</v>
      </c>
      <c r="AB1120" t="s">
        <v>1278</v>
      </c>
      <c r="AC1120" t="s">
        <v>9527</v>
      </c>
      <c r="AE1120">
        <v>1</v>
      </c>
      <c r="AG1120" t="s">
        <v>5075</v>
      </c>
      <c r="AO1120" t="s">
        <v>2408</v>
      </c>
      <c r="AP1120" t="s">
        <v>2401</v>
      </c>
    </row>
    <row r="1121" spans="1:42">
      <c r="A1121" t="s">
        <v>7166</v>
      </c>
      <c r="B1121" t="s">
        <v>2389</v>
      </c>
      <c r="C1121" t="s">
        <v>2390</v>
      </c>
      <c r="D1121" t="s">
        <v>2379</v>
      </c>
      <c r="E1121" t="s">
        <v>12</v>
      </c>
      <c r="F1121" t="s">
        <v>2578</v>
      </c>
      <c r="G1121" t="s">
        <v>12</v>
      </c>
      <c r="H1121" t="b">
        <v>1</v>
      </c>
      <c r="I1121" s="8">
        <v>45931.418749999997</v>
      </c>
      <c r="J1121" t="s">
        <v>2380</v>
      </c>
      <c r="K1121">
        <v>1199636</v>
      </c>
      <c r="L1121">
        <v>603877</v>
      </c>
      <c r="M1121" t="s">
        <v>2381</v>
      </c>
      <c r="P1121" t="s">
        <v>2394</v>
      </c>
      <c r="Q1121" t="s">
        <v>2383</v>
      </c>
      <c r="R1121">
        <v>1</v>
      </c>
      <c r="S1121" t="s">
        <v>2380</v>
      </c>
      <c r="T1121" t="s">
        <v>2383</v>
      </c>
      <c r="U1121" s="8">
        <v>45926.458379629628</v>
      </c>
      <c r="V1121" s="8">
        <v>45931.958333333336</v>
      </c>
      <c r="W1121">
        <v>1</v>
      </c>
      <c r="X1121">
        <v>2.9603703700000001</v>
      </c>
      <c r="Y1121" t="s">
        <v>2579</v>
      </c>
      <c r="Z1121" t="s">
        <v>7167</v>
      </c>
      <c r="AA1121" t="s">
        <v>7168</v>
      </c>
      <c r="AB1121" t="s">
        <v>1278</v>
      </c>
      <c r="AC1121" t="s">
        <v>7169</v>
      </c>
      <c r="AD1121" t="s">
        <v>2708</v>
      </c>
      <c r="AE1121">
        <v>1</v>
      </c>
      <c r="AO1121" t="s">
        <v>2388</v>
      </c>
      <c r="AP1121" t="s">
        <v>2401</v>
      </c>
    </row>
    <row r="1122" spans="1:42">
      <c r="A1122" t="s">
        <v>5410</v>
      </c>
      <c r="B1122" t="s">
        <v>2389</v>
      </c>
      <c r="C1122" t="s">
        <v>2378</v>
      </c>
      <c r="D1122" t="s">
        <v>2379</v>
      </c>
      <c r="E1122" t="s">
        <v>2416</v>
      </c>
      <c r="F1122" t="s">
        <v>2477</v>
      </c>
      <c r="G1122" t="s">
        <v>2416</v>
      </c>
      <c r="H1122" t="b">
        <v>1</v>
      </c>
      <c r="I1122" s="8">
        <v>45931.636944444443</v>
      </c>
      <c r="J1122" t="s">
        <v>2380</v>
      </c>
      <c r="K1122">
        <v>1199737</v>
      </c>
      <c r="L1122">
        <v>603944</v>
      </c>
      <c r="M1122" t="s">
        <v>2381</v>
      </c>
      <c r="P1122" t="s">
        <v>2394</v>
      </c>
      <c r="Q1122" t="s">
        <v>2383</v>
      </c>
      <c r="R1122">
        <v>1</v>
      </c>
      <c r="S1122" t="s">
        <v>2380</v>
      </c>
      <c r="T1122" t="s">
        <v>2383</v>
      </c>
      <c r="U1122" s="8">
        <v>45926.458981481483</v>
      </c>
      <c r="V1122" s="8">
        <v>45931.958333333336</v>
      </c>
      <c r="W1122">
        <v>1</v>
      </c>
      <c r="X1122">
        <v>3.1779629630000001</v>
      </c>
      <c r="Y1122" t="s">
        <v>2403</v>
      </c>
      <c r="Z1122" t="s">
        <v>5411</v>
      </c>
      <c r="AA1122" t="s">
        <v>1745</v>
      </c>
      <c r="AB1122" t="s">
        <v>1278</v>
      </c>
      <c r="AC1122" t="s">
        <v>5412</v>
      </c>
      <c r="AD1122" t="s">
        <v>2708</v>
      </c>
      <c r="AE1122">
        <v>1</v>
      </c>
      <c r="AO1122" t="s">
        <v>2408</v>
      </c>
      <c r="AP1122" t="s">
        <v>2401</v>
      </c>
    </row>
    <row r="1123" spans="1:42">
      <c r="A1123" t="s">
        <v>7861</v>
      </c>
      <c r="B1123" t="s">
        <v>2389</v>
      </c>
      <c r="C1123" t="s">
        <v>2378</v>
      </c>
      <c r="D1123" t="s">
        <v>2379</v>
      </c>
      <c r="E1123" t="s">
        <v>2416</v>
      </c>
      <c r="F1123" t="s">
        <v>3500</v>
      </c>
      <c r="G1123" t="s">
        <v>2416</v>
      </c>
      <c r="H1123" t="b">
        <v>1</v>
      </c>
      <c r="I1123" s="8">
        <v>45931.707615740743</v>
      </c>
      <c r="J1123" t="s">
        <v>2380</v>
      </c>
      <c r="K1123">
        <v>1199777</v>
      </c>
      <c r="L1123">
        <v>609991</v>
      </c>
      <c r="M1123" t="s">
        <v>2381</v>
      </c>
      <c r="P1123" t="s">
        <v>2394</v>
      </c>
      <c r="Q1123" t="s">
        <v>2383</v>
      </c>
      <c r="R1123">
        <v>1</v>
      </c>
      <c r="S1123" t="s">
        <v>2380</v>
      </c>
      <c r="T1123" t="s">
        <v>2383</v>
      </c>
      <c r="U1123" s="8">
        <v>45926.461076388892</v>
      </c>
      <c r="V1123" s="8">
        <v>45931.958333333336</v>
      </c>
      <c r="W1123">
        <v>1</v>
      </c>
      <c r="X1123">
        <v>3.2465393520000001</v>
      </c>
      <c r="Y1123" t="s">
        <v>3501</v>
      </c>
      <c r="Z1123" t="s">
        <v>7862</v>
      </c>
      <c r="AA1123" t="s">
        <v>3504</v>
      </c>
      <c r="AB1123" t="s">
        <v>1278</v>
      </c>
      <c r="AC1123" t="s">
        <v>7863</v>
      </c>
      <c r="AD1123" t="s">
        <v>2708</v>
      </c>
      <c r="AE1123">
        <v>1</v>
      </c>
      <c r="AO1123" t="s">
        <v>2957</v>
      </c>
      <c r="AP1123" t="s">
        <v>2401</v>
      </c>
    </row>
    <row r="1124" spans="1:42">
      <c r="A1124" t="s">
        <v>9143</v>
      </c>
      <c r="B1124" t="s">
        <v>2389</v>
      </c>
      <c r="C1124" t="s">
        <v>2378</v>
      </c>
      <c r="D1124" t="s">
        <v>2379</v>
      </c>
      <c r="E1124" t="s">
        <v>33</v>
      </c>
      <c r="F1124">
        <v>4227</v>
      </c>
      <c r="G1124" t="s">
        <v>33</v>
      </c>
      <c r="H1124" t="b">
        <v>1</v>
      </c>
      <c r="I1124" s="8">
        <v>45931.631342592591</v>
      </c>
      <c r="J1124" t="s">
        <v>2380</v>
      </c>
      <c r="K1124">
        <v>1199576</v>
      </c>
      <c r="L1124">
        <v>604477</v>
      </c>
      <c r="M1124" t="s">
        <v>2381</v>
      </c>
      <c r="P1124" t="s">
        <v>2394</v>
      </c>
      <c r="Q1124" t="s">
        <v>2395</v>
      </c>
      <c r="R1124">
        <v>1</v>
      </c>
      <c r="S1124" t="s">
        <v>2380</v>
      </c>
      <c r="T1124" t="s">
        <v>2383</v>
      </c>
      <c r="U1124" s="8">
        <v>45926.473807870374</v>
      </c>
      <c r="V1124" s="8">
        <v>45931.958333333336</v>
      </c>
      <c r="W1124">
        <v>1</v>
      </c>
      <c r="X1124">
        <v>3.1575347219999998</v>
      </c>
      <c r="Y1124" t="s">
        <v>4558</v>
      </c>
      <c r="Z1124" t="s">
        <v>9144</v>
      </c>
      <c r="AA1124" t="s">
        <v>8120</v>
      </c>
      <c r="AB1124" t="s">
        <v>1278</v>
      </c>
      <c r="AC1124" t="s">
        <v>9145</v>
      </c>
      <c r="AD1124" t="s">
        <v>2708</v>
      </c>
      <c r="AE1124">
        <v>1</v>
      </c>
      <c r="AH1124" t="s">
        <v>12</v>
      </c>
      <c r="AI1124" s="8">
        <v>45931.607118055559</v>
      </c>
      <c r="AK1124" t="s">
        <v>2719</v>
      </c>
      <c r="AL1124" t="s">
        <v>2719</v>
      </c>
      <c r="AO1124" t="s">
        <v>4137</v>
      </c>
      <c r="AP1124" t="s">
        <v>2401</v>
      </c>
    </row>
    <row r="1125" spans="1:42">
      <c r="A1125" t="s">
        <v>2783</v>
      </c>
      <c r="B1125" t="s">
        <v>2389</v>
      </c>
      <c r="C1125" t="s">
        <v>2390</v>
      </c>
      <c r="D1125" t="s">
        <v>2379</v>
      </c>
      <c r="E1125" t="s">
        <v>25</v>
      </c>
      <c r="F1125" t="s">
        <v>2402</v>
      </c>
      <c r="G1125" t="s">
        <v>25</v>
      </c>
      <c r="H1125" t="b">
        <v>1</v>
      </c>
      <c r="I1125" s="8">
        <v>45931.464999999997</v>
      </c>
      <c r="J1125" t="s">
        <v>2380</v>
      </c>
      <c r="L1125">
        <v>603156</v>
      </c>
      <c r="M1125" t="s">
        <v>2381</v>
      </c>
      <c r="P1125" t="s">
        <v>2394</v>
      </c>
      <c r="Q1125" t="s">
        <v>2383</v>
      </c>
      <c r="R1125">
        <v>1</v>
      </c>
      <c r="S1125" t="s">
        <v>2380</v>
      </c>
      <c r="T1125" t="s">
        <v>2383</v>
      </c>
      <c r="U1125" s="8">
        <v>45926.48300925926</v>
      </c>
      <c r="V1125" s="8">
        <v>45931.958333333336</v>
      </c>
      <c r="W1125">
        <v>1</v>
      </c>
      <c r="X1125">
        <v>2.9819907410000002</v>
      </c>
      <c r="Y1125" t="s">
        <v>2403</v>
      </c>
      <c r="Z1125" t="s">
        <v>2784</v>
      </c>
      <c r="AA1125" t="s">
        <v>2785</v>
      </c>
      <c r="AB1125" t="s">
        <v>1278</v>
      </c>
      <c r="AC1125" t="s">
        <v>2786</v>
      </c>
      <c r="AE1125">
        <v>1</v>
      </c>
      <c r="AO1125" t="s">
        <v>2408</v>
      </c>
      <c r="AP1125" t="s">
        <v>2401</v>
      </c>
    </row>
    <row r="1126" spans="1:42">
      <c r="A1126" t="s">
        <v>9157</v>
      </c>
      <c r="B1126" t="s">
        <v>2389</v>
      </c>
      <c r="C1126" t="s">
        <v>2378</v>
      </c>
      <c r="D1126" t="s">
        <v>2379</v>
      </c>
      <c r="E1126" t="s">
        <v>33</v>
      </c>
      <c r="F1126" t="s">
        <v>2578</v>
      </c>
      <c r="G1126" t="s">
        <v>33</v>
      </c>
      <c r="H1126" t="b">
        <v>1</v>
      </c>
      <c r="I1126" s="8">
        <v>45931.631469907406</v>
      </c>
      <c r="J1126" t="s">
        <v>2380</v>
      </c>
      <c r="K1126">
        <v>1199503</v>
      </c>
      <c r="L1126">
        <v>604253</v>
      </c>
      <c r="M1126" t="s">
        <v>2381</v>
      </c>
      <c r="P1126" t="s">
        <v>2394</v>
      </c>
      <c r="Q1126" t="s">
        <v>2395</v>
      </c>
      <c r="R1126">
        <v>1</v>
      </c>
      <c r="S1126" t="s">
        <v>2380</v>
      </c>
      <c r="T1126" t="s">
        <v>2383</v>
      </c>
      <c r="U1126" s="8">
        <v>45926.499247685184</v>
      </c>
      <c r="V1126" s="8">
        <v>45931.958333333336</v>
      </c>
      <c r="W1126">
        <v>1</v>
      </c>
      <c r="X1126">
        <v>3.1322222219999998</v>
      </c>
      <c r="Y1126" t="s">
        <v>2579</v>
      </c>
      <c r="Z1126" t="s">
        <v>9158</v>
      </c>
      <c r="AA1126" t="s">
        <v>8193</v>
      </c>
      <c r="AB1126" t="s">
        <v>1278</v>
      </c>
      <c r="AC1126" t="s">
        <v>9159</v>
      </c>
      <c r="AD1126" t="s">
        <v>2708</v>
      </c>
      <c r="AE1126">
        <v>1</v>
      </c>
      <c r="AH1126" t="s">
        <v>12</v>
      </c>
      <c r="AI1126" s="8">
        <v>45931.605243055557</v>
      </c>
      <c r="AK1126" t="s">
        <v>2719</v>
      </c>
      <c r="AL1126" t="s">
        <v>2719</v>
      </c>
      <c r="AO1126" t="s">
        <v>4137</v>
      </c>
      <c r="AP1126" t="s">
        <v>2401</v>
      </c>
    </row>
    <row r="1127" spans="1:42">
      <c r="A1127" t="s">
        <v>5618</v>
      </c>
      <c r="B1127" t="s">
        <v>2389</v>
      </c>
      <c r="C1127" t="s">
        <v>2378</v>
      </c>
      <c r="D1127" t="s">
        <v>2379</v>
      </c>
      <c r="E1127" t="s">
        <v>2416</v>
      </c>
      <c r="F1127" t="s">
        <v>2417</v>
      </c>
      <c r="G1127" t="s">
        <v>2416</v>
      </c>
      <c r="H1127" t="b">
        <v>1</v>
      </c>
      <c r="I1127" s="8">
        <v>45931.733252314814</v>
      </c>
      <c r="J1127" t="s">
        <v>2380</v>
      </c>
      <c r="K1127">
        <v>1199784</v>
      </c>
      <c r="L1127">
        <v>602876</v>
      </c>
      <c r="M1127" t="s">
        <v>2381</v>
      </c>
      <c r="P1127" t="s">
        <v>2394</v>
      </c>
      <c r="Q1127" t="s">
        <v>2383</v>
      </c>
      <c r="R1127">
        <v>1</v>
      </c>
      <c r="S1127" t="s">
        <v>2380</v>
      </c>
      <c r="T1127" t="s">
        <v>2383</v>
      </c>
      <c r="U1127" s="8">
        <v>45926.517442129632</v>
      </c>
      <c r="V1127" s="8">
        <v>45931.958333333336</v>
      </c>
      <c r="W1127">
        <v>1</v>
      </c>
      <c r="X1127">
        <v>3.215810185</v>
      </c>
      <c r="Y1127" t="s">
        <v>2418</v>
      </c>
      <c r="Z1127" t="s">
        <v>5619</v>
      </c>
      <c r="AA1127" t="s">
        <v>1307</v>
      </c>
      <c r="AB1127" t="s">
        <v>1278</v>
      </c>
      <c r="AC1127" t="s">
        <v>5620</v>
      </c>
      <c r="AD1127" t="s">
        <v>2708</v>
      </c>
      <c r="AE1127">
        <v>1</v>
      </c>
      <c r="AO1127" t="s">
        <v>2540</v>
      </c>
      <c r="AP1127" t="s">
        <v>2401</v>
      </c>
    </row>
    <row r="1128" spans="1:42">
      <c r="A1128" t="s">
        <v>7894</v>
      </c>
      <c r="B1128" t="s">
        <v>2389</v>
      </c>
      <c r="C1128" t="s">
        <v>2390</v>
      </c>
      <c r="D1128" t="s">
        <v>2379</v>
      </c>
      <c r="E1128" t="s">
        <v>12</v>
      </c>
      <c r="F1128" t="s">
        <v>4768</v>
      </c>
      <c r="G1128" t="s">
        <v>12</v>
      </c>
      <c r="H1128" t="b">
        <v>1</v>
      </c>
      <c r="I1128" s="8">
        <v>45931.380729166667</v>
      </c>
      <c r="J1128" t="s">
        <v>2380</v>
      </c>
      <c r="K1128">
        <v>1199627</v>
      </c>
      <c r="L1128">
        <v>603844</v>
      </c>
      <c r="M1128" t="s">
        <v>2381</v>
      </c>
      <c r="P1128" t="s">
        <v>2394</v>
      </c>
      <c r="Q1128" t="s">
        <v>2383</v>
      </c>
      <c r="R1128">
        <v>1</v>
      </c>
      <c r="S1128" t="s">
        <v>2380</v>
      </c>
      <c r="T1128" t="s">
        <v>2383</v>
      </c>
      <c r="U1128" s="8">
        <v>45926.521006944444</v>
      </c>
      <c r="V1128" s="8">
        <v>45931.958333333336</v>
      </c>
      <c r="W1128">
        <v>1</v>
      </c>
      <c r="X1128">
        <v>2.8597222219999998</v>
      </c>
      <c r="Y1128" t="s">
        <v>4769</v>
      </c>
      <c r="Z1128" t="s">
        <v>7895</v>
      </c>
      <c r="AA1128" t="s">
        <v>7794</v>
      </c>
      <c r="AB1128" t="s">
        <v>1278</v>
      </c>
      <c r="AC1128" t="s">
        <v>7896</v>
      </c>
      <c r="AD1128" t="s">
        <v>2708</v>
      </c>
      <c r="AE1128">
        <v>1</v>
      </c>
      <c r="AO1128" t="s">
        <v>2957</v>
      </c>
      <c r="AP1128" t="s">
        <v>2401</v>
      </c>
    </row>
    <row r="1129" spans="1:42">
      <c r="A1129" t="s">
        <v>9169</v>
      </c>
      <c r="B1129" t="s">
        <v>2389</v>
      </c>
      <c r="C1129" t="s">
        <v>2378</v>
      </c>
      <c r="D1129" t="s">
        <v>2379</v>
      </c>
      <c r="E1129" t="s">
        <v>33</v>
      </c>
      <c r="F1129">
        <v>6428</v>
      </c>
      <c r="G1129" t="s">
        <v>33</v>
      </c>
      <c r="H1129" t="b">
        <v>1</v>
      </c>
      <c r="I1129" s="8">
        <v>45931.631539351853</v>
      </c>
      <c r="J1129" t="s">
        <v>2380</v>
      </c>
      <c r="K1129">
        <v>1199577</v>
      </c>
      <c r="L1129">
        <v>604528</v>
      </c>
      <c r="M1129" t="s">
        <v>2381</v>
      </c>
      <c r="P1129" t="s">
        <v>2394</v>
      </c>
      <c r="Q1129" t="s">
        <v>2395</v>
      </c>
      <c r="R1129">
        <v>1</v>
      </c>
      <c r="S1129" t="s">
        <v>2380</v>
      </c>
      <c r="T1129" t="s">
        <v>2383</v>
      </c>
      <c r="U1129" s="8">
        <v>45926.524537037039</v>
      </c>
      <c r="V1129" s="8">
        <v>45931.958333333336</v>
      </c>
      <c r="W1129">
        <v>1</v>
      </c>
      <c r="X1129">
        <v>3.1070023149999999</v>
      </c>
      <c r="Y1129" t="s">
        <v>4482</v>
      </c>
      <c r="Z1129" t="s">
        <v>9170</v>
      </c>
      <c r="AA1129" t="s">
        <v>9171</v>
      </c>
      <c r="AB1129" t="s">
        <v>1278</v>
      </c>
      <c r="AC1129" t="s">
        <v>9172</v>
      </c>
      <c r="AD1129" t="s">
        <v>2708</v>
      </c>
      <c r="AE1129">
        <v>1</v>
      </c>
      <c r="AH1129" t="s">
        <v>12</v>
      </c>
      <c r="AI1129" s="8">
        <v>45931.607974537037</v>
      </c>
      <c r="AK1129" t="s">
        <v>2719</v>
      </c>
      <c r="AL1129" t="s">
        <v>2719</v>
      </c>
      <c r="AO1129" t="s">
        <v>4137</v>
      </c>
      <c r="AP1129" t="s">
        <v>2401</v>
      </c>
    </row>
    <row r="1130" spans="1:42">
      <c r="A1130" t="s">
        <v>7890</v>
      </c>
      <c r="B1130" t="s">
        <v>2389</v>
      </c>
      <c r="C1130" t="s">
        <v>2390</v>
      </c>
      <c r="D1130" t="s">
        <v>2379</v>
      </c>
      <c r="E1130" t="s">
        <v>12</v>
      </c>
      <c r="F1130" t="s">
        <v>7888</v>
      </c>
      <c r="G1130" t="s">
        <v>12</v>
      </c>
      <c r="H1130" t="b">
        <v>1</v>
      </c>
      <c r="I1130" s="8">
        <v>45931.385185185187</v>
      </c>
      <c r="J1130" t="s">
        <v>2380</v>
      </c>
      <c r="K1130">
        <v>1199629</v>
      </c>
      <c r="L1130">
        <v>601102</v>
      </c>
      <c r="M1130" t="s">
        <v>2381</v>
      </c>
      <c r="P1130" t="s">
        <v>2394</v>
      </c>
      <c r="Q1130" t="s">
        <v>2383</v>
      </c>
      <c r="R1130">
        <v>1</v>
      </c>
      <c r="S1130" t="s">
        <v>2380</v>
      </c>
      <c r="T1130" t="s">
        <v>2383</v>
      </c>
      <c r="U1130" s="8">
        <v>45926.530798611115</v>
      </c>
      <c r="V1130" s="8">
        <v>45931.958333333336</v>
      </c>
      <c r="W1130">
        <v>1</v>
      </c>
      <c r="X1130">
        <v>2.8543865739999998</v>
      </c>
      <c r="Y1130" t="s">
        <v>7889</v>
      </c>
      <c r="Z1130" t="s">
        <v>7891</v>
      </c>
      <c r="AA1130" t="s">
        <v>7892</v>
      </c>
      <c r="AB1130" t="s">
        <v>1278</v>
      </c>
      <c r="AC1130" t="s">
        <v>7893</v>
      </c>
      <c r="AD1130" t="s">
        <v>2708</v>
      </c>
      <c r="AE1130">
        <v>1</v>
      </c>
      <c r="AO1130" t="s">
        <v>2957</v>
      </c>
      <c r="AP1130" t="s">
        <v>2401</v>
      </c>
    </row>
    <row r="1131" spans="1:42">
      <c r="A1131" t="s">
        <v>7198</v>
      </c>
      <c r="B1131" t="s">
        <v>2389</v>
      </c>
      <c r="C1131" t="s">
        <v>2390</v>
      </c>
      <c r="D1131" t="s">
        <v>2379</v>
      </c>
      <c r="E1131" t="s">
        <v>2416</v>
      </c>
      <c r="F1131">
        <v>3801</v>
      </c>
      <c r="G1131" t="s">
        <v>2416</v>
      </c>
      <c r="H1131" t="b">
        <v>1</v>
      </c>
      <c r="I1131" s="8">
        <v>45931.452974537038</v>
      </c>
      <c r="J1131" t="s">
        <v>2380</v>
      </c>
      <c r="K1131">
        <v>1199645</v>
      </c>
      <c r="L1131">
        <v>601466</v>
      </c>
      <c r="M1131" t="s">
        <v>2381</v>
      </c>
      <c r="N1131">
        <v>10</v>
      </c>
      <c r="P1131" t="s">
        <v>2394</v>
      </c>
      <c r="Q1131" t="s">
        <v>2383</v>
      </c>
      <c r="R1131">
        <v>1</v>
      </c>
      <c r="S1131" t="s">
        <v>2380</v>
      </c>
      <c r="T1131" t="s">
        <v>2383</v>
      </c>
      <c r="U1131" s="8">
        <v>45926.539317129631</v>
      </c>
      <c r="V1131" s="8">
        <v>45931.958333333336</v>
      </c>
      <c r="W1131">
        <v>1</v>
      </c>
      <c r="X1131">
        <v>2.9136574070000001</v>
      </c>
      <c r="Y1131" t="s">
        <v>3318</v>
      </c>
      <c r="Z1131" t="s">
        <v>7199</v>
      </c>
      <c r="AA1131" t="s">
        <v>7200</v>
      </c>
      <c r="AB1131" t="s">
        <v>1278</v>
      </c>
      <c r="AC1131" t="s">
        <v>7201</v>
      </c>
      <c r="AD1131" t="s">
        <v>2708</v>
      </c>
      <c r="AE1131">
        <v>1</v>
      </c>
      <c r="AO1131" t="s">
        <v>2388</v>
      </c>
      <c r="AP1131" t="s">
        <v>2401</v>
      </c>
    </row>
    <row r="1132" spans="1:42">
      <c r="A1132" t="s">
        <v>6629</v>
      </c>
      <c r="B1132" t="s">
        <v>2389</v>
      </c>
      <c r="C1132" t="s">
        <v>2390</v>
      </c>
      <c r="D1132" t="s">
        <v>2379</v>
      </c>
      <c r="E1132" t="s">
        <v>24</v>
      </c>
      <c r="F1132">
        <v>4056</v>
      </c>
      <c r="G1132" t="s">
        <v>24</v>
      </c>
      <c r="H1132" t="b">
        <v>1</v>
      </c>
      <c r="I1132" s="8">
        <v>45931.545624999999</v>
      </c>
      <c r="J1132" t="s">
        <v>2380</v>
      </c>
      <c r="K1132">
        <v>1199676</v>
      </c>
      <c r="L1132">
        <v>603296</v>
      </c>
      <c r="M1132" t="s">
        <v>2381</v>
      </c>
      <c r="P1132" t="s">
        <v>2394</v>
      </c>
      <c r="Q1132" t="s">
        <v>2383</v>
      </c>
      <c r="R1132">
        <v>1</v>
      </c>
      <c r="S1132" t="s">
        <v>2380</v>
      </c>
      <c r="T1132" t="s">
        <v>2383</v>
      </c>
      <c r="U1132" s="8">
        <v>45926.551898148151</v>
      </c>
      <c r="V1132" s="8">
        <v>45931.958333333336</v>
      </c>
      <c r="W1132">
        <v>1</v>
      </c>
      <c r="X1132">
        <v>2.993726852</v>
      </c>
      <c r="Y1132" t="s">
        <v>3379</v>
      </c>
      <c r="Z1132" t="s">
        <v>6630</v>
      </c>
      <c r="AA1132" t="s">
        <v>6568</v>
      </c>
      <c r="AB1132" t="s">
        <v>1278</v>
      </c>
      <c r="AD1132" t="s">
        <v>2708</v>
      </c>
      <c r="AE1132">
        <v>1</v>
      </c>
      <c r="AO1132" t="s">
        <v>2388</v>
      </c>
      <c r="AP1132" t="s">
        <v>2401</v>
      </c>
    </row>
    <row r="1133" spans="1:42">
      <c r="A1133" t="s">
        <v>6191</v>
      </c>
      <c r="B1133" t="s">
        <v>2389</v>
      </c>
      <c r="C1133" t="s">
        <v>2378</v>
      </c>
      <c r="D1133" t="s">
        <v>2379</v>
      </c>
      <c r="E1133" t="s">
        <v>25</v>
      </c>
      <c r="F1133" t="s">
        <v>2541</v>
      </c>
      <c r="G1133" t="s">
        <v>25</v>
      </c>
      <c r="H1133" t="b">
        <v>1</v>
      </c>
      <c r="I1133" s="8">
        <v>45931.585706018515</v>
      </c>
      <c r="J1133" t="s">
        <v>2380</v>
      </c>
      <c r="K1133">
        <v>1199702</v>
      </c>
      <c r="L1133">
        <v>601096</v>
      </c>
      <c r="M1133" t="s">
        <v>2381</v>
      </c>
      <c r="N1133">
        <v>5</v>
      </c>
      <c r="P1133" t="s">
        <v>2548</v>
      </c>
      <c r="Q1133" t="s">
        <v>2383</v>
      </c>
      <c r="R1133">
        <v>1</v>
      </c>
      <c r="S1133" t="s">
        <v>2380</v>
      </c>
      <c r="T1133" t="s">
        <v>2383</v>
      </c>
      <c r="U1133" s="8">
        <v>45926.552546296298</v>
      </c>
      <c r="V1133" s="8">
        <v>45931.958333333336</v>
      </c>
      <c r="W1133">
        <v>1</v>
      </c>
      <c r="X1133">
        <v>3.0331597220000002</v>
      </c>
      <c r="Y1133" t="s">
        <v>2542</v>
      </c>
      <c r="Z1133" t="s">
        <v>6192</v>
      </c>
      <c r="AA1133" t="s">
        <v>2888</v>
      </c>
      <c r="AB1133" t="s">
        <v>1278</v>
      </c>
      <c r="AC1133" t="s">
        <v>6193</v>
      </c>
      <c r="AD1133" t="s">
        <v>2708</v>
      </c>
      <c r="AE1133">
        <v>1</v>
      </c>
      <c r="AO1133" t="s">
        <v>2547</v>
      </c>
      <c r="AP1133" t="s">
        <v>2401</v>
      </c>
    </row>
    <row r="1134" spans="1:42">
      <c r="A1134" t="s">
        <v>6631</v>
      </c>
      <c r="B1134" t="s">
        <v>2389</v>
      </c>
      <c r="C1134" t="s">
        <v>2390</v>
      </c>
      <c r="D1134" t="s">
        <v>2379</v>
      </c>
      <c r="E1134" t="s">
        <v>24</v>
      </c>
      <c r="F1134">
        <v>4056</v>
      </c>
      <c r="G1134" t="s">
        <v>24</v>
      </c>
      <c r="H1134" t="b">
        <v>1</v>
      </c>
      <c r="I1134" s="8">
        <v>45931.541724537034</v>
      </c>
      <c r="J1134" t="s">
        <v>2380</v>
      </c>
      <c r="K1134">
        <v>1199678</v>
      </c>
      <c r="L1134">
        <v>603296</v>
      </c>
      <c r="M1134" t="s">
        <v>2381</v>
      </c>
      <c r="P1134" t="s">
        <v>2394</v>
      </c>
      <c r="Q1134" t="s">
        <v>2383</v>
      </c>
      <c r="R1134">
        <v>1</v>
      </c>
      <c r="S1134" t="s">
        <v>2380</v>
      </c>
      <c r="T1134" t="s">
        <v>2383</v>
      </c>
      <c r="U1134" s="8">
        <v>45926.558946759258</v>
      </c>
      <c r="V1134" s="8">
        <v>45931.958333333336</v>
      </c>
      <c r="W1134">
        <v>1</v>
      </c>
      <c r="X1134">
        <v>2.982777778</v>
      </c>
      <c r="Y1134" t="s">
        <v>3379</v>
      </c>
      <c r="Z1134" t="s">
        <v>6632</v>
      </c>
      <c r="AA1134" t="s">
        <v>6568</v>
      </c>
      <c r="AB1134" t="s">
        <v>1278</v>
      </c>
      <c r="AD1134" t="s">
        <v>2708</v>
      </c>
      <c r="AE1134">
        <v>1</v>
      </c>
      <c r="AO1134" t="s">
        <v>2388</v>
      </c>
      <c r="AP1134" t="s">
        <v>2401</v>
      </c>
    </row>
    <row r="1135" spans="1:42">
      <c r="A1135" t="s">
        <v>4203</v>
      </c>
      <c r="B1135" t="s">
        <v>2389</v>
      </c>
      <c r="C1135" t="s">
        <v>2390</v>
      </c>
      <c r="D1135" t="s">
        <v>2379</v>
      </c>
      <c r="E1135" t="s">
        <v>24</v>
      </c>
      <c r="F1135" t="s">
        <v>2402</v>
      </c>
      <c r="G1135" t="s">
        <v>24</v>
      </c>
      <c r="H1135" t="b">
        <v>1</v>
      </c>
      <c r="I1135" s="8">
        <v>45931.462233796294</v>
      </c>
      <c r="J1135" t="s">
        <v>2380</v>
      </c>
      <c r="K1135">
        <v>1199655</v>
      </c>
      <c r="L1135">
        <v>609839</v>
      </c>
      <c r="M1135" t="s">
        <v>2381</v>
      </c>
      <c r="P1135" t="s">
        <v>2394</v>
      </c>
      <c r="Q1135" t="s">
        <v>2383</v>
      </c>
      <c r="R1135">
        <v>1</v>
      </c>
      <c r="S1135" t="s">
        <v>2380</v>
      </c>
      <c r="T1135" t="s">
        <v>2383</v>
      </c>
      <c r="U1135" s="8">
        <v>45926.599826388891</v>
      </c>
      <c r="V1135" s="8">
        <v>45931.958333333336</v>
      </c>
      <c r="W1135">
        <v>1</v>
      </c>
      <c r="X1135">
        <v>2.8624074070000001</v>
      </c>
      <c r="Y1135" t="s">
        <v>2403</v>
      </c>
      <c r="Z1135" t="s">
        <v>4204</v>
      </c>
      <c r="AA1135" t="s">
        <v>2760</v>
      </c>
      <c r="AB1135" t="s">
        <v>1278</v>
      </c>
      <c r="AD1135" t="s">
        <v>2708</v>
      </c>
      <c r="AE1135">
        <v>1</v>
      </c>
      <c r="AO1135" t="s">
        <v>2408</v>
      </c>
      <c r="AP1135" t="s">
        <v>2401</v>
      </c>
    </row>
    <row r="1136" spans="1:42">
      <c r="A1136" t="s">
        <v>10012</v>
      </c>
      <c r="B1136" t="s">
        <v>2389</v>
      </c>
      <c r="C1136" t="s">
        <v>2378</v>
      </c>
      <c r="D1136" t="s">
        <v>2379</v>
      </c>
      <c r="E1136" t="s">
        <v>24</v>
      </c>
      <c r="F1136" t="s">
        <v>3301</v>
      </c>
      <c r="G1136" t="s">
        <v>24</v>
      </c>
      <c r="H1136" t="b">
        <v>1</v>
      </c>
      <c r="I1136" s="8">
        <v>45931.653900462959</v>
      </c>
      <c r="J1136" t="s">
        <v>2380</v>
      </c>
      <c r="L1136">
        <v>603688</v>
      </c>
      <c r="M1136" t="s">
        <v>2381</v>
      </c>
      <c r="P1136" t="s">
        <v>2394</v>
      </c>
      <c r="Q1136" t="s">
        <v>2383</v>
      </c>
      <c r="R1136">
        <v>1</v>
      </c>
      <c r="S1136" t="s">
        <v>2380</v>
      </c>
      <c r="T1136" t="s">
        <v>2383</v>
      </c>
      <c r="U1136" s="8">
        <v>45926.602685185186</v>
      </c>
      <c r="V1136" s="8">
        <v>45931.958333333336</v>
      </c>
      <c r="W1136">
        <v>1</v>
      </c>
      <c r="X1136">
        <v>3.0512152779999999</v>
      </c>
      <c r="Y1136" t="s">
        <v>3302</v>
      </c>
      <c r="Z1136" t="s">
        <v>10013</v>
      </c>
      <c r="AA1136" t="s">
        <v>9070</v>
      </c>
      <c r="AB1136" t="s">
        <v>1278</v>
      </c>
      <c r="AC1136" t="s">
        <v>10014</v>
      </c>
      <c r="AE1136">
        <v>1</v>
      </c>
      <c r="AO1136" t="s">
        <v>2957</v>
      </c>
      <c r="AP1136" t="s">
        <v>2401</v>
      </c>
    </row>
    <row r="1137" spans="1:42">
      <c r="A1137" t="s">
        <v>5413</v>
      </c>
      <c r="B1137" t="s">
        <v>2389</v>
      </c>
      <c r="C1137" t="s">
        <v>2378</v>
      </c>
      <c r="D1137" t="s">
        <v>2379</v>
      </c>
      <c r="E1137" t="s">
        <v>2416</v>
      </c>
      <c r="F1137" t="s">
        <v>2477</v>
      </c>
      <c r="G1137" t="s">
        <v>2416</v>
      </c>
      <c r="H1137" t="b">
        <v>1</v>
      </c>
      <c r="I1137" s="8">
        <v>45931.650682870371</v>
      </c>
      <c r="J1137" t="s">
        <v>2380</v>
      </c>
      <c r="K1137">
        <v>1199744</v>
      </c>
      <c r="L1137">
        <v>603944</v>
      </c>
      <c r="M1137" t="s">
        <v>2381</v>
      </c>
      <c r="P1137" t="s">
        <v>2394</v>
      </c>
      <c r="Q1137" t="s">
        <v>2383</v>
      </c>
      <c r="R1137">
        <v>1</v>
      </c>
      <c r="S1137" t="s">
        <v>2380</v>
      </c>
      <c r="T1137" t="s">
        <v>2383</v>
      </c>
      <c r="U1137" s="8">
        <v>45926.61141203704</v>
      </c>
      <c r="V1137" s="8">
        <v>45931.958333333336</v>
      </c>
      <c r="W1137">
        <v>1</v>
      </c>
      <c r="X1137">
        <v>3.0392708329999998</v>
      </c>
      <c r="Y1137" t="s">
        <v>2403</v>
      </c>
      <c r="Z1137" t="s">
        <v>5414</v>
      </c>
      <c r="AA1137" t="s">
        <v>1745</v>
      </c>
      <c r="AB1137" t="s">
        <v>1278</v>
      </c>
      <c r="AC1137" t="s">
        <v>5415</v>
      </c>
      <c r="AD1137" t="s">
        <v>2708</v>
      </c>
      <c r="AE1137">
        <v>1</v>
      </c>
      <c r="AO1137" t="s">
        <v>2408</v>
      </c>
      <c r="AP1137" t="s">
        <v>2401</v>
      </c>
    </row>
    <row r="1138" spans="1:42">
      <c r="A1138" t="s">
        <v>6971</v>
      </c>
      <c r="B1138" t="s">
        <v>2389</v>
      </c>
      <c r="C1138" t="s">
        <v>2390</v>
      </c>
      <c r="D1138" t="s">
        <v>2379</v>
      </c>
      <c r="E1138" t="s">
        <v>2452</v>
      </c>
      <c r="F1138">
        <v>4056</v>
      </c>
      <c r="G1138" t="s">
        <v>2452</v>
      </c>
      <c r="H1138" t="b">
        <v>1</v>
      </c>
      <c r="I1138" s="8">
        <v>45931.47997685185</v>
      </c>
      <c r="J1138" t="s">
        <v>2380</v>
      </c>
      <c r="K1138">
        <v>1199661</v>
      </c>
      <c r="L1138">
        <v>603655</v>
      </c>
      <c r="M1138" t="s">
        <v>2381</v>
      </c>
      <c r="P1138" t="s">
        <v>2394</v>
      </c>
      <c r="Q1138" t="s">
        <v>2383</v>
      </c>
      <c r="R1138">
        <v>1</v>
      </c>
      <c r="S1138" t="s">
        <v>2380</v>
      </c>
      <c r="T1138" t="s">
        <v>2383</v>
      </c>
      <c r="U1138" s="8">
        <v>45926.620069444441</v>
      </c>
      <c r="V1138" s="8">
        <v>45931.958333333336</v>
      </c>
      <c r="W1138">
        <v>1</v>
      </c>
      <c r="X1138">
        <v>2.8599074070000001</v>
      </c>
      <c r="Y1138" t="s">
        <v>3379</v>
      </c>
      <c r="Z1138" t="s">
        <v>6972</v>
      </c>
      <c r="AA1138" t="s">
        <v>3382</v>
      </c>
      <c r="AB1138" t="s">
        <v>1278</v>
      </c>
      <c r="AC1138" t="s">
        <v>6973</v>
      </c>
      <c r="AD1138" t="s">
        <v>2708</v>
      </c>
      <c r="AE1138">
        <v>1</v>
      </c>
      <c r="AO1138" t="s">
        <v>2388</v>
      </c>
      <c r="AP1138" t="s">
        <v>2401</v>
      </c>
    </row>
    <row r="1139" spans="1:42">
      <c r="A1139" t="s">
        <v>9134</v>
      </c>
      <c r="B1139" t="s">
        <v>2389</v>
      </c>
      <c r="C1139" t="s">
        <v>2390</v>
      </c>
      <c r="D1139" t="s">
        <v>2379</v>
      </c>
      <c r="E1139" t="s">
        <v>33</v>
      </c>
      <c r="F1139" t="s">
        <v>2578</v>
      </c>
      <c r="G1139" t="s">
        <v>33</v>
      </c>
      <c r="H1139" t="b">
        <v>1</v>
      </c>
      <c r="I1139" s="8">
        <v>45931.564247685186</v>
      </c>
      <c r="J1139" t="s">
        <v>2380</v>
      </c>
      <c r="K1139">
        <v>1199510</v>
      </c>
      <c r="L1139">
        <v>604455</v>
      </c>
      <c r="M1139" t="s">
        <v>2381</v>
      </c>
      <c r="Q1139" t="s">
        <v>2395</v>
      </c>
      <c r="R1139">
        <v>1</v>
      </c>
      <c r="S1139" t="s">
        <v>2380</v>
      </c>
      <c r="T1139" t="s">
        <v>2383</v>
      </c>
      <c r="U1139" s="8">
        <v>45926.622361111113</v>
      </c>
      <c r="V1139" s="8">
        <v>45931.958333333336</v>
      </c>
      <c r="W1139">
        <v>1</v>
      </c>
      <c r="X1139">
        <v>2.9418865740000002</v>
      </c>
      <c r="Y1139" t="s">
        <v>2579</v>
      </c>
      <c r="Z1139" t="s">
        <v>9135</v>
      </c>
      <c r="AA1139" t="s">
        <v>3661</v>
      </c>
      <c r="AB1139" t="s">
        <v>1278</v>
      </c>
      <c r="AC1139" t="s">
        <v>9136</v>
      </c>
      <c r="AD1139" t="s">
        <v>2708</v>
      </c>
      <c r="AE1139">
        <v>1</v>
      </c>
      <c r="AH1139" t="s">
        <v>12</v>
      </c>
      <c r="AI1139" s="8">
        <v>45931.52140046296</v>
      </c>
      <c r="AK1139" t="s">
        <v>2719</v>
      </c>
      <c r="AL1139" t="s">
        <v>2719</v>
      </c>
      <c r="AO1139" t="s">
        <v>4137</v>
      </c>
      <c r="AP1139" t="s">
        <v>2401</v>
      </c>
    </row>
    <row r="1140" spans="1:42">
      <c r="A1140" t="s">
        <v>5648</v>
      </c>
      <c r="B1140" t="s">
        <v>2389</v>
      </c>
      <c r="C1140" t="s">
        <v>2390</v>
      </c>
      <c r="D1140" t="s">
        <v>2379</v>
      </c>
      <c r="E1140" t="s">
        <v>33</v>
      </c>
      <c r="F1140" t="s">
        <v>2541</v>
      </c>
      <c r="G1140" t="s">
        <v>33</v>
      </c>
      <c r="H1140" t="b">
        <v>1</v>
      </c>
      <c r="I1140" s="8">
        <v>45931.432581018518</v>
      </c>
      <c r="J1140" t="s">
        <v>2380</v>
      </c>
      <c r="K1140">
        <v>1199643</v>
      </c>
      <c r="L1140">
        <v>608637</v>
      </c>
      <c r="M1140" t="s">
        <v>2381</v>
      </c>
      <c r="P1140" t="s">
        <v>2394</v>
      </c>
      <c r="Q1140" t="s">
        <v>2383</v>
      </c>
      <c r="R1140">
        <v>1</v>
      </c>
      <c r="S1140" t="s">
        <v>2380</v>
      </c>
      <c r="T1140" t="s">
        <v>2383</v>
      </c>
      <c r="U1140" s="8">
        <v>45926.633564814816</v>
      </c>
      <c r="V1140" s="8">
        <v>45931.958333333336</v>
      </c>
      <c r="W1140">
        <v>1</v>
      </c>
      <c r="X1140">
        <v>2.799016204</v>
      </c>
      <c r="Y1140" t="s">
        <v>2542</v>
      </c>
      <c r="Z1140" t="s">
        <v>5649</v>
      </c>
      <c r="AA1140" t="s">
        <v>5650</v>
      </c>
      <c r="AB1140" t="s">
        <v>1278</v>
      </c>
      <c r="AC1140" t="s">
        <v>5651</v>
      </c>
      <c r="AD1140" t="s">
        <v>2708</v>
      </c>
      <c r="AE1140">
        <v>1</v>
      </c>
      <c r="AO1140" t="s">
        <v>2547</v>
      </c>
      <c r="AP1140" t="s">
        <v>2401</v>
      </c>
    </row>
    <row r="1141" spans="1:42">
      <c r="A1141" t="s">
        <v>7884</v>
      </c>
      <c r="B1141" t="s">
        <v>2389</v>
      </c>
      <c r="C1141" t="s">
        <v>2390</v>
      </c>
      <c r="D1141" t="s">
        <v>2379</v>
      </c>
      <c r="E1141" t="s">
        <v>12</v>
      </c>
      <c r="F1141" t="s">
        <v>2578</v>
      </c>
      <c r="G1141" t="s">
        <v>12</v>
      </c>
      <c r="H1141" t="b">
        <v>1</v>
      </c>
      <c r="I1141" s="8">
        <v>45931.43209490741</v>
      </c>
      <c r="J1141" t="s">
        <v>2380</v>
      </c>
      <c r="K1141">
        <v>1199644</v>
      </c>
      <c r="L1141">
        <v>602866</v>
      </c>
      <c r="M1141" t="s">
        <v>2381</v>
      </c>
      <c r="P1141" t="s">
        <v>2394</v>
      </c>
      <c r="Q1141" t="s">
        <v>2383</v>
      </c>
      <c r="R1141">
        <v>1</v>
      </c>
      <c r="S1141" t="s">
        <v>2380</v>
      </c>
      <c r="T1141" t="s">
        <v>2383</v>
      </c>
      <c r="U1141" s="8">
        <v>45926.643750000003</v>
      </c>
      <c r="V1141" s="8">
        <v>45931.958333333336</v>
      </c>
      <c r="W1141">
        <v>1</v>
      </c>
      <c r="X1141">
        <v>2.7883449069999999</v>
      </c>
      <c r="Y1141" t="s">
        <v>2579</v>
      </c>
      <c r="Z1141" t="s">
        <v>7885</v>
      </c>
      <c r="AA1141" t="s">
        <v>7886</v>
      </c>
      <c r="AB1141" t="s">
        <v>1278</v>
      </c>
      <c r="AC1141" t="s">
        <v>7887</v>
      </c>
      <c r="AD1141" t="s">
        <v>2708</v>
      </c>
      <c r="AE1141">
        <v>1</v>
      </c>
      <c r="AO1141" t="s">
        <v>2957</v>
      </c>
      <c r="AP1141" t="s">
        <v>2401</v>
      </c>
    </row>
    <row r="1142" spans="1:42">
      <c r="A1142" t="s">
        <v>6181</v>
      </c>
      <c r="B1142" t="s">
        <v>2389</v>
      </c>
      <c r="C1142" t="s">
        <v>2443</v>
      </c>
      <c r="D1142" t="s">
        <v>2443</v>
      </c>
      <c r="E1142" t="s">
        <v>25</v>
      </c>
      <c r="F1142" t="s">
        <v>2578</v>
      </c>
      <c r="G1142" t="s">
        <v>25</v>
      </c>
      <c r="H1142" t="b">
        <v>1</v>
      </c>
      <c r="I1142" s="8">
        <v>45932.601273148146</v>
      </c>
      <c r="J1142" t="s">
        <v>2380</v>
      </c>
      <c r="K1142">
        <v>1199942</v>
      </c>
      <c r="L1142">
        <v>602543</v>
      </c>
      <c r="M1142" t="s">
        <v>2381</v>
      </c>
      <c r="N1142">
        <v>5</v>
      </c>
      <c r="P1142" t="s">
        <v>2394</v>
      </c>
      <c r="Q1142" t="s">
        <v>2383</v>
      </c>
      <c r="R1142">
        <v>1</v>
      </c>
      <c r="S1142" t="s">
        <v>2380</v>
      </c>
      <c r="T1142" t="s">
        <v>2383</v>
      </c>
      <c r="U1142" s="8">
        <v>45926.648715277777</v>
      </c>
      <c r="V1142" s="8">
        <v>45931.958333333336</v>
      </c>
      <c r="W1142">
        <v>1</v>
      </c>
      <c r="X1142">
        <v>3.9525578700000001</v>
      </c>
      <c r="Y1142" t="s">
        <v>2579</v>
      </c>
      <c r="Z1142" t="s">
        <v>6182</v>
      </c>
      <c r="AA1142" t="s">
        <v>6048</v>
      </c>
      <c r="AB1142" t="s">
        <v>1278</v>
      </c>
      <c r="AC1142" t="s">
        <v>6183</v>
      </c>
      <c r="AD1142" t="s">
        <v>2708</v>
      </c>
      <c r="AE1142">
        <v>1</v>
      </c>
      <c r="AO1142" t="s">
        <v>2547</v>
      </c>
      <c r="AP1142" t="s">
        <v>2401</v>
      </c>
    </row>
    <row r="1143" spans="1:42">
      <c r="A1143" t="s">
        <v>9160</v>
      </c>
      <c r="B1143" t="s">
        <v>2389</v>
      </c>
      <c r="C1143" t="s">
        <v>2390</v>
      </c>
      <c r="D1143" t="s">
        <v>2379</v>
      </c>
      <c r="E1143" t="s">
        <v>33</v>
      </c>
      <c r="F1143" t="s">
        <v>2588</v>
      </c>
      <c r="G1143" t="s">
        <v>33</v>
      </c>
      <c r="H1143" t="b">
        <v>1</v>
      </c>
      <c r="I1143" s="8">
        <v>45931.56417824074</v>
      </c>
      <c r="J1143" t="s">
        <v>2380</v>
      </c>
      <c r="K1143">
        <v>1199393</v>
      </c>
      <c r="L1143">
        <v>604105</v>
      </c>
      <c r="M1143" t="s">
        <v>2381</v>
      </c>
      <c r="P1143" t="s">
        <v>2394</v>
      </c>
      <c r="Q1143" t="s">
        <v>2395</v>
      </c>
      <c r="R1143">
        <v>1</v>
      </c>
      <c r="S1143" t="s">
        <v>2380</v>
      </c>
      <c r="T1143" t="s">
        <v>2383</v>
      </c>
      <c r="U1143" s="8">
        <v>45926.651724537034</v>
      </c>
      <c r="V1143" s="8">
        <v>45931.958333333336</v>
      </c>
      <c r="W1143">
        <v>1</v>
      </c>
      <c r="X1143">
        <v>2.9124537039999998</v>
      </c>
      <c r="Y1143" t="s">
        <v>2579</v>
      </c>
      <c r="Z1143" t="s">
        <v>9161</v>
      </c>
      <c r="AA1143" t="s">
        <v>9152</v>
      </c>
      <c r="AB1143" t="s">
        <v>1278</v>
      </c>
      <c r="AC1143" t="s">
        <v>9162</v>
      </c>
      <c r="AD1143" t="s">
        <v>2708</v>
      </c>
      <c r="AE1143">
        <v>1</v>
      </c>
      <c r="AH1143" t="s">
        <v>12</v>
      </c>
      <c r="AI1143" s="8">
        <v>45931.525763888887</v>
      </c>
      <c r="AK1143" t="s">
        <v>2719</v>
      </c>
      <c r="AL1143" t="s">
        <v>2719</v>
      </c>
      <c r="AO1143" t="s">
        <v>4137</v>
      </c>
      <c r="AP1143" t="s">
        <v>2401</v>
      </c>
    </row>
    <row r="1144" spans="1:42">
      <c r="A1144" t="s">
        <v>9163</v>
      </c>
      <c r="B1144" t="s">
        <v>2389</v>
      </c>
      <c r="C1144" t="s">
        <v>2390</v>
      </c>
      <c r="D1144" t="s">
        <v>2379</v>
      </c>
      <c r="E1144" t="s">
        <v>33</v>
      </c>
      <c r="F1144" t="s">
        <v>2588</v>
      </c>
      <c r="G1144" t="s">
        <v>33</v>
      </c>
      <c r="H1144" t="b">
        <v>1</v>
      </c>
      <c r="I1144" s="8">
        <v>45931.631608796299</v>
      </c>
      <c r="J1144" t="s">
        <v>2380</v>
      </c>
      <c r="K1144">
        <v>1199394</v>
      </c>
      <c r="L1144">
        <v>604105</v>
      </c>
      <c r="M1144" t="s">
        <v>2381</v>
      </c>
      <c r="P1144" t="s">
        <v>2394</v>
      </c>
      <c r="Q1144" t="s">
        <v>2395</v>
      </c>
      <c r="R1144">
        <v>1</v>
      </c>
      <c r="S1144" t="s">
        <v>2380</v>
      </c>
      <c r="T1144" t="s">
        <v>2383</v>
      </c>
      <c r="U1144" s="8">
        <v>45926.653101851851</v>
      </c>
      <c r="V1144" s="8">
        <v>45931.958333333336</v>
      </c>
      <c r="W1144">
        <v>1</v>
      </c>
      <c r="X1144">
        <v>2.9785069439999998</v>
      </c>
      <c r="Y1144" t="s">
        <v>2579</v>
      </c>
      <c r="Z1144" t="s">
        <v>9164</v>
      </c>
      <c r="AA1144" t="s">
        <v>9152</v>
      </c>
      <c r="AB1144" t="s">
        <v>1278</v>
      </c>
      <c r="AC1144" t="s">
        <v>9165</v>
      </c>
      <c r="AD1144" t="s">
        <v>2708</v>
      </c>
      <c r="AE1144">
        <v>1</v>
      </c>
      <c r="AH1144" t="s">
        <v>12</v>
      </c>
      <c r="AI1144" s="8">
        <v>45931.603449074071</v>
      </c>
      <c r="AK1144" t="s">
        <v>2719</v>
      </c>
      <c r="AL1144" t="s">
        <v>2719</v>
      </c>
      <c r="AO1144" t="s">
        <v>4137</v>
      </c>
      <c r="AP1144" t="s">
        <v>2401</v>
      </c>
    </row>
    <row r="1145" spans="1:42">
      <c r="A1145" t="s">
        <v>7293</v>
      </c>
      <c r="B1145" t="s">
        <v>2389</v>
      </c>
      <c r="C1145" t="s">
        <v>2443</v>
      </c>
      <c r="D1145" t="s">
        <v>2443</v>
      </c>
      <c r="E1145" t="s">
        <v>25</v>
      </c>
      <c r="F1145" t="s">
        <v>2588</v>
      </c>
      <c r="G1145" t="s">
        <v>25</v>
      </c>
      <c r="H1145" t="b">
        <v>1</v>
      </c>
      <c r="I1145" s="8">
        <v>45932.60365740741</v>
      </c>
      <c r="J1145" t="s">
        <v>2380</v>
      </c>
      <c r="K1145">
        <v>1199943</v>
      </c>
      <c r="L1145">
        <v>602492</v>
      </c>
      <c r="M1145" t="s">
        <v>2381</v>
      </c>
      <c r="N1145">
        <v>5</v>
      </c>
      <c r="P1145" t="s">
        <v>2394</v>
      </c>
      <c r="Q1145" t="s">
        <v>2383</v>
      </c>
      <c r="R1145">
        <v>1</v>
      </c>
      <c r="S1145" t="s">
        <v>2380</v>
      </c>
      <c r="T1145" t="s">
        <v>2383</v>
      </c>
      <c r="U1145" s="8">
        <v>45926.661597222221</v>
      </c>
      <c r="V1145" s="8">
        <v>45931.958333333336</v>
      </c>
      <c r="W1145">
        <v>1</v>
      </c>
      <c r="X1145">
        <v>3.9420601849999999</v>
      </c>
      <c r="Y1145" t="s">
        <v>2579</v>
      </c>
      <c r="Z1145" t="s">
        <v>7294</v>
      </c>
      <c r="AA1145" t="s">
        <v>7295</v>
      </c>
      <c r="AB1145" t="s">
        <v>1278</v>
      </c>
      <c r="AC1145" t="s">
        <v>7296</v>
      </c>
      <c r="AD1145" t="s">
        <v>2708</v>
      </c>
      <c r="AE1145">
        <v>1</v>
      </c>
      <c r="AO1145" t="s">
        <v>2388</v>
      </c>
      <c r="AP1145" t="s">
        <v>2401</v>
      </c>
    </row>
    <row r="1146" spans="1:42">
      <c r="A1146" t="s">
        <v>9471</v>
      </c>
      <c r="B1146" t="s">
        <v>2389</v>
      </c>
      <c r="C1146" t="s">
        <v>2378</v>
      </c>
      <c r="D1146" t="s">
        <v>2379</v>
      </c>
      <c r="E1146" t="s">
        <v>24</v>
      </c>
      <c r="F1146" t="s">
        <v>6962</v>
      </c>
      <c r="G1146" t="s">
        <v>24</v>
      </c>
      <c r="H1146" t="b">
        <v>1</v>
      </c>
      <c r="I1146" s="8">
        <v>45932.497627314813</v>
      </c>
      <c r="J1146" t="s">
        <v>2380</v>
      </c>
      <c r="K1146">
        <v>1199894</v>
      </c>
      <c r="L1146">
        <v>605893</v>
      </c>
      <c r="M1146" t="s">
        <v>2381</v>
      </c>
      <c r="P1146" t="s">
        <v>2394</v>
      </c>
      <c r="Q1146" t="s">
        <v>2383</v>
      </c>
      <c r="R1146">
        <v>1</v>
      </c>
      <c r="S1146" t="s">
        <v>2380</v>
      </c>
      <c r="T1146" t="s">
        <v>2383</v>
      </c>
      <c r="U1146" s="8">
        <v>45926.696446759262</v>
      </c>
      <c r="V1146" s="8">
        <v>45936.958333333336</v>
      </c>
      <c r="W1146">
        <v>1</v>
      </c>
      <c r="X1146">
        <v>3.8011805559999998</v>
      </c>
      <c r="Y1146" t="s">
        <v>6963</v>
      </c>
      <c r="Z1146" t="s">
        <v>9472</v>
      </c>
      <c r="AA1146" t="s">
        <v>9473</v>
      </c>
      <c r="AB1146" t="s">
        <v>1278</v>
      </c>
      <c r="AD1146" t="s">
        <v>2708</v>
      </c>
      <c r="AE1146">
        <v>1</v>
      </c>
      <c r="AO1146" t="s">
        <v>2957</v>
      </c>
      <c r="AP1146" t="s">
        <v>8931</v>
      </c>
    </row>
    <row r="1147" spans="1:42">
      <c r="A1147" t="s">
        <v>4205</v>
      </c>
      <c r="B1147" t="s">
        <v>2389</v>
      </c>
      <c r="C1147" t="s">
        <v>2390</v>
      </c>
      <c r="D1147" t="s">
        <v>2379</v>
      </c>
      <c r="E1147" t="s">
        <v>24</v>
      </c>
      <c r="F1147" t="s">
        <v>2417</v>
      </c>
      <c r="G1147" t="s">
        <v>24</v>
      </c>
      <c r="H1147" t="b">
        <v>1</v>
      </c>
      <c r="I1147" s="8">
        <v>45931.538032407407</v>
      </c>
      <c r="J1147" t="s">
        <v>2380</v>
      </c>
      <c r="K1147">
        <v>1199674</v>
      </c>
      <c r="L1147">
        <v>609726</v>
      </c>
      <c r="M1147" t="s">
        <v>2381</v>
      </c>
      <c r="P1147" t="s">
        <v>2394</v>
      </c>
      <c r="Q1147" t="s">
        <v>2383</v>
      </c>
      <c r="R1147">
        <v>1</v>
      </c>
      <c r="S1147" t="s">
        <v>2380</v>
      </c>
      <c r="T1147" t="s">
        <v>2383</v>
      </c>
      <c r="U1147" s="8">
        <v>45926.744664351849</v>
      </c>
      <c r="V1147" s="8">
        <v>45931.958333333336</v>
      </c>
      <c r="W1147">
        <v>1</v>
      </c>
      <c r="X1147">
        <v>2.7933680559999998</v>
      </c>
      <c r="Y1147" t="s">
        <v>2418</v>
      </c>
      <c r="Z1147" t="s">
        <v>4206</v>
      </c>
      <c r="AA1147" t="s">
        <v>1974</v>
      </c>
      <c r="AB1147" t="s">
        <v>1278</v>
      </c>
      <c r="AC1147" t="s">
        <v>4207</v>
      </c>
      <c r="AD1147" t="s">
        <v>2708</v>
      </c>
      <c r="AE1147">
        <v>1</v>
      </c>
      <c r="AO1147" t="s">
        <v>2408</v>
      </c>
      <c r="AP1147" t="s">
        <v>2401</v>
      </c>
    </row>
    <row r="1148" spans="1:42">
      <c r="A1148" t="s">
        <v>7131</v>
      </c>
      <c r="B1148" t="s">
        <v>2389</v>
      </c>
      <c r="C1148" t="s">
        <v>2390</v>
      </c>
      <c r="D1148" t="s">
        <v>2379</v>
      </c>
      <c r="E1148" t="s">
        <v>2416</v>
      </c>
      <c r="F1148">
        <v>6280</v>
      </c>
      <c r="G1148" t="s">
        <v>2416</v>
      </c>
      <c r="H1148" t="b">
        <v>1</v>
      </c>
      <c r="I1148" s="8">
        <v>45931.486516203702</v>
      </c>
      <c r="J1148" t="s">
        <v>2380</v>
      </c>
      <c r="K1148">
        <v>1199666</v>
      </c>
      <c r="L1148">
        <v>602337</v>
      </c>
      <c r="M1148" t="s">
        <v>2381</v>
      </c>
      <c r="P1148" t="s">
        <v>2394</v>
      </c>
      <c r="Q1148" t="s">
        <v>2383</v>
      </c>
      <c r="R1148">
        <v>1</v>
      </c>
      <c r="S1148" t="s">
        <v>2380</v>
      </c>
      <c r="T1148" t="s">
        <v>2383</v>
      </c>
      <c r="U1148" s="8">
        <v>45926.824953703705</v>
      </c>
      <c r="V1148" s="8">
        <v>45931.958333333336</v>
      </c>
      <c r="W1148">
        <v>1</v>
      </c>
      <c r="X1148">
        <v>2.6615625000000001</v>
      </c>
      <c r="Y1148" t="s">
        <v>4555</v>
      </c>
      <c r="Z1148" t="s">
        <v>7132</v>
      </c>
      <c r="AA1148" t="s">
        <v>6806</v>
      </c>
      <c r="AB1148" t="s">
        <v>1278</v>
      </c>
      <c r="AC1148" t="s">
        <v>7133</v>
      </c>
      <c r="AD1148" t="s">
        <v>2708</v>
      </c>
      <c r="AE1148">
        <v>1</v>
      </c>
      <c r="AO1148" t="s">
        <v>2388</v>
      </c>
      <c r="AP1148" t="s">
        <v>2401</v>
      </c>
    </row>
    <row r="1149" spans="1:42">
      <c r="A1149" t="s">
        <v>9228</v>
      </c>
      <c r="B1149" t="s">
        <v>2389</v>
      </c>
      <c r="C1149" t="s">
        <v>2443</v>
      </c>
      <c r="D1149" t="s">
        <v>2443</v>
      </c>
      <c r="E1149" t="s">
        <v>9227</v>
      </c>
      <c r="F1149" t="s">
        <v>2588</v>
      </c>
      <c r="G1149" t="s">
        <v>9227</v>
      </c>
      <c r="H1149" t="b">
        <v>1</v>
      </c>
      <c r="I1149" s="8">
        <v>45937.604155092595</v>
      </c>
      <c r="J1149" t="s">
        <v>2380</v>
      </c>
      <c r="K1149">
        <v>1200041</v>
      </c>
      <c r="L1149">
        <v>609696</v>
      </c>
      <c r="M1149" t="s">
        <v>2381</v>
      </c>
      <c r="Q1149" t="s">
        <v>2383</v>
      </c>
      <c r="R1149">
        <v>1</v>
      </c>
      <c r="S1149" t="s">
        <v>2380</v>
      </c>
      <c r="T1149" t="s">
        <v>2383</v>
      </c>
      <c r="U1149" s="8">
        <v>45927.384120370371</v>
      </c>
      <c r="V1149" s="8">
        <v>45936.958333333336</v>
      </c>
      <c r="W1149">
        <v>1</v>
      </c>
      <c r="X1149">
        <v>6.2200347220000003</v>
      </c>
      <c r="Y1149" t="s">
        <v>2579</v>
      </c>
      <c r="Z1149" t="s">
        <v>9229</v>
      </c>
      <c r="AA1149" t="s">
        <v>8830</v>
      </c>
      <c r="AB1149" t="s">
        <v>1278</v>
      </c>
      <c r="AC1149" t="s">
        <v>9230</v>
      </c>
      <c r="AD1149" t="s">
        <v>2708</v>
      </c>
      <c r="AE1149">
        <v>1</v>
      </c>
      <c r="AH1149" t="s">
        <v>12</v>
      </c>
      <c r="AI1149" s="8">
        <v>45937.566921296297</v>
      </c>
      <c r="AK1149" t="s">
        <v>2719</v>
      </c>
      <c r="AL1149" t="s">
        <v>2719</v>
      </c>
      <c r="AO1149" t="s">
        <v>3644</v>
      </c>
      <c r="AP1149" t="s">
        <v>2401</v>
      </c>
    </row>
    <row r="1150" spans="1:42">
      <c r="A1150" t="s">
        <v>6151</v>
      </c>
      <c r="B1150" t="s">
        <v>2389</v>
      </c>
      <c r="C1150" t="s">
        <v>2390</v>
      </c>
      <c r="D1150" t="s">
        <v>2379</v>
      </c>
      <c r="E1150" t="s">
        <v>28</v>
      </c>
      <c r="F1150" t="s">
        <v>2541</v>
      </c>
      <c r="G1150" t="s">
        <v>28</v>
      </c>
      <c r="H1150" t="b">
        <v>1</v>
      </c>
      <c r="I1150" s="8">
        <v>45931.625081018516</v>
      </c>
      <c r="J1150" t="s">
        <v>2380</v>
      </c>
      <c r="K1150">
        <v>1199714</v>
      </c>
      <c r="L1150">
        <v>602299</v>
      </c>
      <c r="M1150" t="s">
        <v>2381</v>
      </c>
      <c r="N1150">
        <v>15</v>
      </c>
      <c r="P1150" t="s">
        <v>2548</v>
      </c>
      <c r="Q1150" t="s">
        <v>2383</v>
      </c>
      <c r="R1150">
        <v>1</v>
      </c>
      <c r="S1150" t="s">
        <v>2380</v>
      </c>
      <c r="T1150" t="s">
        <v>2383</v>
      </c>
      <c r="U1150" s="8">
        <v>45927.412789351853</v>
      </c>
      <c r="V1150" s="8">
        <v>45931.958333333336</v>
      </c>
      <c r="W1150">
        <v>1</v>
      </c>
      <c r="X1150">
        <v>2.2122916670000001</v>
      </c>
      <c r="Y1150" t="s">
        <v>2542</v>
      </c>
      <c r="Z1150" t="s">
        <v>6152</v>
      </c>
      <c r="AA1150" t="s">
        <v>2927</v>
      </c>
      <c r="AB1150" t="s">
        <v>1278</v>
      </c>
      <c r="AC1150" t="s">
        <v>6153</v>
      </c>
      <c r="AD1150" t="s">
        <v>2708</v>
      </c>
      <c r="AE1150">
        <v>1</v>
      </c>
      <c r="AO1150" t="s">
        <v>2547</v>
      </c>
      <c r="AP1150" t="s">
        <v>2401</v>
      </c>
    </row>
    <row r="1151" spans="1:42">
      <c r="A1151" t="s">
        <v>6194</v>
      </c>
      <c r="B1151" t="s">
        <v>2389</v>
      </c>
      <c r="C1151" t="s">
        <v>2390</v>
      </c>
      <c r="D1151" t="s">
        <v>2379</v>
      </c>
      <c r="E1151" t="s">
        <v>25</v>
      </c>
      <c r="F1151" t="s">
        <v>2541</v>
      </c>
      <c r="G1151" t="s">
        <v>25</v>
      </c>
      <c r="H1151" t="b">
        <v>1</v>
      </c>
      <c r="I1151" s="8">
        <v>45931.594895833332</v>
      </c>
      <c r="J1151" t="s">
        <v>2380</v>
      </c>
      <c r="K1151">
        <v>1199706</v>
      </c>
      <c r="L1151">
        <v>602299</v>
      </c>
      <c r="M1151" t="s">
        <v>2381</v>
      </c>
      <c r="N1151">
        <v>5</v>
      </c>
      <c r="P1151" t="s">
        <v>2548</v>
      </c>
      <c r="Q1151" t="s">
        <v>2383</v>
      </c>
      <c r="R1151">
        <v>1</v>
      </c>
      <c r="S1151" t="s">
        <v>2380</v>
      </c>
      <c r="T1151" t="s">
        <v>2383</v>
      </c>
      <c r="U1151" s="8">
        <v>45927.418437499997</v>
      </c>
      <c r="V1151" s="8">
        <v>45931.958333333336</v>
      </c>
      <c r="W1151">
        <v>1</v>
      </c>
      <c r="X1151">
        <v>2.1764583329999998</v>
      </c>
      <c r="Y1151" t="s">
        <v>2542</v>
      </c>
      <c r="Z1151" t="s">
        <v>6195</v>
      </c>
      <c r="AA1151" t="s">
        <v>2927</v>
      </c>
      <c r="AB1151" t="s">
        <v>1278</v>
      </c>
      <c r="AC1151" t="s">
        <v>6196</v>
      </c>
      <c r="AD1151" t="s">
        <v>2708</v>
      </c>
      <c r="AE1151">
        <v>1</v>
      </c>
      <c r="AO1151" t="s">
        <v>2547</v>
      </c>
      <c r="AP1151" t="s">
        <v>2401</v>
      </c>
    </row>
    <row r="1152" spans="1:42">
      <c r="A1152" t="s">
        <v>6154</v>
      </c>
      <c r="B1152" t="s">
        <v>2389</v>
      </c>
      <c r="C1152" t="s">
        <v>2390</v>
      </c>
      <c r="D1152" t="s">
        <v>2379</v>
      </c>
      <c r="E1152" t="s">
        <v>28</v>
      </c>
      <c r="F1152" t="s">
        <v>2541</v>
      </c>
      <c r="G1152" t="s">
        <v>28</v>
      </c>
      <c r="H1152" t="b">
        <v>1</v>
      </c>
      <c r="I1152" s="8">
        <v>45931.632118055553</v>
      </c>
      <c r="J1152" t="s">
        <v>2380</v>
      </c>
      <c r="K1152">
        <v>1199735</v>
      </c>
      <c r="L1152">
        <v>602299</v>
      </c>
      <c r="M1152" t="s">
        <v>2381</v>
      </c>
      <c r="N1152">
        <v>15</v>
      </c>
      <c r="P1152" t="s">
        <v>2548</v>
      </c>
      <c r="Q1152" t="s">
        <v>2383</v>
      </c>
      <c r="R1152">
        <v>1</v>
      </c>
      <c r="S1152" t="s">
        <v>2380</v>
      </c>
      <c r="T1152" t="s">
        <v>2383</v>
      </c>
      <c r="U1152" s="8">
        <v>45927.424756944441</v>
      </c>
      <c r="V1152" s="8">
        <v>45931.958333333336</v>
      </c>
      <c r="W1152">
        <v>1</v>
      </c>
      <c r="X1152">
        <v>2.207361111</v>
      </c>
      <c r="Y1152" t="s">
        <v>2542</v>
      </c>
      <c r="Z1152" t="s">
        <v>6155</v>
      </c>
      <c r="AA1152" t="s">
        <v>2927</v>
      </c>
      <c r="AB1152" t="s">
        <v>1278</v>
      </c>
      <c r="AC1152" t="s">
        <v>6156</v>
      </c>
      <c r="AD1152" t="s">
        <v>2708</v>
      </c>
      <c r="AE1152">
        <v>1</v>
      </c>
      <c r="AO1152" t="s">
        <v>2547</v>
      </c>
      <c r="AP1152" t="s">
        <v>2401</v>
      </c>
    </row>
    <row r="1153" spans="1:42">
      <c r="A1153" t="s">
        <v>6197</v>
      </c>
      <c r="B1153" t="s">
        <v>2389</v>
      </c>
      <c r="C1153" t="s">
        <v>2390</v>
      </c>
      <c r="D1153" t="s">
        <v>2379</v>
      </c>
      <c r="E1153" t="s">
        <v>25</v>
      </c>
      <c r="F1153" t="s">
        <v>2541</v>
      </c>
      <c r="G1153" t="s">
        <v>25</v>
      </c>
      <c r="H1153" t="b">
        <v>1</v>
      </c>
      <c r="I1153" s="8">
        <v>45931.592523148145</v>
      </c>
      <c r="J1153" t="s">
        <v>2380</v>
      </c>
      <c r="K1153">
        <v>1199704</v>
      </c>
      <c r="L1153">
        <v>602299</v>
      </c>
      <c r="M1153" t="s">
        <v>2381</v>
      </c>
      <c r="N1153">
        <v>5</v>
      </c>
      <c r="P1153" t="s">
        <v>2548</v>
      </c>
      <c r="Q1153" t="s">
        <v>2383</v>
      </c>
      <c r="R1153">
        <v>1</v>
      </c>
      <c r="S1153" t="s">
        <v>2380</v>
      </c>
      <c r="T1153" t="s">
        <v>2383</v>
      </c>
      <c r="U1153" s="8">
        <v>45927.426863425928</v>
      </c>
      <c r="V1153" s="8">
        <v>45931.958333333336</v>
      </c>
      <c r="W1153">
        <v>1</v>
      </c>
      <c r="X1153">
        <v>2.165659722</v>
      </c>
      <c r="Y1153" t="s">
        <v>2542</v>
      </c>
      <c r="Z1153" t="s">
        <v>6198</v>
      </c>
      <c r="AA1153" t="s">
        <v>2927</v>
      </c>
      <c r="AB1153" t="s">
        <v>1278</v>
      </c>
      <c r="AC1153" t="s">
        <v>6199</v>
      </c>
      <c r="AD1153" t="s">
        <v>2708</v>
      </c>
      <c r="AE1153">
        <v>1</v>
      </c>
      <c r="AO1153" t="s">
        <v>2547</v>
      </c>
      <c r="AP1153" t="s">
        <v>2401</v>
      </c>
    </row>
    <row r="1154" spans="1:42">
      <c r="A1154" t="s">
        <v>6157</v>
      </c>
      <c r="B1154" t="s">
        <v>2389</v>
      </c>
      <c r="C1154" t="s">
        <v>2390</v>
      </c>
      <c r="D1154" t="s">
        <v>2379</v>
      </c>
      <c r="E1154" t="s">
        <v>28</v>
      </c>
      <c r="F1154" t="s">
        <v>2541</v>
      </c>
      <c r="G1154" t="s">
        <v>28</v>
      </c>
      <c r="H1154" t="b">
        <v>1</v>
      </c>
      <c r="I1154" s="8">
        <v>45931.609456018516</v>
      </c>
      <c r="J1154" t="s">
        <v>2380</v>
      </c>
      <c r="K1154">
        <v>1199709</v>
      </c>
      <c r="L1154">
        <v>602299</v>
      </c>
      <c r="M1154" t="s">
        <v>2381</v>
      </c>
      <c r="N1154">
        <v>15</v>
      </c>
      <c r="P1154" t="s">
        <v>2548</v>
      </c>
      <c r="Q1154" t="s">
        <v>2383</v>
      </c>
      <c r="R1154">
        <v>1</v>
      </c>
      <c r="S1154" t="s">
        <v>2380</v>
      </c>
      <c r="T1154" t="s">
        <v>2383</v>
      </c>
      <c r="U1154" s="8">
        <v>45927.43241898148</v>
      </c>
      <c r="V1154" s="8">
        <v>45931.958333333336</v>
      </c>
      <c r="W1154">
        <v>1</v>
      </c>
      <c r="X1154">
        <v>2.1770370369999998</v>
      </c>
      <c r="Y1154" t="s">
        <v>2542</v>
      </c>
      <c r="Z1154" t="s">
        <v>6158</v>
      </c>
      <c r="AA1154" t="s">
        <v>2927</v>
      </c>
      <c r="AB1154" t="s">
        <v>1278</v>
      </c>
      <c r="AC1154" t="s">
        <v>6159</v>
      </c>
      <c r="AD1154" t="s">
        <v>2708</v>
      </c>
      <c r="AE1154">
        <v>1</v>
      </c>
      <c r="AO1154" t="s">
        <v>2547</v>
      </c>
      <c r="AP1154" t="s">
        <v>2401</v>
      </c>
    </row>
    <row r="1155" spans="1:42">
      <c r="A1155" t="s">
        <v>6200</v>
      </c>
      <c r="B1155" t="s">
        <v>2389</v>
      </c>
      <c r="C1155" t="s">
        <v>2415</v>
      </c>
      <c r="D1155" t="s">
        <v>2379</v>
      </c>
      <c r="E1155" t="s">
        <v>25</v>
      </c>
      <c r="F1155" t="s">
        <v>2541</v>
      </c>
      <c r="G1155" t="s">
        <v>25</v>
      </c>
      <c r="H1155" t="b">
        <v>1</v>
      </c>
      <c r="I1155" s="8">
        <v>45931.393078703702</v>
      </c>
      <c r="J1155" t="s">
        <v>2380</v>
      </c>
      <c r="K1155">
        <v>1199630</v>
      </c>
      <c r="L1155">
        <v>602299</v>
      </c>
      <c r="M1155" t="s">
        <v>2381</v>
      </c>
      <c r="N1155">
        <v>5</v>
      </c>
      <c r="P1155" t="s">
        <v>2548</v>
      </c>
      <c r="Q1155" t="s">
        <v>2383</v>
      </c>
      <c r="R1155">
        <v>1</v>
      </c>
      <c r="S1155" t="s">
        <v>2380</v>
      </c>
      <c r="T1155" t="s">
        <v>2383</v>
      </c>
      <c r="U1155" s="8">
        <v>45927.437962962962</v>
      </c>
      <c r="V1155" s="8">
        <v>45931.958333333336</v>
      </c>
      <c r="W1155">
        <v>1</v>
      </c>
      <c r="X1155">
        <v>1.955115741</v>
      </c>
      <c r="Y1155" t="s">
        <v>2542</v>
      </c>
      <c r="Z1155" t="s">
        <v>6201</v>
      </c>
      <c r="AA1155" t="s">
        <v>2927</v>
      </c>
      <c r="AB1155" t="s">
        <v>1278</v>
      </c>
      <c r="AC1155" t="s">
        <v>6202</v>
      </c>
      <c r="AD1155" t="s">
        <v>2708</v>
      </c>
      <c r="AE1155">
        <v>1</v>
      </c>
      <c r="AO1155" t="s">
        <v>2547</v>
      </c>
      <c r="AP1155" t="s">
        <v>2401</v>
      </c>
    </row>
    <row r="1156" spans="1:42">
      <c r="A1156" t="s">
        <v>5723</v>
      </c>
      <c r="B1156" t="s">
        <v>2389</v>
      </c>
      <c r="C1156" t="s">
        <v>2415</v>
      </c>
      <c r="D1156" t="s">
        <v>2379</v>
      </c>
      <c r="E1156" t="s">
        <v>33</v>
      </c>
      <c r="F1156" t="s">
        <v>2541</v>
      </c>
      <c r="G1156" t="s">
        <v>33</v>
      </c>
      <c r="H1156" t="b">
        <v>1</v>
      </c>
      <c r="I1156" s="8">
        <v>45931.429027777776</v>
      </c>
      <c r="J1156" t="s">
        <v>2380</v>
      </c>
      <c r="K1156">
        <v>1199642</v>
      </c>
      <c r="L1156">
        <v>608637</v>
      </c>
      <c r="M1156" t="s">
        <v>2381</v>
      </c>
      <c r="P1156" t="s">
        <v>2427</v>
      </c>
      <c r="Q1156" t="s">
        <v>2383</v>
      </c>
      <c r="R1156">
        <v>1</v>
      </c>
      <c r="S1156" t="s">
        <v>2380</v>
      </c>
      <c r="T1156" t="s">
        <v>2383</v>
      </c>
      <c r="U1156" s="8">
        <v>45927.523182870369</v>
      </c>
      <c r="V1156" s="8">
        <v>45931.958333333336</v>
      </c>
      <c r="W1156">
        <v>1</v>
      </c>
      <c r="X1156">
        <v>1.9058449070000001</v>
      </c>
      <c r="Y1156" t="s">
        <v>2542</v>
      </c>
      <c r="Z1156" t="s">
        <v>5724</v>
      </c>
      <c r="AA1156" t="s">
        <v>5650</v>
      </c>
      <c r="AB1156" t="s">
        <v>1278</v>
      </c>
      <c r="AC1156" t="s">
        <v>5725</v>
      </c>
      <c r="AD1156" t="s">
        <v>2708</v>
      </c>
      <c r="AE1156">
        <v>1</v>
      </c>
      <c r="AO1156" t="s">
        <v>2547</v>
      </c>
      <c r="AP1156" t="s">
        <v>2401</v>
      </c>
    </row>
    <row r="1157" spans="1:42">
      <c r="A1157" t="s">
        <v>5726</v>
      </c>
      <c r="B1157" t="s">
        <v>2389</v>
      </c>
      <c r="C1157" t="s">
        <v>2415</v>
      </c>
      <c r="D1157" t="s">
        <v>2379</v>
      </c>
      <c r="E1157" t="s">
        <v>33</v>
      </c>
      <c r="F1157" t="s">
        <v>2541</v>
      </c>
      <c r="G1157" t="s">
        <v>33</v>
      </c>
      <c r="H1157" t="b">
        <v>1</v>
      </c>
      <c r="I1157" s="8">
        <v>45931.484895833331</v>
      </c>
      <c r="J1157" t="s">
        <v>2380</v>
      </c>
      <c r="K1157">
        <v>1199667</v>
      </c>
      <c r="L1157">
        <v>608642</v>
      </c>
      <c r="M1157" t="s">
        <v>2381</v>
      </c>
      <c r="P1157" t="s">
        <v>2427</v>
      </c>
      <c r="Q1157" t="s">
        <v>2383</v>
      </c>
      <c r="R1157">
        <v>1</v>
      </c>
      <c r="S1157" t="s">
        <v>2380</v>
      </c>
      <c r="T1157" t="s">
        <v>2383</v>
      </c>
      <c r="U1157" s="8">
        <v>45927.523935185185</v>
      </c>
      <c r="V1157" s="8">
        <v>45931.958333333336</v>
      </c>
      <c r="W1157">
        <v>1</v>
      </c>
      <c r="X1157">
        <v>1.9609606479999999</v>
      </c>
      <c r="Y1157" t="s">
        <v>2542</v>
      </c>
      <c r="Z1157" t="s">
        <v>5727</v>
      </c>
      <c r="AA1157" t="s">
        <v>5728</v>
      </c>
      <c r="AB1157" t="s">
        <v>1278</v>
      </c>
      <c r="AC1157" t="s">
        <v>5729</v>
      </c>
      <c r="AD1157" t="s">
        <v>2708</v>
      </c>
      <c r="AE1157">
        <v>1</v>
      </c>
      <c r="AO1157" t="s">
        <v>2547</v>
      </c>
      <c r="AP1157" t="s">
        <v>2401</v>
      </c>
    </row>
    <row r="1158" spans="1:42">
      <c r="A1158" t="s">
        <v>5730</v>
      </c>
      <c r="B1158" t="s">
        <v>2389</v>
      </c>
      <c r="C1158" t="s">
        <v>2415</v>
      </c>
      <c r="D1158" t="s">
        <v>2379</v>
      </c>
      <c r="E1158" t="s">
        <v>33</v>
      </c>
      <c r="F1158" t="s">
        <v>2541</v>
      </c>
      <c r="G1158" t="s">
        <v>33</v>
      </c>
      <c r="H1158" t="b">
        <v>1</v>
      </c>
      <c r="I1158" s="8">
        <v>45931.466053240743</v>
      </c>
      <c r="J1158" t="s">
        <v>2380</v>
      </c>
      <c r="K1158">
        <v>1199658</v>
      </c>
      <c r="L1158">
        <v>608637</v>
      </c>
      <c r="M1158" t="s">
        <v>2381</v>
      </c>
      <c r="P1158" t="s">
        <v>2427</v>
      </c>
      <c r="Q1158" t="s">
        <v>2383</v>
      </c>
      <c r="R1158">
        <v>1</v>
      </c>
      <c r="S1158" t="s">
        <v>2380</v>
      </c>
      <c r="T1158" t="s">
        <v>2383</v>
      </c>
      <c r="U1158" s="8">
        <v>45927.529641203706</v>
      </c>
      <c r="V1158" s="8">
        <v>45931.958333333336</v>
      </c>
      <c r="W1158">
        <v>1</v>
      </c>
      <c r="X1158">
        <v>1.936412037</v>
      </c>
      <c r="Y1158" t="s">
        <v>2542</v>
      </c>
      <c r="Z1158" t="s">
        <v>5731</v>
      </c>
      <c r="AA1158" t="s">
        <v>5650</v>
      </c>
      <c r="AB1158" t="s">
        <v>1278</v>
      </c>
      <c r="AC1158" t="s">
        <v>5732</v>
      </c>
      <c r="AD1158" t="s">
        <v>2708</v>
      </c>
      <c r="AE1158">
        <v>1</v>
      </c>
      <c r="AO1158" t="s">
        <v>2547</v>
      </c>
      <c r="AP1158" t="s">
        <v>2401</v>
      </c>
    </row>
    <row r="1159" spans="1:42">
      <c r="A1159" t="s">
        <v>5733</v>
      </c>
      <c r="B1159" t="s">
        <v>2389</v>
      </c>
      <c r="C1159" t="s">
        <v>2415</v>
      </c>
      <c r="D1159" t="s">
        <v>2379</v>
      </c>
      <c r="E1159" t="s">
        <v>33</v>
      </c>
      <c r="F1159" t="s">
        <v>2541</v>
      </c>
      <c r="G1159" t="s">
        <v>33</v>
      </c>
      <c r="H1159" t="b">
        <v>1</v>
      </c>
      <c r="I1159" s="8">
        <v>45931.476064814815</v>
      </c>
      <c r="J1159" t="s">
        <v>2380</v>
      </c>
      <c r="K1159">
        <v>1199660</v>
      </c>
      <c r="L1159">
        <v>608638</v>
      </c>
      <c r="M1159" t="s">
        <v>2381</v>
      </c>
      <c r="P1159" t="s">
        <v>2427</v>
      </c>
      <c r="Q1159" t="s">
        <v>2383</v>
      </c>
      <c r="R1159">
        <v>1</v>
      </c>
      <c r="S1159" t="s">
        <v>2380</v>
      </c>
      <c r="T1159" t="s">
        <v>2383</v>
      </c>
      <c r="U1159" s="8">
        <v>45927.533125000002</v>
      </c>
      <c r="V1159" s="8">
        <v>45931.958333333336</v>
      </c>
      <c r="W1159">
        <v>1</v>
      </c>
      <c r="X1159">
        <v>1.9429398149999999</v>
      </c>
      <c r="Y1159" t="s">
        <v>2542</v>
      </c>
      <c r="Z1159" t="s">
        <v>5734</v>
      </c>
      <c r="AA1159" t="s">
        <v>2572</v>
      </c>
      <c r="AB1159" t="s">
        <v>1278</v>
      </c>
      <c r="AC1159" t="s">
        <v>5735</v>
      </c>
      <c r="AD1159" t="s">
        <v>2708</v>
      </c>
      <c r="AE1159">
        <v>1</v>
      </c>
      <c r="AO1159" t="s">
        <v>2547</v>
      </c>
      <c r="AP1159" t="s">
        <v>2401</v>
      </c>
    </row>
    <row r="1160" spans="1:42">
      <c r="A1160" t="s">
        <v>5736</v>
      </c>
      <c r="B1160" t="s">
        <v>2389</v>
      </c>
      <c r="C1160" t="s">
        <v>2415</v>
      </c>
      <c r="D1160" t="s">
        <v>2379</v>
      </c>
      <c r="E1160" t="s">
        <v>33</v>
      </c>
      <c r="F1160" t="s">
        <v>2541</v>
      </c>
      <c r="G1160" t="s">
        <v>33</v>
      </c>
      <c r="H1160" t="b">
        <v>1</v>
      </c>
      <c r="I1160" s="8">
        <v>45931.415462962963</v>
      </c>
      <c r="J1160" t="s">
        <v>2380</v>
      </c>
      <c r="K1160">
        <v>1199635</v>
      </c>
      <c r="L1160">
        <v>608626</v>
      </c>
      <c r="M1160" t="s">
        <v>2381</v>
      </c>
      <c r="P1160" t="s">
        <v>2427</v>
      </c>
      <c r="Q1160" t="s">
        <v>2383</v>
      </c>
      <c r="R1160">
        <v>1</v>
      </c>
      <c r="S1160" t="s">
        <v>2380</v>
      </c>
      <c r="T1160" t="s">
        <v>2383</v>
      </c>
      <c r="U1160" s="8">
        <v>45927.535914351851</v>
      </c>
      <c r="V1160" s="8">
        <v>45931.958333333336</v>
      </c>
      <c r="W1160">
        <v>1</v>
      </c>
      <c r="X1160">
        <v>1.8795486109999999</v>
      </c>
      <c r="Y1160" t="s">
        <v>2542</v>
      </c>
      <c r="Z1160" t="s">
        <v>5737</v>
      </c>
      <c r="AA1160" t="s">
        <v>2551</v>
      </c>
      <c r="AB1160" t="s">
        <v>1278</v>
      </c>
      <c r="AC1160" t="s">
        <v>5738</v>
      </c>
      <c r="AD1160" t="s">
        <v>2708</v>
      </c>
      <c r="AE1160">
        <v>1</v>
      </c>
      <c r="AO1160" t="s">
        <v>2547</v>
      </c>
      <c r="AP1160" t="s">
        <v>2401</v>
      </c>
    </row>
    <row r="1161" spans="1:42">
      <c r="A1161" t="s">
        <v>5739</v>
      </c>
      <c r="B1161" t="s">
        <v>2389</v>
      </c>
      <c r="C1161" t="s">
        <v>2415</v>
      </c>
      <c r="D1161" t="s">
        <v>2379</v>
      </c>
      <c r="E1161" t="s">
        <v>33</v>
      </c>
      <c r="F1161" t="s">
        <v>2541</v>
      </c>
      <c r="G1161" t="s">
        <v>33</v>
      </c>
      <c r="H1161" t="b">
        <v>1</v>
      </c>
      <c r="I1161" s="8">
        <v>45931.478356481479</v>
      </c>
      <c r="J1161" t="s">
        <v>2380</v>
      </c>
      <c r="K1161">
        <v>1199662</v>
      </c>
      <c r="L1161">
        <v>608639</v>
      </c>
      <c r="M1161" t="s">
        <v>2381</v>
      </c>
      <c r="P1161" t="s">
        <v>2427</v>
      </c>
      <c r="Q1161" t="s">
        <v>2383</v>
      </c>
      <c r="R1161">
        <v>1</v>
      </c>
      <c r="S1161" t="s">
        <v>2380</v>
      </c>
      <c r="T1161" t="s">
        <v>2383</v>
      </c>
      <c r="U1161" s="8">
        <v>45927.536608796298</v>
      </c>
      <c r="V1161" s="8">
        <v>45931.958333333336</v>
      </c>
      <c r="W1161">
        <v>1</v>
      </c>
      <c r="X1161">
        <v>1.9417476849999999</v>
      </c>
      <c r="Y1161" t="s">
        <v>2542</v>
      </c>
      <c r="Z1161" t="s">
        <v>5740</v>
      </c>
      <c r="AA1161" t="s">
        <v>5741</v>
      </c>
      <c r="AB1161" t="s">
        <v>1278</v>
      </c>
      <c r="AC1161" t="s">
        <v>5742</v>
      </c>
      <c r="AD1161" t="s">
        <v>2708</v>
      </c>
      <c r="AE1161">
        <v>1</v>
      </c>
      <c r="AO1161" t="s">
        <v>2547</v>
      </c>
      <c r="AP1161" t="s">
        <v>2401</v>
      </c>
    </row>
    <row r="1162" spans="1:42">
      <c r="A1162" t="s">
        <v>8961</v>
      </c>
      <c r="B1162" t="s">
        <v>2389</v>
      </c>
      <c r="C1162" t="s">
        <v>2390</v>
      </c>
      <c r="D1162" t="s">
        <v>2379</v>
      </c>
      <c r="E1162" t="s">
        <v>33</v>
      </c>
      <c r="F1162" t="s">
        <v>2541</v>
      </c>
      <c r="G1162" t="s">
        <v>33</v>
      </c>
      <c r="H1162" t="b">
        <v>1</v>
      </c>
      <c r="I1162" s="8">
        <v>45931.63140046296</v>
      </c>
      <c r="J1162" t="s">
        <v>2380</v>
      </c>
      <c r="K1162">
        <v>1199606</v>
      </c>
      <c r="L1162">
        <v>608626</v>
      </c>
      <c r="M1162" t="s">
        <v>2381</v>
      </c>
      <c r="P1162" t="s">
        <v>2427</v>
      </c>
      <c r="Q1162" t="s">
        <v>2383</v>
      </c>
      <c r="R1162">
        <v>1</v>
      </c>
      <c r="S1162" t="s">
        <v>2380</v>
      </c>
      <c r="T1162" t="s">
        <v>2383</v>
      </c>
      <c r="U1162" s="8">
        <v>45927.537303240744</v>
      </c>
      <c r="V1162" s="8">
        <v>45931.958333333336</v>
      </c>
      <c r="W1162">
        <v>1</v>
      </c>
      <c r="X1162">
        <v>2.0940972219999998</v>
      </c>
      <c r="Y1162" t="s">
        <v>2542</v>
      </c>
      <c r="Z1162" t="s">
        <v>8962</v>
      </c>
      <c r="AA1162" t="s">
        <v>2551</v>
      </c>
      <c r="AB1162" t="s">
        <v>1278</v>
      </c>
      <c r="AC1162" t="s">
        <v>8963</v>
      </c>
      <c r="AD1162" t="s">
        <v>2708</v>
      </c>
      <c r="AE1162">
        <v>1</v>
      </c>
      <c r="AH1162" t="s">
        <v>24</v>
      </c>
      <c r="AI1162" s="8">
        <v>45931.608148148145</v>
      </c>
      <c r="AK1162" t="s">
        <v>2719</v>
      </c>
      <c r="AL1162" t="s">
        <v>2719</v>
      </c>
      <c r="AO1162" t="s">
        <v>2547</v>
      </c>
      <c r="AP1162" t="s">
        <v>2401</v>
      </c>
    </row>
    <row r="1163" spans="1:42">
      <c r="A1163" t="s">
        <v>5743</v>
      </c>
      <c r="B1163" t="s">
        <v>2389</v>
      </c>
      <c r="C1163" t="s">
        <v>2415</v>
      </c>
      <c r="D1163" t="s">
        <v>2379</v>
      </c>
      <c r="E1163" t="s">
        <v>33</v>
      </c>
      <c r="F1163" t="s">
        <v>2541</v>
      </c>
      <c r="G1163" t="s">
        <v>33</v>
      </c>
      <c r="H1163" t="b">
        <v>1</v>
      </c>
      <c r="I1163" s="8">
        <v>45931.481898148151</v>
      </c>
      <c r="J1163" t="s">
        <v>2380</v>
      </c>
      <c r="K1163">
        <v>1199664</v>
      </c>
      <c r="L1163">
        <v>608639</v>
      </c>
      <c r="M1163" t="s">
        <v>2381</v>
      </c>
      <c r="P1163" t="s">
        <v>2427</v>
      </c>
      <c r="Q1163" t="s">
        <v>2383</v>
      </c>
      <c r="R1163">
        <v>1</v>
      </c>
      <c r="S1163" t="s">
        <v>2380</v>
      </c>
      <c r="T1163" t="s">
        <v>2383</v>
      </c>
      <c r="U1163" s="8">
        <v>45927.538761574076</v>
      </c>
      <c r="V1163" s="8">
        <v>45931.958333333336</v>
      </c>
      <c r="W1163">
        <v>1</v>
      </c>
      <c r="X1163">
        <v>1.9431365739999999</v>
      </c>
      <c r="Y1163" t="s">
        <v>2542</v>
      </c>
      <c r="Z1163" t="s">
        <v>5744</v>
      </c>
      <c r="AA1163" t="s">
        <v>5741</v>
      </c>
      <c r="AB1163" t="s">
        <v>1278</v>
      </c>
      <c r="AC1163" t="s">
        <v>5745</v>
      </c>
      <c r="AD1163" t="s">
        <v>2708</v>
      </c>
      <c r="AE1163">
        <v>1</v>
      </c>
      <c r="AO1163" t="s">
        <v>2547</v>
      </c>
      <c r="AP1163" t="s">
        <v>2401</v>
      </c>
    </row>
    <row r="1164" spans="1:42">
      <c r="A1164" t="s">
        <v>5746</v>
      </c>
      <c r="B1164" t="s">
        <v>2389</v>
      </c>
      <c r="C1164" t="s">
        <v>2415</v>
      </c>
      <c r="D1164" t="s">
        <v>2379</v>
      </c>
      <c r="E1164" t="s">
        <v>33</v>
      </c>
      <c r="F1164" t="s">
        <v>2541</v>
      </c>
      <c r="G1164" t="s">
        <v>33</v>
      </c>
      <c r="H1164" t="b">
        <v>1</v>
      </c>
      <c r="I1164" s="8">
        <v>45931.483807870369</v>
      </c>
      <c r="J1164" t="s">
        <v>2380</v>
      </c>
      <c r="K1164">
        <v>1199665</v>
      </c>
      <c r="L1164">
        <v>608640</v>
      </c>
      <c r="M1164" t="s">
        <v>2381</v>
      </c>
      <c r="P1164" t="s">
        <v>2427</v>
      </c>
      <c r="Q1164" t="s">
        <v>2383</v>
      </c>
      <c r="R1164">
        <v>1</v>
      </c>
      <c r="S1164" t="s">
        <v>2380</v>
      </c>
      <c r="T1164" t="s">
        <v>2383</v>
      </c>
      <c r="U1164" s="8">
        <v>45927.542962962965</v>
      </c>
      <c r="V1164" s="8">
        <v>45931.958333333336</v>
      </c>
      <c r="W1164">
        <v>1</v>
      </c>
      <c r="X1164">
        <v>1.940844907</v>
      </c>
      <c r="Y1164" t="s">
        <v>2542</v>
      </c>
      <c r="Z1164" t="s">
        <v>5747</v>
      </c>
      <c r="AA1164" t="s">
        <v>5748</v>
      </c>
      <c r="AB1164" t="s">
        <v>1278</v>
      </c>
      <c r="AC1164" t="s">
        <v>5749</v>
      </c>
      <c r="AD1164" t="s">
        <v>2708</v>
      </c>
      <c r="AE1164">
        <v>1</v>
      </c>
      <c r="AO1164" t="s">
        <v>2547</v>
      </c>
      <c r="AP1164" t="s">
        <v>2401</v>
      </c>
    </row>
    <row r="1165" spans="1:42">
      <c r="A1165" t="s">
        <v>9029</v>
      </c>
      <c r="B1165" t="s">
        <v>2389</v>
      </c>
      <c r="C1165" t="s">
        <v>2443</v>
      </c>
      <c r="D1165" t="s">
        <v>2443</v>
      </c>
      <c r="E1165" t="s">
        <v>28</v>
      </c>
      <c r="F1165" t="s">
        <v>2541</v>
      </c>
      <c r="G1165" t="s">
        <v>28</v>
      </c>
      <c r="H1165" t="b">
        <v>1</v>
      </c>
      <c r="I1165" s="8">
        <v>45932.604247685187</v>
      </c>
      <c r="J1165" t="s">
        <v>2380</v>
      </c>
      <c r="K1165">
        <v>1199736</v>
      </c>
      <c r="L1165">
        <v>602299</v>
      </c>
      <c r="M1165" t="s">
        <v>2381</v>
      </c>
      <c r="N1165">
        <v>15</v>
      </c>
      <c r="P1165" t="s">
        <v>2548</v>
      </c>
      <c r="Q1165" t="s">
        <v>2383</v>
      </c>
      <c r="R1165">
        <v>1</v>
      </c>
      <c r="S1165" t="s">
        <v>2380</v>
      </c>
      <c r="T1165" t="s">
        <v>2383</v>
      </c>
      <c r="U1165" s="8">
        <v>45927.626481481479</v>
      </c>
      <c r="V1165" s="8">
        <v>45931.958333333336</v>
      </c>
      <c r="W1165">
        <v>1</v>
      </c>
      <c r="X1165">
        <v>2.9777662039999999</v>
      </c>
      <c r="Y1165" t="s">
        <v>2542</v>
      </c>
      <c r="Z1165" t="s">
        <v>9030</v>
      </c>
      <c r="AA1165" t="s">
        <v>2927</v>
      </c>
      <c r="AB1165" t="s">
        <v>1278</v>
      </c>
      <c r="AC1165" t="s">
        <v>9031</v>
      </c>
      <c r="AD1165" t="s">
        <v>2708</v>
      </c>
      <c r="AE1165">
        <v>1</v>
      </c>
      <c r="AH1165" t="s">
        <v>33</v>
      </c>
      <c r="AI1165" s="8">
        <v>45932.589432870373</v>
      </c>
      <c r="AK1165" t="s">
        <v>2719</v>
      </c>
      <c r="AL1165" t="s">
        <v>2719</v>
      </c>
      <c r="AO1165" t="s">
        <v>2547</v>
      </c>
      <c r="AP1165" t="s">
        <v>2401</v>
      </c>
    </row>
    <row r="1166" spans="1:42">
      <c r="A1166" t="s">
        <v>6203</v>
      </c>
      <c r="B1166" t="s">
        <v>2389</v>
      </c>
      <c r="C1166" t="s">
        <v>2415</v>
      </c>
      <c r="D1166" t="s">
        <v>2379</v>
      </c>
      <c r="E1166" t="s">
        <v>25</v>
      </c>
      <c r="F1166" t="s">
        <v>2541</v>
      </c>
      <c r="G1166" t="s">
        <v>25</v>
      </c>
      <c r="H1166" t="b">
        <v>1</v>
      </c>
      <c r="I1166" s="8">
        <v>45931.588379629633</v>
      </c>
      <c r="J1166" t="s">
        <v>2380</v>
      </c>
      <c r="K1166">
        <v>1199703</v>
      </c>
      <c r="L1166">
        <v>602299</v>
      </c>
      <c r="M1166" t="s">
        <v>2381</v>
      </c>
      <c r="N1166">
        <v>5</v>
      </c>
      <c r="P1166" t="s">
        <v>2548</v>
      </c>
      <c r="Q1166" t="s">
        <v>2383</v>
      </c>
      <c r="R1166">
        <v>1</v>
      </c>
      <c r="S1166" t="s">
        <v>2380</v>
      </c>
      <c r="T1166" t="s">
        <v>2383</v>
      </c>
      <c r="U1166" s="8">
        <v>45927.629270833335</v>
      </c>
      <c r="V1166" s="8">
        <v>45931.958333333336</v>
      </c>
      <c r="W1166">
        <v>1</v>
      </c>
      <c r="X1166">
        <v>1.959108796</v>
      </c>
      <c r="Y1166" t="s">
        <v>2542</v>
      </c>
      <c r="Z1166" t="s">
        <v>6204</v>
      </c>
      <c r="AA1166" t="s">
        <v>2927</v>
      </c>
      <c r="AB1166" t="s">
        <v>1278</v>
      </c>
      <c r="AC1166" t="s">
        <v>6205</v>
      </c>
      <c r="AD1166" t="s">
        <v>2708</v>
      </c>
      <c r="AE1166">
        <v>1</v>
      </c>
      <c r="AO1166" t="s">
        <v>2547</v>
      </c>
      <c r="AP1166" t="s">
        <v>2401</v>
      </c>
    </row>
    <row r="1167" spans="1:42">
      <c r="A1167" t="s">
        <v>6160</v>
      </c>
      <c r="B1167" t="s">
        <v>2389</v>
      </c>
      <c r="C1167" t="s">
        <v>2390</v>
      </c>
      <c r="D1167" t="s">
        <v>2379</v>
      </c>
      <c r="E1167" t="s">
        <v>28</v>
      </c>
      <c r="F1167" t="s">
        <v>2541</v>
      </c>
      <c r="G1167" t="s">
        <v>28</v>
      </c>
      <c r="H1167" t="b">
        <v>1</v>
      </c>
      <c r="I1167" s="8">
        <v>45931.640219907407</v>
      </c>
      <c r="J1167" t="s">
        <v>2380</v>
      </c>
      <c r="K1167">
        <v>1199739</v>
      </c>
      <c r="L1167">
        <v>602299</v>
      </c>
      <c r="M1167" t="s">
        <v>2381</v>
      </c>
      <c r="N1167">
        <v>15</v>
      </c>
      <c r="P1167" t="s">
        <v>2548</v>
      </c>
      <c r="Q1167" t="s">
        <v>2383</v>
      </c>
      <c r="R1167">
        <v>1</v>
      </c>
      <c r="S1167" t="s">
        <v>2380</v>
      </c>
      <c r="T1167" t="s">
        <v>2383</v>
      </c>
      <c r="U1167" s="8">
        <v>45927.637604166666</v>
      </c>
      <c r="V1167" s="8">
        <v>45931.958333333336</v>
      </c>
      <c r="W1167">
        <v>1</v>
      </c>
      <c r="X1167">
        <v>2.0026157410000001</v>
      </c>
      <c r="Y1167" t="s">
        <v>2542</v>
      </c>
      <c r="Z1167" t="s">
        <v>6161</v>
      </c>
      <c r="AA1167" t="s">
        <v>2927</v>
      </c>
      <c r="AB1167" t="s">
        <v>1278</v>
      </c>
      <c r="AC1167" t="s">
        <v>6162</v>
      </c>
      <c r="AD1167" t="s">
        <v>2708</v>
      </c>
      <c r="AE1167">
        <v>1</v>
      </c>
      <c r="AO1167" t="s">
        <v>2547</v>
      </c>
      <c r="AP1167" t="s">
        <v>2401</v>
      </c>
    </row>
    <row r="1168" spans="1:42">
      <c r="A1168" t="s">
        <v>6163</v>
      </c>
      <c r="B1168" t="s">
        <v>2389</v>
      </c>
      <c r="C1168" t="s">
        <v>2415</v>
      </c>
      <c r="D1168" t="s">
        <v>2379</v>
      </c>
      <c r="E1168" t="s">
        <v>28</v>
      </c>
      <c r="F1168" t="s">
        <v>2541</v>
      </c>
      <c r="G1168" t="s">
        <v>28</v>
      </c>
      <c r="H1168" t="b">
        <v>1</v>
      </c>
      <c r="I1168" s="8">
        <v>45931.615532407406</v>
      </c>
      <c r="J1168" t="s">
        <v>2380</v>
      </c>
      <c r="K1168">
        <v>1199711</v>
      </c>
      <c r="L1168">
        <v>602299</v>
      </c>
      <c r="M1168" t="s">
        <v>2381</v>
      </c>
      <c r="N1168">
        <v>15</v>
      </c>
      <c r="P1168" t="s">
        <v>2548</v>
      </c>
      <c r="Q1168" t="s">
        <v>2383</v>
      </c>
      <c r="R1168">
        <v>1</v>
      </c>
      <c r="S1168" t="s">
        <v>2380</v>
      </c>
      <c r="T1168" t="s">
        <v>2383</v>
      </c>
      <c r="U1168" s="8">
        <v>45927.648113425923</v>
      </c>
      <c r="V1168" s="8">
        <v>45931.958333333336</v>
      </c>
      <c r="W1168">
        <v>1</v>
      </c>
      <c r="X1168">
        <v>1.967418981</v>
      </c>
      <c r="Y1168" t="s">
        <v>2542</v>
      </c>
      <c r="Z1168" t="s">
        <v>6164</v>
      </c>
      <c r="AA1168" t="s">
        <v>2927</v>
      </c>
      <c r="AB1168" t="s">
        <v>1278</v>
      </c>
      <c r="AC1168" t="s">
        <v>6165</v>
      </c>
      <c r="AD1168" t="s">
        <v>2708</v>
      </c>
      <c r="AE1168">
        <v>1</v>
      </c>
      <c r="AO1168" t="s">
        <v>2547</v>
      </c>
      <c r="AP1168" t="s">
        <v>2401</v>
      </c>
    </row>
    <row r="1169" spans="1:42">
      <c r="A1169" t="s">
        <v>3446</v>
      </c>
      <c r="B1169" t="s">
        <v>2377</v>
      </c>
      <c r="C1169" t="s">
        <v>2378</v>
      </c>
      <c r="D1169" t="s">
        <v>2379</v>
      </c>
      <c r="E1169" t="s">
        <v>24</v>
      </c>
      <c r="F1169" t="s">
        <v>3445</v>
      </c>
      <c r="G1169" t="s">
        <v>24</v>
      </c>
      <c r="H1169" t="b">
        <v>1</v>
      </c>
      <c r="I1169" s="8">
        <v>45932.590462962966</v>
      </c>
      <c r="J1169" t="s">
        <v>2380</v>
      </c>
      <c r="L1169">
        <v>603858</v>
      </c>
      <c r="M1169" t="s">
        <v>2381</v>
      </c>
      <c r="Q1169" t="s">
        <v>2383</v>
      </c>
      <c r="R1169">
        <v>1</v>
      </c>
      <c r="S1169" t="s">
        <v>2380</v>
      </c>
      <c r="T1169" t="s">
        <v>2383</v>
      </c>
      <c r="U1169" s="8">
        <v>45929.441053240742</v>
      </c>
      <c r="V1169" s="8">
        <v>45932.958333333336</v>
      </c>
      <c r="W1169">
        <v>1</v>
      </c>
      <c r="X1169">
        <v>3.1494097220000001</v>
      </c>
      <c r="Y1169" t="s">
        <v>1314</v>
      </c>
      <c r="Z1169" t="s">
        <v>3447</v>
      </c>
      <c r="AA1169" t="s">
        <v>3448</v>
      </c>
      <c r="AB1169" t="s">
        <v>1278</v>
      </c>
      <c r="AC1169" t="s">
        <v>3449</v>
      </c>
      <c r="AE1169">
        <v>1</v>
      </c>
      <c r="AO1169" t="s">
        <v>2957</v>
      </c>
      <c r="AP1169" t="s">
        <v>2401</v>
      </c>
    </row>
    <row r="1170" spans="1:42">
      <c r="A1170" t="s">
        <v>9166</v>
      </c>
      <c r="B1170" t="s">
        <v>2389</v>
      </c>
      <c r="C1170" t="s">
        <v>2390</v>
      </c>
      <c r="D1170" t="s">
        <v>2379</v>
      </c>
      <c r="E1170" t="s">
        <v>33</v>
      </c>
      <c r="F1170" t="s">
        <v>2578</v>
      </c>
      <c r="G1170" t="s">
        <v>33</v>
      </c>
      <c r="H1170" t="b">
        <v>1</v>
      </c>
      <c r="I1170" s="8">
        <v>45931.631678240738</v>
      </c>
      <c r="J1170" t="s">
        <v>2380</v>
      </c>
      <c r="K1170">
        <v>1199502</v>
      </c>
      <c r="L1170">
        <v>604253</v>
      </c>
      <c r="M1170" t="s">
        <v>2381</v>
      </c>
      <c r="P1170" t="s">
        <v>2394</v>
      </c>
      <c r="Q1170" t="s">
        <v>2395</v>
      </c>
      <c r="R1170">
        <v>1</v>
      </c>
      <c r="S1170" t="s">
        <v>2380</v>
      </c>
      <c r="T1170" t="s">
        <v>2383</v>
      </c>
      <c r="U1170" s="8">
        <v>45929.301817129628</v>
      </c>
      <c r="V1170" s="8">
        <v>45931.958333333336</v>
      </c>
      <c r="W1170">
        <v>1</v>
      </c>
      <c r="X1170">
        <v>2.329861111</v>
      </c>
      <c r="Y1170" t="s">
        <v>2579</v>
      </c>
      <c r="Z1170" t="s">
        <v>9167</v>
      </c>
      <c r="AA1170" t="s">
        <v>8193</v>
      </c>
      <c r="AB1170" t="s">
        <v>1278</v>
      </c>
      <c r="AC1170" t="s">
        <v>9168</v>
      </c>
      <c r="AD1170" t="s">
        <v>2708</v>
      </c>
      <c r="AE1170">
        <v>1</v>
      </c>
      <c r="AH1170" t="s">
        <v>12</v>
      </c>
      <c r="AI1170" s="8">
        <v>45931.604270833333</v>
      </c>
      <c r="AK1170" t="s">
        <v>2719</v>
      </c>
      <c r="AL1170" t="s">
        <v>2719</v>
      </c>
      <c r="AO1170" t="s">
        <v>4137</v>
      </c>
      <c r="AP1170" t="s">
        <v>2401</v>
      </c>
    </row>
    <row r="1171" spans="1:42">
      <c r="A1171" t="s">
        <v>10387</v>
      </c>
      <c r="B1171" t="s">
        <v>2389</v>
      </c>
      <c r="C1171" t="s">
        <v>2390</v>
      </c>
      <c r="D1171" t="s">
        <v>2379</v>
      </c>
      <c r="E1171" t="s">
        <v>2452</v>
      </c>
      <c r="F1171" t="s">
        <v>2541</v>
      </c>
      <c r="G1171" t="s">
        <v>2452</v>
      </c>
      <c r="H1171" t="b">
        <v>1</v>
      </c>
      <c r="I1171" s="8">
        <v>45931.587187500001</v>
      </c>
      <c r="J1171" t="s">
        <v>2380</v>
      </c>
      <c r="L1171">
        <v>602299</v>
      </c>
      <c r="M1171" t="s">
        <v>2381</v>
      </c>
      <c r="P1171" t="s">
        <v>2427</v>
      </c>
      <c r="Q1171" t="s">
        <v>2383</v>
      </c>
      <c r="R1171">
        <v>1</v>
      </c>
      <c r="S1171" t="s">
        <v>2380</v>
      </c>
      <c r="T1171" t="s">
        <v>2383</v>
      </c>
      <c r="U1171" s="8">
        <v>45929.336388888885</v>
      </c>
      <c r="V1171" s="8">
        <v>45932.958333333336</v>
      </c>
      <c r="W1171">
        <v>1</v>
      </c>
      <c r="X1171">
        <v>2.250798611</v>
      </c>
      <c r="Y1171" t="s">
        <v>2542</v>
      </c>
      <c r="Z1171" t="s">
        <v>10388</v>
      </c>
      <c r="AA1171" t="s">
        <v>2927</v>
      </c>
      <c r="AB1171" t="s">
        <v>1278</v>
      </c>
      <c r="AC1171" t="s">
        <v>10389</v>
      </c>
      <c r="AE1171">
        <v>1</v>
      </c>
      <c r="AO1171" t="s">
        <v>2547</v>
      </c>
      <c r="AP1171" t="s">
        <v>2401</v>
      </c>
    </row>
    <row r="1172" spans="1:42">
      <c r="A1172" t="s">
        <v>2890</v>
      </c>
      <c r="B1172" t="s">
        <v>2389</v>
      </c>
      <c r="C1172" t="s">
        <v>2378</v>
      </c>
      <c r="D1172" t="s">
        <v>2379</v>
      </c>
      <c r="E1172" t="s">
        <v>25</v>
      </c>
      <c r="F1172" t="s">
        <v>2541</v>
      </c>
      <c r="G1172" t="s">
        <v>25</v>
      </c>
      <c r="H1172" t="b">
        <v>1</v>
      </c>
      <c r="I1172" s="8">
        <v>45932.346782407411</v>
      </c>
      <c r="J1172" t="s">
        <v>2380</v>
      </c>
      <c r="L1172">
        <v>601441</v>
      </c>
      <c r="M1172" t="s">
        <v>2381</v>
      </c>
      <c r="P1172" t="s">
        <v>2427</v>
      </c>
      <c r="Q1172" t="s">
        <v>2383</v>
      </c>
      <c r="R1172">
        <v>1</v>
      </c>
      <c r="S1172" t="s">
        <v>2380</v>
      </c>
      <c r="T1172" t="s">
        <v>2383</v>
      </c>
      <c r="U1172" s="8">
        <v>45929.339270833334</v>
      </c>
      <c r="V1172" s="8">
        <v>45932.958333333336</v>
      </c>
      <c r="W1172">
        <v>1</v>
      </c>
      <c r="X1172">
        <v>3.007511574</v>
      </c>
      <c r="Y1172" t="s">
        <v>2542</v>
      </c>
      <c r="Z1172" t="s">
        <v>2891</v>
      </c>
      <c r="AA1172" t="s">
        <v>2884</v>
      </c>
      <c r="AB1172" t="s">
        <v>1278</v>
      </c>
      <c r="AC1172" t="s">
        <v>2892</v>
      </c>
      <c r="AE1172">
        <v>1</v>
      </c>
      <c r="AO1172" t="s">
        <v>2547</v>
      </c>
      <c r="AP1172" t="s">
        <v>2401</v>
      </c>
    </row>
    <row r="1173" spans="1:42">
      <c r="A1173" t="s">
        <v>6346</v>
      </c>
      <c r="B1173" t="s">
        <v>2389</v>
      </c>
      <c r="C1173" t="s">
        <v>2378</v>
      </c>
      <c r="D1173" t="s">
        <v>2379</v>
      </c>
      <c r="E1173" t="s">
        <v>25</v>
      </c>
      <c r="F1173" t="s">
        <v>2541</v>
      </c>
      <c r="G1173" t="s">
        <v>25</v>
      </c>
      <c r="H1173" t="b">
        <v>1</v>
      </c>
      <c r="I1173" s="8">
        <v>45932.358391203707</v>
      </c>
      <c r="J1173" t="s">
        <v>2380</v>
      </c>
      <c r="K1173">
        <v>1199790</v>
      </c>
      <c r="L1173">
        <v>608236</v>
      </c>
      <c r="M1173" t="s">
        <v>2381</v>
      </c>
      <c r="N1173">
        <v>5</v>
      </c>
      <c r="P1173" t="s">
        <v>2427</v>
      </c>
      <c r="Q1173" t="s">
        <v>2383</v>
      </c>
      <c r="R1173">
        <v>1</v>
      </c>
      <c r="S1173" t="s">
        <v>2380</v>
      </c>
      <c r="T1173" t="s">
        <v>2383</v>
      </c>
      <c r="U1173" s="8">
        <v>45929.344236111108</v>
      </c>
      <c r="V1173" s="8">
        <v>45932.958333333336</v>
      </c>
      <c r="W1173">
        <v>1</v>
      </c>
      <c r="X1173">
        <v>3.0141550929999998</v>
      </c>
      <c r="Y1173" t="s">
        <v>2542</v>
      </c>
      <c r="Z1173" t="s">
        <v>6347</v>
      </c>
      <c r="AA1173" t="s">
        <v>2564</v>
      </c>
      <c r="AB1173" t="s">
        <v>1278</v>
      </c>
      <c r="AC1173" t="s">
        <v>6348</v>
      </c>
      <c r="AD1173" t="s">
        <v>2708</v>
      </c>
      <c r="AE1173">
        <v>1</v>
      </c>
      <c r="AO1173" t="s">
        <v>2547</v>
      </c>
      <c r="AP1173" t="s">
        <v>2401</v>
      </c>
    </row>
    <row r="1174" spans="1:42">
      <c r="A1174" t="s">
        <v>10037</v>
      </c>
      <c r="B1174" t="s">
        <v>2389</v>
      </c>
      <c r="C1174" t="s">
        <v>2390</v>
      </c>
      <c r="D1174" t="s">
        <v>2379</v>
      </c>
      <c r="E1174" t="s">
        <v>2452</v>
      </c>
      <c r="F1174" t="s">
        <v>7055</v>
      </c>
      <c r="G1174" t="s">
        <v>2452</v>
      </c>
      <c r="H1174" t="b">
        <v>1</v>
      </c>
      <c r="I1174" s="8">
        <v>45931.605983796297</v>
      </c>
      <c r="J1174" t="s">
        <v>2380</v>
      </c>
      <c r="L1174">
        <v>602629</v>
      </c>
      <c r="M1174" t="s">
        <v>2381</v>
      </c>
      <c r="Q1174" t="s">
        <v>2383</v>
      </c>
      <c r="R1174">
        <v>1</v>
      </c>
      <c r="S1174" t="s">
        <v>2380</v>
      </c>
      <c r="T1174" t="s">
        <v>2383</v>
      </c>
      <c r="U1174" s="8">
        <v>45929.348368055558</v>
      </c>
      <c r="V1174" s="8">
        <v>45932.958333333336</v>
      </c>
      <c r="W1174">
        <v>1</v>
      </c>
      <c r="X1174">
        <v>2.257615741</v>
      </c>
      <c r="Y1174" t="s">
        <v>7056</v>
      </c>
      <c r="Z1174" t="s">
        <v>10038</v>
      </c>
      <c r="AA1174" t="s">
        <v>10039</v>
      </c>
      <c r="AB1174" t="s">
        <v>1278</v>
      </c>
      <c r="AC1174" t="s">
        <v>10040</v>
      </c>
      <c r="AE1174">
        <v>1</v>
      </c>
      <c r="AO1174" t="s">
        <v>2957</v>
      </c>
      <c r="AP1174" t="s">
        <v>2401</v>
      </c>
    </row>
    <row r="1175" spans="1:42">
      <c r="A1175" t="s">
        <v>10390</v>
      </c>
      <c r="B1175" t="s">
        <v>2389</v>
      </c>
      <c r="C1175" t="s">
        <v>2390</v>
      </c>
      <c r="D1175" t="s">
        <v>2379</v>
      </c>
      <c r="E1175" t="s">
        <v>2452</v>
      </c>
      <c r="F1175" t="s">
        <v>2541</v>
      </c>
      <c r="G1175" t="s">
        <v>2452</v>
      </c>
      <c r="H1175" t="b">
        <v>1</v>
      </c>
      <c r="I1175" s="8">
        <v>45931.630347222221</v>
      </c>
      <c r="J1175" t="s">
        <v>2380</v>
      </c>
      <c r="L1175">
        <v>601720</v>
      </c>
      <c r="M1175" t="s">
        <v>2381</v>
      </c>
      <c r="P1175" t="s">
        <v>2427</v>
      </c>
      <c r="Q1175" t="s">
        <v>2383</v>
      </c>
      <c r="R1175">
        <v>1</v>
      </c>
      <c r="S1175" t="s">
        <v>2380</v>
      </c>
      <c r="T1175" t="s">
        <v>2383</v>
      </c>
      <c r="U1175" s="8">
        <v>45929.350162037037</v>
      </c>
      <c r="V1175" s="8">
        <v>45932.958333333336</v>
      </c>
      <c r="W1175">
        <v>1</v>
      </c>
      <c r="X1175">
        <v>2.2801851850000001</v>
      </c>
      <c r="Y1175" t="s">
        <v>2542</v>
      </c>
      <c r="Z1175" t="s">
        <v>10391</v>
      </c>
      <c r="AA1175" t="s">
        <v>8996</v>
      </c>
      <c r="AB1175" t="s">
        <v>1278</v>
      </c>
      <c r="AC1175" t="s">
        <v>10392</v>
      </c>
      <c r="AE1175">
        <v>1</v>
      </c>
      <c r="AO1175" t="s">
        <v>2547</v>
      </c>
      <c r="AP1175" t="s">
        <v>2401</v>
      </c>
    </row>
    <row r="1176" spans="1:42">
      <c r="A1176" t="s">
        <v>9019</v>
      </c>
      <c r="B1176" t="s">
        <v>2389</v>
      </c>
      <c r="C1176" t="s">
        <v>2378</v>
      </c>
      <c r="D1176" t="s">
        <v>2379</v>
      </c>
      <c r="E1176" t="s">
        <v>2452</v>
      </c>
      <c r="F1176" t="s">
        <v>2541</v>
      </c>
      <c r="G1176" t="s">
        <v>2452</v>
      </c>
      <c r="H1176" t="b">
        <v>1</v>
      </c>
      <c r="I1176" s="8">
        <v>45932.607499999998</v>
      </c>
      <c r="J1176" t="s">
        <v>2380</v>
      </c>
      <c r="K1176">
        <v>1199809</v>
      </c>
      <c r="L1176">
        <v>608082</v>
      </c>
      <c r="M1176" t="s">
        <v>2381</v>
      </c>
      <c r="P1176" t="s">
        <v>2427</v>
      </c>
      <c r="Q1176" t="s">
        <v>2383</v>
      </c>
      <c r="R1176">
        <v>1</v>
      </c>
      <c r="S1176" t="s">
        <v>2380</v>
      </c>
      <c r="T1176" t="s">
        <v>2383</v>
      </c>
      <c r="U1176" s="8">
        <v>45929.355104166665</v>
      </c>
      <c r="V1176" s="8">
        <v>45932.958333333336</v>
      </c>
      <c r="W1176">
        <v>1</v>
      </c>
      <c r="X1176">
        <v>3.252395833</v>
      </c>
      <c r="Y1176" t="s">
        <v>2542</v>
      </c>
      <c r="Z1176" t="s">
        <v>9020</v>
      </c>
      <c r="AA1176" t="s">
        <v>9021</v>
      </c>
      <c r="AB1176" t="s">
        <v>1278</v>
      </c>
      <c r="AC1176" t="s">
        <v>9022</v>
      </c>
      <c r="AD1176" t="s">
        <v>2708</v>
      </c>
      <c r="AE1176">
        <v>1</v>
      </c>
      <c r="AH1176" t="s">
        <v>33</v>
      </c>
      <c r="AI1176" s="8">
        <v>45932.591817129629</v>
      </c>
      <c r="AK1176" t="s">
        <v>2719</v>
      </c>
      <c r="AL1176" t="s">
        <v>2719</v>
      </c>
      <c r="AO1176" t="s">
        <v>2547</v>
      </c>
      <c r="AP1176" t="s">
        <v>2401</v>
      </c>
    </row>
    <row r="1177" spans="1:42">
      <c r="A1177" t="s">
        <v>6349</v>
      </c>
      <c r="B1177" t="s">
        <v>2389</v>
      </c>
      <c r="C1177" t="s">
        <v>2378</v>
      </c>
      <c r="D1177" t="s">
        <v>2379</v>
      </c>
      <c r="E1177" t="s">
        <v>25</v>
      </c>
      <c r="F1177" t="s">
        <v>2541</v>
      </c>
      <c r="G1177" t="s">
        <v>25</v>
      </c>
      <c r="H1177" t="b">
        <v>1</v>
      </c>
      <c r="I1177" s="8">
        <v>45932.371238425927</v>
      </c>
      <c r="J1177" t="s">
        <v>2380</v>
      </c>
      <c r="K1177">
        <v>1199791</v>
      </c>
      <c r="L1177">
        <v>608066</v>
      </c>
      <c r="M1177" t="s">
        <v>2381</v>
      </c>
      <c r="N1177">
        <v>5</v>
      </c>
      <c r="P1177" t="s">
        <v>2427</v>
      </c>
      <c r="Q1177" t="s">
        <v>2383</v>
      </c>
      <c r="R1177">
        <v>1</v>
      </c>
      <c r="S1177" t="s">
        <v>2380</v>
      </c>
      <c r="T1177" t="s">
        <v>2383</v>
      </c>
      <c r="U1177" s="8">
        <v>45929.356620370374</v>
      </c>
      <c r="V1177" s="8">
        <v>45932.958333333336</v>
      </c>
      <c r="W1177">
        <v>1</v>
      </c>
      <c r="X1177">
        <v>3.0146180560000002</v>
      </c>
      <c r="Y1177" t="s">
        <v>2542</v>
      </c>
      <c r="Z1177" t="s">
        <v>6350</v>
      </c>
      <c r="AA1177" t="s">
        <v>2914</v>
      </c>
      <c r="AB1177" t="s">
        <v>1278</v>
      </c>
      <c r="AC1177" t="s">
        <v>6351</v>
      </c>
      <c r="AD1177" t="s">
        <v>2708</v>
      </c>
      <c r="AE1177">
        <v>1</v>
      </c>
      <c r="AO1177" t="s">
        <v>2547</v>
      </c>
      <c r="AP1177" t="s">
        <v>2401</v>
      </c>
    </row>
    <row r="1178" spans="1:42">
      <c r="A1178" t="s">
        <v>7022</v>
      </c>
      <c r="B1178" t="s">
        <v>2389</v>
      </c>
      <c r="C1178" t="s">
        <v>2378</v>
      </c>
      <c r="D1178" t="s">
        <v>2379</v>
      </c>
      <c r="E1178" t="s">
        <v>2452</v>
      </c>
      <c r="F1178">
        <v>3842</v>
      </c>
      <c r="G1178" t="s">
        <v>2452</v>
      </c>
      <c r="H1178" t="b">
        <v>1</v>
      </c>
      <c r="I1178" s="8">
        <v>45932.64702546296</v>
      </c>
      <c r="J1178" t="s">
        <v>2380</v>
      </c>
      <c r="K1178">
        <v>1199985</v>
      </c>
      <c r="L1178">
        <v>603092</v>
      </c>
      <c r="M1178" t="s">
        <v>2381</v>
      </c>
      <c r="P1178" t="s">
        <v>2394</v>
      </c>
      <c r="Q1178" t="s">
        <v>2383</v>
      </c>
      <c r="R1178">
        <v>1</v>
      </c>
      <c r="S1178" t="s">
        <v>2380</v>
      </c>
      <c r="T1178" t="s">
        <v>2383</v>
      </c>
      <c r="U1178" s="8">
        <v>45929.377025462964</v>
      </c>
      <c r="V1178" s="8">
        <v>45936.958333333336</v>
      </c>
      <c r="W1178">
        <v>1</v>
      </c>
      <c r="X1178">
        <v>3.27</v>
      </c>
      <c r="Y1178" t="s">
        <v>4453</v>
      </c>
      <c r="Z1178" t="s">
        <v>7023</v>
      </c>
      <c r="AA1178" t="s">
        <v>4456</v>
      </c>
      <c r="AB1178" t="s">
        <v>1278</v>
      </c>
      <c r="AC1178" t="s">
        <v>7024</v>
      </c>
      <c r="AD1178" t="s">
        <v>2708</v>
      </c>
      <c r="AE1178">
        <v>1</v>
      </c>
      <c r="AO1178" t="s">
        <v>2388</v>
      </c>
      <c r="AP1178" t="s">
        <v>2401</v>
      </c>
    </row>
    <row r="1179" spans="1:42">
      <c r="A1179" t="s">
        <v>7290</v>
      </c>
      <c r="B1179" t="s">
        <v>2389</v>
      </c>
      <c r="C1179" t="s">
        <v>2378</v>
      </c>
      <c r="D1179" t="s">
        <v>2379</v>
      </c>
      <c r="E1179" t="s">
        <v>25</v>
      </c>
      <c r="F1179" t="s">
        <v>3249</v>
      </c>
      <c r="G1179" t="s">
        <v>25</v>
      </c>
      <c r="H1179" t="b">
        <v>1</v>
      </c>
      <c r="I1179" s="8">
        <v>45932.615081018521</v>
      </c>
      <c r="J1179" t="s">
        <v>2380</v>
      </c>
      <c r="K1179">
        <v>1199954</v>
      </c>
      <c r="L1179">
        <v>602303</v>
      </c>
      <c r="M1179" t="s">
        <v>2381</v>
      </c>
      <c r="N1179">
        <v>5</v>
      </c>
      <c r="P1179" t="s">
        <v>2394</v>
      </c>
      <c r="Q1179" t="s">
        <v>2383</v>
      </c>
      <c r="R1179">
        <v>1</v>
      </c>
      <c r="S1179" t="s">
        <v>2380</v>
      </c>
      <c r="T1179" t="s">
        <v>2383</v>
      </c>
      <c r="U1179" s="8">
        <v>45929.397824074076</v>
      </c>
      <c r="V1179" s="8">
        <v>45932.958333333336</v>
      </c>
      <c r="W1179">
        <v>1</v>
      </c>
      <c r="X1179">
        <v>3.2172569439999998</v>
      </c>
      <c r="Y1179" t="s">
        <v>3250</v>
      </c>
      <c r="Z1179" t="s">
        <v>7291</v>
      </c>
      <c r="AA1179" t="s">
        <v>3253</v>
      </c>
      <c r="AB1179" t="s">
        <v>1278</v>
      </c>
      <c r="AC1179" t="s">
        <v>7292</v>
      </c>
      <c r="AD1179" t="s">
        <v>2708</v>
      </c>
      <c r="AE1179">
        <v>1</v>
      </c>
      <c r="AO1179" t="s">
        <v>2388</v>
      </c>
      <c r="AP1179" t="s">
        <v>2401</v>
      </c>
    </row>
    <row r="1180" spans="1:42">
      <c r="A1180" t="s">
        <v>5857</v>
      </c>
      <c r="B1180" t="s">
        <v>2389</v>
      </c>
      <c r="C1180" t="s">
        <v>2447</v>
      </c>
      <c r="D1180" t="s">
        <v>2379</v>
      </c>
      <c r="E1180" t="s">
        <v>307</v>
      </c>
      <c r="F1180" t="s">
        <v>2541</v>
      </c>
      <c r="G1180" t="s">
        <v>307</v>
      </c>
      <c r="H1180" t="b">
        <v>1</v>
      </c>
      <c r="I1180" s="8">
        <v>45935.56858796296</v>
      </c>
      <c r="J1180" t="s">
        <v>2380</v>
      </c>
      <c r="K1180">
        <v>1200238</v>
      </c>
      <c r="L1180">
        <v>601096</v>
      </c>
      <c r="M1180" t="s">
        <v>2381</v>
      </c>
      <c r="P1180" t="s">
        <v>3117</v>
      </c>
      <c r="Q1180" t="s">
        <v>2383</v>
      </c>
      <c r="R1180">
        <v>1</v>
      </c>
      <c r="S1180" t="s">
        <v>2380</v>
      </c>
      <c r="T1180" t="s">
        <v>2383</v>
      </c>
      <c r="U1180" s="8">
        <v>45929.409189814818</v>
      </c>
      <c r="V1180" s="8">
        <v>45937.958333333336</v>
      </c>
      <c r="W1180">
        <v>1</v>
      </c>
      <c r="X1180">
        <v>4.1593981480000002</v>
      </c>
      <c r="Y1180" t="s">
        <v>2542</v>
      </c>
      <c r="Z1180" t="s">
        <v>5858</v>
      </c>
      <c r="AA1180" t="s">
        <v>2888</v>
      </c>
      <c r="AB1180" t="s">
        <v>1278</v>
      </c>
      <c r="AC1180" t="s">
        <v>5859</v>
      </c>
      <c r="AD1180" t="s">
        <v>2708</v>
      </c>
      <c r="AE1180">
        <v>1</v>
      </c>
      <c r="AO1180" t="s">
        <v>2547</v>
      </c>
      <c r="AP1180" t="s">
        <v>2401</v>
      </c>
    </row>
    <row r="1181" spans="1:42">
      <c r="A1181" t="s">
        <v>7038</v>
      </c>
      <c r="B1181" t="s">
        <v>2389</v>
      </c>
      <c r="C1181" t="s">
        <v>2390</v>
      </c>
      <c r="D1181" t="s">
        <v>2379</v>
      </c>
      <c r="E1181" t="s">
        <v>2452</v>
      </c>
      <c r="F1181">
        <v>6397</v>
      </c>
      <c r="G1181" t="s">
        <v>2452</v>
      </c>
      <c r="H1181" t="b">
        <v>1</v>
      </c>
      <c r="I1181" s="8">
        <v>45931.645798611113</v>
      </c>
      <c r="J1181" t="s">
        <v>2380</v>
      </c>
      <c r="K1181">
        <v>1199741</v>
      </c>
      <c r="L1181">
        <v>609828</v>
      </c>
      <c r="M1181" t="s">
        <v>2381</v>
      </c>
      <c r="P1181" t="s">
        <v>2394</v>
      </c>
      <c r="Q1181" t="s">
        <v>2383</v>
      </c>
      <c r="R1181">
        <v>1</v>
      </c>
      <c r="S1181" t="s">
        <v>2380</v>
      </c>
      <c r="T1181" t="s">
        <v>2383</v>
      </c>
      <c r="U1181" s="8">
        <v>45929.419027777774</v>
      </c>
      <c r="V1181" s="8">
        <v>45932.958333333336</v>
      </c>
      <c r="W1181">
        <v>1</v>
      </c>
      <c r="X1181">
        <v>2.2267708329999998</v>
      </c>
      <c r="Y1181" t="s">
        <v>2607</v>
      </c>
      <c r="Z1181" t="s">
        <v>7039</v>
      </c>
      <c r="AA1181" t="s">
        <v>2610</v>
      </c>
      <c r="AB1181" t="s">
        <v>1278</v>
      </c>
      <c r="AC1181" t="s">
        <v>7040</v>
      </c>
      <c r="AD1181" t="s">
        <v>2708</v>
      </c>
      <c r="AE1181">
        <v>1</v>
      </c>
      <c r="AO1181" t="s">
        <v>2388</v>
      </c>
      <c r="AP1181" t="s">
        <v>2401</v>
      </c>
    </row>
    <row r="1182" spans="1:42">
      <c r="A1182" t="s">
        <v>5166</v>
      </c>
      <c r="B1182" t="s">
        <v>2389</v>
      </c>
      <c r="C1182" t="s">
        <v>2378</v>
      </c>
      <c r="D1182" t="s">
        <v>2379</v>
      </c>
      <c r="E1182" t="s">
        <v>2452</v>
      </c>
      <c r="F1182" t="s">
        <v>2541</v>
      </c>
      <c r="G1182" t="s">
        <v>2452</v>
      </c>
      <c r="H1182" t="b">
        <v>1</v>
      </c>
      <c r="I1182" s="8">
        <v>45932.662743055553</v>
      </c>
      <c r="J1182" t="s">
        <v>2380</v>
      </c>
      <c r="K1182">
        <v>1199818</v>
      </c>
      <c r="L1182">
        <v>608398</v>
      </c>
      <c r="M1182" t="s">
        <v>2381</v>
      </c>
      <c r="P1182" t="s">
        <v>2548</v>
      </c>
      <c r="Q1182" t="s">
        <v>2383</v>
      </c>
      <c r="R1182">
        <v>1</v>
      </c>
      <c r="S1182" t="s">
        <v>2380</v>
      </c>
      <c r="T1182" t="s">
        <v>2383</v>
      </c>
      <c r="U1182" s="8">
        <v>45929.42287037037</v>
      </c>
      <c r="V1182" s="8">
        <v>45932.958333333336</v>
      </c>
      <c r="W1182">
        <v>1</v>
      </c>
      <c r="X1182">
        <v>3.2398726849999999</v>
      </c>
      <c r="Y1182" t="s">
        <v>2542</v>
      </c>
      <c r="Z1182" t="s">
        <v>5167</v>
      </c>
      <c r="AA1182" t="s">
        <v>2917</v>
      </c>
      <c r="AB1182" t="s">
        <v>1278</v>
      </c>
      <c r="AC1182" t="s">
        <v>5168</v>
      </c>
      <c r="AD1182" t="s">
        <v>2708</v>
      </c>
      <c r="AE1182">
        <v>1</v>
      </c>
      <c r="AH1182" t="s">
        <v>12</v>
      </c>
      <c r="AI1182" s="8">
        <v>45932.592523148145</v>
      </c>
      <c r="AK1182" t="s">
        <v>2719</v>
      </c>
      <c r="AL1182" t="s">
        <v>5161</v>
      </c>
      <c r="AM1182" t="s">
        <v>5162</v>
      </c>
      <c r="AO1182" t="s">
        <v>2547</v>
      </c>
      <c r="AP1182" t="s">
        <v>2401</v>
      </c>
    </row>
    <row r="1183" spans="1:42">
      <c r="A1183" t="s">
        <v>9461</v>
      </c>
      <c r="B1183" t="s">
        <v>2389</v>
      </c>
      <c r="C1183" t="s">
        <v>2378</v>
      </c>
      <c r="D1183" t="s">
        <v>2379</v>
      </c>
      <c r="E1183" t="s">
        <v>2416</v>
      </c>
      <c r="F1183">
        <v>6397</v>
      </c>
      <c r="G1183" t="s">
        <v>2416</v>
      </c>
      <c r="H1183" t="b">
        <v>1</v>
      </c>
      <c r="I1183" s="8">
        <v>45932.622581018521</v>
      </c>
      <c r="J1183" t="s">
        <v>2380</v>
      </c>
      <c r="K1183">
        <v>1199961</v>
      </c>
      <c r="L1183">
        <v>605547</v>
      </c>
      <c r="M1183" t="s">
        <v>2381</v>
      </c>
      <c r="P1183" t="s">
        <v>2394</v>
      </c>
      <c r="Q1183" t="s">
        <v>2383</v>
      </c>
      <c r="R1183">
        <v>1</v>
      </c>
      <c r="S1183" t="s">
        <v>2380</v>
      </c>
      <c r="T1183" t="s">
        <v>2383</v>
      </c>
      <c r="U1183" s="8">
        <v>45929.423229166663</v>
      </c>
      <c r="V1183" s="8">
        <v>45932.958333333336</v>
      </c>
      <c r="W1183">
        <v>1</v>
      </c>
      <c r="X1183">
        <v>3.1993518519999999</v>
      </c>
      <c r="Y1183" t="s">
        <v>2607</v>
      </c>
      <c r="Z1183" t="s">
        <v>9462</v>
      </c>
      <c r="AA1183" t="s">
        <v>9454</v>
      </c>
      <c r="AB1183" t="s">
        <v>1278</v>
      </c>
      <c r="AC1183" t="s">
        <v>9463</v>
      </c>
      <c r="AD1183" t="s">
        <v>2708</v>
      </c>
      <c r="AE1183">
        <v>1</v>
      </c>
      <c r="AO1183" t="s">
        <v>2388</v>
      </c>
      <c r="AP1183" t="s">
        <v>8931</v>
      </c>
    </row>
    <row r="1184" spans="1:42">
      <c r="A1184" t="s">
        <v>9007</v>
      </c>
      <c r="B1184" t="s">
        <v>2389</v>
      </c>
      <c r="C1184" t="s">
        <v>2378</v>
      </c>
      <c r="D1184" t="s">
        <v>2379</v>
      </c>
      <c r="E1184" t="s">
        <v>2452</v>
      </c>
      <c r="F1184" t="s">
        <v>2541</v>
      </c>
      <c r="G1184" t="s">
        <v>2452</v>
      </c>
      <c r="H1184" t="b">
        <v>1</v>
      </c>
      <c r="I1184" s="8">
        <v>45932.607627314814</v>
      </c>
      <c r="J1184" t="s">
        <v>2380</v>
      </c>
      <c r="K1184">
        <v>1199860</v>
      </c>
      <c r="L1184">
        <v>608630</v>
      </c>
      <c r="M1184" t="s">
        <v>2381</v>
      </c>
      <c r="P1184" t="s">
        <v>2548</v>
      </c>
      <c r="Q1184" t="s">
        <v>2383</v>
      </c>
      <c r="R1184">
        <v>1</v>
      </c>
      <c r="S1184" t="s">
        <v>2380</v>
      </c>
      <c r="T1184" t="s">
        <v>2383</v>
      </c>
      <c r="U1184" s="8">
        <v>45929.436145833337</v>
      </c>
      <c r="V1184" s="8">
        <v>45932.958333333336</v>
      </c>
      <c r="W1184">
        <v>1</v>
      </c>
      <c r="X1184">
        <v>3.1714814809999998</v>
      </c>
      <c r="Y1184" t="s">
        <v>2542</v>
      </c>
      <c r="Z1184" t="s">
        <v>9008</v>
      </c>
      <c r="AA1184" t="s">
        <v>3107</v>
      </c>
      <c r="AB1184" t="s">
        <v>1278</v>
      </c>
      <c r="AC1184" t="s">
        <v>9009</v>
      </c>
      <c r="AD1184" t="s">
        <v>2708</v>
      </c>
      <c r="AE1184">
        <v>1</v>
      </c>
      <c r="AH1184" t="s">
        <v>33</v>
      </c>
      <c r="AI1184" s="8">
        <v>45932.592719907407</v>
      </c>
      <c r="AK1184" t="s">
        <v>2719</v>
      </c>
      <c r="AL1184" t="s">
        <v>2719</v>
      </c>
      <c r="AO1184" t="s">
        <v>2547</v>
      </c>
      <c r="AP1184" t="s">
        <v>2401</v>
      </c>
    </row>
    <row r="1185" spans="1:42">
      <c r="A1185" t="s">
        <v>7297</v>
      </c>
      <c r="B1185" t="s">
        <v>2389</v>
      </c>
      <c r="C1185" t="s">
        <v>2378</v>
      </c>
      <c r="D1185" t="s">
        <v>2379</v>
      </c>
      <c r="E1185" t="s">
        <v>25</v>
      </c>
      <c r="F1185" t="s">
        <v>2588</v>
      </c>
      <c r="G1185" t="s">
        <v>25</v>
      </c>
      <c r="H1185" t="b">
        <v>1</v>
      </c>
      <c r="I1185" s="8">
        <v>45932.611585648148</v>
      </c>
      <c r="J1185" t="s">
        <v>2380</v>
      </c>
      <c r="K1185">
        <v>1199951</v>
      </c>
      <c r="L1185">
        <v>603527</v>
      </c>
      <c r="M1185" t="s">
        <v>2381</v>
      </c>
      <c r="N1185">
        <v>5</v>
      </c>
      <c r="P1185" t="s">
        <v>2394</v>
      </c>
      <c r="Q1185" t="s">
        <v>2383</v>
      </c>
      <c r="R1185">
        <v>1</v>
      </c>
      <c r="S1185" t="s">
        <v>2380</v>
      </c>
      <c r="T1185" t="s">
        <v>2383</v>
      </c>
      <c r="U1185" s="8">
        <v>45929.438217592593</v>
      </c>
      <c r="V1185" s="8">
        <v>45932.958333333336</v>
      </c>
      <c r="W1185">
        <v>1</v>
      </c>
      <c r="X1185">
        <v>3.1733680560000002</v>
      </c>
      <c r="Y1185" t="s">
        <v>2579</v>
      </c>
      <c r="Z1185" t="s">
        <v>7298</v>
      </c>
      <c r="AA1185" t="s">
        <v>7299</v>
      </c>
      <c r="AB1185" t="s">
        <v>1278</v>
      </c>
      <c r="AC1185" t="s">
        <v>7300</v>
      </c>
      <c r="AD1185" t="s">
        <v>2708</v>
      </c>
      <c r="AE1185">
        <v>1</v>
      </c>
      <c r="AO1185" t="s">
        <v>2388</v>
      </c>
      <c r="AP1185" t="s">
        <v>2401</v>
      </c>
    </row>
    <row r="1186" spans="1:42">
      <c r="A1186" t="s">
        <v>10146</v>
      </c>
      <c r="B1186" t="s">
        <v>2377</v>
      </c>
      <c r="C1186" t="s">
        <v>2378</v>
      </c>
      <c r="D1186" t="s">
        <v>2379</v>
      </c>
      <c r="E1186" t="s">
        <v>2416</v>
      </c>
      <c r="F1186" t="s">
        <v>2402</v>
      </c>
      <c r="G1186" t="s">
        <v>2416</v>
      </c>
      <c r="H1186" t="b">
        <v>1</v>
      </c>
      <c r="I1186" s="8">
        <v>45932.582060185188</v>
      </c>
      <c r="J1186" t="s">
        <v>2380</v>
      </c>
      <c r="L1186">
        <v>603642</v>
      </c>
      <c r="M1186" t="s">
        <v>2381</v>
      </c>
      <c r="Q1186" t="s">
        <v>2383</v>
      </c>
      <c r="R1186">
        <v>1</v>
      </c>
      <c r="S1186" t="s">
        <v>2380</v>
      </c>
      <c r="T1186" t="s">
        <v>2383</v>
      </c>
      <c r="U1186" s="8">
        <v>45929.438252314816</v>
      </c>
      <c r="V1186" s="8">
        <v>45932.958333333336</v>
      </c>
      <c r="W1186">
        <v>1</v>
      </c>
      <c r="X1186">
        <v>3.1438078699999998</v>
      </c>
      <c r="Y1186" t="s">
        <v>2403</v>
      </c>
      <c r="Z1186" t="s">
        <v>10147</v>
      </c>
      <c r="AA1186" t="s">
        <v>8053</v>
      </c>
      <c r="AB1186" t="s">
        <v>1278</v>
      </c>
      <c r="AC1186" t="s">
        <v>10148</v>
      </c>
      <c r="AE1186">
        <v>1</v>
      </c>
      <c r="AO1186" t="s">
        <v>4121</v>
      </c>
      <c r="AP1186" t="s">
        <v>2401</v>
      </c>
    </row>
    <row r="1187" spans="1:42">
      <c r="A1187" t="s">
        <v>344</v>
      </c>
      <c r="B1187" t="s">
        <v>2377</v>
      </c>
      <c r="C1187" t="s">
        <v>2378</v>
      </c>
      <c r="D1187" t="s">
        <v>2379</v>
      </c>
      <c r="E1187" t="s">
        <v>12</v>
      </c>
      <c r="F1187" t="s">
        <v>2431</v>
      </c>
      <c r="G1187" t="s">
        <v>12</v>
      </c>
      <c r="H1187" t="b">
        <v>1</v>
      </c>
      <c r="I1187" s="8">
        <v>45932.616249999999</v>
      </c>
      <c r="J1187" t="s">
        <v>2380</v>
      </c>
      <c r="L1187">
        <v>609997</v>
      </c>
      <c r="M1187" t="s">
        <v>2381</v>
      </c>
      <c r="P1187" t="s">
        <v>2427</v>
      </c>
      <c r="Q1187" t="s">
        <v>2383</v>
      </c>
      <c r="R1187">
        <v>1</v>
      </c>
      <c r="S1187" t="s">
        <v>2380</v>
      </c>
      <c r="T1187" t="s">
        <v>2383</v>
      </c>
      <c r="U1187" s="8">
        <v>45929.457233796296</v>
      </c>
      <c r="V1187" s="8">
        <v>45932.958333333336</v>
      </c>
      <c r="W1187">
        <v>1</v>
      </c>
      <c r="X1187">
        <v>3.1590162039999998</v>
      </c>
      <c r="Y1187" t="s">
        <v>2433</v>
      </c>
      <c r="Z1187" t="s">
        <v>3933</v>
      </c>
      <c r="AA1187" t="s">
        <v>3934</v>
      </c>
      <c r="AB1187" t="s">
        <v>1278</v>
      </c>
      <c r="AC1187" t="s">
        <v>3935</v>
      </c>
      <c r="AD1187" t="s">
        <v>2708</v>
      </c>
      <c r="AE1187">
        <v>1</v>
      </c>
      <c r="AO1187" t="s">
        <v>2720</v>
      </c>
      <c r="AP1187" t="s">
        <v>2401</v>
      </c>
    </row>
    <row r="1188" spans="1:42">
      <c r="A1188" t="s">
        <v>6148</v>
      </c>
      <c r="B1188" t="s">
        <v>2389</v>
      </c>
      <c r="C1188" t="s">
        <v>2378</v>
      </c>
      <c r="D1188" t="s">
        <v>2379</v>
      </c>
      <c r="E1188" t="s">
        <v>28</v>
      </c>
      <c r="F1188" t="s">
        <v>2578</v>
      </c>
      <c r="G1188" t="s">
        <v>28</v>
      </c>
      <c r="H1188" t="b">
        <v>1</v>
      </c>
      <c r="I1188" s="8">
        <v>45932.514837962961</v>
      </c>
      <c r="J1188" t="s">
        <v>2380</v>
      </c>
      <c r="K1188">
        <v>1199905</v>
      </c>
      <c r="L1188">
        <v>602857</v>
      </c>
      <c r="M1188" t="s">
        <v>2381</v>
      </c>
      <c r="N1188">
        <v>15</v>
      </c>
      <c r="P1188" t="s">
        <v>2394</v>
      </c>
      <c r="Q1188" t="s">
        <v>2383</v>
      </c>
      <c r="R1188">
        <v>1</v>
      </c>
      <c r="S1188" t="s">
        <v>2380</v>
      </c>
      <c r="T1188" t="s">
        <v>2383</v>
      </c>
      <c r="U1188" s="8">
        <v>45929.460381944446</v>
      </c>
      <c r="V1188" s="8">
        <v>45932.958333333336</v>
      </c>
      <c r="W1188">
        <v>1</v>
      </c>
      <c r="X1188">
        <v>3.0544560189999999</v>
      </c>
      <c r="Y1188" t="s">
        <v>2579</v>
      </c>
      <c r="Z1188" t="s">
        <v>6149</v>
      </c>
      <c r="AA1188" t="s">
        <v>5975</v>
      </c>
      <c r="AB1188" t="s">
        <v>1278</v>
      </c>
      <c r="AC1188" t="s">
        <v>6150</v>
      </c>
      <c r="AD1188" t="s">
        <v>2708</v>
      </c>
      <c r="AE1188">
        <v>1</v>
      </c>
      <c r="AO1188" t="s">
        <v>2547</v>
      </c>
      <c r="AP1188" t="s">
        <v>2401</v>
      </c>
    </row>
    <row r="1189" spans="1:42">
      <c r="A1189" t="s">
        <v>4071</v>
      </c>
      <c r="B1189" t="s">
        <v>2389</v>
      </c>
      <c r="C1189" t="s">
        <v>2390</v>
      </c>
      <c r="D1189" t="s">
        <v>2379</v>
      </c>
      <c r="E1189" t="s">
        <v>2452</v>
      </c>
      <c r="F1189" t="s">
        <v>3747</v>
      </c>
      <c r="G1189" t="s">
        <v>2452</v>
      </c>
      <c r="H1189" t="b">
        <v>1</v>
      </c>
      <c r="I1189" s="8">
        <v>45931.641759259262</v>
      </c>
      <c r="J1189" t="s">
        <v>2380</v>
      </c>
      <c r="K1189">
        <v>1199740</v>
      </c>
      <c r="L1189">
        <v>601100</v>
      </c>
      <c r="M1189" t="s">
        <v>2381</v>
      </c>
      <c r="P1189" t="s">
        <v>2394</v>
      </c>
      <c r="Q1189" t="s">
        <v>2383</v>
      </c>
      <c r="R1189">
        <v>1</v>
      </c>
      <c r="S1189" t="s">
        <v>2380</v>
      </c>
      <c r="T1189" t="s">
        <v>2383</v>
      </c>
      <c r="U1189" s="8">
        <v>45929.463078703702</v>
      </c>
      <c r="V1189" s="8">
        <v>45932.958333333336</v>
      </c>
      <c r="W1189">
        <v>1</v>
      </c>
      <c r="X1189">
        <v>2.1786805560000002</v>
      </c>
      <c r="Y1189" t="s">
        <v>3748</v>
      </c>
      <c r="Z1189" t="s">
        <v>4072</v>
      </c>
      <c r="AA1189" t="s">
        <v>4073</v>
      </c>
      <c r="AB1189" t="s">
        <v>1278</v>
      </c>
      <c r="AC1189" t="s">
        <v>4074</v>
      </c>
      <c r="AD1189" t="s">
        <v>2708</v>
      </c>
      <c r="AE1189">
        <v>1</v>
      </c>
      <c r="AO1189" t="s">
        <v>2712</v>
      </c>
      <c r="AP1189" t="s">
        <v>2401</v>
      </c>
    </row>
    <row r="1190" spans="1:42">
      <c r="A1190" t="s">
        <v>8095</v>
      </c>
      <c r="B1190" t="s">
        <v>2389</v>
      </c>
      <c r="C1190" t="s">
        <v>2443</v>
      </c>
      <c r="D1190" t="s">
        <v>2443</v>
      </c>
      <c r="E1190" t="s">
        <v>28</v>
      </c>
      <c r="F1190" t="s">
        <v>2417</v>
      </c>
      <c r="G1190" t="s">
        <v>28</v>
      </c>
      <c r="H1190" t="b">
        <v>1</v>
      </c>
      <c r="I1190" s="8">
        <v>45938.630231481482</v>
      </c>
      <c r="J1190" t="s">
        <v>2380</v>
      </c>
      <c r="K1190">
        <v>1200901</v>
      </c>
      <c r="L1190">
        <v>606884</v>
      </c>
      <c r="M1190" t="s">
        <v>2381</v>
      </c>
      <c r="N1190">
        <v>15</v>
      </c>
      <c r="P1190" t="s">
        <v>2394</v>
      </c>
      <c r="Q1190" t="s">
        <v>2383</v>
      </c>
      <c r="R1190">
        <v>1</v>
      </c>
      <c r="S1190" t="s">
        <v>2380</v>
      </c>
      <c r="T1190" t="s">
        <v>2383</v>
      </c>
      <c r="U1190" s="8">
        <v>45929.470092592594</v>
      </c>
      <c r="V1190" s="8">
        <v>45937.958333333336</v>
      </c>
      <c r="W1190">
        <v>1</v>
      </c>
      <c r="X1190">
        <v>7.1601388889999997</v>
      </c>
      <c r="Y1190" t="s">
        <v>2418</v>
      </c>
      <c r="Z1190" t="s">
        <v>8096</v>
      </c>
      <c r="AA1190" t="s">
        <v>8097</v>
      </c>
      <c r="AB1190" t="s">
        <v>1278</v>
      </c>
      <c r="AC1190" t="s">
        <v>8098</v>
      </c>
      <c r="AD1190" t="s">
        <v>2708</v>
      </c>
      <c r="AE1190">
        <v>1</v>
      </c>
      <c r="AO1190" t="s">
        <v>4121</v>
      </c>
      <c r="AP1190" t="s">
        <v>2401</v>
      </c>
    </row>
    <row r="1191" spans="1:42">
      <c r="A1191" t="s">
        <v>5518</v>
      </c>
      <c r="B1191" t="s">
        <v>2389</v>
      </c>
      <c r="C1191" t="s">
        <v>2378</v>
      </c>
      <c r="D1191" t="s">
        <v>2379</v>
      </c>
      <c r="E1191" t="s">
        <v>25</v>
      </c>
      <c r="F1191" t="s">
        <v>2402</v>
      </c>
      <c r="G1191" t="s">
        <v>25</v>
      </c>
      <c r="H1191" t="b">
        <v>1</v>
      </c>
      <c r="I1191" s="8">
        <v>45932.619212962964</v>
      </c>
      <c r="J1191" t="s">
        <v>2380</v>
      </c>
      <c r="K1191">
        <v>1199960</v>
      </c>
      <c r="L1191">
        <v>601090</v>
      </c>
      <c r="M1191" t="s">
        <v>2381</v>
      </c>
      <c r="N1191">
        <v>5</v>
      </c>
      <c r="P1191" t="s">
        <v>2394</v>
      </c>
      <c r="Q1191" t="s">
        <v>2383</v>
      </c>
      <c r="R1191">
        <v>1</v>
      </c>
      <c r="S1191" t="s">
        <v>2380</v>
      </c>
      <c r="T1191" t="s">
        <v>2383</v>
      </c>
      <c r="U1191" s="8">
        <v>45929.476469907408</v>
      </c>
      <c r="V1191" s="8">
        <v>45932.958333333336</v>
      </c>
      <c r="W1191">
        <v>1</v>
      </c>
      <c r="X1191">
        <v>3.142743056</v>
      </c>
      <c r="Y1191" t="s">
        <v>2403</v>
      </c>
      <c r="Z1191" t="s">
        <v>5519</v>
      </c>
      <c r="AA1191" t="s">
        <v>2063</v>
      </c>
      <c r="AB1191" t="s">
        <v>1278</v>
      </c>
      <c r="AC1191" t="s">
        <v>5520</v>
      </c>
      <c r="AD1191" t="s">
        <v>2708</v>
      </c>
      <c r="AE1191">
        <v>1</v>
      </c>
      <c r="AO1191" t="s">
        <v>2408</v>
      </c>
      <c r="AP1191" t="s">
        <v>2401</v>
      </c>
    </row>
    <row r="1192" spans="1:42">
      <c r="A1192" t="s">
        <v>9974</v>
      </c>
      <c r="B1192" t="s">
        <v>2377</v>
      </c>
      <c r="C1192" t="s">
        <v>2390</v>
      </c>
      <c r="D1192" t="s">
        <v>2379</v>
      </c>
      <c r="E1192" t="s">
        <v>2452</v>
      </c>
      <c r="F1192" t="s">
        <v>3339</v>
      </c>
      <c r="G1192" t="s">
        <v>2452</v>
      </c>
      <c r="H1192" t="b">
        <v>1</v>
      </c>
      <c r="I1192" s="8">
        <v>45931.536215277774</v>
      </c>
      <c r="J1192" t="s">
        <v>2380</v>
      </c>
      <c r="L1192">
        <v>603025</v>
      </c>
      <c r="M1192" t="s">
        <v>2381</v>
      </c>
      <c r="Q1192" t="s">
        <v>2383</v>
      </c>
      <c r="R1192">
        <v>1</v>
      </c>
      <c r="S1192" t="s">
        <v>2380</v>
      </c>
      <c r="T1192" t="s">
        <v>2383</v>
      </c>
      <c r="U1192" s="8">
        <v>45929.491643518515</v>
      </c>
      <c r="V1192" s="8">
        <v>45932.958333333336</v>
      </c>
      <c r="W1192">
        <v>1</v>
      </c>
      <c r="X1192">
        <v>2.0445717590000001</v>
      </c>
      <c r="Y1192" t="s">
        <v>3340</v>
      </c>
      <c r="Z1192" t="s">
        <v>9975</v>
      </c>
      <c r="AA1192" t="s">
        <v>4619</v>
      </c>
      <c r="AB1192" t="s">
        <v>1278</v>
      </c>
      <c r="AC1192" t="s">
        <v>9976</v>
      </c>
      <c r="AE1192">
        <v>1</v>
      </c>
      <c r="AO1192" t="s">
        <v>2957</v>
      </c>
      <c r="AP1192" t="s">
        <v>2401</v>
      </c>
    </row>
    <row r="1193" spans="1:42">
      <c r="A1193" t="s">
        <v>6891</v>
      </c>
      <c r="B1193" t="s">
        <v>2389</v>
      </c>
      <c r="C1193" t="s">
        <v>2443</v>
      </c>
      <c r="D1193" t="s">
        <v>2443</v>
      </c>
      <c r="E1193" t="s">
        <v>2452</v>
      </c>
      <c r="F1193" t="s">
        <v>2578</v>
      </c>
      <c r="G1193" t="s">
        <v>2452</v>
      </c>
      <c r="H1193" t="b">
        <v>1</v>
      </c>
      <c r="I1193" s="8">
        <v>45937.439629629633</v>
      </c>
      <c r="J1193" t="s">
        <v>2380</v>
      </c>
      <c r="K1193">
        <v>1200449</v>
      </c>
      <c r="L1193">
        <v>603075</v>
      </c>
      <c r="M1193" t="s">
        <v>2381</v>
      </c>
      <c r="P1193" t="s">
        <v>2394</v>
      </c>
      <c r="Q1193" t="s">
        <v>2383</v>
      </c>
      <c r="R1193">
        <v>1</v>
      </c>
      <c r="S1193" t="s">
        <v>2380</v>
      </c>
      <c r="T1193" t="s">
        <v>2383</v>
      </c>
      <c r="U1193" s="8">
        <v>45929.495358796295</v>
      </c>
      <c r="V1193" s="8">
        <v>45933.958333333336</v>
      </c>
      <c r="W1193">
        <v>1</v>
      </c>
      <c r="X1193">
        <v>5.944270833</v>
      </c>
      <c r="Y1193" t="s">
        <v>2579</v>
      </c>
      <c r="Z1193" t="s">
        <v>6892</v>
      </c>
      <c r="AA1193" t="s">
        <v>6893</v>
      </c>
      <c r="AB1193" t="s">
        <v>1278</v>
      </c>
      <c r="AC1193" t="s">
        <v>6894</v>
      </c>
      <c r="AD1193" t="s">
        <v>2708</v>
      </c>
      <c r="AE1193">
        <v>1</v>
      </c>
      <c r="AO1193" t="s">
        <v>2388</v>
      </c>
      <c r="AP1193" t="s">
        <v>2401</v>
      </c>
    </row>
    <row r="1194" spans="1:42">
      <c r="A1194" t="s">
        <v>7946</v>
      </c>
      <c r="B1194" t="s">
        <v>2389</v>
      </c>
      <c r="C1194" t="s">
        <v>2378</v>
      </c>
      <c r="D1194" t="s">
        <v>2379</v>
      </c>
      <c r="E1194" t="s">
        <v>28</v>
      </c>
      <c r="F1194" t="s">
        <v>7944</v>
      </c>
      <c r="G1194" t="s">
        <v>28</v>
      </c>
      <c r="H1194" t="b">
        <v>1</v>
      </c>
      <c r="I1194" s="8">
        <v>45932.647418981483</v>
      </c>
      <c r="J1194" t="s">
        <v>2380</v>
      </c>
      <c r="K1194">
        <v>1199986</v>
      </c>
      <c r="L1194">
        <v>609147</v>
      </c>
      <c r="M1194" t="s">
        <v>2381</v>
      </c>
      <c r="N1194">
        <v>15</v>
      </c>
      <c r="P1194" t="s">
        <v>2394</v>
      </c>
      <c r="Q1194" t="s">
        <v>2383</v>
      </c>
      <c r="R1194">
        <v>1</v>
      </c>
      <c r="S1194" t="s">
        <v>2380</v>
      </c>
      <c r="T1194" t="s">
        <v>2383</v>
      </c>
      <c r="U1194" s="8">
        <v>45929.498877314814</v>
      </c>
      <c r="V1194" s="8">
        <v>45932.958333333336</v>
      </c>
      <c r="W1194">
        <v>1</v>
      </c>
      <c r="X1194">
        <v>3.1485416669999999</v>
      </c>
      <c r="Y1194" t="s">
        <v>7945</v>
      </c>
      <c r="Z1194" t="s">
        <v>7947</v>
      </c>
      <c r="AA1194" t="s">
        <v>7948</v>
      </c>
      <c r="AB1194" t="s">
        <v>1278</v>
      </c>
      <c r="AC1194" t="s">
        <v>7949</v>
      </c>
      <c r="AD1194" t="s">
        <v>2708</v>
      </c>
      <c r="AE1194">
        <v>1</v>
      </c>
      <c r="AO1194" t="s">
        <v>2957</v>
      </c>
      <c r="AP1194" t="s">
        <v>2401</v>
      </c>
    </row>
    <row r="1195" spans="1:42">
      <c r="A1195" t="s">
        <v>3380</v>
      </c>
      <c r="B1195" t="s">
        <v>2389</v>
      </c>
      <c r="C1195" t="s">
        <v>2390</v>
      </c>
      <c r="D1195" t="s">
        <v>2379</v>
      </c>
      <c r="E1195" t="s">
        <v>2452</v>
      </c>
      <c r="F1195">
        <v>4056</v>
      </c>
      <c r="G1195" t="s">
        <v>2452</v>
      </c>
      <c r="H1195" t="b">
        <v>1</v>
      </c>
      <c r="I1195" s="8">
        <v>45931.665567129632</v>
      </c>
      <c r="J1195" t="s">
        <v>2380</v>
      </c>
      <c r="L1195">
        <v>603655</v>
      </c>
      <c r="M1195" t="s">
        <v>2381</v>
      </c>
      <c r="P1195" t="s">
        <v>2394</v>
      </c>
      <c r="Q1195" t="s">
        <v>2383</v>
      </c>
      <c r="R1195">
        <v>1</v>
      </c>
      <c r="S1195" t="s">
        <v>2380</v>
      </c>
      <c r="T1195" t="s">
        <v>2383</v>
      </c>
      <c r="U1195" s="8">
        <v>45929.524409722224</v>
      </c>
      <c r="V1195" s="8">
        <v>45932.958333333336</v>
      </c>
      <c r="W1195">
        <v>1</v>
      </c>
      <c r="X1195">
        <v>2.1411574070000001</v>
      </c>
      <c r="Y1195" t="s">
        <v>3379</v>
      </c>
      <c r="Z1195" t="s">
        <v>3381</v>
      </c>
      <c r="AA1195" t="s">
        <v>3382</v>
      </c>
      <c r="AB1195" t="s">
        <v>1278</v>
      </c>
      <c r="AC1195" t="s">
        <v>3383</v>
      </c>
      <c r="AE1195">
        <v>1</v>
      </c>
      <c r="AO1195" t="s">
        <v>2388</v>
      </c>
      <c r="AP1195" t="s">
        <v>2401</v>
      </c>
    </row>
    <row r="1196" spans="1:42">
      <c r="A1196" t="s">
        <v>5475</v>
      </c>
      <c r="B1196" t="s">
        <v>2389</v>
      </c>
      <c r="C1196" t="s">
        <v>2390</v>
      </c>
      <c r="D1196" t="s">
        <v>2379</v>
      </c>
      <c r="E1196" t="s">
        <v>28</v>
      </c>
      <c r="F1196" t="s">
        <v>2417</v>
      </c>
      <c r="G1196" t="s">
        <v>28</v>
      </c>
      <c r="H1196" t="b">
        <v>1</v>
      </c>
      <c r="I1196" s="8">
        <v>45932.49009259259</v>
      </c>
      <c r="J1196" t="s">
        <v>2380</v>
      </c>
      <c r="K1196">
        <v>1199889</v>
      </c>
      <c r="L1196">
        <v>609726</v>
      </c>
      <c r="M1196" t="s">
        <v>2381</v>
      </c>
      <c r="N1196">
        <v>15</v>
      </c>
      <c r="P1196" t="s">
        <v>2394</v>
      </c>
      <c r="Q1196" t="s">
        <v>2383</v>
      </c>
      <c r="R1196">
        <v>1</v>
      </c>
      <c r="S1196" t="s">
        <v>2380</v>
      </c>
      <c r="T1196" t="s">
        <v>2383</v>
      </c>
      <c r="U1196" s="8">
        <v>45929.538460648146</v>
      </c>
      <c r="V1196" s="8">
        <v>45932.958333333336</v>
      </c>
      <c r="W1196">
        <v>1</v>
      </c>
      <c r="X1196">
        <v>2.9516319439999998</v>
      </c>
      <c r="Y1196" t="s">
        <v>2418</v>
      </c>
      <c r="Z1196" t="s">
        <v>5476</v>
      </c>
      <c r="AA1196" t="s">
        <v>1974</v>
      </c>
      <c r="AB1196" t="s">
        <v>1278</v>
      </c>
      <c r="AC1196" t="s">
        <v>5477</v>
      </c>
      <c r="AD1196" t="s">
        <v>2708</v>
      </c>
      <c r="AE1196">
        <v>1</v>
      </c>
      <c r="AO1196" t="s">
        <v>2408</v>
      </c>
      <c r="AP1196" t="s">
        <v>2401</v>
      </c>
    </row>
    <row r="1197" spans="1:42">
      <c r="A1197" t="s">
        <v>7920</v>
      </c>
      <c r="B1197" t="s">
        <v>2389</v>
      </c>
      <c r="C1197" t="s">
        <v>2378</v>
      </c>
      <c r="D1197" t="s">
        <v>2379</v>
      </c>
      <c r="E1197" t="s">
        <v>28</v>
      </c>
      <c r="F1197" t="s">
        <v>4644</v>
      </c>
      <c r="G1197" t="s">
        <v>28</v>
      </c>
      <c r="H1197" t="b">
        <v>1</v>
      </c>
      <c r="I1197" s="8">
        <v>45932.652060185188</v>
      </c>
      <c r="J1197" t="s">
        <v>2380</v>
      </c>
      <c r="K1197">
        <v>1199989</v>
      </c>
      <c r="L1197">
        <v>603773</v>
      </c>
      <c r="M1197" t="s">
        <v>2381</v>
      </c>
      <c r="N1197">
        <v>15</v>
      </c>
      <c r="P1197" t="s">
        <v>2394</v>
      </c>
      <c r="Q1197" t="s">
        <v>2383</v>
      </c>
      <c r="R1197">
        <v>1</v>
      </c>
      <c r="S1197" t="s">
        <v>2380</v>
      </c>
      <c r="T1197" t="s">
        <v>2383</v>
      </c>
      <c r="U1197" s="8">
        <v>45929.541979166665</v>
      </c>
      <c r="V1197" s="8">
        <v>45932.958333333336</v>
      </c>
      <c r="W1197">
        <v>1</v>
      </c>
      <c r="X1197">
        <v>3.1100810189999999</v>
      </c>
      <c r="Y1197" t="s">
        <v>3578</v>
      </c>
      <c r="Z1197" t="s">
        <v>7921</v>
      </c>
      <c r="AA1197" t="s">
        <v>4647</v>
      </c>
      <c r="AB1197" t="s">
        <v>1278</v>
      </c>
      <c r="AC1197" t="s">
        <v>7922</v>
      </c>
      <c r="AD1197" t="s">
        <v>2708</v>
      </c>
      <c r="AE1197">
        <v>1</v>
      </c>
      <c r="AO1197" t="s">
        <v>2957</v>
      </c>
      <c r="AP1197" t="s">
        <v>2401</v>
      </c>
    </row>
    <row r="1198" spans="1:42">
      <c r="A1198" t="s">
        <v>5305</v>
      </c>
      <c r="B1198" t="s">
        <v>2389</v>
      </c>
      <c r="C1198" t="s">
        <v>2415</v>
      </c>
      <c r="D1198" t="s">
        <v>2379</v>
      </c>
      <c r="E1198" t="s">
        <v>2452</v>
      </c>
      <c r="F1198" t="s">
        <v>2402</v>
      </c>
      <c r="G1198" t="s">
        <v>2452</v>
      </c>
      <c r="H1198" t="b">
        <v>1</v>
      </c>
      <c r="I1198" s="8">
        <v>45931.528993055559</v>
      </c>
      <c r="J1198" t="s">
        <v>2380</v>
      </c>
      <c r="K1198">
        <v>1199673</v>
      </c>
      <c r="L1198">
        <v>603790</v>
      </c>
      <c r="M1198" t="s">
        <v>2381</v>
      </c>
      <c r="P1198" t="s">
        <v>2394</v>
      </c>
      <c r="Q1198" t="s">
        <v>2383</v>
      </c>
      <c r="R1198">
        <v>1</v>
      </c>
      <c r="S1198" t="s">
        <v>2380</v>
      </c>
      <c r="T1198" t="s">
        <v>2383</v>
      </c>
      <c r="U1198" s="8">
        <v>45929.544814814813</v>
      </c>
      <c r="V1198" s="8">
        <v>45932.958333333336</v>
      </c>
      <c r="W1198">
        <v>1</v>
      </c>
      <c r="X1198">
        <v>1.984178241</v>
      </c>
      <c r="Y1198" t="s">
        <v>2403</v>
      </c>
      <c r="Z1198" t="s">
        <v>5306</v>
      </c>
      <c r="AA1198" t="s">
        <v>5307</v>
      </c>
      <c r="AB1198" t="s">
        <v>1278</v>
      </c>
      <c r="AC1198" t="s">
        <v>5308</v>
      </c>
      <c r="AD1198" t="s">
        <v>2708</v>
      </c>
      <c r="AE1198">
        <v>1</v>
      </c>
      <c r="AO1198" t="s">
        <v>2408</v>
      </c>
      <c r="AP1198" t="s">
        <v>2401</v>
      </c>
    </row>
    <row r="1199" spans="1:42">
      <c r="A1199" t="s">
        <v>330</v>
      </c>
      <c r="B1199" t="s">
        <v>2377</v>
      </c>
      <c r="C1199" t="s">
        <v>2390</v>
      </c>
      <c r="D1199" t="s">
        <v>2379</v>
      </c>
      <c r="E1199" t="s">
        <v>12</v>
      </c>
      <c r="F1199" t="s">
        <v>2588</v>
      </c>
      <c r="G1199" t="s">
        <v>12</v>
      </c>
      <c r="H1199" t="b">
        <v>1</v>
      </c>
      <c r="I1199" s="8">
        <v>45932.532013888886</v>
      </c>
      <c r="J1199" t="s">
        <v>2380</v>
      </c>
      <c r="L1199">
        <v>609706</v>
      </c>
      <c r="M1199" t="s">
        <v>2381</v>
      </c>
      <c r="Q1199" t="s">
        <v>2383</v>
      </c>
      <c r="R1199">
        <v>1</v>
      </c>
      <c r="S1199" t="s">
        <v>2380</v>
      </c>
      <c r="T1199" t="s">
        <v>2383</v>
      </c>
      <c r="U1199" s="8">
        <v>45929.579293981478</v>
      </c>
      <c r="V1199" s="8">
        <v>45932.958333333336</v>
      </c>
      <c r="W1199">
        <v>1</v>
      </c>
      <c r="X1199">
        <v>2.9527199070000001</v>
      </c>
      <c r="Y1199" t="s">
        <v>2579</v>
      </c>
      <c r="Z1199" t="s">
        <v>9739</v>
      </c>
      <c r="AA1199" t="s">
        <v>8825</v>
      </c>
      <c r="AB1199" t="s">
        <v>1278</v>
      </c>
      <c r="AC1199" t="s">
        <v>9740</v>
      </c>
      <c r="AD1199" t="s">
        <v>2708</v>
      </c>
      <c r="AE1199">
        <v>1</v>
      </c>
      <c r="AO1199" t="s">
        <v>3644</v>
      </c>
      <c r="AP1199" t="s">
        <v>2401</v>
      </c>
    </row>
    <row r="1200" spans="1:42">
      <c r="A1200" t="s">
        <v>3885</v>
      </c>
      <c r="B1200" t="s">
        <v>2389</v>
      </c>
      <c r="C1200" t="s">
        <v>2390</v>
      </c>
      <c r="D1200" t="s">
        <v>2379</v>
      </c>
      <c r="E1200" t="s">
        <v>2416</v>
      </c>
      <c r="F1200" t="s">
        <v>3747</v>
      </c>
      <c r="G1200" t="s">
        <v>2416</v>
      </c>
      <c r="H1200" t="b">
        <v>1</v>
      </c>
      <c r="I1200" s="8">
        <v>45932.583495370367</v>
      </c>
      <c r="J1200" t="s">
        <v>2380</v>
      </c>
      <c r="L1200">
        <v>603140</v>
      </c>
      <c r="M1200" t="s">
        <v>2381</v>
      </c>
      <c r="P1200" t="s">
        <v>2394</v>
      </c>
      <c r="Q1200" t="s">
        <v>2383</v>
      </c>
      <c r="R1200">
        <v>1</v>
      </c>
      <c r="S1200" t="s">
        <v>2380</v>
      </c>
      <c r="T1200" t="s">
        <v>2383</v>
      </c>
      <c r="U1200" s="8">
        <v>45929.601851851854</v>
      </c>
      <c r="V1200" s="8">
        <v>45932.958333333336</v>
      </c>
      <c r="W1200">
        <v>1</v>
      </c>
      <c r="X1200">
        <v>2.9816435189999999</v>
      </c>
      <c r="Y1200" t="s">
        <v>3748</v>
      </c>
      <c r="Z1200" t="s">
        <v>3886</v>
      </c>
      <c r="AA1200" t="s">
        <v>3853</v>
      </c>
      <c r="AB1200" t="s">
        <v>1278</v>
      </c>
      <c r="AC1200" t="s">
        <v>3887</v>
      </c>
      <c r="AE1200">
        <v>1</v>
      </c>
      <c r="AO1200" t="s">
        <v>2712</v>
      </c>
      <c r="AP1200" t="s">
        <v>2401</v>
      </c>
    </row>
    <row r="1201" spans="1:42">
      <c r="A1201" t="s">
        <v>4094</v>
      </c>
      <c r="B1201" t="s">
        <v>2389</v>
      </c>
      <c r="C1201" t="s">
        <v>2390</v>
      </c>
      <c r="D1201" t="s">
        <v>2379</v>
      </c>
      <c r="E1201" t="s">
        <v>2416</v>
      </c>
      <c r="F1201" t="s">
        <v>3747</v>
      </c>
      <c r="G1201" t="s">
        <v>2416</v>
      </c>
      <c r="H1201" t="b">
        <v>1</v>
      </c>
      <c r="I1201" s="8">
        <v>45932.599606481483</v>
      </c>
      <c r="J1201" t="s">
        <v>2380</v>
      </c>
      <c r="K1201">
        <v>1199940</v>
      </c>
      <c r="L1201">
        <v>603140</v>
      </c>
      <c r="M1201" t="s">
        <v>2381</v>
      </c>
      <c r="P1201" t="s">
        <v>2394</v>
      </c>
      <c r="Q1201" t="s">
        <v>2383</v>
      </c>
      <c r="R1201">
        <v>1</v>
      </c>
      <c r="S1201" t="s">
        <v>2380</v>
      </c>
      <c r="T1201" t="s">
        <v>2383</v>
      </c>
      <c r="U1201" s="8">
        <v>45929.605266203704</v>
      </c>
      <c r="V1201" s="8">
        <v>45932.958333333336</v>
      </c>
      <c r="W1201">
        <v>1</v>
      </c>
      <c r="X1201">
        <v>2.9943402780000001</v>
      </c>
      <c r="Y1201" t="s">
        <v>3748</v>
      </c>
      <c r="Z1201" t="s">
        <v>4095</v>
      </c>
      <c r="AA1201" t="s">
        <v>3853</v>
      </c>
      <c r="AB1201" t="s">
        <v>1278</v>
      </c>
      <c r="AC1201" t="s">
        <v>4096</v>
      </c>
      <c r="AD1201" t="s">
        <v>2708</v>
      </c>
      <c r="AE1201">
        <v>1</v>
      </c>
      <c r="AO1201" t="s">
        <v>2712</v>
      </c>
      <c r="AP1201" t="s">
        <v>2401</v>
      </c>
    </row>
    <row r="1202" spans="1:42">
      <c r="A1202" t="s">
        <v>4075</v>
      </c>
      <c r="B1202" t="s">
        <v>2389</v>
      </c>
      <c r="C1202" t="s">
        <v>2390</v>
      </c>
      <c r="D1202" t="s">
        <v>2379</v>
      </c>
      <c r="E1202" t="s">
        <v>2452</v>
      </c>
      <c r="F1202" t="s">
        <v>3747</v>
      </c>
      <c r="G1202" t="s">
        <v>2452</v>
      </c>
      <c r="H1202" t="b">
        <v>1</v>
      </c>
      <c r="I1202" s="8">
        <v>45931.660682870373</v>
      </c>
      <c r="J1202" t="s">
        <v>2380</v>
      </c>
      <c r="K1202">
        <v>1199749</v>
      </c>
      <c r="L1202">
        <v>601100</v>
      </c>
      <c r="M1202" t="s">
        <v>2381</v>
      </c>
      <c r="P1202" t="s">
        <v>2394</v>
      </c>
      <c r="Q1202" t="s">
        <v>2383</v>
      </c>
      <c r="R1202">
        <v>1</v>
      </c>
      <c r="S1202" t="s">
        <v>2380</v>
      </c>
      <c r="T1202" t="s">
        <v>2383</v>
      </c>
      <c r="U1202" s="8">
        <v>45929.606747685182</v>
      </c>
      <c r="V1202" s="8">
        <v>45932.958333333336</v>
      </c>
      <c r="W1202">
        <v>1</v>
      </c>
      <c r="X1202">
        <v>2.0539351849999998</v>
      </c>
      <c r="Y1202" t="s">
        <v>3748</v>
      </c>
      <c r="Z1202" t="s">
        <v>4076</v>
      </c>
      <c r="AA1202" t="s">
        <v>4073</v>
      </c>
      <c r="AB1202" t="s">
        <v>1278</v>
      </c>
      <c r="AC1202" t="s">
        <v>4077</v>
      </c>
      <c r="AD1202" t="s">
        <v>2708</v>
      </c>
      <c r="AE1202">
        <v>1</v>
      </c>
      <c r="AO1202" t="s">
        <v>2712</v>
      </c>
      <c r="AP1202" t="s">
        <v>2401</v>
      </c>
    </row>
    <row r="1203" spans="1:42">
      <c r="A1203" t="s">
        <v>9249</v>
      </c>
      <c r="B1203" t="s">
        <v>2389</v>
      </c>
      <c r="C1203" t="s">
        <v>2443</v>
      </c>
      <c r="D1203" t="s">
        <v>2443</v>
      </c>
      <c r="E1203" t="s">
        <v>24</v>
      </c>
      <c r="F1203" t="s">
        <v>3747</v>
      </c>
      <c r="G1203" t="s">
        <v>4895</v>
      </c>
      <c r="H1203" t="b">
        <v>1</v>
      </c>
      <c r="I1203" s="8">
        <v>45933.6325</v>
      </c>
      <c r="J1203" t="s">
        <v>2380</v>
      </c>
      <c r="K1203">
        <v>1199959</v>
      </c>
      <c r="L1203">
        <v>609900</v>
      </c>
      <c r="M1203" t="s">
        <v>2381</v>
      </c>
      <c r="P1203" t="s">
        <v>2394</v>
      </c>
      <c r="Q1203" t="s">
        <v>2383</v>
      </c>
      <c r="R1203">
        <v>1</v>
      </c>
      <c r="S1203" t="s">
        <v>2380</v>
      </c>
      <c r="T1203" t="s">
        <v>2383</v>
      </c>
      <c r="U1203" s="8">
        <v>45929.609351851854</v>
      </c>
      <c r="V1203" s="8">
        <v>45932.958333333336</v>
      </c>
      <c r="W1203">
        <v>1</v>
      </c>
      <c r="X1203">
        <v>4.0231481479999998</v>
      </c>
      <c r="Y1203" t="s">
        <v>3748</v>
      </c>
      <c r="Z1203" t="s">
        <v>9250</v>
      </c>
      <c r="AA1203" t="s">
        <v>4065</v>
      </c>
      <c r="AB1203" t="s">
        <v>1278</v>
      </c>
      <c r="AC1203" t="s">
        <v>9251</v>
      </c>
      <c r="AD1203" t="s">
        <v>2708</v>
      </c>
      <c r="AE1203">
        <v>1</v>
      </c>
      <c r="AH1203" t="s">
        <v>33</v>
      </c>
      <c r="AI1203" s="8">
        <v>45933.602453703701</v>
      </c>
      <c r="AK1203" t="s">
        <v>2719</v>
      </c>
      <c r="AL1203" t="s">
        <v>2719</v>
      </c>
      <c r="AO1203" t="s">
        <v>2712</v>
      </c>
      <c r="AP1203" t="s">
        <v>2401</v>
      </c>
    </row>
    <row r="1204" spans="1:42">
      <c r="A1204" t="s">
        <v>4097</v>
      </c>
      <c r="B1204" t="s">
        <v>2389</v>
      </c>
      <c r="C1204" t="s">
        <v>2390</v>
      </c>
      <c r="D1204" t="s">
        <v>2379</v>
      </c>
      <c r="E1204" t="s">
        <v>2416</v>
      </c>
      <c r="F1204" t="s">
        <v>3747</v>
      </c>
      <c r="G1204" t="s">
        <v>2416</v>
      </c>
      <c r="H1204" t="b">
        <v>1</v>
      </c>
      <c r="I1204" s="8">
        <v>45932.607048611113</v>
      </c>
      <c r="J1204" t="s">
        <v>2380</v>
      </c>
      <c r="K1204">
        <v>1199945</v>
      </c>
      <c r="L1204">
        <v>603140</v>
      </c>
      <c r="M1204" t="s">
        <v>2381</v>
      </c>
      <c r="P1204" t="s">
        <v>2394</v>
      </c>
      <c r="Q1204" t="s">
        <v>2383</v>
      </c>
      <c r="R1204">
        <v>1</v>
      </c>
      <c r="S1204" t="s">
        <v>2380</v>
      </c>
      <c r="T1204" t="s">
        <v>2383</v>
      </c>
      <c r="U1204" s="8">
        <v>45929.613761574074</v>
      </c>
      <c r="V1204" s="8">
        <v>45932.958333333336</v>
      </c>
      <c r="W1204">
        <v>1</v>
      </c>
      <c r="X1204">
        <v>2.993287037</v>
      </c>
      <c r="Y1204" t="s">
        <v>3748</v>
      </c>
      <c r="Z1204" t="s">
        <v>4098</v>
      </c>
      <c r="AA1204" t="s">
        <v>3853</v>
      </c>
      <c r="AB1204" t="s">
        <v>1278</v>
      </c>
      <c r="AC1204" t="s">
        <v>4099</v>
      </c>
      <c r="AD1204" t="s">
        <v>2708</v>
      </c>
      <c r="AE1204">
        <v>1</v>
      </c>
      <c r="AO1204" t="s">
        <v>2712</v>
      </c>
      <c r="AP1204" t="s">
        <v>2401</v>
      </c>
    </row>
    <row r="1205" spans="1:42">
      <c r="A1205" t="s">
        <v>3341</v>
      </c>
      <c r="B1205" t="s">
        <v>2389</v>
      </c>
      <c r="C1205" t="s">
        <v>2390</v>
      </c>
      <c r="D1205" t="s">
        <v>2379</v>
      </c>
      <c r="E1205" t="s">
        <v>2452</v>
      </c>
      <c r="F1205" t="s">
        <v>3339</v>
      </c>
      <c r="G1205" t="s">
        <v>2452</v>
      </c>
      <c r="H1205" t="b">
        <v>1</v>
      </c>
      <c r="I1205" s="8">
        <v>45931.663506944446</v>
      </c>
      <c r="J1205" t="s">
        <v>2380</v>
      </c>
      <c r="K1205">
        <v>1079586</v>
      </c>
      <c r="L1205">
        <v>609809</v>
      </c>
      <c r="M1205" t="s">
        <v>2381</v>
      </c>
      <c r="P1205" t="s">
        <v>2394</v>
      </c>
      <c r="Q1205" t="s">
        <v>2383</v>
      </c>
      <c r="R1205">
        <v>1</v>
      </c>
      <c r="S1205" t="s">
        <v>2380</v>
      </c>
      <c r="T1205" t="s">
        <v>2383</v>
      </c>
      <c r="U1205" s="8">
        <v>45929.641226851854</v>
      </c>
      <c r="V1205" s="8">
        <v>45932.958333333336</v>
      </c>
      <c r="W1205">
        <v>1</v>
      </c>
      <c r="X1205">
        <v>2.022280093</v>
      </c>
      <c r="Y1205" t="s">
        <v>3340</v>
      </c>
      <c r="Z1205" t="s">
        <v>3342</v>
      </c>
      <c r="AA1205" t="s">
        <v>3343</v>
      </c>
      <c r="AB1205" t="s">
        <v>1278</v>
      </c>
      <c r="AC1205" t="s">
        <v>3344</v>
      </c>
      <c r="AE1205">
        <v>1</v>
      </c>
      <c r="AO1205" t="s">
        <v>2388</v>
      </c>
      <c r="AP1205" t="s">
        <v>2401</v>
      </c>
    </row>
    <row r="1206" spans="1:42">
      <c r="A1206" t="s">
        <v>4208</v>
      </c>
      <c r="B1206" t="s">
        <v>2389</v>
      </c>
      <c r="C1206" t="s">
        <v>2390</v>
      </c>
      <c r="D1206" t="s">
        <v>2379</v>
      </c>
      <c r="E1206" t="s">
        <v>24</v>
      </c>
      <c r="F1206" t="s">
        <v>4122</v>
      </c>
      <c r="G1206" t="s">
        <v>24</v>
      </c>
      <c r="H1206" t="b">
        <v>1</v>
      </c>
      <c r="I1206" s="8">
        <v>45932.639305555553</v>
      </c>
      <c r="J1206" t="s">
        <v>2380</v>
      </c>
      <c r="K1206">
        <v>1199964</v>
      </c>
      <c r="L1206">
        <v>603993</v>
      </c>
      <c r="M1206" t="s">
        <v>2381</v>
      </c>
      <c r="P1206" t="s">
        <v>2394</v>
      </c>
      <c r="Q1206" t="s">
        <v>2383</v>
      </c>
      <c r="R1206">
        <v>1</v>
      </c>
      <c r="S1206" t="s">
        <v>2380</v>
      </c>
      <c r="T1206" t="s">
        <v>2383</v>
      </c>
      <c r="U1206" s="8">
        <v>45929.644097222219</v>
      </c>
      <c r="V1206" s="8">
        <v>45932.958333333336</v>
      </c>
      <c r="W1206">
        <v>1</v>
      </c>
      <c r="X1206">
        <v>2.9952083329999999</v>
      </c>
      <c r="Y1206" t="s">
        <v>1352</v>
      </c>
      <c r="Z1206" t="s">
        <v>4209</v>
      </c>
      <c r="AA1206" t="s">
        <v>1350</v>
      </c>
      <c r="AB1206" t="s">
        <v>1278</v>
      </c>
      <c r="AD1206" t="s">
        <v>2708</v>
      </c>
      <c r="AE1206">
        <v>1</v>
      </c>
      <c r="AO1206" t="s">
        <v>2408</v>
      </c>
      <c r="AP1206" t="s">
        <v>2401</v>
      </c>
    </row>
    <row r="1207" spans="1:42">
      <c r="A1207" t="s">
        <v>5157</v>
      </c>
      <c r="B1207" t="s">
        <v>2389</v>
      </c>
      <c r="C1207" t="s">
        <v>2378</v>
      </c>
      <c r="D1207" t="s">
        <v>2379</v>
      </c>
      <c r="E1207" t="s">
        <v>28</v>
      </c>
      <c r="F1207" t="s">
        <v>2402</v>
      </c>
      <c r="G1207" t="s">
        <v>28</v>
      </c>
      <c r="H1207" t="b">
        <v>1</v>
      </c>
      <c r="I1207" s="8">
        <v>45932.672986111109</v>
      </c>
      <c r="J1207" t="s">
        <v>2380</v>
      </c>
      <c r="K1207">
        <v>1199888</v>
      </c>
      <c r="L1207">
        <v>603898</v>
      </c>
      <c r="M1207" t="s">
        <v>2381</v>
      </c>
      <c r="N1207">
        <v>15</v>
      </c>
      <c r="P1207" t="s">
        <v>2394</v>
      </c>
      <c r="Q1207" t="s">
        <v>2383</v>
      </c>
      <c r="R1207">
        <v>1</v>
      </c>
      <c r="S1207" t="s">
        <v>2380</v>
      </c>
      <c r="T1207" t="s">
        <v>2383</v>
      </c>
      <c r="U1207" s="8">
        <v>45929.656030092592</v>
      </c>
      <c r="V1207" s="8">
        <v>45932.958333333336</v>
      </c>
      <c r="W1207">
        <v>1</v>
      </c>
      <c r="X1207">
        <v>3.0169560190000002</v>
      </c>
      <c r="Y1207" t="s">
        <v>2403</v>
      </c>
      <c r="Z1207" t="s">
        <v>5158</v>
      </c>
      <c r="AA1207" t="s">
        <v>5159</v>
      </c>
      <c r="AB1207" t="s">
        <v>1278</v>
      </c>
      <c r="AC1207" t="s">
        <v>5160</v>
      </c>
      <c r="AD1207" t="s">
        <v>2708</v>
      </c>
      <c r="AE1207">
        <v>1</v>
      </c>
      <c r="AH1207" t="s">
        <v>12</v>
      </c>
      <c r="AI1207" s="8">
        <v>45932.594710648147</v>
      </c>
      <c r="AK1207" t="s">
        <v>2719</v>
      </c>
      <c r="AL1207" t="s">
        <v>5161</v>
      </c>
      <c r="AM1207" t="s">
        <v>5162</v>
      </c>
      <c r="AO1207" t="s">
        <v>2408</v>
      </c>
      <c r="AP1207" t="s">
        <v>2401</v>
      </c>
    </row>
    <row r="1208" spans="1:42">
      <c r="A1208" t="s">
        <v>3433</v>
      </c>
      <c r="B1208" t="s">
        <v>2389</v>
      </c>
      <c r="C1208" t="s">
        <v>2390</v>
      </c>
      <c r="D1208" t="s">
        <v>2379</v>
      </c>
      <c r="E1208" t="s">
        <v>2416</v>
      </c>
      <c r="F1208" t="s">
        <v>2588</v>
      </c>
      <c r="G1208" t="s">
        <v>2416</v>
      </c>
      <c r="H1208" t="b">
        <v>1</v>
      </c>
      <c r="I1208" s="8">
        <v>45932.546747685185</v>
      </c>
      <c r="J1208" t="s">
        <v>2380</v>
      </c>
      <c r="L1208">
        <v>603520</v>
      </c>
      <c r="M1208" t="s">
        <v>2381</v>
      </c>
      <c r="P1208" t="s">
        <v>2394</v>
      </c>
      <c r="Q1208" t="s">
        <v>2383</v>
      </c>
      <c r="R1208">
        <v>1</v>
      </c>
      <c r="S1208" t="s">
        <v>2380</v>
      </c>
      <c r="T1208" t="s">
        <v>2383</v>
      </c>
      <c r="U1208" s="8">
        <v>45929.663784722223</v>
      </c>
      <c r="V1208" s="8">
        <v>45932.958333333336</v>
      </c>
      <c r="W1208">
        <v>1</v>
      </c>
      <c r="X1208">
        <v>2.8829629630000002</v>
      </c>
      <c r="Y1208" t="s">
        <v>2579</v>
      </c>
      <c r="Z1208" t="s">
        <v>3434</v>
      </c>
      <c r="AA1208" t="s">
        <v>3435</v>
      </c>
      <c r="AB1208" t="s">
        <v>1278</v>
      </c>
      <c r="AC1208" t="s">
        <v>3436</v>
      </c>
      <c r="AE1208">
        <v>1</v>
      </c>
      <c r="AO1208" t="s">
        <v>2388</v>
      </c>
      <c r="AP1208" t="s">
        <v>2401</v>
      </c>
    </row>
    <row r="1209" spans="1:42">
      <c r="A1209" t="s">
        <v>7545</v>
      </c>
      <c r="B1209" t="s">
        <v>2389</v>
      </c>
      <c r="C1209" t="s">
        <v>2390</v>
      </c>
      <c r="D1209" t="s">
        <v>2379</v>
      </c>
      <c r="E1209" t="s">
        <v>33</v>
      </c>
      <c r="F1209" t="s">
        <v>3472</v>
      </c>
      <c r="G1209" t="s">
        <v>33</v>
      </c>
      <c r="H1209" t="b">
        <v>1</v>
      </c>
      <c r="I1209" s="8">
        <v>45932.396805555552</v>
      </c>
      <c r="J1209" t="s">
        <v>2380</v>
      </c>
      <c r="K1209">
        <v>1199802</v>
      </c>
      <c r="L1209">
        <v>609747</v>
      </c>
      <c r="M1209" t="s">
        <v>2381</v>
      </c>
      <c r="P1209" t="s">
        <v>2394</v>
      </c>
      <c r="Q1209" t="s">
        <v>2383</v>
      </c>
      <c r="R1209">
        <v>1</v>
      </c>
      <c r="S1209" t="s">
        <v>2380</v>
      </c>
      <c r="T1209" t="s">
        <v>2383</v>
      </c>
      <c r="U1209" s="8">
        <v>45929.669340277775</v>
      </c>
      <c r="V1209" s="8">
        <v>45932.958333333336</v>
      </c>
      <c r="W1209">
        <v>1</v>
      </c>
      <c r="X1209">
        <v>2.7274652779999999</v>
      </c>
      <c r="Y1209" t="s">
        <v>3473</v>
      </c>
      <c r="Z1209" t="s">
        <v>7546</v>
      </c>
      <c r="AA1209" t="s">
        <v>3476</v>
      </c>
      <c r="AB1209" t="s">
        <v>1278</v>
      </c>
      <c r="AC1209" t="s">
        <v>7547</v>
      </c>
      <c r="AD1209" t="s">
        <v>2708</v>
      </c>
      <c r="AE1209">
        <v>1</v>
      </c>
      <c r="AO1209" t="s">
        <v>2957</v>
      </c>
      <c r="AP1209" t="s">
        <v>2401</v>
      </c>
    </row>
    <row r="1210" spans="1:42">
      <c r="A1210" t="s">
        <v>9977</v>
      </c>
      <c r="B1210" t="s">
        <v>2377</v>
      </c>
      <c r="C1210" t="s">
        <v>2415</v>
      </c>
      <c r="D1210" t="s">
        <v>2379</v>
      </c>
      <c r="E1210" t="s">
        <v>2452</v>
      </c>
      <c r="F1210" t="s">
        <v>3261</v>
      </c>
      <c r="G1210" t="s">
        <v>2452</v>
      </c>
      <c r="H1210" t="b">
        <v>1</v>
      </c>
      <c r="I1210" s="8">
        <v>45931.607129629629</v>
      </c>
      <c r="J1210" t="s">
        <v>2380</v>
      </c>
      <c r="L1210">
        <v>603583</v>
      </c>
      <c r="M1210" t="s">
        <v>2381</v>
      </c>
      <c r="P1210" t="s">
        <v>2394</v>
      </c>
      <c r="Q1210" t="s">
        <v>2383</v>
      </c>
      <c r="R1210">
        <v>1</v>
      </c>
      <c r="S1210" t="s">
        <v>2380</v>
      </c>
      <c r="T1210" t="s">
        <v>2383</v>
      </c>
      <c r="U1210" s="8">
        <v>45929.69122685185</v>
      </c>
      <c r="V1210" s="8">
        <v>45932.958333333336</v>
      </c>
      <c r="W1210">
        <v>1</v>
      </c>
      <c r="X1210">
        <v>1.915902778</v>
      </c>
      <c r="Y1210" t="s">
        <v>3262</v>
      </c>
      <c r="Z1210" t="s">
        <v>9978</v>
      </c>
      <c r="AA1210" t="s">
        <v>7968</v>
      </c>
      <c r="AB1210" t="s">
        <v>1278</v>
      </c>
      <c r="AC1210" t="s">
        <v>9979</v>
      </c>
      <c r="AE1210">
        <v>1</v>
      </c>
      <c r="AO1210" t="s">
        <v>2957</v>
      </c>
      <c r="AP1210" t="s">
        <v>2401</v>
      </c>
    </row>
    <row r="1211" spans="1:42">
      <c r="A1211" t="s">
        <v>5472</v>
      </c>
      <c r="B1211" t="s">
        <v>2389</v>
      </c>
      <c r="C1211" t="s">
        <v>2390</v>
      </c>
      <c r="D1211" t="s">
        <v>2379</v>
      </c>
      <c r="E1211" t="s">
        <v>28</v>
      </c>
      <c r="F1211" t="s">
        <v>2477</v>
      </c>
      <c r="G1211" t="s">
        <v>28</v>
      </c>
      <c r="H1211" t="b">
        <v>1</v>
      </c>
      <c r="I1211" s="8">
        <v>45932.440972222219</v>
      </c>
      <c r="J1211" t="s">
        <v>2380</v>
      </c>
      <c r="K1211">
        <v>1199849</v>
      </c>
      <c r="L1211">
        <v>603944</v>
      </c>
      <c r="M1211" t="s">
        <v>2381</v>
      </c>
      <c r="N1211">
        <v>15</v>
      </c>
      <c r="P1211" t="s">
        <v>2394</v>
      </c>
      <c r="Q1211" t="s">
        <v>2383</v>
      </c>
      <c r="R1211">
        <v>1</v>
      </c>
      <c r="S1211" t="s">
        <v>2380</v>
      </c>
      <c r="T1211" t="s">
        <v>2383</v>
      </c>
      <c r="U1211" s="8">
        <v>45929.715775462966</v>
      </c>
      <c r="V1211" s="8">
        <v>45932.958333333336</v>
      </c>
      <c r="W1211">
        <v>1</v>
      </c>
      <c r="X1211">
        <v>2.7251967590000001</v>
      </c>
      <c r="Y1211" t="s">
        <v>2403</v>
      </c>
      <c r="Z1211" t="s">
        <v>5473</v>
      </c>
      <c r="AA1211" t="s">
        <v>1745</v>
      </c>
      <c r="AB1211" t="s">
        <v>1278</v>
      </c>
      <c r="AC1211" t="s">
        <v>5474</v>
      </c>
      <c r="AD1211" t="s">
        <v>2708</v>
      </c>
      <c r="AE1211">
        <v>1</v>
      </c>
      <c r="AO1211" t="s">
        <v>2408</v>
      </c>
      <c r="AP1211" t="s">
        <v>2401</v>
      </c>
    </row>
    <row r="1212" spans="1:42">
      <c r="A1212" t="s">
        <v>6206</v>
      </c>
      <c r="B1212" t="s">
        <v>2389</v>
      </c>
      <c r="C1212" t="s">
        <v>2415</v>
      </c>
      <c r="D1212" t="s">
        <v>2379</v>
      </c>
      <c r="E1212" t="s">
        <v>25</v>
      </c>
      <c r="F1212" t="s">
        <v>2541</v>
      </c>
      <c r="G1212" t="s">
        <v>25</v>
      </c>
      <c r="H1212" t="b">
        <v>1</v>
      </c>
      <c r="I1212" s="8">
        <v>45931.686076388891</v>
      </c>
      <c r="J1212" t="s">
        <v>2380</v>
      </c>
      <c r="K1212">
        <v>1199773</v>
      </c>
      <c r="L1212">
        <v>602299</v>
      </c>
      <c r="M1212" t="s">
        <v>2381</v>
      </c>
      <c r="N1212">
        <v>5</v>
      </c>
      <c r="P1212" t="s">
        <v>2548</v>
      </c>
      <c r="Q1212" t="s">
        <v>2383</v>
      </c>
      <c r="R1212">
        <v>1</v>
      </c>
      <c r="S1212" t="s">
        <v>2380</v>
      </c>
      <c r="T1212" t="s">
        <v>2383</v>
      </c>
      <c r="U1212" s="8">
        <v>45929.720729166664</v>
      </c>
      <c r="V1212" s="8">
        <v>45932.958333333336</v>
      </c>
      <c r="W1212">
        <v>1</v>
      </c>
      <c r="X1212">
        <v>1.9653472219999999</v>
      </c>
      <c r="Y1212" t="s">
        <v>2542</v>
      </c>
      <c r="Z1212" t="s">
        <v>6207</v>
      </c>
      <c r="AA1212" t="s">
        <v>2927</v>
      </c>
      <c r="AB1212" t="s">
        <v>1278</v>
      </c>
      <c r="AC1212" t="s">
        <v>6208</v>
      </c>
      <c r="AD1212" t="s">
        <v>2708</v>
      </c>
      <c r="AE1212">
        <v>1</v>
      </c>
      <c r="AO1212" t="s">
        <v>2547</v>
      </c>
      <c r="AP1212" t="s">
        <v>2401</v>
      </c>
    </row>
    <row r="1213" spans="1:42">
      <c r="A1213" t="s">
        <v>6209</v>
      </c>
      <c r="B1213" t="s">
        <v>2389</v>
      </c>
      <c r="C1213" t="s">
        <v>2415</v>
      </c>
      <c r="D1213" t="s">
        <v>2379</v>
      </c>
      <c r="E1213" t="s">
        <v>25</v>
      </c>
      <c r="F1213" t="s">
        <v>2541</v>
      </c>
      <c r="G1213" t="s">
        <v>25</v>
      </c>
      <c r="H1213" t="b">
        <v>1</v>
      </c>
      <c r="I1213" s="8">
        <v>45931.677372685182</v>
      </c>
      <c r="J1213" t="s">
        <v>2380</v>
      </c>
      <c r="K1213">
        <v>1199768</v>
      </c>
      <c r="L1213">
        <v>602299</v>
      </c>
      <c r="M1213" t="s">
        <v>2381</v>
      </c>
      <c r="N1213">
        <v>5</v>
      </c>
      <c r="P1213" t="s">
        <v>2548</v>
      </c>
      <c r="Q1213" t="s">
        <v>2383</v>
      </c>
      <c r="R1213">
        <v>1</v>
      </c>
      <c r="S1213" t="s">
        <v>2380</v>
      </c>
      <c r="T1213" t="s">
        <v>2383</v>
      </c>
      <c r="U1213" s="8">
        <v>45929.72420138889</v>
      </c>
      <c r="V1213" s="8">
        <v>45932.958333333336</v>
      </c>
      <c r="W1213">
        <v>1</v>
      </c>
      <c r="X1213">
        <v>1.9531712960000001</v>
      </c>
      <c r="Y1213" t="s">
        <v>2542</v>
      </c>
      <c r="Z1213" t="s">
        <v>6210</v>
      </c>
      <c r="AA1213" t="s">
        <v>2927</v>
      </c>
      <c r="AB1213" t="s">
        <v>1278</v>
      </c>
      <c r="AC1213" t="s">
        <v>6211</v>
      </c>
      <c r="AD1213" t="s">
        <v>2708</v>
      </c>
      <c r="AE1213">
        <v>1</v>
      </c>
      <c r="AO1213" t="s">
        <v>2547</v>
      </c>
      <c r="AP1213" t="s">
        <v>2401</v>
      </c>
    </row>
    <row r="1214" spans="1:42">
      <c r="A1214" t="s">
        <v>6212</v>
      </c>
      <c r="B1214" t="s">
        <v>2389</v>
      </c>
      <c r="C1214" t="s">
        <v>2415</v>
      </c>
      <c r="D1214" t="s">
        <v>2379</v>
      </c>
      <c r="E1214" t="s">
        <v>25</v>
      </c>
      <c r="F1214" t="s">
        <v>2541</v>
      </c>
      <c r="G1214" t="s">
        <v>25</v>
      </c>
      <c r="H1214" t="b">
        <v>1</v>
      </c>
      <c r="I1214" s="8">
        <v>45931.679629629631</v>
      </c>
      <c r="J1214" t="s">
        <v>2380</v>
      </c>
      <c r="K1214">
        <v>1199770</v>
      </c>
      <c r="L1214">
        <v>602299</v>
      </c>
      <c r="M1214" t="s">
        <v>2381</v>
      </c>
      <c r="N1214">
        <v>5</v>
      </c>
      <c r="P1214" t="s">
        <v>2548</v>
      </c>
      <c r="Q1214" t="s">
        <v>2383</v>
      </c>
      <c r="R1214">
        <v>1</v>
      </c>
      <c r="S1214" t="s">
        <v>2380</v>
      </c>
      <c r="T1214" t="s">
        <v>2383</v>
      </c>
      <c r="U1214" s="8">
        <v>45929.727708333332</v>
      </c>
      <c r="V1214" s="8">
        <v>45932.958333333336</v>
      </c>
      <c r="W1214">
        <v>1</v>
      </c>
      <c r="X1214">
        <v>1.9519212960000001</v>
      </c>
      <c r="Y1214" t="s">
        <v>2542</v>
      </c>
      <c r="Z1214" t="s">
        <v>6213</v>
      </c>
      <c r="AA1214" t="s">
        <v>2927</v>
      </c>
      <c r="AB1214" t="s">
        <v>1278</v>
      </c>
      <c r="AC1214" t="s">
        <v>6214</v>
      </c>
      <c r="AD1214" t="s">
        <v>2708</v>
      </c>
      <c r="AE1214">
        <v>1</v>
      </c>
      <c r="AO1214" t="s">
        <v>2547</v>
      </c>
      <c r="AP1214" t="s">
        <v>2401</v>
      </c>
    </row>
    <row r="1215" spans="1:42">
      <c r="A1215" t="s">
        <v>6215</v>
      </c>
      <c r="B1215" t="s">
        <v>2389</v>
      </c>
      <c r="C1215" t="s">
        <v>2415</v>
      </c>
      <c r="D1215" t="s">
        <v>2379</v>
      </c>
      <c r="E1215" t="s">
        <v>25</v>
      </c>
      <c r="F1215" t="s">
        <v>2541</v>
      </c>
      <c r="G1215" t="s">
        <v>25</v>
      </c>
      <c r="H1215" t="b">
        <v>1</v>
      </c>
      <c r="I1215" s="8">
        <v>45931.683518518519</v>
      </c>
      <c r="J1215" t="s">
        <v>2380</v>
      </c>
      <c r="K1215">
        <v>1199772</v>
      </c>
      <c r="L1215">
        <v>602299</v>
      </c>
      <c r="M1215" t="s">
        <v>2381</v>
      </c>
      <c r="N1215">
        <v>5</v>
      </c>
      <c r="P1215" t="s">
        <v>2548</v>
      </c>
      <c r="Q1215" t="s">
        <v>2383</v>
      </c>
      <c r="R1215">
        <v>1</v>
      </c>
      <c r="S1215" t="s">
        <v>2380</v>
      </c>
      <c r="T1215" t="s">
        <v>2383</v>
      </c>
      <c r="U1215" s="8">
        <v>45929.731886574074</v>
      </c>
      <c r="V1215" s="8">
        <v>45932.958333333336</v>
      </c>
      <c r="W1215">
        <v>1</v>
      </c>
      <c r="X1215">
        <v>1.9516319440000001</v>
      </c>
      <c r="Y1215" t="s">
        <v>2542</v>
      </c>
      <c r="Z1215" t="s">
        <v>6216</v>
      </c>
      <c r="AA1215" t="s">
        <v>2927</v>
      </c>
      <c r="AB1215" t="s">
        <v>1278</v>
      </c>
      <c r="AC1215" t="s">
        <v>6217</v>
      </c>
      <c r="AD1215" t="s">
        <v>2708</v>
      </c>
      <c r="AE1215">
        <v>1</v>
      </c>
      <c r="AO1215" t="s">
        <v>2547</v>
      </c>
      <c r="AP1215" t="s">
        <v>2401</v>
      </c>
    </row>
    <row r="1216" spans="1:42">
      <c r="A1216" t="s">
        <v>6218</v>
      </c>
      <c r="B1216" t="s">
        <v>2389</v>
      </c>
      <c r="C1216" t="s">
        <v>2415</v>
      </c>
      <c r="D1216" t="s">
        <v>2379</v>
      </c>
      <c r="E1216" t="s">
        <v>25</v>
      </c>
      <c r="F1216" t="s">
        <v>2541</v>
      </c>
      <c r="G1216" t="s">
        <v>25</v>
      </c>
      <c r="H1216" t="b">
        <v>1</v>
      </c>
      <c r="I1216" s="8">
        <v>45931.681550925925</v>
      </c>
      <c r="J1216" t="s">
        <v>2380</v>
      </c>
      <c r="K1216">
        <v>1199771</v>
      </c>
      <c r="L1216">
        <v>602299</v>
      </c>
      <c r="M1216" t="s">
        <v>2381</v>
      </c>
      <c r="N1216">
        <v>5</v>
      </c>
      <c r="P1216" t="s">
        <v>2548</v>
      </c>
      <c r="Q1216" t="s">
        <v>2383</v>
      </c>
      <c r="R1216">
        <v>1</v>
      </c>
      <c r="S1216" t="s">
        <v>2380</v>
      </c>
      <c r="T1216" t="s">
        <v>2383</v>
      </c>
      <c r="U1216" s="8">
        <v>45929.73678240741</v>
      </c>
      <c r="V1216" s="8">
        <v>45932.958333333336</v>
      </c>
      <c r="W1216">
        <v>1</v>
      </c>
      <c r="X1216">
        <v>1.9447685189999999</v>
      </c>
      <c r="Y1216" t="s">
        <v>2542</v>
      </c>
      <c r="Z1216" t="s">
        <v>6219</v>
      </c>
      <c r="AA1216" t="s">
        <v>2927</v>
      </c>
      <c r="AB1216" t="s">
        <v>1278</v>
      </c>
      <c r="AC1216" t="s">
        <v>6220</v>
      </c>
      <c r="AD1216" t="s">
        <v>2708</v>
      </c>
      <c r="AE1216">
        <v>1</v>
      </c>
      <c r="AO1216" t="s">
        <v>2547</v>
      </c>
      <c r="AP1216" t="s">
        <v>2401</v>
      </c>
    </row>
    <row r="1217" spans="1:42">
      <c r="A1217" t="s">
        <v>9010</v>
      </c>
      <c r="B1217" t="s">
        <v>2389</v>
      </c>
      <c r="C1217" t="s">
        <v>2390</v>
      </c>
      <c r="D1217" t="s">
        <v>2379</v>
      </c>
      <c r="E1217" t="s">
        <v>2452</v>
      </c>
      <c r="F1217" t="s">
        <v>2541</v>
      </c>
      <c r="G1217" t="s">
        <v>2452</v>
      </c>
      <c r="H1217" t="b">
        <v>1</v>
      </c>
      <c r="I1217" s="8">
        <v>45932.607430555552</v>
      </c>
      <c r="J1217" t="s">
        <v>2380</v>
      </c>
      <c r="K1217">
        <v>1199878</v>
      </c>
      <c r="L1217">
        <v>602299</v>
      </c>
      <c r="M1217" t="s">
        <v>2381</v>
      </c>
      <c r="P1217" t="s">
        <v>2548</v>
      </c>
      <c r="Q1217" t="s">
        <v>2383</v>
      </c>
      <c r="R1217">
        <v>1</v>
      </c>
      <c r="S1217" t="s">
        <v>2380</v>
      </c>
      <c r="T1217" t="s">
        <v>2383</v>
      </c>
      <c r="U1217" s="8">
        <v>45929.739664351851</v>
      </c>
      <c r="V1217" s="8">
        <v>45932.958333333336</v>
      </c>
      <c r="W1217">
        <v>1</v>
      </c>
      <c r="X1217">
        <v>2.867766204</v>
      </c>
      <c r="Y1217" t="s">
        <v>2542</v>
      </c>
      <c r="Z1217" t="s">
        <v>9011</v>
      </c>
      <c r="AA1217" t="s">
        <v>2927</v>
      </c>
      <c r="AB1217" t="s">
        <v>1278</v>
      </c>
      <c r="AC1217" t="s">
        <v>9012</v>
      </c>
      <c r="AD1217" t="s">
        <v>2708</v>
      </c>
      <c r="AE1217">
        <v>1</v>
      </c>
      <c r="AH1217" t="s">
        <v>33</v>
      </c>
      <c r="AI1217" s="8">
        <v>45932.593229166669</v>
      </c>
      <c r="AK1217" t="s">
        <v>2719</v>
      </c>
      <c r="AL1217" t="s">
        <v>2719</v>
      </c>
      <c r="AO1217" t="s">
        <v>2547</v>
      </c>
      <c r="AP1217" t="s">
        <v>2401</v>
      </c>
    </row>
    <row r="1218" spans="1:42">
      <c r="A1218" t="s">
        <v>3333</v>
      </c>
      <c r="B1218" t="s">
        <v>2389</v>
      </c>
      <c r="C1218" t="s">
        <v>2415</v>
      </c>
      <c r="D1218" t="s">
        <v>2379</v>
      </c>
      <c r="E1218" t="s">
        <v>2452</v>
      </c>
      <c r="F1218" t="s">
        <v>3213</v>
      </c>
      <c r="G1218" t="s">
        <v>2452</v>
      </c>
      <c r="H1218" t="b">
        <v>1</v>
      </c>
      <c r="I1218" s="8">
        <v>45931.652291666665</v>
      </c>
      <c r="J1218" t="s">
        <v>2380</v>
      </c>
      <c r="L1218">
        <v>603358</v>
      </c>
      <c r="M1218" t="s">
        <v>2381</v>
      </c>
      <c r="P1218" t="s">
        <v>2394</v>
      </c>
      <c r="Q1218" t="s">
        <v>2383</v>
      </c>
      <c r="R1218">
        <v>1</v>
      </c>
      <c r="S1218" t="s">
        <v>2380</v>
      </c>
      <c r="T1218" t="s">
        <v>2383</v>
      </c>
      <c r="U1218" s="8">
        <v>45929.748726851853</v>
      </c>
      <c r="V1218" s="8">
        <v>45932.958333333336</v>
      </c>
      <c r="W1218">
        <v>1</v>
      </c>
      <c r="X1218">
        <v>1.903564815</v>
      </c>
      <c r="Y1218" t="s">
        <v>3214</v>
      </c>
      <c r="Z1218" t="s">
        <v>3334</v>
      </c>
      <c r="AA1218" t="s">
        <v>2302</v>
      </c>
      <c r="AB1218" t="s">
        <v>1278</v>
      </c>
      <c r="AC1218" t="s">
        <v>3335</v>
      </c>
      <c r="AE1218">
        <v>1</v>
      </c>
      <c r="AO1218" t="s">
        <v>2388</v>
      </c>
      <c r="AP1218" t="s">
        <v>2401</v>
      </c>
    </row>
    <row r="1219" spans="1:42">
      <c r="A1219" t="s">
        <v>8260</v>
      </c>
      <c r="B1219" t="s">
        <v>2389</v>
      </c>
      <c r="C1219" t="s">
        <v>2390</v>
      </c>
      <c r="D1219" t="s">
        <v>2379</v>
      </c>
      <c r="E1219" t="s">
        <v>25</v>
      </c>
      <c r="F1219" t="s">
        <v>2588</v>
      </c>
      <c r="G1219" t="s">
        <v>25</v>
      </c>
      <c r="H1219" t="b">
        <v>1</v>
      </c>
      <c r="I1219" s="8">
        <v>45932.480613425927</v>
      </c>
      <c r="J1219" t="s">
        <v>2380</v>
      </c>
      <c r="K1219">
        <v>1199862</v>
      </c>
      <c r="L1219">
        <v>604007</v>
      </c>
      <c r="M1219" t="s">
        <v>2381</v>
      </c>
      <c r="N1219">
        <v>5</v>
      </c>
      <c r="P1219" t="s">
        <v>2394</v>
      </c>
      <c r="Q1219" t="s">
        <v>2395</v>
      </c>
      <c r="R1219">
        <v>1</v>
      </c>
      <c r="S1219" t="s">
        <v>2380</v>
      </c>
      <c r="T1219" t="s">
        <v>2383</v>
      </c>
      <c r="U1219" s="8">
        <v>45929.803240740737</v>
      </c>
      <c r="V1219" s="8">
        <v>45932.958333333336</v>
      </c>
      <c r="W1219">
        <v>1</v>
      </c>
      <c r="X1219">
        <v>2.6773726849999999</v>
      </c>
      <c r="Y1219" t="s">
        <v>2579</v>
      </c>
      <c r="Z1219" t="s">
        <v>8261</v>
      </c>
      <c r="AA1219" t="s">
        <v>8262</v>
      </c>
      <c r="AB1219" t="s">
        <v>1278</v>
      </c>
      <c r="AC1219" t="s">
        <v>8263</v>
      </c>
      <c r="AD1219" t="s">
        <v>2708</v>
      </c>
      <c r="AE1219">
        <v>1</v>
      </c>
      <c r="AO1219" t="s">
        <v>4137</v>
      </c>
      <c r="AP1219" t="s">
        <v>2401</v>
      </c>
    </row>
    <row r="1220" spans="1:42">
      <c r="A1220" t="s">
        <v>6895</v>
      </c>
      <c r="B1220" t="s">
        <v>2389</v>
      </c>
      <c r="C1220" t="s">
        <v>2390</v>
      </c>
      <c r="D1220" t="s">
        <v>2379</v>
      </c>
      <c r="E1220" t="s">
        <v>2452</v>
      </c>
      <c r="F1220" t="s">
        <v>2578</v>
      </c>
      <c r="G1220" t="s">
        <v>2452</v>
      </c>
      <c r="H1220" t="b">
        <v>1</v>
      </c>
      <c r="I1220" s="8">
        <v>45932.356782407405</v>
      </c>
      <c r="J1220" t="s">
        <v>2380</v>
      </c>
      <c r="K1220">
        <v>1199789</v>
      </c>
      <c r="L1220">
        <v>606871</v>
      </c>
      <c r="M1220" t="s">
        <v>2381</v>
      </c>
      <c r="P1220" t="s">
        <v>2394</v>
      </c>
      <c r="Q1220" t="s">
        <v>2383</v>
      </c>
      <c r="R1220">
        <v>1</v>
      </c>
      <c r="S1220" t="s">
        <v>2380</v>
      </c>
      <c r="T1220" t="s">
        <v>2383</v>
      </c>
      <c r="U1220" s="8">
        <v>45929.850706018522</v>
      </c>
      <c r="V1220" s="8">
        <v>45937.958333333336</v>
      </c>
      <c r="W1220">
        <v>1</v>
      </c>
      <c r="X1220">
        <v>2.506076389</v>
      </c>
      <c r="Y1220" t="s">
        <v>2579</v>
      </c>
      <c r="Z1220" t="s">
        <v>6896</v>
      </c>
      <c r="AA1220" t="s">
        <v>3283</v>
      </c>
      <c r="AB1220" t="s">
        <v>1278</v>
      </c>
      <c r="AC1220" t="s">
        <v>6897</v>
      </c>
      <c r="AD1220" t="s">
        <v>2708</v>
      </c>
      <c r="AE1220">
        <v>1</v>
      </c>
      <c r="AO1220" t="s">
        <v>2388</v>
      </c>
      <c r="AP1220" t="s">
        <v>2401</v>
      </c>
    </row>
    <row r="1221" spans="1:42">
      <c r="A1221" t="s">
        <v>549</v>
      </c>
      <c r="B1221" t="s">
        <v>2377</v>
      </c>
      <c r="C1221" t="s">
        <v>2378</v>
      </c>
      <c r="D1221" t="s">
        <v>2379</v>
      </c>
      <c r="E1221" t="s">
        <v>12</v>
      </c>
      <c r="F1221" t="s">
        <v>7491</v>
      </c>
      <c r="G1221" t="s">
        <v>12</v>
      </c>
      <c r="H1221" t="b">
        <v>1</v>
      </c>
      <c r="I1221" s="8">
        <v>45933.653240740743</v>
      </c>
      <c r="J1221" t="s">
        <v>2380</v>
      </c>
      <c r="L1221">
        <v>603936</v>
      </c>
      <c r="M1221" t="s">
        <v>2381</v>
      </c>
      <c r="Q1221" t="s">
        <v>2383</v>
      </c>
      <c r="R1221">
        <v>1</v>
      </c>
      <c r="S1221" t="s">
        <v>2380</v>
      </c>
      <c r="T1221" t="s">
        <v>2383</v>
      </c>
      <c r="U1221" s="8">
        <v>45930.36513888889</v>
      </c>
      <c r="V1221" s="8">
        <v>45933.958333333336</v>
      </c>
      <c r="W1221">
        <v>1</v>
      </c>
      <c r="X1221">
        <v>3.288101852</v>
      </c>
      <c r="Y1221" t="s">
        <v>7492</v>
      </c>
      <c r="Z1221" t="s">
        <v>7493</v>
      </c>
      <c r="AA1221" t="s">
        <v>7494</v>
      </c>
      <c r="AB1221" t="s">
        <v>1278</v>
      </c>
      <c r="AC1221" t="s">
        <v>7495</v>
      </c>
      <c r="AD1221" t="s">
        <v>2708</v>
      </c>
      <c r="AE1221">
        <v>1</v>
      </c>
      <c r="AO1221" t="s">
        <v>2957</v>
      </c>
      <c r="AP1221" t="s">
        <v>2401</v>
      </c>
    </row>
    <row r="1222" spans="1:42">
      <c r="A1222" t="s">
        <v>5638</v>
      </c>
      <c r="B1222" t="s">
        <v>2389</v>
      </c>
      <c r="C1222" t="s">
        <v>2390</v>
      </c>
      <c r="D1222" t="s">
        <v>2379</v>
      </c>
      <c r="E1222" t="s">
        <v>33</v>
      </c>
      <c r="F1222" t="s">
        <v>2541</v>
      </c>
      <c r="G1222" t="s">
        <v>33</v>
      </c>
      <c r="H1222" t="b">
        <v>1</v>
      </c>
      <c r="I1222" s="8">
        <v>45932.570821759262</v>
      </c>
      <c r="J1222" t="s">
        <v>2380</v>
      </c>
      <c r="K1222">
        <v>1199925</v>
      </c>
      <c r="L1222">
        <v>605288</v>
      </c>
      <c r="M1222" t="s">
        <v>2381</v>
      </c>
      <c r="Q1222" t="s">
        <v>2383</v>
      </c>
      <c r="R1222">
        <v>1</v>
      </c>
      <c r="S1222" t="s">
        <v>2380</v>
      </c>
      <c r="T1222" t="s">
        <v>2383</v>
      </c>
      <c r="U1222" s="8">
        <v>45930.402696759258</v>
      </c>
      <c r="V1222" s="8">
        <v>45933.958333333336</v>
      </c>
      <c r="W1222">
        <v>1</v>
      </c>
      <c r="X1222">
        <v>2.1681249999999999</v>
      </c>
      <c r="Y1222" t="s">
        <v>2542</v>
      </c>
      <c r="Z1222" t="s">
        <v>5639</v>
      </c>
      <c r="AA1222" t="s">
        <v>3111</v>
      </c>
      <c r="AB1222" t="s">
        <v>1278</v>
      </c>
      <c r="AC1222" t="s">
        <v>5640</v>
      </c>
      <c r="AD1222" t="s">
        <v>2708</v>
      </c>
      <c r="AE1222">
        <v>1</v>
      </c>
      <c r="AO1222" t="s">
        <v>2547</v>
      </c>
      <c r="AP1222" t="s">
        <v>2401</v>
      </c>
    </row>
    <row r="1223" spans="1:42">
      <c r="A1223" t="s">
        <v>7874</v>
      </c>
      <c r="B1223" t="s">
        <v>2389</v>
      </c>
      <c r="C1223" t="s">
        <v>2390</v>
      </c>
      <c r="D1223" t="s">
        <v>2379</v>
      </c>
      <c r="E1223" t="s">
        <v>2416</v>
      </c>
      <c r="F1223" t="s">
        <v>3261</v>
      </c>
      <c r="G1223" t="s">
        <v>2416</v>
      </c>
      <c r="H1223" t="b">
        <v>1</v>
      </c>
      <c r="I1223" s="8">
        <v>45932.694097222222</v>
      </c>
      <c r="J1223" t="s">
        <v>2380</v>
      </c>
      <c r="K1223">
        <v>1199994</v>
      </c>
      <c r="L1223">
        <v>602143</v>
      </c>
      <c r="M1223" t="s">
        <v>2381</v>
      </c>
      <c r="P1223" t="s">
        <v>2427</v>
      </c>
      <c r="Q1223" t="s">
        <v>2383</v>
      </c>
      <c r="R1223">
        <v>1</v>
      </c>
      <c r="S1223" t="s">
        <v>2380</v>
      </c>
      <c r="T1223" t="s">
        <v>2383</v>
      </c>
      <c r="U1223" s="8">
        <v>45930.419745370367</v>
      </c>
      <c r="V1223" s="8">
        <v>45933.958333333336</v>
      </c>
      <c r="W1223">
        <v>1</v>
      </c>
      <c r="X1223">
        <v>2.2743518520000001</v>
      </c>
      <c r="Y1223" t="s">
        <v>3262</v>
      </c>
      <c r="Z1223" t="s">
        <v>7875</v>
      </c>
      <c r="AA1223" t="s">
        <v>1055</v>
      </c>
      <c r="AB1223" t="s">
        <v>1278</v>
      </c>
      <c r="AC1223" t="s">
        <v>7876</v>
      </c>
      <c r="AD1223" t="s">
        <v>2708</v>
      </c>
      <c r="AE1223">
        <v>1</v>
      </c>
      <c r="AO1223" t="s">
        <v>2957</v>
      </c>
      <c r="AP1223" t="s">
        <v>2401</v>
      </c>
    </row>
    <row r="1224" spans="1:42">
      <c r="A1224" t="s">
        <v>3437</v>
      </c>
      <c r="B1224" t="s">
        <v>2389</v>
      </c>
      <c r="C1224" t="s">
        <v>2390</v>
      </c>
      <c r="D1224" t="s">
        <v>2379</v>
      </c>
      <c r="E1224" t="s">
        <v>2416</v>
      </c>
      <c r="F1224" t="s">
        <v>2578</v>
      </c>
      <c r="G1224" t="s">
        <v>2416</v>
      </c>
      <c r="H1224" t="b">
        <v>1</v>
      </c>
      <c r="I1224" s="8">
        <v>45932.706712962965</v>
      </c>
      <c r="J1224" t="s">
        <v>2380</v>
      </c>
      <c r="L1224">
        <v>603471</v>
      </c>
      <c r="M1224" t="s">
        <v>2381</v>
      </c>
      <c r="P1224" t="s">
        <v>2394</v>
      </c>
      <c r="Q1224" t="s">
        <v>2383</v>
      </c>
      <c r="R1224">
        <v>1</v>
      </c>
      <c r="S1224" t="s">
        <v>2380</v>
      </c>
      <c r="T1224" t="s">
        <v>2383</v>
      </c>
      <c r="U1224" s="8">
        <v>45930.424490740741</v>
      </c>
      <c r="V1224" s="8">
        <v>45933.958333333336</v>
      </c>
      <c r="W1224">
        <v>1</v>
      </c>
      <c r="X1224">
        <v>2.2822222220000001</v>
      </c>
      <c r="Y1224" t="s">
        <v>2579</v>
      </c>
      <c r="Z1224" t="s">
        <v>3438</v>
      </c>
      <c r="AA1224" t="s">
        <v>1527</v>
      </c>
      <c r="AB1224" t="s">
        <v>1278</v>
      </c>
      <c r="AC1224" t="s">
        <v>3439</v>
      </c>
      <c r="AE1224">
        <v>1</v>
      </c>
      <c r="AO1224" t="s">
        <v>2388</v>
      </c>
      <c r="AP1224" t="s">
        <v>2401</v>
      </c>
    </row>
    <row r="1225" spans="1:42">
      <c r="A1225" t="s">
        <v>1228</v>
      </c>
      <c r="B1225" t="s">
        <v>2377</v>
      </c>
      <c r="C1225" t="s">
        <v>2438</v>
      </c>
      <c r="D1225" t="s">
        <v>2379</v>
      </c>
      <c r="E1225" t="s">
        <v>25</v>
      </c>
      <c r="G1225" t="s">
        <v>25</v>
      </c>
      <c r="H1225" t="b">
        <v>1</v>
      </c>
      <c r="I1225" s="8">
        <v>45931.374432870369</v>
      </c>
      <c r="J1225" t="s">
        <v>2380</v>
      </c>
      <c r="L1225">
        <v>606879</v>
      </c>
      <c r="M1225" t="s">
        <v>2381</v>
      </c>
      <c r="N1225">
        <v>10</v>
      </c>
      <c r="P1225" t="s">
        <v>2704</v>
      </c>
      <c r="Q1225" t="s">
        <v>2383</v>
      </c>
      <c r="R1225">
        <v>1</v>
      </c>
      <c r="S1225" t="s">
        <v>2380</v>
      </c>
      <c r="T1225" t="s">
        <v>2383</v>
      </c>
      <c r="U1225" s="8">
        <v>45930.40415509259</v>
      </c>
      <c r="V1225" s="8">
        <v>45933.958333333336</v>
      </c>
      <c r="W1225">
        <v>1</v>
      </c>
      <c r="X1225">
        <v>0.97027777800000004</v>
      </c>
      <c r="Z1225" t="s">
        <v>2709</v>
      </c>
      <c r="AA1225" t="s">
        <v>2710</v>
      </c>
      <c r="AB1225" t="s">
        <v>1278</v>
      </c>
      <c r="AC1225" t="s">
        <v>2711</v>
      </c>
      <c r="AD1225" t="s">
        <v>2708</v>
      </c>
      <c r="AE1225">
        <v>1</v>
      </c>
      <c r="AO1225" t="s">
        <v>2712</v>
      </c>
    </row>
    <row r="1226" spans="1:42">
      <c r="A1226" t="s">
        <v>9436</v>
      </c>
      <c r="B1226" t="s">
        <v>2389</v>
      </c>
      <c r="C1226" t="s">
        <v>2390</v>
      </c>
      <c r="D1226" t="s">
        <v>2379</v>
      </c>
      <c r="E1226" t="s">
        <v>2601</v>
      </c>
      <c r="F1226" t="s">
        <v>2779</v>
      </c>
      <c r="G1226" t="s">
        <v>2601</v>
      </c>
      <c r="H1226" t="b">
        <v>1</v>
      </c>
      <c r="I1226" s="8">
        <v>45932.616516203707</v>
      </c>
      <c r="J1226" t="s">
        <v>2380</v>
      </c>
      <c r="K1226">
        <v>1199957</v>
      </c>
      <c r="L1226">
        <v>605620</v>
      </c>
      <c r="M1226" t="s">
        <v>2381</v>
      </c>
      <c r="P1226" t="s">
        <v>2394</v>
      </c>
      <c r="Q1226" t="s">
        <v>2383</v>
      </c>
      <c r="R1226">
        <v>1</v>
      </c>
      <c r="S1226" t="s">
        <v>2380</v>
      </c>
      <c r="T1226" t="s">
        <v>2383</v>
      </c>
      <c r="U1226" s="8">
        <v>45930.432974537034</v>
      </c>
      <c r="V1226" s="8">
        <v>45933.958333333336</v>
      </c>
      <c r="W1226">
        <v>1</v>
      </c>
      <c r="X1226">
        <v>2.1835416670000001</v>
      </c>
      <c r="Y1226" t="s">
        <v>1352</v>
      </c>
      <c r="Z1226" t="s">
        <v>9437</v>
      </c>
      <c r="AA1226" t="s">
        <v>9438</v>
      </c>
      <c r="AB1226" t="s">
        <v>1278</v>
      </c>
      <c r="AC1226" t="s">
        <v>9439</v>
      </c>
      <c r="AD1226" t="s">
        <v>2708</v>
      </c>
      <c r="AE1226">
        <v>1</v>
      </c>
      <c r="AO1226" t="s">
        <v>2408</v>
      </c>
      <c r="AP1226" t="s">
        <v>8931</v>
      </c>
    </row>
    <row r="1227" spans="1:42">
      <c r="A1227" t="s">
        <v>3842</v>
      </c>
      <c r="B1227" t="s">
        <v>2389</v>
      </c>
      <c r="C1227" t="s">
        <v>2390</v>
      </c>
      <c r="D1227" t="s">
        <v>2379</v>
      </c>
      <c r="E1227" t="s">
        <v>2601</v>
      </c>
      <c r="F1227" t="s">
        <v>3747</v>
      </c>
      <c r="G1227" t="s">
        <v>2601</v>
      </c>
      <c r="H1227" t="b">
        <v>1</v>
      </c>
      <c r="I1227" s="8">
        <v>45932.632256944446</v>
      </c>
      <c r="J1227" t="s">
        <v>2380</v>
      </c>
      <c r="L1227">
        <v>609916</v>
      </c>
      <c r="M1227" t="s">
        <v>2381</v>
      </c>
      <c r="P1227" t="s">
        <v>2394</v>
      </c>
      <c r="Q1227" t="s">
        <v>2383</v>
      </c>
      <c r="R1227">
        <v>1</v>
      </c>
      <c r="S1227" t="s">
        <v>2380</v>
      </c>
      <c r="T1227" t="s">
        <v>2383</v>
      </c>
      <c r="U1227" s="8">
        <v>45930.447743055556</v>
      </c>
      <c r="V1227" s="8">
        <v>45933.958333333336</v>
      </c>
      <c r="W1227">
        <v>1</v>
      </c>
      <c r="X1227">
        <v>2.1845138890000002</v>
      </c>
      <c r="Y1227" t="s">
        <v>3748</v>
      </c>
      <c r="Z1227" t="s">
        <v>3843</v>
      </c>
      <c r="AA1227" t="s">
        <v>3844</v>
      </c>
      <c r="AB1227" t="s">
        <v>1278</v>
      </c>
      <c r="AE1227">
        <v>1</v>
      </c>
      <c r="AO1227" t="s">
        <v>2712</v>
      </c>
      <c r="AP1227" t="s">
        <v>2401</v>
      </c>
    </row>
    <row r="1228" spans="1:42">
      <c r="A1228" t="s">
        <v>6689</v>
      </c>
      <c r="B1228" t="s">
        <v>2389</v>
      </c>
      <c r="C1228" t="s">
        <v>2390</v>
      </c>
      <c r="D1228" t="s">
        <v>2379</v>
      </c>
      <c r="E1228" t="s">
        <v>33</v>
      </c>
      <c r="F1228" t="s">
        <v>3514</v>
      </c>
      <c r="G1228" t="s">
        <v>33</v>
      </c>
      <c r="H1228" t="b">
        <v>1</v>
      </c>
      <c r="I1228" s="8">
        <v>45932.589560185188</v>
      </c>
      <c r="J1228" t="s">
        <v>2380</v>
      </c>
      <c r="K1228">
        <v>1199935</v>
      </c>
      <c r="L1228">
        <v>606958</v>
      </c>
      <c r="M1228" t="s">
        <v>2381</v>
      </c>
      <c r="P1228" t="s">
        <v>2394</v>
      </c>
      <c r="Q1228" t="s">
        <v>2383</v>
      </c>
      <c r="R1228">
        <v>1</v>
      </c>
      <c r="S1228" t="s">
        <v>2380</v>
      </c>
      <c r="T1228" t="s">
        <v>2383</v>
      </c>
      <c r="U1228" s="8">
        <v>45930.465960648151</v>
      </c>
      <c r="V1228" s="8">
        <v>45933.958333333336</v>
      </c>
      <c r="W1228">
        <v>1</v>
      </c>
      <c r="X1228">
        <v>2.123599537</v>
      </c>
      <c r="Y1228" t="s">
        <v>3515</v>
      </c>
      <c r="Z1228" t="s">
        <v>6690</v>
      </c>
      <c r="AA1228" t="s">
        <v>4489</v>
      </c>
      <c r="AB1228" t="s">
        <v>1278</v>
      </c>
      <c r="AC1228" t="s">
        <v>6691</v>
      </c>
      <c r="AD1228" t="s">
        <v>2708</v>
      </c>
      <c r="AE1228">
        <v>1</v>
      </c>
      <c r="AO1228" t="s">
        <v>2388</v>
      </c>
      <c r="AP1228" t="s">
        <v>2401</v>
      </c>
    </row>
    <row r="1229" spans="1:42">
      <c r="A1229" t="s">
        <v>4961</v>
      </c>
      <c r="B1229" t="s">
        <v>2389</v>
      </c>
      <c r="C1229" t="s">
        <v>2390</v>
      </c>
      <c r="D1229" t="s">
        <v>2379</v>
      </c>
      <c r="E1229" t="s">
        <v>33</v>
      </c>
      <c r="F1229" t="s">
        <v>4897</v>
      </c>
      <c r="G1229" t="s">
        <v>33</v>
      </c>
      <c r="H1229" t="b">
        <v>1</v>
      </c>
      <c r="I1229" s="8">
        <v>45932.496388888889</v>
      </c>
      <c r="J1229" t="s">
        <v>2380</v>
      </c>
      <c r="K1229">
        <v>1199893</v>
      </c>
      <c r="L1229">
        <v>603536</v>
      </c>
      <c r="M1229" t="s">
        <v>2381</v>
      </c>
      <c r="P1229" t="s">
        <v>2394</v>
      </c>
      <c r="Q1229" t="s">
        <v>2383</v>
      </c>
      <c r="R1229">
        <v>1</v>
      </c>
      <c r="S1229" t="s">
        <v>2380</v>
      </c>
      <c r="T1229" t="s">
        <v>2383</v>
      </c>
      <c r="U1229" s="8">
        <v>45930.469594907408</v>
      </c>
      <c r="V1229" s="8">
        <v>45933.958333333336</v>
      </c>
      <c r="W1229">
        <v>1</v>
      </c>
      <c r="X1229">
        <v>2.026793981</v>
      </c>
      <c r="Y1229" t="s">
        <v>4898</v>
      </c>
      <c r="Z1229" t="s">
        <v>4962</v>
      </c>
      <c r="AA1229" t="s">
        <v>4963</v>
      </c>
      <c r="AB1229" t="s">
        <v>1278</v>
      </c>
      <c r="AC1229" t="s">
        <v>4964</v>
      </c>
      <c r="AD1229" t="s">
        <v>2708</v>
      </c>
      <c r="AE1229">
        <v>1</v>
      </c>
      <c r="AO1229" t="s">
        <v>2715</v>
      </c>
      <c r="AP1229" t="s">
        <v>2401</v>
      </c>
    </row>
    <row r="1230" spans="1:42">
      <c r="A1230" t="s">
        <v>4054</v>
      </c>
      <c r="B1230" t="s">
        <v>2389</v>
      </c>
      <c r="C1230" t="s">
        <v>2390</v>
      </c>
      <c r="D1230" t="s">
        <v>2379</v>
      </c>
      <c r="E1230" t="s">
        <v>2601</v>
      </c>
      <c r="F1230" t="s">
        <v>3747</v>
      </c>
      <c r="G1230" t="s">
        <v>2601</v>
      </c>
      <c r="H1230" t="b">
        <v>1</v>
      </c>
      <c r="I1230" s="8">
        <v>45932.6325462963</v>
      </c>
      <c r="J1230" t="s">
        <v>2380</v>
      </c>
      <c r="K1230">
        <v>1199962</v>
      </c>
      <c r="L1230">
        <v>609916</v>
      </c>
      <c r="M1230" t="s">
        <v>2381</v>
      </c>
      <c r="P1230" t="s">
        <v>2394</v>
      </c>
      <c r="Q1230" t="s">
        <v>2383</v>
      </c>
      <c r="R1230">
        <v>1</v>
      </c>
      <c r="S1230" t="s">
        <v>2380</v>
      </c>
      <c r="T1230" t="s">
        <v>2383</v>
      </c>
      <c r="U1230" s="8">
        <v>45930.471608796295</v>
      </c>
      <c r="V1230" s="8">
        <v>45933.958333333336</v>
      </c>
      <c r="W1230">
        <v>1</v>
      </c>
      <c r="X1230">
        <v>2.1609375000000002</v>
      </c>
      <c r="Y1230" t="s">
        <v>3748</v>
      </c>
      <c r="Z1230" t="s">
        <v>4055</v>
      </c>
      <c r="AA1230" t="s">
        <v>3844</v>
      </c>
      <c r="AB1230" t="s">
        <v>1278</v>
      </c>
      <c r="AC1230" t="s">
        <v>4056</v>
      </c>
      <c r="AD1230" t="s">
        <v>2708</v>
      </c>
      <c r="AE1230">
        <v>1</v>
      </c>
      <c r="AO1230" t="s">
        <v>2712</v>
      </c>
      <c r="AP1230" t="s">
        <v>2401</v>
      </c>
    </row>
    <row r="1231" spans="1:42">
      <c r="A1231" t="s">
        <v>4965</v>
      </c>
      <c r="B1231" t="s">
        <v>2389</v>
      </c>
      <c r="C1231" t="s">
        <v>2390</v>
      </c>
      <c r="D1231" t="s">
        <v>2379</v>
      </c>
      <c r="E1231" t="s">
        <v>33</v>
      </c>
      <c r="F1231" t="s">
        <v>4897</v>
      </c>
      <c r="G1231" t="s">
        <v>33</v>
      </c>
      <c r="H1231" t="b">
        <v>1</v>
      </c>
      <c r="I1231" s="8">
        <v>45932.494537037041</v>
      </c>
      <c r="J1231" t="s">
        <v>2380</v>
      </c>
      <c r="K1231">
        <v>1199890</v>
      </c>
      <c r="L1231">
        <v>603536</v>
      </c>
      <c r="M1231" t="s">
        <v>2381</v>
      </c>
      <c r="P1231" t="s">
        <v>2394</v>
      </c>
      <c r="Q1231" t="s">
        <v>2383</v>
      </c>
      <c r="R1231">
        <v>1</v>
      </c>
      <c r="S1231" t="s">
        <v>2380</v>
      </c>
      <c r="T1231" t="s">
        <v>2383</v>
      </c>
      <c r="U1231" s="8">
        <v>45930.472500000003</v>
      </c>
      <c r="V1231" s="8">
        <v>45933.958333333336</v>
      </c>
      <c r="W1231">
        <v>1</v>
      </c>
      <c r="X1231">
        <v>2.022037037</v>
      </c>
      <c r="Y1231" t="s">
        <v>4898</v>
      </c>
      <c r="Z1231" t="s">
        <v>4966</v>
      </c>
      <c r="AA1231" t="s">
        <v>4963</v>
      </c>
      <c r="AB1231" t="s">
        <v>1278</v>
      </c>
      <c r="AC1231" t="s">
        <v>4967</v>
      </c>
      <c r="AD1231" t="s">
        <v>2708</v>
      </c>
      <c r="AE1231">
        <v>1</v>
      </c>
      <c r="AO1231" t="s">
        <v>2715</v>
      </c>
      <c r="AP1231" t="s">
        <v>2401</v>
      </c>
    </row>
    <row r="1232" spans="1:42">
      <c r="A1232" t="s">
        <v>7590</v>
      </c>
      <c r="B1232" t="s">
        <v>2389</v>
      </c>
      <c r="C1232" t="s">
        <v>2390</v>
      </c>
      <c r="D1232" t="s">
        <v>2379</v>
      </c>
      <c r="E1232" t="s">
        <v>2601</v>
      </c>
      <c r="F1232" t="s">
        <v>3514</v>
      </c>
      <c r="G1232" t="s">
        <v>2601</v>
      </c>
      <c r="H1232" t="b">
        <v>1</v>
      </c>
      <c r="I1232" s="8">
        <v>45932.612824074073</v>
      </c>
      <c r="J1232" t="s">
        <v>2380</v>
      </c>
      <c r="K1232">
        <v>1199952</v>
      </c>
      <c r="L1232">
        <v>603489</v>
      </c>
      <c r="M1232" t="s">
        <v>2381</v>
      </c>
      <c r="P1232" t="s">
        <v>2394</v>
      </c>
      <c r="Q1232" t="s">
        <v>2383</v>
      </c>
      <c r="R1232">
        <v>1</v>
      </c>
      <c r="S1232" t="s">
        <v>2380</v>
      </c>
      <c r="T1232" t="s">
        <v>2383</v>
      </c>
      <c r="U1232" s="8">
        <v>45930.473078703704</v>
      </c>
      <c r="V1232" s="8">
        <v>45933.958333333336</v>
      </c>
      <c r="W1232">
        <v>1</v>
      </c>
      <c r="X1232">
        <v>2.13974537</v>
      </c>
      <c r="Y1232" t="s">
        <v>3515</v>
      </c>
      <c r="Z1232" t="s">
        <v>7591</v>
      </c>
      <c r="AA1232" t="s">
        <v>7592</v>
      </c>
      <c r="AB1232" t="s">
        <v>1278</v>
      </c>
      <c r="AC1232" t="s">
        <v>7593</v>
      </c>
      <c r="AD1232" t="s">
        <v>2708</v>
      </c>
      <c r="AE1232">
        <v>1</v>
      </c>
      <c r="AO1232" t="s">
        <v>2957</v>
      </c>
      <c r="AP1232" t="s">
        <v>2401</v>
      </c>
    </row>
    <row r="1233" spans="1:42">
      <c r="A1233" t="s">
        <v>3839</v>
      </c>
      <c r="B1233" t="s">
        <v>2389</v>
      </c>
      <c r="C1233" t="s">
        <v>2390</v>
      </c>
      <c r="D1233" t="s">
        <v>2379</v>
      </c>
      <c r="E1233" t="s">
        <v>25</v>
      </c>
      <c r="F1233" t="s">
        <v>3747</v>
      </c>
      <c r="G1233" t="s">
        <v>2601</v>
      </c>
      <c r="H1233" t="b">
        <v>1</v>
      </c>
      <c r="I1233" s="8">
        <v>45932.582060185188</v>
      </c>
      <c r="J1233" t="s">
        <v>2380</v>
      </c>
      <c r="L1233">
        <v>609898</v>
      </c>
      <c r="M1233" t="s">
        <v>2381</v>
      </c>
      <c r="P1233" t="s">
        <v>2394</v>
      </c>
      <c r="Q1233" t="s">
        <v>2383</v>
      </c>
      <c r="R1233">
        <v>1</v>
      </c>
      <c r="S1233" t="s">
        <v>2380</v>
      </c>
      <c r="T1233" t="s">
        <v>2383</v>
      </c>
      <c r="U1233" s="8">
        <v>45930.475856481484</v>
      </c>
      <c r="V1233" s="8">
        <v>45933.958333333336</v>
      </c>
      <c r="W1233">
        <v>1</v>
      </c>
      <c r="X1233">
        <v>2.1062037039999999</v>
      </c>
      <c r="Y1233" t="s">
        <v>3748</v>
      </c>
      <c r="Z1233" t="s">
        <v>3840</v>
      </c>
      <c r="AA1233" t="s">
        <v>3841</v>
      </c>
      <c r="AB1233" t="s">
        <v>1278</v>
      </c>
      <c r="AE1233">
        <v>1</v>
      </c>
      <c r="AO1233" t="s">
        <v>2712</v>
      </c>
      <c r="AP1233" t="s">
        <v>2401</v>
      </c>
    </row>
    <row r="1234" spans="1:42">
      <c r="A1234" t="s">
        <v>5932</v>
      </c>
      <c r="B1234" t="s">
        <v>2389</v>
      </c>
      <c r="C1234" t="s">
        <v>2390</v>
      </c>
      <c r="D1234" t="s">
        <v>2379</v>
      </c>
      <c r="E1234" t="s">
        <v>2601</v>
      </c>
      <c r="F1234" t="s">
        <v>2541</v>
      </c>
      <c r="G1234" t="s">
        <v>2601</v>
      </c>
      <c r="H1234" t="b">
        <v>1</v>
      </c>
      <c r="I1234" s="8">
        <v>45932.550925925927</v>
      </c>
      <c r="J1234" t="s">
        <v>2380</v>
      </c>
      <c r="K1234">
        <v>1199917</v>
      </c>
      <c r="L1234">
        <v>602299</v>
      </c>
      <c r="M1234" t="s">
        <v>2381</v>
      </c>
      <c r="P1234" t="s">
        <v>2548</v>
      </c>
      <c r="Q1234" t="s">
        <v>2383</v>
      </c>
      <c r="R1234">
        <v>1</v>
      </c>
      <c r="S1234" t="s">
        <v>2380</v>
      </c>
      <c r="T1234" t="s">
        <v>2383</v>
      </c>
      <c r="U1234" s="8">
        <v>45930.47859953704</v>
      </c>
      <c r="V1234" s="8">
        <v>45933.958333333336</v>
      </c>
      <c r="W1234">
        <v>1</v>
      </c>
      <c r="X1234">
        <v>2.0723263890000001</v>
      </c>
      <c r="Y1234" t="s">
        <v>2542</v>
      </c>
      <c r="Z1234" t="s">
        <v>5933</v>
      </c>
      <c r="AA1234" t="s">
        <v>2927</v>
      </c>
      <c r="AB1234" t="s">
        <v>1278</v>
      </c>
      <c r="AC1234" t="s">
        <v>5934</v>
      </c>
      <c r="AD1234" t="s">
        <v>2708</v>
      </c>
      <c r="AE1234">
        <v>1</v>
      </c>
      <c r="AO1234" t="s">
        <v>2547</v>
      </c>
      <c r="AP1234" t="s">
        <v>2401</v>
      </c>
    </row>
    <row r="1235" spans="1:42">
      <c r="A1235" t="s">
        <v>4984</v>
      </c>
      <c r="B1235" t="s">
        <v>2389</v>
      </c>
      <c r="C1235" t="s">
        <v>2390</v>
      </c>
      <c r="D1235" t="s">
        <v>2379</v>
      </c>
      <c r="E1235" t="s">
        <v>2601</v>
      </c>
      <c r="F1235" t="s">
        <v>4897</v>
      </c>
      <c r="G1235" t="s">
        <v>2601</v>
      </c>
      <c r="H1235" t="b">
        <v>1</v>
      </c>
      <c r="I1235" s="8">
        <v>45932.582569444443</v>
      </c>
      <c r="J1235" t="s">
        <v>2380</v>
      </c>
      <c r="K1235">
        <v>1199932</v>
      </c>
      <c r="L1235">
        <v>603536</v>
      </c>
      <c r="M1235" t="s">
        <v>2381</v>
      </c>
      <c r="P1235" t="s">
        <v>2394</v>
      </c>
      <c r="Q1235" t="s">
        <v>2383</v>
      </c>
      <c r="R1235">
        <v>1</v>
      </c>
      <c r="S1235" t="s">
        <v>2380</v>
      </c>
      <c r="T1235" t="s">
        <v>2383</v>
      </c>
      <c r="U1235" s="8">
        <v>45930.478958333333</v>
      </c>
      <c r="V1235" s="8">
        <v>45933.958333333336</v>
      </c>
      <c r="W1235">
        <v>1</v>
      </c>
      <c r="X1235">
        <v>2.1036111110000002</v>
      </c>
      <c r="Y1235" t="s">
        <v>4898</v>
      </c>
      <c r="Z1235" t="s">
        <v>4985</v>
      </c>
      <c r="AA1235" t="s">
        <v>4963</v>
      </c>
      <c r="AB1235" t="s">
        <v>1278</v>
      </c>
      <c r="AC1235" t="s">
        <v>4986</v>
      </c>
      <c r="AD1235" t="s">
        <v>2708</v>
      </c>
      <c r="AE1235">
        <v>1</v>
      </c>
      <c r="AO1235" t="s">
        <v>2715</v>
      </c>
      <c r="AP1235" t="s">
        <v>2401</v>
      </c>
    </row>
    <row r="1236" spans="1:42">
      <c r="A1236" t="s">
        <v>10340</v>
      </c>
      <c r="B1236" t="s">
        <v>2389</v>
      </c>
      <c r="C1236" t="s">
        <v>2390</v>
      </c>
      <c r="D1236" t="s">
        <v>2379</v>
      </c>
      <c r="E1236" t="s">
        <v>2601</v>
      </c>
      <c r="F1236" t="s">
        <v>4897</v>
      </c>
      <c r="G1236" t="s">
        <v>2601</v>
      </c>
      <c r="H1236" t="b">
        <v>1</v>
      </c>
      <c r="I1236" s="8">
        <v>45932.577384259261</v>
      </c>
      <c r="J1236" t="s">
        <v>2380</v>
      </c>
      <c r="L1236">
        <v>603536</v>
      </c>
      <c r="M1236" t="s">
        <v>2381</v>
      </c>
      <c r="P1236" t="s">
        <v>2394</v>
      </c>
      <c r="Q1236" t="s">
        <v>2383</v>
      </c>
      <c r="R1236">
        <v>1</v>
      </c>
      <c r="S1236" t="s">
        <v>2380</v>
      </c>
      <c r="T1236" t="s">
        <v>2383</v>
      </c>
      <c r="U1236" s="8">
        <v>45930.489583333336</v>
      </c>
      <c r="V1236" s="8">
        <v>45933.958333333336</v>
      </c>
      <c r="W1236">
        <v>1</v>
      </c>
      <c r="X1236">
        <v>2.0878009259999999</v>
      </c>
      <c r="Y1236" t="s">
        <v>4898</v>
      </c>
      <c r="Z1236" t="s">
        <v>10341</v>
      </c>
      <c r="AA1236" t="s">
        <v>4963</v>
      </c>
      <c r="AB1236" t="s">
        <v>1278</v>
      </c>
      <c r="AE1236">
        <v>1</v>
      </c>
      <c r="AO1236" t="s">
        <v>2715</v>
      </c>
      <c r="AP1236" t="s">
        <v>2401</v>
      </c>
    </row>
    <row r="1237" spans="1:42">
      <c r="A1237" t="s">
        <v>5935</v>
      </c>
      <c r="B1237" t="s">
        <v>2389</v>
      </c>
      <c r="C1237" t="s">
        <v>2390</v>
      </c>
      <c r="D1237" t="s">
        <v>2379</v>
      </c>
      <c r="E1237" t="s">
        <v>2601</v>
      </c>
      <c r="F1237" t="s">
        <v>2541</v>
      </c>
      <c r="G1237" t="s">
        <v>2601</v>
      </c>
      <c r="H1237" t="b">
        <v>1</v>
      </c>
      <c r="I1237" s="8">
        <v>45932.509583333333</v>
      </c>
      <c r="J1237" t="s">
        <v>2380</v>
      </c>
      <c r="K1237">
        <v>1199904</v>
      </c>
      <c r="L1237">
        <v>601441</v>
      </c>
      <c r="M1237" t="s">
        <v>2381</v>
      </c>
      <c r="P1237" t="s">
        <v>2548</v>
      </c>
      <c r="Q1237" t="s">
        <v>2383</v>
      </c>
      <c r="R1237">
        <v>1</v>
      </c>
      <c r="S1237" t="s">
        <v>2380</v>
      </c>
      <c r="T1237" t="s">
        <v>2383</v>
      </c>
      <c r="U1237" s="8">
        <v>45930.492615740739</v>
      </c>
      <c r="V1237" s="8">
        <v>45933.958333333336</v>
      </c>
      <c r="W1237">
        <v>1</v>
      </c>
      <c r="X1237">
        <v>2.0169675929999999</v>
      </c>
      <c r="Y1237" t="s">
        <v>2542</v>
      </c>
      <c r="Z1237" t="s">
        <v>5936</v>
      </c>
      <c r="AA1237" t="s">
        <v>2884</v>
      </c>
      <c r="AB1237" t="s">
        <v>1278</v>
      </c>
      <c r="AC1237" t="s">
        <v>5937</v>
      </c>
      <c r="AD1237" t="s">
        <v>2708</v>
      </c>
      <c r="AE1237">
        <v>1</v>
      </c>
      <c r="AO1237" t="s">
        <v>2547</v>
      </c>
      <c r="AP1237" t="s">
        <v>2401</v>
      </c>
    </row>
    <row r="1238" spans="1:42">
      <c r="A1238" t="s">
        <v>9396</v>
      </c>
      <c r="B1238" t="s">
        <v>2389</v>
      </c>
      <c r="C1238" t="s">
        <v>2443</v>
      </c>
      <c r="D1238" t="s">
        <v>2443</v>
      </c>
      <c r="E1238" t="s">
        <v>33</v>
      </c>
      <c r="F1238" t="s">
        <v>4112</v>
      </c>
      <c r="G1238" t="s">
        <v>33</v>
      </c>
      <c r="H1238" t="b">
        <v>1</v>
      </c>
      <c r="I1238" s="8">
        <v>45936.623738425929</v>
      </c>
      <c r="J1238" t="s">
        <v>2380</v>
      </c>
      <c r="K1238">
        <v>1200158</v>
      </c>
      <c r="L1238">
        <v>604261</v>
      </c>
      <c r="M1238" t="s">
        <v>2381</v>
      </c>
      <c r="P1238" t="s">
        <v>2394</v>
      </c>
      <c r="Q1238" t="s">
        <v>2395</v>
      </c>
      <c r="R1238">
        <v>1</v>
      </c>
      <c r="S1238" t="s">
        <v>2380</v>
      </c>
      <c r="T1238" t="s">
        <v>2383</v>
      </c>
      <c r="U1238" s="8">
        <v>45930.497094907405</v>
      </c>
      <c r="V1238" s="8">
        <v>45933.958333333336</v>
      </c>
      <c r="W1238">
        <v>1</v>
      </c>
      <c r="X1238">
        <v>4.1266435189999999</v>
      </c>
      <c r="Y1238" t="s">
        <v>3901</v>
      </c>
      <c r="Z1238" t="s">
        <v>9397</v>
      </c>
      <c r="AA1238" t="s">
        <v>8522</v>
      </c>
      <c r="AB1238" t="s">
        <v>1278</v>
      </c>
      <c r="AC1238" t="s">
        <v>9398</v>
      </c>
      <c r="AD1238" t="s">
        <v>2708</v>
      </c>
      <c r="AE1238">
        <v>1</v>
      </c>
      <c r="AH1238" t="s">
        <v>4895</v>
      </c>
      <c r="AI1238" s="8">
        <v>45936.623101851852</v>
      </c>
      <c r="AK1238" t="s">
        <v>2719</v>
      </c>
      <c r="AL1238" t="s">
        <v>18</v>
      </c>
      <c r="AO1238" t="s">
        <v>4137</v>
      </c>
      <c r="AP1238" t="s">
        <v>2401</v>
      </c>
    </row>
    <row r="1239" spans="1:42">
      <c r="A1239" t="s">
        <v>5938</v>
      </c>
      <c r="B1239" t="s">
        <v>2389</v>
      </c>
      <c r="C1239" t="s">
        <v>2390</v>
      </c>
      <c r="D1239" t="s">
        <v>2379</v>
      </c>
      <c r="E1239" t="s">
        <v>2601</v>
      </c>
      <c r="F1239" t="s">
        <v>2541</v>
      </c>
      <c r="G1239" t="s">
        <v>2601</v>
      </c>
      <c r="H1239" t="b">
        <v>1</v>
      </c>
      <c r="I1239" s="8">
        <v>45932.555011574077</v>
      </c>
      <c r="J1239" t="s">
        <v>2380</v>
      </c>
      <c r="K1239">
        <v>1199918</v>
      </c>
      <c r="L1239">
        <v>608626</v>
      </c>
      <c r="M1239" t="s">
        <v>2381</v>
      </c>
      <c r="P1239" t="s">
        <v>2548</v>
      </c>
      <c r="Q1239" t="s">
        <v>2383</v>
      </c>
      <c r="R1239">
        <v>1</v>
      </c>
      <c r="S1239" t="s">
        <v>2380</v>
      </c>
      <c r="T1239" t="s">
        <v>2383</v>
      </c>
      <c r="U1239" s="8">
        <v>45930.498113425929</v>
      </c>
      <c r="V1239" s="8">
        <v>45933.958333333336</v>
      </c>
      <c r="W1239">
        <v>1</v>
      </c>
      <c r="X1239">
        <v>2.0568981480000001</v>
      </c>
      <c r="Y1239" t="s">
        <v>2542</v>
      </c>
      <c r="Z1239" t="s">
        <v>5939</v>
      </c>
      <c r="AA1239" t="s">
        <v>2551</v>
      </c>
      <c r="AB1239" t="s">
        <v>1278</v>
      </c>
      <c r="AC1239" t="s">
        <v>5940</v>
      </c>
      <c r="AD1239" t="s">
        <v>2708</v>
      </c>
      <c r="AE1239">
        <v>1</v>
      </c>
      <c r="AO1239" t="s">
        <v>2547</v>
      </c>
      <c r="AP1239" t="s">
        <v>2401</v>
      </c>
    </row>
    <row r="1240" spans="1:42">
      <c r="A1240" t="s">
        <v>4987</v>
      </c>
      <c r="B1240" t="s">
        <v>2389</v>
      </c>
      <c r="C1240" t="s">
        <v>2390</v>
      </c>
      <c r="D1240" t="s">
        <v>2379</v>
      </c>
      <c r="E1240" t="s">
        <v>2601</v>
      </c>
      <c r="F1240" t="s">
        <v>4897</v>
      </c>
      <c r="G1240" t="s">
        <v>2601</v>
      </c>
      <c r="H1240" t="b">
        <v>1</v>
      </c>
      <c r="I1240" s="8">
        <v>45932.568576388891</v>
      </c>
      <c r="J1240" t="s">
        <v>2380</v>
      </c>
      <c r="K1240">
        <v>1199924</v>
      </c>
      <c r="L1240">
        <v>603536</v>
      </c>
      <c r="M1240" t="s">
        <v>2381</v>
      </c>
      <c r="P1240" t="s">
        <v>2394</v>
      </c>
      <c r="Q1240" t="s">
        <v>2383</v>
      </c>
      <c r="R1240">
        <v>1</v>
      </c>
      <c r="S1240" t="s">
        <v>2380</v>
      </c>
      <c r="T1240" t="s">
        <v>2383</v>
      </c>
      <c r="U1240" s="8">
        <v>45930.503645833334</v>
      </c>
      <c r="V1240" s="8">
        <v>45933.958333333336</v>
      </c>
      <c r="W1240">
        <v>1</v>
      </c>
      <c r="X1240">
        <v>2.0649305560000002</v>
      </c>
      <c r="Y1240" t="s">
        <v>4898</v>
      </c>
      <c r="Z1240" t="s">
        <v>4988</v>
      </c>
      <c r="AA1240" t="s">
        <v>4963</v>
      </c>
      <c r="AB1240" t="s">
        <v>1278</v>
      </c>
      <c r="AC1240" t="s">
        <v>4989</v>
      </c>
      <c r="AD1240" t="s">
        <v>2708</v>
      </c>
      <c r="AE1240">
        <v>1</v>
      </c>
      <c r="AO1240" t="s">
        <v>2715</v>
      </c>
      <c r="AP1240" t="s">
        <v>2401</v>
      </c>
    </row>
    <row r="1241" spans="1:42">
      <c r="A1241" t="s">
        <v>5659</v>
      </c>
      <c r="B1241" t="s">
        <v>2389</v>
      </c>
      <c r="C1241" t="s">
        <v>2378</v>
      </c>
      <c r="D1241" t="s">
        <v>2379</v>
      </c>
      <c r="E1241" t="s">
        <v>33</v>
      </c>
      <c r="F1241" t="s">
        <v>2541</v>
      </c>
      <c r="G1241" t="s">
        <v>33</v>
      </c>
      <c r="H1241" t="b">
        <v>1</v>
      </c>
      <c r="I1241" s="8">
        <v>45933.575567129628</v>
      </c>
      <c r="J1241" t="s">
        <v>2380</v>
      </c>
      <c r="K1241">
        <v>1200129</v>
      </c>
      <c r="L1241">
        <v>602299</v>
      </c>
      <c r="M1241" t="s">
        <v>2381</v>
      </c>
      <c r="P1241" t="s">
        <v>2548</v>
      </c>
      <c r="Q1241" t="s">
        <v>2383</v>
      </c>
      <c r="R1241">
        <v>1</v>
      </c>
      <c r="S1241" t="s">
        <v>2380</v>
      </c>
      <c r="T1241" t="s">
        <v>2383</v>
      </c>
      <c r="U1241" s="8">
        <v>45930.505104166667</v>
      </c>
      <c r="V1241" s="8">
        <v>45933.958333333336</v>
      </c>
      <c r="W1241">
        <v>1</v>
      </c>
      <c r="X1241">
        <v>3.0704629630000002</v>
      </c>
      <c r="Y1241" t="s">
        <v>2542</v>
      </c>
      <c r="Z1241" t="s">
        <v>5660</v>
      </c>
      <c r="AA1241" t="s">
        <v>2927</v>
      </c>
      <c r="AB1241" t="s">
        <v>1278</v>
      </c>
      <c r="AC1241" t="s">
        <v>5661</v>
      </c>
      <c r="AD1241" t="s">
        <v>2708</v>
      </c>
      <c r="AE1241">
        <v>1</v>
      </c>
      <c r="AO1241" t="s">
        <v>2547</v>
      </c>
      <c r="AP1241" t="s">
        <v>2401</v>
      </c>
    </row>
    <row r="1242" spans="1:42">
      <c r="A1242" t="s">
        <v>5662</v>
      </c>
      <c r="B1242" t="s">
        <v>2389</v>
      </c>
      <c r="C1242" t="s">
        <v>2390</v>
      </c>
      <c r="D1242" t="s">
        <v>2379</v>
      </c>
      <c r="E1242" t="s">
        <v>33</v>
      </c>
      <c r="F1242" t="s">
        <v>2541</v>
      </c>
      <c r="G1242" t="s">
        <v>33</v>
      </c>
      <c r="H1242" t="b">
        <v>1</v>
      </c>
      <c r="I1242" s="8">
        <v>45933.454965277779</v>
      </c>
      <c r="J1242" t="s">
        <v>2380</v>
      </c>
      <c r="K1242">
        <v>1200048</v>
      </c>
      <c r="L1242">
        <v>601104</v>
      </c>
      <c r="M1242" t="s">
        <v>2381</v>
      </c>
      <c r="P1242" t="s">
        <v>2548</v>
      </c>
      <c r="Q1242" t="s">
        <v>2383</v>
      </c>
      <c r="R1242">
        <v>1</v>
      </c>
      <c r="S1242" t="s">
        <v>2380</v>
      </c>
      <c r="T1242" t="s">
        <v>2383</v>
      </c>
      <c r="U1242" s="8">
        <v>45930.506527777776</v>
      </c>
      <c r="V1242" s="8">
        <v>45933.958333333336</v>
      </c>
      <c r="W1242">
        <v>1</v>
      </c>
      <c r="X1242">
        <v>2.9484374999999998</v>
      </c>
      <c r="Y1242" t="s">
        <v>2542</v>
      </c>
      <c r="Z1242" t="s">
        <v>5663</v>
      </c>
      <c r="AA1242" t="s">
        <v>3174</v>
      </c>
      <c r="AB1242" t="s">
        <v>1278</v>
      </c>
      <c r="AC1242" t="s">
        <v>5664</v>
      </c>
      <c r="AD1242" t="s">
        <v>2708</v>
      </c>
      <c r="AE1242">
        <v>1</v>
      </c>
      <c r="AO1242" t="s">
        <v>2547</v>
      </c>
      <c r="AP1242" t="s">
        <v>2401</v>
      </c>
    </row>
    <row r="1243" spans="1:42">
      <c r="A1243" t="s">
        <v>5941</v>
      </c>
      <c r="B1243" t="s">
        <v>2389</v>
      </c>
      <c r="C1243" t="s">
        <v>2390</v>
      </c>
      <c r="D1243" t="s">
        <v>2379</v>
      </c>
      <c r="E1243" t="s">
        <v>2601</v>
      </c>
      <c r="F1243" t="s">
        <v>2541</v>
      </c>
      <c r="G1243" t="s">
        <v>2601</v>
      </c>
      <c r="H1243" t="b">
        <v>1</v>
      </c>
      <c r="I1243" s="8">
        <v>45932.537835648145</v>
      </c>
      <c r="J1243" t="s">
        <v>2380</v>
      </c>
      <c r="K1243">
        <v>1199914</v>
      </c>
      <c r="L1243">
        <v>602299</v>
      </c>
      <c r="M1243" t="s">
        <v>2381</v>
      </c>
      <c r="P1243" t="s">
        <v>2548</v>
      </c>
      <c r="Q1243" t="s">
        <v>2383</v>
      </c>
      <c r="R1243">
        <v>1</v>
      </c>
      <c r="S1243" t="s">
        <v>2380</v>
      </c>
      <c r="T1243" t="s">
        <v>2383</v>
      </c>
      <c r="U1243" s="8">
        <v>45930.507280092592</v>
      </c>
      <c r="V1243" s="8">
        <v>45933.958333333336</v>
      </c>
      <c r="W1243">
        <v>1</v>
      </c>
      <c r="X1243">
        <v>2.0305555559999999</v>
      </c>
      <c r="Y1243" t="s">
        <v>2542</v>
      </c>
      <c r="Z1243" t="s">
        <v>5942</v>
      </c>
      <c r="AA1243" t="s">
        <v>2927</v>
      </c>
      <c r="AB1243" t="s">
        <v>1278</v>
      </c>
      <c r="AC1243" t="s">
        <v>5943</v>
      </c>
      <c r="AD1243" t="s">
        <v>2708</v>
      </c>
      <c r="AE1243">
        <v>1</v>
      </c>
      <c r="AO1243" t="s">
        <v>2547</v>
      </c>
      <c r="AP1243" t="s">
        <v>2401</v>
      </c>
    </row>
    <row r="1244" spans="1:42">
      <c r="A1244" t="s">
        <v>7711</v>
      </c>
      <c r="B1244" t="s">
        <v>2389</v>
      </c>
      <c r="C1244" t="s">
        <v>2378</v>
      </c>
      <c r="D1244" t="s">
        <v>2379</v>
      </c>
      <c r="E1244" t="s">
        <v>2452</v>
      </c>
      <c r="F1244" t="s">
        <v>3514</v>
      </c>
      <c r="G1244" t="s">
        <v>2452</v>
      </c>
      <c r="H1244" t="b">
        <v>1</v>
      </c>
      <c r="I1244" s="8">
        <v>45933.522870370369</v>
      </c>
      <c r="J1244" t="s">
        <v>2380</v>
      </c>
      <c r="K1244">
        <v>1200082</v>
      </c>
      <c r="L1244">
        <v>603489</v>
      </c>
      <c r="M1244" t="s">
        <v>2381</v>
      </c>
      <c r="P1244" t="s">
        <v>2394</v>
      </c>
      <c r="Q1244" t="s">
        <v>2383</v>
      </c>
      <c r="R1244">
        <v>1</v>
      </c>
      <c r="S1244" t="s">
        <v>2380</v>
      </c>
      <c r="T1244" t="s">
        <v>2383</v>
      </c>
      <c r="U1244" s="8">
        <v>45930.508425925924</v>
      </c>
      <c r="V1244" s="8">
        <v>45933.958333333336</v>
      </c>
      <c r="W1244">
        <v>1</v>
      </c>
      <c r="X1244">
        <v>3.014444444</v>
      </c>
      <c r="Y1244" t="s">
        <v>3515</v>
      </c>
      <c r="Z1244" t="s">
        <v>7712</v>
      </c>
      <c r="AA1244" t="s">
        <v>7592</v>
      </c>
      <c r="AB1244" t="s">
        <v>1278</v>
      </c>
      <c r="AC1244" t="s">
        <v>7713</v>
      </c>
      <c r="AD1244" t="s">
        <v>2708</v>
      </c>
      <c r="AE1244">
        <v>1</v>
      </c>
      <c r="AO1244" t="s">
        <v>2957</v>
      </c>
      <c r="AP1244" t="s">
        <v>2401</v>
      </c>
    </row>
    <row r="1245" spans="1:42">
      <c r="A1245" t="s">
        <v>7802</v>
      </c>
      <c r="B1245" t="s">
        <v>2389</v>
      </c>
      <c r="C1245" t="s">
        <v>2378</v>
      </c>
      <c r="D1245" t="s">
        <v>2379</v>
      </c>
      <c r="E1245" t="s">
        <v>2452</v>
      </c>
      <c r="F1245" t="s">
        <v>3261</v>
      </c>
      <c r="G1245" t="s">
        <v>2452</v>
      </c>
      <c r="H1245" t="b">
        <v>1</v>
      </c>
      <c r="I1245" s="8">
        <v>45933.542893518519</v>
      </c>
      <c r="J1245" t="s">
        <v>2380</v>
      </c>
      <c r="K1245">
        <v>1200115</v>
      </c>
      <c r="L1245">
        <v>609878</v>
      </c>
      <c r="M1245" t="s">
        <v>2381</v>
      </c>
      <c r="P1245" t="s">
        <v>2394</v>
      </c>
      <c r="Q1245" t="s">
        <v>2383</v>
      </c>
      <c r="R1245">
        <v>1</v>
      </c>
      <c r="S1245" t="s">
        <v>2380</v>
      </c>
      <c r="T1245" t="s">
        <v>2383</v>
      </c>
      <c r="U1245" s="8">
        <v>45930.513379629629</v>
      </c>
      <c r="V1245" s="8">
        <v>45938.958333333336</v>
      </c>
      <c r="W1245">
        <v>1</v>
      </c>
      <c r="X1245">
        <v>3.029513889</v>
      </c>
      <c r="Y1245" t="s">
        <v>3262</v>
      </c>
      <c r="Z1245" t="s">
        <v>7803</v>
      </c>
      <c r="AA1245" t="s">
        <v>1287</v>
      </c>
      <c r="AB1245" t="s">
        <v>1278</v>
      </c>
      <c r="AC1245" t="s">
        <v>7804</v>
      </c>
      <c r="AD1245" t="s">
        <v>2708</v>
      </c>
      <c r="AE1245">
        <v>1</v>
      </c>
      <c r="AO1245" t="s">
        <v>2957</v>
      </c>
      <c r="AP1245" t="s">
        <v>2401</v>
      </c>
    </row>
    <row r="1246" spans="1:42">
      <c r="A1246" t="s">
        <v>7923</v>
      </c>
      <c r="B1246" t="s">
        <v>2389</v>
      </c>
      <c r="C1246" t="s">
        <v>2378</v>
      </c>
      <c r="D1246" t="s">
        <v>2379</v>
      </c>
      <c r="E1246" t="s">
        <v>28</v>
      </c>
      <c r="F1246" t="s">
        <v>4644</v>
      </c>
      <c r="G1246" t="s">
        <v>28</v>
      </c>
      <c r="H1246" t="b">
        <v>1</v>
      </c>
      <c r="I1246" s="8">
        <v>45933.525763888887</v>
      </c>
      <c r="J1246" t="s">
        <v>2380</v>
      </c>
      <c r="K1246">
        <v>1200086</v>
      </c>
      <c r="L1246">
        <v>603773</v>
      </c>
      <c r="M1246" t="s">
        <v>2381</v>
      </c>
      <c r="N1246">
        <v>15</v>
      </c>
      <c r="P1246" t="s">
        <v>2394</v>
      </c>
      <c r="Q1246" t="s">
        <v>2383</v>
      </c>
      <c r="R1246">
        <v>1</v>
      </c>
      <c r="S1246" t="s">
        <v>2380</v>
      </c>
      <c r="T1246" t="s">
        <v>2383</v>
      </c>
      <c r="U1246" s="8">
        <v>45930.513391203705</v>
      </c>
      <c r="V1246" s="8">
        <v>45933.958333333336</v>
      </c>
      <c r="W1246">
        <v>1</v>
      </c>
      <c r="X1246">
        <v>3.0123726849999999</v>
      </c>
      <c r="Y1246" t="s">
        <v>3578</v>
      </c>
      <c r="Z1246" t="s">
        <v>7924</v>
      </c>
      <c r="AA1246" t="s">
        <v>4647</v>
      </c>
      <c r="AB1246" t="s">
        <v>1278</v>
      </c>
      <c r="AC1246" t="s">
        <v>7925</v>
      </c>
      <c r="AD1246" t="s">
        <v>2708</v>
      </c>
      <c r="AE1246">
        <v>1</v>
      </c>
      <c r="AO1246" t="s">
        <v>2957</v>
      </c>
      <c r="AP1246" t="s">
        <v>2401</v>
      </c>
    </row>
    <row r="1247" spans="1:42">
      <c r="A1247" t="s">
        <v>4078</v>
      </c>
      <c r="B1247" t="s">
        <v>2389</v>
      </c>
      <c r="C1247" t="s">
        <v>2691</v>
      </c>
      <c r="D1247" t="s">
        <v>2379</v>
      </c>
      <c r="E1247" t="s">
        <v>2452</v>
      </c>
      <c r="F1247" t="s">
        <v>3747</v>
      </c>
      <c r="G1247" t="s">
        <v>2452</v>
      </c>
      <c r="H1247" t="b">
        <v>1</v>
      </c>
      <c r="I1247" s="8">
        <v>45938.403437499997</v>
      </c>
      <c r="J1247" t="s">
        <v>2380</v>
      </c>
      <c r="K1247">
        <v>1200724</v>
      </c>
      <c r="L1247">
        <v>606836</v>
      </c>
      <c r="M1247" t="s">
        <v>2381</v>
      </c>
      <c r="P1247" t="s">
        <v>2394</v>
      </c>
      <c r="Q1247" t="s">
        <v>2383</v>
      </c>
      <c r="R1247">
        <v>1</v>
      </c>
      <c r="S1247" t="s">
        <v>2380</v>
      </c>
      <c r="T1247" t="s">
        <v>2383</v>
      </c>
      <c r="U1247" s="8">
        <v>45930.518333333333</v>
      </c>
      <c r="V1247" s="8">
        <v>45943.958333333336</v>
      </c>
      <c r="W1247">
        <v>1</v>
      </c>
      <c r="X1247">
        <v>5.8851041669999997</v>
      </c>
      <c r="Y1247" t="s">
        <v>3748</v>
      </c>
      <c r="Z1247" t="s">
        <v>4079</v>
      </c>
      <c r="AA1247" t="s">
        <v>4069</v>
      </c>
      <c r="AB1247" t="s">
        <v>1278</v>
      </c>
      <c r="AC1247" t="s">
        <v>4080</v>
      </c>
      <c r="AD1247" t="s">
        <v>2708</v>
      </c>
      <c r="AE1247">
        <v>1</v>
      </c>
      <c r="AO1247" t="s">
        <v>2712</v>
      </c>
      <c r="AP1247" t="s">
        <v>2401</v>
      </c>
    </row>
    <row r="1248" spans="1:42">
      <c r="A1248" t="s">
        <v>4282</v>
      </c>
      <c r="B1248" t="s">
        <v>2389</v>
      </c>
      <c r="C1248" t="s">
        <v>2390</v>
      </c>
      <c r="D1248" t="s">
        <v>2379</v>
      </c>
      <c r="E1248" t="s">
        <v>33</v>
      </c>
      <c r="F1248" t="s">
        <v>2417</v>
      </c>
      <c r="G1248" t="s">
        <v>33</v>
      </c>
      <c r="H1248" t="b">
        <v>1</v>
      </c>
      <c r="I1248" s="8">
        <v>45933.429988425924</v>
      </c>
      <c r="J1248" t="s">
        <v>2380</v>
      </c>
      <c r="K1248">
        <v>1200020</v>
      </c>
      <c r="L1248">
        <v>601745</v>
      </c>
      <c r="M1248" t="s">
        <v>2381</v>
      </c>
      <c r="P1248" t="s">
        <v>2394</v>
      </c>
      <c r="Q1248" t="s">
        <v>2383</v>
      </c>
      <c r="R1248">
        <v>1</v>
      </c>
      <c r="S1248" t="s">
        <v>2380</v>
      </c>
      <c r="T1248" t="s">
        <v>2383</v>
      </c>
      <c r="U1248" s="8">
        <v>45930.523958333331</v>
      </c>
      <c r="V1248" s="8">
        <v>45933.958333333336</v>
      </c>
      <c r="W1248">
        <v>1</v>
      </c>
      <c r="X1248">
        <v>2.906030093</v>
      </c>
      <c r="Y1248" t="s">
        <v>2418</v>
      </c>
      <c r="Z1248" t="s">
        <v>4283</v>
      </c>
      <c r="AA1248" t="s">
        <v>4284</v>
      </c>
      <c r="AB1248" t="s">
        <v>1278</v>
      </c>
      <c r="AC1248" t="s">
        <v>4285</v>
      </c>
      <c r="AD1248" t="s">
        <v>2708</v>
      </c>
      <c r="AE1248">
        <v>1</v>
      </c>
      <c r="AO1248" t="s">
        <v>2408</v>
      </c>
      <c r="AP1248" t="s">
        <v>2401</v>
      </c>
    </row>
    <row r="1249" spans="1:42">
      <c r="A1249" t="s">
        <v>10059</v>
      </c>
      <c r="B1249" t="s">
        <v>2389</v>
      </c>
      <c r="C1249" t="s">
        <v>2390</v>
      </c>
      <c r="D1249" t="s">
        <v>2379</v>
      </c>
      <c r="E1249" t="s">
        <v>2452</v>
      </c>
      <c r="F1249" t="s">
        <v>3539</v>
      </c>
      <c r="G1249" t="s">
        <v>2452</v>
      </c>
      <c r="H1249" t="b">
        <v>1</v>
      </c>
      <c r="I1249" s="8">
        <v>45933.510578703703</v>
      </c>
      <c r="J1249" t="s">
        <v>2380</v>
      </c>
      <c r="K1249">
        <v>981575</v>
      </c>
      <c r="L1249">
        <v>603384</v>
      </c>
      <c r="M1249" t="s">
        <v>2381</v>
      </c>
      <c r="P1249" t="s">
        <v>3329</v>
      </c>
      <c r="Q1249" t="s">
        <v>2383</v>
      </c>
      <c r="R1249">
        <v>1</v>
      </c>
      <c r="S1249" t="s">
        <v>2380</v>
      </c>
      <c r="T1249" t="s">
        <v>2383</v>
      </c>
      <c r="U1249" s="8">
        <v>45930.528182870374</v>
      </c>
      <c r="V1249" s="8">
        <v>45933.958333333336</v>
      </c>
      <c r="W1249">
        <v>1</v>
      </c>
      <c r="X1249">
        <v>2.982395833</v>
      </c>
      <c r="Y1249" t="s">
        <v>3521</v>
      </c>
      <c r="Z1249" t="s">
        <v>10060</v>
      </c>
      <c r="AA1249" t="s">
        <v>10061</v>
      </c>
      <c r="AB1249" t="s">
        <v>1278</v>
      </c>
      <c r="AC1249" t="s">
        <v>10062</v>
      </c>
      <c r="AE1249">
        <v>1</v>
      </c>
      <c r="AO1249" t="s">
        <v>2957</v>
      </c>
      <c r="AP1249" t="s">
        <v>2401</v>
      </c>
    </row>
    <row r="1250" spans="1:42">
      <c r="A1250" t="s">
        <v>5142</v>
      </c>
      <c r="B1250" t="s">
        <v>2389</v>
      </c>
      <c r="C1250" t="s">
        <v>2378</v>
      </c>
      <c r="D1250" t="s">
        <v>2379</v>
      </c>
      <c r="E1250" t="s">
        <v>12</v>
      </c>
      <c r="F1250" t="s">
        <v>5085</v>
      </c>
      <c r="G1250" t="s">
        <v>12</v>
      </c>
      <c r="H1250" t="b">
        <v>1</v>
      </c>
      <c r="I1250" s="8">
        <v>45933.570671296293</v>
      </c>
      <c r="J1250" t="s">
        <v>2380</v>
      </c>
      <c r="K1250">
        <v>1200125</v>
      </c>
      <c r="L1250">
        <v>602945</v>
      </c>
      <c r="M1250" t="s">
        <v>2381</v>
      </c>
      <c r="P1250" t="s">
        <v>5107</v>
      </c>
      <c r="Q1250" t="s">
        <v>2383</v>
      </c>
      <c r="R1250">
        <v>1</v>
      </c>
      <c r="S1250" t="s">
        <v>2380</v>
      </c>
      <c r="T1250" t="s">
        <v>5117</v>
      </c>
      <c r="U1250" s="8">
        <v>45930.531331018516</v>
      </c>
      <c r="V1250" s="8">
        <v>45933.958333333336</v>
      </c>
      <c r="W1250">
        <v>1</v>
      </c>
      <c r="X1250">
        <v>3.0393402780000001</v>
      </c>
      <c r="Y1250" t="s">
        <v>5087</v>
      </c>
      <c r="Z1250" t="s">
        <v>5143</v>
      </c>
      <c r="AA1250" t="s">
        <v>5090</v>
      </c>
      <c r="AB1250" t="s">
        <v>1278</v>
      </c>
      <c r="AC1250" t="s">
        <v>5144</v>
      </c>
      <c r="AD1250" t="s">
        <v>2708</v>
      </c>
      <c r="AE1250">
        <v>1</v>
      </c>
      <c r="AO1250" t="s">
        <v>2720</v>
      </c>
      <c r="AP1250" t="s">
        <v>2401</v>
      </c>
    </row>
    <row r="1251" spans="1:42">
      <c r="A1251" t="s">
        <v>10027</v>
      </c>
      <c r="B1251" t="s">
        <v>2389</v>
      </c>
      <c r="C1251" t="s">
        <v>2415</v>
      </c>
      <c r="D1251" t="s">
        <v>2379</v>
      </c>
      <c r="E1251" t="s">
        <v>25</v>
      </c>
      <c r="F1251" t="s">
        <v>3544</v>
      </c>
      <c r="G1251" t="s">
        <v>25</v>
      </c>
      <c r="H1251" t="b">
        <v>1</v>
      </c>
      <c r="I1251" s="8">
        <v>45932.555497685185</v>
      </c>
      <c r="J1251" t="s">
        <v>2380</v>
      </c>
      <c r="L1251">
        <v>605064</v>
      </c>
      <c r="M1251" t="s">
        <v>2381</v>
      </c>
      <c r="P1251" t="s">
        <v>2394</v>
      </c>
      <c r="Q1251" t="s">
        <v>2383</v>
      </c>
      <c r="R1251">
        <v>1</v>
      </c>
      <c r="S1251" t="s">
        <v>2380</v>
      </c>
      <c r="T1251" t="s">
        <v>2383</v>
      </c>
      <c r="U1251" s="8">
        <v>45930.568969907406</v>
      </c>
      <c r="V1251" s="8">
        <v>45933.958333333336</v>
      </c>
      <c r="W1251">
        <v>1</v>
      </c>
      <c r="X1251">
        <v>1.9865277779999999</v>
      </c>
      <c r="Y1251" t="s">
        <v>3521</v>
      </c>
      <c r="Z1251" t="s">
        <v>10028</v>
      </c>
      <c r="AA1251" t="s">
        <v>3548</v>
      </c>
      <c r="AB1251" t="s">
        <v>1278</v>
      </c>
      <c r="AC1251" t="s">
        <v>10029</v>
      </c>
      <c r="AE1251">
        <v>1</v>
      </c>
      <c r="AO1251" t="s">
        <v>2957</v>
      </c>
      <c r="AP1251" t="s">
        <v>2401</v>
      </c>
    </row>
    <row r="1252" spans="1:42">
      <c r="A1252" t="s">
        <v>10157</v>
      </c>
      <c r="B1252" t="s">
        <v>2389</v>
      </c>
      <c r="C1252" t="s">
        <v>2390</v>
      </c>
      <c r="D1252" t="s">
        <v>2379</v>
      </c>
      <c r="E1252" t="s">
        <v>2452</v>
      </c>
      <c r="F1252" t="s">
        <v>2417</v>
      </c>
      <c r="G1252" t="s">
        <v>2452</v>
      </c>
      <c r="H1252" t="b">
        <v>1</v>
      </c>
      <c r="I1252" s="8">
        <v>45933.528090277781</v>
      </c>
      <c r="J1252" t="s">
        <v>2380</v>
      </c>
      <c r="L1252">
        <v>601657</v>
      </c>
      <c r="M1252" t="s">
        <v>2381</v>
      </c>
      <c r="P1252" t="s">
        <v>2394</v>
      </c>
      <c r="Q1252" t="s">
        <v>2383</v>
      </c>
      <c r="R1252">
        <v>1</v>
      </c>
      <c r="S1252" t="s">
        <v>2380</v>
      </c>
      <c r="T1252" t="s">
        <v>2383</v>
      </c>
      <c r="U1252" s="8">
        <v>45930.578252314815</v>
      </c>
      <c r="V1252" s="8">
        <v>45933.958333333336</v>
      </c>
      <c r="W1252">
        <v>1</v>
      </c>
      <c r="X1252">
        <v>2.9498379629999998</v>
      </c>
      <c r="Y1252" t="s">
        <v>2418</v>
      </c>
      <c r="Z1252" t="s">
        <v>10158</v>
      </c>
      <c r="AA1252" t="s">
        <v>8057</v>
      </c>
      <c r="AB1252" t="s">
        <v>1278</v>
      </c>
      <c r="AC1252" t="s">
        <v>10159</v>
      </c>
      <c r="AE1252">
        <v>1</v>
      </c>
      <c r="AO1252" t="s">
        <v>4121</v>
      </c>
      <c r="AP1252" t="s">
        <v>2401</v>
      </c>
    </row>
    <row r="1253" spans="1:42">
      <c r="A1253" t="s">
        <v>9106</v>
      </c>
      <c r="B1253" t="s">
        <v>2389</v>
      </c>
      <c r="C1253" t="s">
        <v>2390</v>
      </c>
      <c r="D1253" t="s">
        <v>2379</v>
      </c>
      <c r="E1253" t="s">
        <v>25</v>
      </c>
      <c r="F1253" t="s">
        <v>7109</v>
      </c>
      <c r="G1253" t="s">
        <v>25</v>
      </c>
      <c r="H1253" t="b">
        <v>1</v>
      </c>
      <c r="I1253" s="8">
        <v>45932.598055555558</v>
      </c>
      <c r="J1253" t="s">
        <v>2380</v>
      </c>
      <c r="K1253">
        <v>1199780</v>
      </c>
      <c r="L1253">
        <v>609059</v>
      </c>
      <c r="M1253" t="s">
        <v>2381</v>
      </c>
      <c r="N1253">
        <v>5</v>
      </c>
      <c r="P1253" t="s">
        <v>2394</v>
      </c>
      <c r="Q1253" t="s">
        <v>2383</v>
      </c>
      <c r="R1253">
        <v>1</v>
      </c>
      <c r="S1253" t="s">
        <v>2380</v>
      </c>
      <c r="T1253" t="s">
        <v>2383</v>
      </c>
      <c r="U1253" s="8">
        <v>45930.587372685186</v>
      </c>
      <c r="V1253" s="8">
        <v>45933.958333333336</v>
      </c>
      <c r="W1253">
        <v>1</v>
      </c>
      <c r="X1253">
        <v>2.0106828700000001</v>
      </c>
      <c r="Y1253" t="s">
        <v>7110</v>
      </c>
      <c r="Z1253" t="s">
        <v>9107</v>
      </c>
      <c r="AA1253" t="s">
        <v>9108</v>
      </c>
      <c r="AB1253" t="s">
        <v>1278</v>
      </c>
      <c r="AC1253" t="s">
        <v>9109</v>
      </c>
      <c r="AD1253" t="s">
        <v>2708</v>
      </c>
      <c r="AE1253">
        <v>1</v>
      </c>
      <c r="AH1253" t="s">
        <v>33</v>
      </c>
      <c r="AI1253" s="8">
        <v>45932.5934837963</v>
      </c>
      <c r="AK1253" t="s">
        <v>2719</v>
      </c>
      <c r="AL1253" t="s">
        <v>2719</v>
      </c>
      <c r="AO1253" t="s">
        <v>2957</v>
      </c>
      <c r="AP1253" t="s">
        <v>2401</v>
      </c>
    </row>
    <row r="1254" spans="1:42">
      <c r="A1254" t="s">
        <v>9058</v>
      </c>
      <c r="B1254" t="s">
        <v>2389</v>
      </c>
      <c r="C1254" t="s">
        <v>2390</v>
      </c>
      <c r="D1254" t="s">
        <v>2379</v>
      </c>
      <c r="E1254" t="s">
        <v>25</v>
      </c>
      <c r="F1254" t="s">
        <v>3249</v>
      </c>
      <c r="G1254" t="s">
        <v>25</v>
      </c>
      <c r="H1254" t="b">
        <v>1</v>
      </c>
      <c r="I1254" s="8">
        <v>45932.597986111112</v>
      </c>
      <c r="J1254" t="s">
        <v>2380</v>
      </c>
      <c r="K1254">
        <v>1199926</v>
      </c>
      <c r="L1254">
        <v>602303</v>
      </c>
      <c r="M1254" t="s">
        <v>2381</v>
      </c>
      <c r="N1254">
        <v>5</v>
      </c>
      <c r="P1254" t="s">
        <v>2427</v>
      </c>
      <c r="Q1254" t="s">
        <v>2383</v>
      </c>
      <c r="R1254">
        <v>1</v>
      </c>
      <c r="S1254" t="s">
        <v>2380</v>
      </c>
      <c r="T1254" t="s">
        <v>2383</v>
      </c>
      <c r="U1254" s="8">
        <v>45930.587870370371</v>
      </c>
      <c r="V1254" s="8">
        <v>45933.958333333336</v>
      </c>
      <c r="W1254">
        <v>1</v>
      </c>
      <c r="X1254">
        <v>2.0101157409999999</v>
      </c>
      <c r="Y1254" t="s">
        <v>3250</v>
      </c>
      <c r="Z1254" t="s">
        <v>9059</v>
      </c>
      <c r="AA1254" t="s">
        <v>3253</v>
      </c>
      <c r="AB1254" t="s">
        <v>1278</v>
      </c>
      <c r="AC1254" t="s">
        <v>9060</v>
      </c>
      <c r="AD1254" t="s">
        <v>2708</v>
      </c>
      <c r="AE1254">
        <v>1</v>
      </c>
      <c r="AH1254" t="s">
        <v>33</v>
      </c>
      <c r="AI1254" s="8">
        <v>45932.594340277778</v>
      </c>
      <c r="AK1254" t="s">
        <v>2719</v>
      </c>
      <c r="AL1254" t="s">
        <v>2719</v>
      </c>
      <c r="AO1254" t="s">
        <v>2388</v>
      </c>
      <c r="AP1254" t="s">
        <v>2401</v>
      </c>
    </row>
    <row r="1255" spans="1:42">
      <c r="A1255" t="s">
        <v>4999</v>
      </c>
      <c r="B1255" t="s">
        <v>2389</v>
      </c>
      <c r="C1255" t="s">
        <v>2447</v>
      </c>
      <c r="D1255" t="s">
        <v>2379</v>
      </c>
      <c r="E1255" t="s">
        <v>2452</v>
      </c>
      <c r="F1255" t="s">
        <v>3891</v>
      </c>
      <c r="G1255" t="s">
        <v>2452</v>
      </c>
      <c r="H1255" t="b">
        <v>1</v>
      </c>
      <c r="I1255" s="8">
        <v>45936.629837962966</v>
      </c>
      <c r="J1255" t="s">
        <v>2380</v>
      </c>
      <c r="K1255">
        <v>1200367</v>
      </c>
      <c r="L1255">
        <v>603596</v>
      </c>
      <c r="M1255" t="s">
        <v>2381</v>
      </c>
      <c r="P1255" t="s">
        <v>2394</v>
      </c>
      <c r="Q1255" t="s">
        <v>2383</v>
      </c>
      <c r="R1255">
        <v>1</v>
      </c>
      <c r="S1255" t="s">
        <v>2380</v>
      </c>
      <c r="T1255" t="s">
        <v>2383</v>
      </c>
      <c r="U1255" s="8">
        <v>45930.59170138889</v>
      </c>
      <c r="V1255" s="8">
        <v>45939.958333333336</v>
      </c>
      <c r="W1255">
        <v>1</v>
      </c>
      <c r="X1255">
        <v>4.0381365740000001</v>
      </c>
      <c r="Y1255" t="s">
        <v>3892</v>
      </c>
      <c r="Z1255" t="s">
        <v>5000</v>
      </c>
      <c r="AA1255" t="s">
        <v>5001</v>
      </c>
      <c r="AB1255" t="s">
        <v>1278</v>
      </c>
      <c r="AC1255" t="s">
        <v>5002</v>
      </c>
      <c r="AD1255" t="s">
        <v>2708</v>
      </c>
      <c r="AE1255">
        <v>1</v>
      </c>
      <c r="AO1255" t="s">
        <v>2715</v>
      </c>
      <c r="AP1255" t="s">
        <v>2401</v>
      </c>
    </row>
    <row r="1256" spans="1:42">
      <c r="A1256" t="s">
        <v>5309</v>
      </c>
      <c r="B1256" t="s">
        <v>2389</v>
      </c>
      <c r="C1256" t="s">
        <v>2691</v>
      </c>
      <c r="D1256" t="s">
        <v>2379</v>
      </c>
      <c r="E1256" t="s">
        <v>2452</v>
      </c>
      <c r="F1256" t="s">
        <v>2402</v>
      </c>
      <c r="G1256" t="s">
        <v>2452</v>
      </c>
      <c r="H1256" t="b">
        <v>1</v>
      </c>
      <c r="I1256" s="8">
        <v>45943.671782407408</v>
      </c>
      <c r="J1256" t="s">
        <v>2380</v>
      </c>
      <c r="K1256">
        <v>1202119</v>
      </c>
      <c r="L1256">
        <v>609839</v>
      </c>
      <c r="M1256" t="s">
        <v>2381</v>
      </c>
      <c r="P1256" t="s">
        <v>2394</v>
      </c>
      <c r="Q1256" t="s">
        <v>2383</v>
      </c>
      <c r="R1256">
        <v>1</v>
      </c>
      <c r="S1256" t="s">
        <v>2380</v>
      </c>
      <c r="T1256" t="s">
        <v>2383</v>
      </c>
      <c r="U1256" s="8">
        <v>45930.592407407406</v>
      </c>
      <c r="V1256" s="8">
        <v>45946.958333333336</v>
      </c>
      <c r="W1256">
        <v>1</v>
      </c>
      <c r="X1256">
        <v>9.0793750000000006</v>
      </c>
      <c r="Y1256" t="s">
        <v>2403</v>
      </c>
      <c r="Z1256" t="s">
        <v>5310</v>
      </c>
      <c r="AA1256" t="s">
        <v>2760</v>
      </c>
      <c r="AB1256" t="s">
        <v>1278</v>
      </c>
      <c r="AC1256" t="s">
        <v>5311</v>
      </c>
      <c r="AD1256" t="s">
        <v>2708</v>
      </c>
      <c r="AE1256">
        <v>1</v>
      </c>
      <c r="AO1256" t="s">
        <v>2408</v>
      </c>
      <c r="AP1256" t="s">
        <v>2401</v>
      </c>
    </row>
    <row r="1257" spans="1:42">
      <c r="A1257" t="s">
        <v>5665</v>
      </c>
      <c r="B1257" t="s">
        <v>2389</v>
      </c>
      <c r="C1257" t="s">
        <v>2390</v>
      </c>
      <c r="D1257" t="s">
        <v>2379</v>
      </c>
      <c r="E1257" t="s">
        <v>33</v>
      </c>
      <c r="F1257" t="s">
        <v>2541</v>
      </c>
      <c r="G1257" t="s">
        <v>33</v>
      </c>
      <c r="H1257" t="b">
        <v>1</v>
      </c>
      <c r="I1257" s="8">
        <v>45933.360879629632</v>
      </c>
      <c r="J1257" t="s">
        <v>2380</v>
      </c>
      <c r="K1257">
        <v>1199996</v>
      </c>
      <c r="L1257">
        <v>608399</v>
      </c>
      <c r="M1257" t="s">
        <v>2381</v>
      </c>
      <c r="P1257" t="s">
        <v>2548</v>
      </c>
      <c r="Q1257" t="s">
        <v>2383</v>
      </c>
      <c r="R1257">
        <v>1</v>
      </c>
      <c r="S1257" t="s">
        <v>2380</v>
      </c>
      <c r="T1257" t="s">
        <v>2383</v>
      </c>
      <c r="U1257" s="8">
        <v>45930.593599537038</v>
      </c>
      <c r="V1257" s="8">
        <v>45933.958333333336</v>
      </c>
      <c r="W1257">
        <v>1</v>
      </c>
      <c r="X1257">
        <v>2.7672800930000001</v>
      </c>
      <c r="Y1257" t="s">
        <v>2542</v>
      </c>
      <c r="Z1257" t="s">
        <v>5666</v>
      </c>
      <c r="AA1257" t="s">
        <v>2576</v>
      </c>
      <c r="AB1257" t="s">
        <v>1278</v>
      </c>
      <c r="AC1257" t="s">
        <v>5667</v>
      </c>
      <c r="AD1257" t="s">
        <v>2708</v>
      </c>
      <c r="AE1257">
        <v>1</v>
      </c>
      <c r="AO1257" t="s">
        <v>2547</v>
      </c>
      <c r="AP1257" t="s">
        <v>2401</v>
      </c>
    </row>
    <row r="1258" spans="1:42">
      <c r="A1258" t="s">
        <v>5312</v>
      </c>
      <c r="B1258" t="s">
        <v>2389</v>
      </c>
      <c r="C1258" t="s">
        <v>2390</v>
      </c>
      <c r="D1258" t="s">
        <v>2379</v>
      </c>
      <c r="E1258" t="s">
        <v>2452</v>
      </c>
      <c r="F1258" t="s">
        <v>2402</v>
      </c>
      <c r="G1258" t="s">
        <v>2452</v>
      </c>
      <c r="H1258" t="b">
        <v>1</v>
      </c>
      <c r="I1258" s="8">
        <v>45933.499594907407</v>
      </c>
      <c r="J1258" t="s">
        <v>2380</v>
      </c>
      <c r="K1258">
        <v>1200077</v>
      </c>
      <c r="L1258">
        <v>609839</v>
      </c>
      <c r="M1258" t="s">
        <v>2381</v>
      </c>
      <c r="P1258" t="s">
        <v>2394</v>
      </c>
      <c r="Q1258" t="s">
        <v>2383</v>
      </c>
      <c r="R1258">
        <v>1</v>
      </c>
      <c r="S1258" t="s">
        <v>2380</v>
      </c>
      <c r="T1258" t="s">
        <v>2383</v>
      </c>
      <c r="U1258" s="8">
        <v>45930.59584490741</v>
      </c>
      <c r="V1258" s="8">
        <v>45933.958333333336</v>
      </c>
      <c r="W1258">
        <v>1</v>
      </c>
      <c r="X1258">
        <v>2.9037500000000001</v>
      </c>
      <c r="Y1258" t="s">
        <v>2403</v>
      </c>
      <c r="Z1258" t="s">
        <v>5313</v>
      </c>
      <c r="AA1258" t="s">
        <v>2760</v>
      </c>
      <c r="AB1258" t="s">
        <v>1278</v>
      </c>
      <c r="AC1258" t="s">
        <v>5314</v>
      </c>
      <c r="AD1258" t="s">
        <v>2708</v>
      </c>
      <c r="AE1258">
        <v>1</v>
      </c>
      <c r="AO1258" t="s">
        <v>2408</v>
      </c>
      <c r="AP1258" t="s">
        <v>2401</v>
      </c>
    </row>
    <row r="1259" spans="1:42">
      <c r="A1259" t="s">
        <v>5668</v>
      </c>
      <c r="B1259" t="s">
        <v>2389</v>
      </c>
      <c r="C1259" t="s">
        <v>2390</v>
      </c>
      <c r="D1259" t="s">
        <v>2379</v>
      </c>
      <c r="E1259" t="s">
        <v>33</v>
      </c>
      <c r="F1259" t="s">
        <v>2541</v>
      </c>
      <c r="G1259" t="s">
        <v>33</v>
      </c>
      <c r="H1259" t="b">
        <v>1</v>
      </c>
      <c r="I1259" s="8">
        <v>45933.404074074075</v>
      </c>
      <c r="J1259" t="s">
        <v>2380</v>
      </c>
      <c r="K1259">
        <v>1200004</v>
      </c>
      <c r="L1259">
        <v>608816</v>
      </c>
      <c r="M1259" t="s">
        <v>2381</v>
      </c>
      <c r="P1259" t="s">
        <v>2548</v>
      </c>
      <c r="Q1259" t="s">
        <v>2383</v>
      </c>
      <c r="R1259">
        <v>1</v>
      </c>
      <c r="S1259" t="s">
        <v>2380</v>
      </c>
      <c r="T1259" t="s">
        <v>2383</v>
      </c>
      <c r="U1259" s="8">
        <v>45930.596331018518</v>
      </c>
      <c r="V1259" s="8">
        <v>45933.958333333336</v>
      </c>
      <c r="W1259">
        <v>1</v>
      </c>
      <c r="X1259">
        <v>2.8077430560000001</v>
      </c>
      <c r="Y1259" t="s">
        <v>2542</v>
      </c>
      <c r="Z1259" t="s">
        <v>5669</v>
      </c>
      <c r="AA1259" t="s">
        <v>2568</v>
      </c>
      <c r="AB1259" t="s">
        <v>1278</v>
      </c>
      <c r="AC1259" t="s">
        <v>5670</v>
      </c>
      <c r="AD1259" t="s">
        <v>2708</v>
      </c>
      <c r="AE1259">
        <v>1</v>
      </c>
      <c r="AO1259" t="s">
        <v>2547</v>
      </c>
      <c r="AP1259" t="s">
        <v>2401</v>
      </c>
    </row>
    <row r="1260" spans="1:42">
      <c r="A1260" t="s">
        <v>5233</v>
      </c>
      <c r="B1260" t="s">
        <v>2389</v>
      </c>
      <c r="C1260" t="s">
        <v>2378</v>
      </c>
      <c r="D1260" t="s">
        <v>2379</v>
      </c>
      <c r="E1260" t="s">
        <v>33</v>
      </c>
      <c r="F1260" t="s">
        <v>2541</v>
      </c>
      <c r="G1260" t="s">
        <v>33</v>
      </c>
      <c r="H1260" t="b">
        <v>1</v>
      </c>
      <c r="I1260" s="8">
        <v>45933.605613425927</v>
      </c>
      <c r="J1260" t="s">
        <v>2380</v>
      </c>
      <c r="K1260">
        <v>1200006</v>
      </c>
      <c r="L1260">
        <v>608816</v>
      </c>
      <c r="M1260" t="s">
        <v>2381</v>
      </c>
      <c r="P1260" t="s">
        <v>2548</v>
      </c>
      <c r="Q1260" t="s">
        <v>2383</v>
      </c>
      <c r="R1260">
        <v>1</v>
      </c>
      <c r="S1260" t="s">
        <v>2380</v>
      </c>
      <c r="T1260" t="s">
        <v>2383</v>
      </c>
      <c r="U1260" s="8">
        <v>45930.599178240744</v>
      </c>
      <c r="V1260" s="8">
        <v>45933.958333333336</v>
      </c>
      <c r="W1260">
        <v>1</v>
      </c>
      <c r="X1260">
        <v>3.006435185</v>
      </c>
      <c r="Y1260" t="s">
        <v>2542</v>
      </c>
      <c r="Z1260" t="s">
        <v>5234</v>
      </c>
      <c r="AA1260" t="s">
        <v>2568</v>
      </c>
      <c r="AB1260" t="s">
        <v>1278</v>
      </c>
      <c r="AC1260" t="s">
        <v>5235</v>
      </c>
      <c r="AD1260" t="s">
        <v>2708</v>
      </c>
      <c r="AE1260">
        <v>1</v>
      </c>
      <c r="AH1260" t="s">
        <v>4895</v>
      </c>
      <c r="AI1260" s="8">
        <v>45933.604664351849</v>
      </c>
      <c r="AK1260" t="s">
        <v>2719</v>
      </c>
      <c r="AL1260" t="s">
        <v>2719</v>
      </c>
      <c r="AO1260" t="s">
        <v>2547</v>
      </c>
      <c r="AP1260" t="s">
        <v>2401</v>
      </c>
    </row>
    <row r="1261" spans="1:42">
      <c r="A1261" t="s">
        <v>5671</v>
      </c>
      <c r="B1261" t="s">
        <v>2389</v>
      </c>
      <c r="C1261" t="s">
        <v>2390</v>
      </c>
      <c r="D1261" t="s">
        <v>2379</v>
      </c>
      <c r="E1261" t="s">
        <v>33</v>
      </c>
      <c r="F1261" t="s">
        <v>2541</v>
      </c>
      <c r="G1261" t="s">
        <v>33</v>
      </c>
      <c r="H1261" t="b">
        <v>1</v>
      </c>
      <c r="I1261" s="8">
        <v>45933.573958333334</v>
      </c>
      <c r="J1261" t="s">
        <v>2380</v>
      </c>
      <c r="K1261">
        <v>1200128</v>
      </c>
      <c r="L1261">
        <v>602299</v>
      </c>
      <c r="M1261" t="s">
        <v>2381</v>
      </c>
      <c r="P1261" t="s">
        <v>2548</v>
      </c>
      <c r="Q1261" t="s">
        <v>2383</v>
      </c>
      <c r="R1261">
        <v>1</v>
      </c>
      <c r="S1261" t="s">
        <v>2380</v>
      </c>
      <c r="T1261" t="s">
        <v>2383</v>
      </c>
      <c r="U1261" s="8">
        <v>45930.599895833337</v>
      </c>
      <c r="V1261" s="8">
        <v>45933.958333333336</v>
      </c>
      <c r="W1261">
        <v>1</v>
      </c>
      <c r="X1261">
        <v>2.9740625000000001</v>
      </c>
      <c r="Y1261" t="s">
        <v>2542</v>
      </c>
      <c r="Z1261" t="s">
        <v>5672</v>
      </c>
      <c r="AA1261" t="s">
        <v>2927</v>
      </c>
      <c r="AB1261" t="s">
        <v>1278</v>
      </c>
      <c r="AC1261" t="s">
        <v>5673</v>
      </c>
      <c r="AD1261" t="s">
        <v>2708</v>
      </c>
      <c r="AE1261">
        <v>1</v>
      </c>
      <c r="AO1261" t="s">
        <v>2547</v>
      </c>
      <c r="AP1261" t="s">
        <v>2401</v>
      </c>
    </row>
    <row r="1262" spans="1:42">
      <c r="A1262" t="s">
        <v>5674</v>
      </c>
      <c r="B1262" t="s">
        <v>2389</v>
      </c>
      <c r="C1262" t="s">
        <v>2390</v>
      </c>
      <c r="D1262" t="s">
        <v>2379</v>
      </c>
      <c r="E1262" t="s">
        <v>33</v>
      </c>
      <c r="F1262" t="s">
        <v>2541</v>
      </c>
      <c r="G1262" t="s">
        <v>33</v>
      </c>
      <c r="H1262" t="b">
        <v>1</v>
      </c>
      <c r="I1262" s="8">
        <v>45933.408692129633</v>
      </c>
      <c r="J1262" t="s">
        <v>2380</v>
      </c>
      <c r="K1262">
        <v>1200009</v>
      </c>
      <c r="L1262">
        <v>608816</v>
      </c>
      <c r="M1262" t="s">
        <v>2381</v>
      </c>
      <c r="P1262" t="s">
        <v>2548</v>
      </c>
      <c r="Q1262" t="s">
        <v>2383</v>
      </c>
      <c r="R1262">
        <v>1</v>
      </c>
      <c r="S1262" t="s">
        <v>2380</v>
      </c>
      <c r="T1262" t="s">
        <v>2383</v>
      </c>
      <c r="U1262" s="8">
        <v>45930.601400462961</v>
      </c>
      <c r="V1262" s="8">
        <v>45933.958333333336</v>
      </c>
      <c r="W1262">
        <v>1</v>
      </c>
      <c r="X1262">
        <v>2.8072916669999999</v>
      </c>
      <c r="Y1262" t="s">
        <v>2542</v>
      </c>
      <c r="Z1262" t="s">
        <v>5675</v>
      </c>
      <c r="AA1262" t="s">
        <v>2568</v>
      </c>
      <c r="AB1262" t="s">
        <v>1278</v>
      </c>
      <c r="AC1262" t="s">
        <v>5676</v>
      </c>
      <c r="AD1262" t="s">
        <v>2708</v>
      </c>
      <c r="AE1262">
        <v>1</v>
      </c>
      <c r="AO1262" t="s">
        <v>2547</v>
      </c>
      <c r="AP1262" t="s">
        <v>2401</v>
      </c>
    </row>
    <row r="1263" spans="1:42">
      <c r="A1263" t="s">
        <v>5315</v>
      </c>
      <c r="B1263" t="s">
        <v>2389</v>
      </c>
      <c r="C1263" t="s">
        <v>2390</v>
      </c>
      <c r="D1263" t="s">
        <v>2379</v>
      </c>
      <c r="E1263" t="s">
        <v>2452</v>
      </c>
      <c r="F1263" t="s">
        <v>2402</v>
      </c>
      <c r="G1263" t="s">
        <v>2452</v>
      </c>
      <c r="H1263" t="b">
        <v>1</v>
      </c>
      <c r="I1263" s="8">
        <v>45933.491956018515</v>
      </c>
      <c r="J1263" t="s">
        <v>2380</v>
      </c>
      <c r="K1263">
        <v>1200072</v>
      </c>
      <c r="L1263">
        <v>609839</v>
      </c>
      <c r="M1263" t="s">
        <v>2381</v>
      </c>
      <c r="P1263" t="s">
        <v>2394</v>
      </c>
      <c r="Q1263" t="s">
        <v>2383</v>
      </c>
      <c r="R1263">
        <v>1</v>
      </c>
      <c r="S1263" t="s">
        <v>2380</v>
      </c>
      <c r="T1263" t="s">
        <v>2383</v>
      </c>
      <c r="U1263" s="8">
        <v>45930.601597222223</v>
      </c>
      <c r="V1263" s="8">
        <v>45933.958333333336</v>
      </c>
      <c r="W1263">
        <v>1</v>
      </c>
      <c r="X1263">
        <v>2.8903587960000001</v>
      </c>
      <c r="Y1263" t="s">
        <v>2403</v>
      </c>
      <c r="Z1263" t="s">
        <v>5316</v>
      </c>
      <c r="AA1263" t="s">
        <v>2760</v>
      </c>
      <c r="AB1263" t="s">
        <v>1278</v>
      </c>
      <c r="AC1263" t="s">
        <v>5317</v>
      </c>
      <c r="AD1263" t="s">
        <v>2708</v>
      </c>
      <c r="AE1263">
        <v>1</v>
      </c>
      <c r="AO1263" t="s">
        <v>2408</v>
      </c>
      <c r="AP1263" t="s">
        <v>2401</v>
      </c>
    </row>
    <row r="1264" spans="1:42">
      <c r="A1264" t="s">
        <v>4237</v>
      </c>
      <c r="B1264" t="s">
        <v>2389</v>
      </c>
      <c r="C1264" t="s">
        <v>2390</v>
      </c>
      <c r="D1264" t="s">
        <v>2379</v>
      </c>
      <c r="E1264" t="s">
        <v>33</v>
      </c>
      <c r="F1264" t="s">
        <v>2477</v>
      </c>
      <c r="G1264" t="s">
        <v>33</v>
      </c>
      <c r="H1264" t="b">
        <v>1</v>
      </c>
      <c r="I1264" s="8">
        <v>45933.365937499999</v>
      </c>
      <c r="J1264" t="s">
        <v>2380</v>
      </c>
      <c r="K1264">
        <v>1199997</v>
      </c>
      <c r="L1264">
        <v>603944</v>
      </c>
      <c r="M1264" t="s">
        <v>2381</v>
      </c>
      <c r="P1264" t="s">
        <v>2394</v>
      </c>
      <c r="Q1264" t="s">
        <v>2383</v>
      </c>
      <c r="R1264">
        <v>1</v>
      </c>
      <c r="S1264" t="s">
        <v>2380</v>
      </c>
      <c r="T1264" t="s">
        <v>2383</v>
      </c>
      <c r="U1264" s="8">
        <v>45930.603032407409</v>
      </c>
      <c r="V1264" s="8">
        <v>45933.958333333336</v>
      </c>
      <c r="W1264">
        <v>1</v>
      </c>
      <c r="X1264">
        <v>2.7629050930000001</v>
      </c>
      <c r="Y1264" t="s">
        <v>2403</v>
      </c>
      <c r="Z1264" t="s">
        <v>4238</v>
      </c>
      <c r="AA1264" t="s">
        <v>1745</v>
      </c>
      <c r="AB1264" t="s">
        <v>1278</v>
      </c>
      <c r="AC1264" t="s">
        <v>4239</v>
      </c>
      <c r="AD1264" t="s">
        <v>2708</v>
      </c>
      <c r="AE1264">
        <v>1</v>
      </c>
      <c r="AO1264" t="s">
        <v>2408</v>
      </c>
      <c r="AP1264" t="s">
        <v>2401</v>
      </c>
    </row>
    <row r="1265" spans="1:42">
      <c r="A1265" t="s">
        <v>5677</v>
      </c>
      <c r="B1265" t="s">
        <v>2389</v>
      </c>
      <c r="C1265" t="s">
        <v>2390</v>
      </c>
      <c r="D1265" t="s">
        <v>2379</v>
      </c>
      <c r="E1265" t="s">
        <v>33</v>
      </c>
      <c r="F1265" t="s">
        <v>2541</v>
      </c>
      <c r="G1265" t="s">
        <v>33</v>
      </c>
      <c r="H1265" t="b">
        <v>1</v>
      </c>
      <c r="I1265" s="8">
        <v>45933.477858796294</v>
      </c>
      <c r="J1265" t="s">
        <v>2380</v>
      </c>
      <c r="K1265">
        <v>1200061</v>
      </c>
      <c r="L1265">
        <v>601104</v>
      </c>
      <c r="M1265" t="s">
        <v>2381</v>
      </c>
      <c r="P1265" t="s">
        <v>2548</v>
      </c>
      <c r="Q1265" t="s">
        <v>2383</v>
      </c>
      <c r="R1265">
        <v>1</v>
      </c>
      <c r="S1265" t="s">
        <v>2380</v>
      </c>
      <c r="T1265" t="s">
        <v>2383</v>
      </c>
      <c r="U1265" s="8">
        <v>45930.604131944441</v>
      </c>
      <c r="V1265" s="8">
        <v>45933.958333333336</v>
      </c>
      <c r="W1265">
        <v>1</v>
      </c>
      <c r="X1265">
        <v>2.8737268519999999</v>
      </c>
      <c r="Y1265" t="s">
        <v>2542</v>
      </c>
      <c r="Z1265" t="s">
        <v>5678</v>
      </c>
      <c r="AA1265" t="s">
        <v>3174</v>
      </c>
      <c r="AB1265" t="s">
        <v>1278</v>
      </c>
      <c r="AC1265" t="s">
        <v>5679</v>
      </c>
      <c r="AD1265" t="s">
        <v>2708</v>
      </c>
      <c r="AE1265">
        <v>1</v>
      </c>
      <c r="AO1265" t="s">
        <v>2547</v>
      </c>
      <c r="AP1265" t="s">
        <v>2401</v>
      </c>
    </row>
    <row r="1266" spans="1:42">
      <c r="A1266" t="s">
        <v>7789</v>
      </c>
      <c r="B1266" t="s">
        <v>2389</v>
      </c>
      <c r="C1266" t="s">
        <v>2390</v>
      </c>
      <c r="D1266" t="s">
        <v>2379</v>
      </c>
      <c r="E1266" t="s">
        <v>2452</v>
      </c>
      <c r="F1266" t="s">
        <v>4768</v>
      </c>
      <c r="G1266" t="s">
        <v>2452</v>
      </c>
      <c r="H1266" t="b">
        <v>1</v>
      </c>
      <c r="I1266" s="8">
        <v>45933.385034722225</v>
      </c>
      <c r="J1266" t="s">
        <v>2380</v>
      </c>
      <c r="K1266">
        <v>1199999</v>
      </c>
      <c r="L1266">
        <v>602738</v>
      </c>
      <c r="M1266" t="s">
        <v>2381</v>
      </c>
      <c r="P1266" t="s">
        <v>2394</v>
      </c>
      <c r="Q1266" t="s">
        <v>2383</v>
      </c>
      <c r="R1266">
        <v>1</v>
      </c>
      <c r="S1266" t="s">
        <v>2380</v>
      </c>
      <c r="T1266" t="s">
        <v>2383</v>
      </c>
      <c r="U1266" s="8">
        <v>45930.60533564815</v>
      </c>
      <c r="V1266" s="8">
        <v>45933.958333333336</v>
      </c>
      <c r="W1266">
        <v>1</v>
      </c>
      <c r="X1266">
        <v>2.7796990739999998</v>
      </c>
      <c r="Y1266" t="s">
        <v>4769</v>
      </c>
      <c r="Z1266" t="s">
        <v>7790</v>
      </c>
      <c r="AA1266" t="s">
        <v>4772</v>
      </c>
      <c r="AB1266" t="s">
        <v>1278</v>
      </c>
      <c r="AC1266" t="s">
        <v>7791</v>
      </c>
      <c r="AD1266" t="s">
        <v>2708</v>
      </c>
      <c r="AE1266">
        <v>1</v>
      </c>
      <c r="AO1266" t="s">
        <v>2957</v>
      </c>
      <c r="AP1266" t="s">
        <v>2401</v>
      </c>
    </row>
    <row r="1267" spans="1:42">
      <c r="A1267" t="s">
        <v>5680</v>
      </c>
      <c r="B1267" t="s">
        <v>2389</v>
      </c>
      <c r="C1267" t="s">
        <v>2390</v>
      </c>
      <c r="D1267" t="s">
        <v>2379</v>
      </c>
      <c r="E1267" t="s">
        <v>33</v>
      </c>
      <c r="F1267" t="s">
        <v>2541</v>
      </c>
      <c r="G1267" t="s">
        <v>33</v>
      </c>
      <c r="H1267" t="b">
        <v>1</v>
      </c>
      <c r="I1267" s="8">
        <v>45933.458680555559</v>
      </c>
      <c r="J1267" t="s">
        <v>2380</v>
      </c>
      <c r="K1267">
        <v>1200051</v>
      </c>
      <c r="L1267">
        <v>601104</v>
      </c>
      <c r="M1267" t="s">
        <v>2381</v>
      </c>
      <c r="P1267" t="s">
        <v>2548</v>
      </c>
      <c r="Q1267" t="s">
        <v>2383</v>
      </c>
      <c r="R1267">
        <v>1</v>
      </c>
      <c r="S1267" t="s">
        <v>2380</v>
      </c>
      <c r="T1267" t="s">
        <v>2383</v>
      </c>
      <c r="U1267" s="8">
        <v>45930.607708333337</v>
      </c>
      <c r="V1267" s="8">
        <v>45933.958333333336</v>
      </c>
      <c r="W1267">
        <v>1</v>
      </c>
      <c r="X1267">
        <v>2.8509722219999998</v>
      </c>
      <c r="Y1267" t="s">
        <v>2542</v>
      </c>
      <c r="Z1267" t="s">
        <v>5681</v>
      </c>
      <c r="AA1267" t="s">
        <v>3174</v>
      </c>
      <c r="AB1267" t="s">
        <v>1278</v>
      </c>
      <c r="AC1267" t="s">
        <v>5682</v>
      </c>
      <c r="AD1267" t="s">
        <v>2708</v>
      </c>
      <c r="AE1267">
        <v>1</v>
      </c>
      <c r="AO1267" t="s">
        <v>2547</v>
      </c>
      <c r="AP1267" t="s">
        <v>2401</v>
      </c>
    </row>
    <row r="1268" spans="1:42">
      <c r="A1268" t="s">
        <v>5683</v>
      </c>
      <c r="B1268" t="s">
        <v>2389</v>
      </c>
      <c r="C1268" t="s">
        <v>2390</v>
      </c>
      <c r="D1268" t="s">
        <v>2379</v>
      </c>
      <c r="E1268" t="s">
        <v>33</v>
      </c>
      <c r="F1268" t="s">
        <v>2541</v>
      </c>
      <c r="G1268" t="s">
        <v>33</v>
      </c>
      <c r="H1268" t="b">
        <v>1</v>
      </c>
      <c r="I1268" s="8">
        <v>45933.474594907406</v>
      </c>
      <c r="J1268" t="s">
        <v>2380</v>
      </c>
      <c r="K1268">
        <v>1200059</v>
      </c>
      <c r="L1268">
        <v>601104</v>
      </c>
      <c r="M1268" t="s">
        <v>2381</v>
      </c>
      <c r="P1268" t="s">
        <v>2548</v>
      </c>
      <c r="Q1268" t="s">
        <v>2383</v>
      </c>
      <c r="R1268">
        <v>1</v>
      </c>
      <c r="S1268" t="s">
        <v>2380</v>
      </c>
      <c r="T1268" t="s">
        <v>2383</v>
      </c>
      <c r="U1268" s="8">
        <v>45930.610636574071</v>
      </c>
      <c r="V1268" s="8">
        <v>45933.958333333336</v>
      </c>
      <c r="W1268">
        <v>1</v>
      </c>
      <c r="X1268">
        <v>2.8639583329999998</v>
      </c>
      <c r="Y1268" t="s">
        <v>2542</v>
      </c>
      <c r="Z1268" t="s">
        <v>5684</v>
      </c>
      <c r="AA1268" t="s">
        <v>3174</v>
      </c>
      <c r="AB1268" t="s">
        <v>1278</v>
      </c>
      <c r="AC1268" t="s">
        <v>5685</v>
      </c>
      <c r="AD1268" t="s">
        <v>2708</v>
      </c>
      <c r="AE1268">
        <v>1</v>
      </c>
      <c r="AO1268" t="s">
        <v>2547</v>
      </c>
      <c r="AP1268" t="s">
        <v>2401</v>
      </c>
    </row>
    <row r="1269" spans="1:42">
      <c r="A1269" t="s">
        <v>5686</v>
      </c>
      <c r="B1269" t="s">
        <v>2389</v>
      </c>
      <c r="C1269" t="s">
        <v>2415</v>
      </c>
      <c r="D1269" t="s">
        <v>2379</v>
      </c>
      <c r="E1269" t="s">
        <v>33</v>
      </c>
      <c r="F1269" t="s">
        <v>2541</v>
      </c>
      <c r="G1269" t="s">
        <v>33</v>
      </c>
      <c r="H1269" t="b">
        <v>1</v>
      </c>
      <c r="I1269" s="8">
        <v>45932.401979166665</v>
      </c>
      <c r="J1269" t="s">
        <v>2380</v>
      </c>
      <c r="K1269">
        <v>1199803</v>
      </c>
      <c r="L1269">
        <v>602299</v>
      </c>
      <c r="M1269" t="s">
        <v>2381</v>
      </c>
      <c r="P1269" t="s">
        <v>2548</v>
      </c>
      <c r="Q1269" t="s">
        <v>2383</v>
      </c>
      <c r="R1269">
        <v>1</v>
      </c>
      <c r="S1269" t="s">
        <v>2380</v>
      </c>
      <c r="T1269" t="s">
        <v>2383</v>
      </c>
      <c r="U1269" s="8">
        <v>45930.612662037034</v>
      </c>
      <c r="V1269" s="8">
        <v>45933.958333333336</v>
      </c>
      <c r="W1269">
        <v>1</v>
      </c>
      <c r="X1269">
        <v>1.7893171299999999</v>
      </c>
      <c r="Y1269" t="s">
        <v>2542</v>
      </c>
      <c r="Z1269" t="s">
        <v>5687</v>
      </c>
      <c r="AA1269" t="s">
        <v>2927</v>
      </c>
      <c r="AB1269" t="s">
        <v>1278</v>
      </c>
      <c r="AC1269" t="s">
        <v>5688</v>
      </c>
      <c r="AD1269" t="s">
        <v>2708</v>
      </c>
      <c r="AE1269">
        <v>1</v>
      </c>
      <c r="AO1269" t="s">
        <v>2547</v>
      </c>
      <c r="AP1269" t="s">
        <v>2401</v>
      </c>
    </row>
    <row r="1270" spans="1:42">
      <c r="A1270" t="s">
        <v>9035</v>
      </c>
      <c r="B1270" t="s">
        <v>2389</v>
      </c>
      <c r="C1270" t="s">
        <v>2415</v>
      </c>
      <c r="D1270" t="s">
        <v>2379</v>
      </c>
      <c r="E1270" t="s">
        <v>25</v>
      </c>
      <c r="F1270" t="s">
        <v>2541</v>
      </c>
      <c r="G1270" t="s">
        <v>25</v>
      </c>
      <c r="H1270" t="b">
        <v>1</v>
      </c>
      <c r="I1270" s="8">
        <v>45932.598113425927</v>
      </c>
      <c r="J1270" t="s">
        <v>2380</v>
      </c>
      <c r="K1270">
        <v>1199781</v>
      </c>
      <c r="L1270">
        <v>602299</v>
      </c>
      <c r="M1270" t="s">
        <v>2381</v>
      </c>
      <c r="N1270">
        <v>5</v>
      </c>
      <c r="P1270" t="s">
        <v>2548</v>
      </c>
      <c r="Q1270" t="s">
        <v>2383</v>
      </c>
      <c r="R1270">
        <v>1</v>
      </c>
      <c r="S1270" t="s">
        <v>2380</v>
      </c>
      <c r="T1270" t="s">
        <v>2383</v>
      </c>
      <c r="U1270" s="8">
        <v>45930.615474537037</v>
      </c>
      <c r="V1270" s="8">
        <v>45933.958333333336</v>
      </c>
      <c r="W1270">
        <v>1</v>
      </c>
      <c r="X1270">
        <v>1.982638889</v>
      </c>
      <c r="Y1270" t="s">
        <v>2542</v>
      </c>
      <c r="Z1270" t="s">
        <v>9036</v>
      </c>
      <c r="AA1270" t="s">
        <v>2927</v>
      </c>
      <c r="AB1270" t="s">
        <v>1278</v>
      </c>
      <c r="AC1270" t="s">
        <v>9037</v>
      </c>
      <c r="AD1270" t="s">
        <v>2708</v>
      </c>
      <c r="AE1270">
        <v>1</v>
      </c>
      <c r="AH1270" t="s">
        <v>33</v>
      </c>
      <c r="AI1270" s="8">
        <v>45932.594270833331</v>
      </c>
      <c r="AK1270" t="s">
        <v>2719</v>
      </c>
      <c r="AL1270" t="s">
        <v>2719</v>
      </c>
      <c r="AO1270" t="s">
        <v>2547</v>
      </c>
      <c r="AP1270" t="s">
        <v>2401</v>
      </c>
    </row>
    <row r="1271" spans="1:42">
      <c r="A1271" t="s">
        <v>4240</v>
      </c>
      <c r="B1271" t="s">
        <v>2389</v>
      </c>
      <c r="C1271" t="s">
        <v>2390</v>
      </c>
      <c r="D1271" t="s">
        <v>2379</v>
      </c>
      <c r="E1271" t="s">
        <v>33</v>
      </c>
      <c r="F1271" t="s">
        <v>2402</v>
      </c>
      <c r="G1271" t="s">
        <v>33</v>
      </c>
      <c r="H1271" t="b">
        <v>1</v>
      </c>
      <c r="I1271" s="8">
        <v>45933.470243055555</v>
      </c>
      <c r="J1271" t="s">
        <v>2380</v>
      </c>
      <c r="K1271">
        <v>1200015</v>
      </c>
      <c r="L1271">
        <v>609839</v>
      </c>
      <c r="M1271" t="s">
        <v>2381</v>
      </c>
      <c r="P1271" t="s">
        <v>2394</v>
      </c>
      <c r="Q1271" t="s">
        <v>2383</v>
      </c>
      <c r="R1271">
        <v>1</v>
      </c>
      <c r="S1271" t="s">
        <v>2380</v>
      </c>
      <c r="T1271" t="s">
        <v>2383</v>
      </c>
      <c r="U1271" s="8">
        <v>45930.615856481483</v>
      </c>
      <c r="V1271" s="8">
        <v>45933.958333333336</v>
      </c>
      <c r="W1271">
        <v>1</v>
      </c>
      <c r="X1271">
        <v>2.8543865739999998</v>
      </c>
      <c r="Y1271" t="s">
        <v>2403</v>
      </c>
      <c r="Z1271" t="s">
        <v>4241</v>
      </c>
      <c r="AA1271" t="s">
        <v>2760</v>
      </c>
      <c r="AB1271" t="s">
        <v>1278</v>
      </c>
      <c r="AC1271" t="s">
        <v>4242</v>
      </c>
      <c r="AD1271" t="s">
        <v>2708</v>
      </c>
      <c r="AE1271">
        <v>1</v>
      </c>
      <c r="AO1271" t="s">
        <v>2408</v>
      </c>
      <c r="AP1271" t="s">
        <v>2401</v>
      </c>
    </row>
    <row r="1272" spans="1:42">
      <c r="A1272" t="s">
        <v>5145</v>
      </c>
      <c r="B1272" t="s">
        <v>2389</v>
      </c>
      <c r="C1272" t="s">
        <v>2390</v>
      </c>
      <c r="D1272" t="s">
        <v>2379</v>
      </c>
      <c r="E1272" t="s">
        <v>12</v>
      </c>
      <c r="F1272" t="s">
        <v>5085</v>
      </c>
      <c r="G1272" t="s">
        <v>12</v>
      </c>
      <c r="H1272" t="b">
        <v>1</v>
      </c>
      <c r="I1272" s="8">
        <v>45933.573425925926</v>
      </c>
      <c r="J1272" t="s">
        <v>2380</v>
      </c>
      <c r="K1272">
        <v>1200127</v>
      </c>
      <c r="L1272">
        <v>602945</v>
      </c>
      <c r="M1272" t="s">
        <v>2381</v>
      </c>
      <c r="P1272" t="s">
        <v>5107</v>
      </c>
      <c r="Q1272" t="s">
        <v>2383</v>
      </c>
      <c r="R1272">
        <v>1</v>
      </c>
      <c r="S1272" t="s">
        <v>2380</v>
      </c>
      <c r="T1272" t="s">
        <v>5117</v>
      </c>
      <c r="U1272" s="8">
        <v>45930.616365740738</v>
      </c>
      <c r="V1272" s="8">
        <v>45933.958333333336</v>
      </c>
      <c r="W1272">
        <v>1</v>
      </c>
      <c r="X1272">
        <v>2.957060185</v>
      </c>
      <c r="Y1272" t="s">
        <v>5087</v>
      </c>
      <c r="Z1272" t="s">
        <v>5146</v>
      </c>
      <c r="AA1272" t="s">
        <v>5090</v>
      </c>
      <c r="AB1272" t="s">
        <v>1278</v>
      </c>
      <c r="AC1272" t="s">
        <v>5147</v>
      </c>
      <c r="AD1272" t="s">
        <v>2708</v>
      </c>
      <c r="AE1272">
        <v>1</v>
      </c>
      <c r="AO1272" t="s">
        <v>2720</v>
      </c>
      <c r="AP1272" t="s">
        <v>2401</v>
      </c>
    </row>
    <row r="1273" spans="1:42">
      <c r="A1273" t="s">
        <v>6221</v>
      </c>
      <c r="B1273" t="s">
        <v>2389</v>
      </c>
      <c r="C1273" t="s">
        <v>2415</v>
      </c>
      <c r="D1273" t="s">
        <v>2379</v>
      </c>
      <c r="E1273" t="s">
        <v>25</v>
      </c>
      <c r="F1273" t="s">
        <v>2541</v>
      </c>
      <c r="G1273" t="s">
        <v>25</v>
      </c>
      <c r="H1273" t="b">
        <v>1</v>
      </c>
      <c r="I1273" s="8">
        <v>45931.729108796295</v>
      </c>
      <c r="J1273" t="s">
        <v>2380</v>
      </c>
      <c r="K1273">
        <v>1199782</v>
      </c>
      <c r="L1273">
        <v>602299</v>
      </c>
      <c r="M1273" t="s">
        <v>2381</v>
      </c>
      <c r="N1273">
        <v>5</v>
      </c>
      <c r="P1273" t="s">
        <v>2548</v>
      </c>
      <c r="Q1273" t="s">
        <v>2383</v>
      </c>
      <c r="R1273">
        <v>1</v>
      </c>
      <c r="S1273" t="s">
        <v>2380</v>
      </c>
      <c r="T1273" t="s">
        <v>2383</v>
      </c>
      <c r="U1273" s="8">
        <v>45930.619108796294</v>
      </c>
      <c r="V1273" s="8">
        <v>45933.958333333336</v>
      </c>
      <c r="W1273">
        <v>1</v>
      </c>
      <c r="X1273">
        <v>1.1100000000000001</v>
      </c>
      <c r="Y1273" t="s">
        <v>2542</v>
      </c>
      <c r="Z1273" t="s">
        <v>6222</v>
      </c>
      <c r="AA1273" t="s">
        <v>2927</v>
      </c>
      <c r="AB1273" t="s">
        <v>1278</v>
      </c>
      <c r="AC1273" t="s">
        <v>6223</v>
      </c>
      <c r="AD1273" t="s">
        <v>2708</v>
      </c>
      <c r="AE1273">
        <v>1</v>
      </c>
      <c r="AO1273" t="s">
        <v>2547</v>
      </c>
      <c r="AP1273" t="s">
        <v>2401</v>
      </c>
    </row>
    <row r="1274" spans="1:42">
      <c r="A1274" t="s">
        <v>5521</v>
      </c>
      <c r="B1274" t="s">
        <v>2389</v>
      </c>
      <c r="C1274" t="s">
        <v>2415</v>
      </c>
      <c r="D1274" t="s">
        <v>2379</v>
      </c>
      <c r="E1274" t="s">
        <v>25</v>
      </c>
      <c r="F1274" t="s">
        <v>2402</v>
      </c>
      <c r="G1274" t="s">
        <v>25</v>
      </c>
      <c r="H1274" t="b">
        <v>1</v>
      </c>
      <c r="I1274" s="8">
        <v>45931.739479166667</v>
      </c>
      <c r="J1274" t="s">
        <v>2380</v>
      </c>
      <c r="K1274">
        <v>1199786</v>
      </c>
      <c r="L1274">
        <v>609839</v>
      </c>
      <c r="M1274" t="s">
        <v>2381</v>
      </c>
      <c r="N1274">
        <v>5</v>
      </c>
      <c r="P1274" t="s">
        <v>2394</v>
      </c>
      <c r="Q1274" t="s">
        <v>2383</v>
      </c>
      <c r="R1274">
        <v>1</v>
      </c>
      <c r="S1274" t="s">
        <v>2380</v>
      </c>
      <c r="T1274" t="s">
        <v>2383</v>
      </c>
      <c r="U1274" s="8">
        <v>45930.620092592595</v>
      </c>
      <c r="V1274" s="8">
        <v>45933.958333333336</v>
      </c>
      <c r="W1274">
        <v>1</v>
      </c>
      <c r="X1274">
        <v>1.119386574</v>
      </c>
      <c r="Y1274" t="s">
        <v>2403</v>
      </c>
      <c r="Z1274" t="s">
        <v>5522</v>
      </c>
      <c r="AA1274" t="s">
        <v>2760</v>
      </c>
      <c r="AB1274" t="s">
        <v>1278</v>
      </c>
      <c r="AC1274" t="s">
        <v>5523</v>
      </c>
      <c r="AD1274" t="s">
        <v>2708</v>
      </c>
      <c r="AE1274">
        <v>1</v>
      </c>
      <c r="AO1274" t="s">
        <v>2408</v>
      </c>
      <c r="AP1274" t="s">
        <v>2401</v>
      </c>
    </row>
    <row r="1275" spans="1:42">
      <c r="A1275" t="s">
        <v>4014</v>
      </c>
      <c r="B1275" t="s">
        <v>2389</v>
      </c>
      <c r="C1275" t="s">
        <v>2390</v>
      </c>
      <c r="D1275" t="s">
        <v>2379</v>
      </c>
      <c r="E1275" t="s">
        <v>33</v>
      </c>
      <c r="F1275" t="s">
        <v>3747</v>
      </c>
      <c r="G1275" t="s">
        <v>33</v>
      </c>
      <c r="H1275" t="b">
        <v>1</v>
      </c>
      <c r="I1275" s="8">
        <v>45933.441157407404</v>
      </c>
      <c r="J1275" t="s">
        <v>2380</v>
      </c>
      <c r="K1275">
        <v>1200039</v>
      </c>
      <c r="L1275">
        <v>602272</v>
      </c>
      <c r="M1275" t="s">
        <v>2381</v>
      </c>
      <c r="P1275" t="s">
        <v>2394</v>
      </c>
      <c r="Q1275" t="s">
        <v>2383</v>
      </c>
      <c r="R1275">
        <v>1</v>
      </c>
      <c r="S1275" t="s">
        <v>2380</v>
      </c>
      <c r="T1275" t="s">
        <v>2383</v>
      </c>
      <c r="U1275" s="8">
        <v>45930.620821759258</v>
      </c>
      <c r="V1275" s="8">
        <v>45933.958333333336</v>
      </c>
      <c r="W1275">
        <v>1</v>
      </c>
      <c r="X1275">
        <v>2.8203356479999999</v>
      </c>
      <c r="Y1275" t="s">
        <v>3748</v>
      </c>
      <c r="Z1275" t="s">
        <v>4015</v>
      </c>
      <c r="AA1275" t="s">
        <v>3824</v>
      </c>
      <c r="AB1275" t="s">
        <v>1278</v>
      </c>
      <c r="AC1275" t="s">
        <v>4016</v>
      </c>
      <c r="AD1275" t="s">
        <v>2708</v>
      </c>
      <c r="AE1275">
        <v>1</v>
      </c>
      <c r="AO1275" t="s">
        <v>2712</v>
      </c>
      <c r="AP1275" t="s">
        <v>2401</v>
      </c>
    </row>
    <row r="1276" spans="1:42">
      <c r="A1276" t="s">
        <v>6224</v>
      </c>
      <c r="B1276" t="s">
        <v>2389</v>
      </c>
      <c r="C1276" t="s">
        <v>2415</v>
      </c>
      <c r="D1276" t="s">
        <v>2379</v>
      </c>
      <c r="E1276" t="s">
        <v>25</v>
      </c>
      <c r="F1276" t="s">
        <v>2541</v>
      </c>
      <c r="G1276" t="s">
        <v>25</v>
      </c>
      <c r="H1276" t="b">
        <v>1</v>
      </c>
      <c r="I1276" s="8">
        <v>45931.703067129631</v>
      </c>
      <c r="J1276" t="s">
        <v>2380</v>
      </c>
      <c r="K1276">
        <v>1199776</v>
      </c>
      <c r="L1276">
        <v>602299</v>
      </c>
      <c r="M1276" t="s">
        <v>2381</v>
      </c>
      <c r="N1276">
        <v>5</v>
      </c>
      <c r="P1276" t="s">
        <v>2548</v>
      </c>
      <c r="Q1276" t="s">
        <v>2383</v>
      </c>
      <c r="R1276">
        <v>1</v>
      </c>
      <c r="S1276" t="s">
        <v>2380</v>
      </c>
      <c r="T1276" t="s">
        <v>2383</v>
      </c>
      <c r="U1276" s="8">
        <v>45930.621122685188</v>
      </c>
      <c r="V1276" s="8">
        <v>45933.958333333336</v>
      </c>
      <c r="W1276">
        <v>1</v>
      </c>
      <c r="X1276">
        <v>1.0819444439999999</v>
      </c>
      <c r="Y1276" t="s">
        <v>2542</v>
      </c>
      <c r="Z1276" t="s">
        <v>6225</v>
      </c>
      <c r="AA1276" t="s">
        <v>2927</v>
      </c>
      <c r="AB1276" t="s">
        <v>1278</v>
      </c>
      <c r="AC1276" t="s">
        <v>6226</v>
      </c>
      <c r="AD1276" t="s">
        <v>2708</v>
      </c>
      <c r="AE1276">
        <v>1</v>
      </c>
      <c r="AO1276" t="s">
        <v>2547</v>
      </c>
      <c r="AP1276" t="s">
        <v>2401</v>
      </c>
    </row>
    <row r="1277" spans="1:42">
      <c r="A1277" t="s">
        <v>5689</v>
      </c>
      <c r="B1277" t="s">
        <v>2389</v>
      </c>
      <c r="C1277" t="s">
        <v>2390</v>
      </c>
      <c r="D1277" t="s">
        <v>2379</v>
      </c>
      <c r="E1277" t="s">
        <v>33</v>
      </c>
      <c r="F1277" t="s">
        <v>2541</v>
      </c>
      <c r="G1277" t="s">
        <v>33</v>
      </c>
      <c r="H1277" t="b">
        <v>1</v>
      </c>
      <c r="I1277" s="8">
        <v>45933.398692129631</v>
      </c>
      <c r="J1277" t="s">
        <v>2380</v>
      </c>
      <c r="K1277">
        <v>1200002</v>
      </c>
      <c r="L1277">
        <v>602299</v>
      </c>
      <c r="M1277" t="s">
        <v>2381</v>
      </c>
      <c r="P1277" t="s">
        <v>2548</v>
      </c>
      <c r="Q1277" t="s">
        <v>2383</v>
      </c>
      <c r="R1277">
        <v>1</v>
      </c>
      <c r="S1277" t="s">
        <v>2380</v>
      </c>
      <c r="T1277" t="s">
        <v>2383</v>
      </c>
      <c r="U1277" s="8">
        <v>45930.628368055557</v>
      </c>
      <c r="V1277" s="8">
        <v>45933.958333333336</v>
      </c>
      <c r="W1277">
        <v>1</v>
      </c>
      <c r="X1277">
        <v>2.7703240739999999</v>
      </c>
      <c r="Y1277" t="s">
        <v>2542</v>
      </c>
      <c r="Z1277" t="s">
        <v>5690</v>
      </c>
      <c r="AA1277" t="s">
        <v>2927</v>
      </c>
      <c r="AB1277" t="s">
        <v>1278</v>
      </c>
      <c r="AC1277" t="s">
        <v>5691</v>
      </c>
      <c r="AD1277" t="s">
        <v>2708</v>
      </c>
      <c r="AE1277">
        <v>1</v>
      </c>
      <c r="AO1277" t="s">
        <v>2547</v>
      </c>
      <c r="AP1277" t="s">
        <v>2401</v>
      </c>
    </row>
    <row r="1278" spans="1:42">
      <c r="A1278" t="s">
        <v>6227</v>
      </c>
      <c r="B1278" t="s">
        <v>2389</v>
      </c>
      <c r="C1278" t="s">
        <v>2415</v>
      </c>
      <c r="D1278" t="s">
        <v>2379</v>
      </c>
      <c r="E1278" t="s">
        <v>25</v>
      </c>
      <c r="F1278" t="s">
        <v>2541</v>
      </c>
      <c r="G1278" t="s">
        <v>25</v>
      </c>
      <c r="H1278" t="b">
        <v>1</v>
      </c>
      <c r="I1278" s="8">
        <v>45931.73065972222</v>
      </c>
      <c r="J1278" t="s">
        <v>2380</v>
      </c>
      <c r="K1278">
        <v>1199783</v>
      </c>
      <c r="L1278">
        <v>602299</v>
      </c>
      <c r="M1278" t="s">
        <v>2381</v>
      </c>
      <c r="N1278">
        <v>5</v>
      </c>
      <c r="P1278" t="s">
        <v>2548</v>
      </c>
      <c r="Q1278" t="s">
        <v>2383</v>
      </c>
      <c r="R1278">
        <v>1</v>
      </c>
      <c r="S1278" t="s">
        <v>2380</v>
      </c>
      <c r="T1278" t="s">
        <v>2383</v>
      </c>
      <c r="U1278" s="8">
        <v>45930.631261574075</v>
      </c>
      <c r="V1278" s="8">
        <v>45933.958333333336</v>
      </c>
      <c r="W1278">
        <v>1</v>
      </c>
      <c r="X1278">
        <v>1.0993981479999999</v>
      </c>
      <c r="Y1278" t="s">
        <v>2542</v>
      </c>
      <c r="Z1278" t="s">
        <v>6228</v>
      </c>
      <c r="AA1278" t="s">
        <v>2927</v>
      </c>
      <c r="AB1278" t="s">
        <v>1278</v>
      </c>
      <c r="AC1278" t="s">
        <v>6229</v>
      </c>
      <c r="AD1278" t="s">
        <v>2708</v>
      </c>
      <c r="AE1278">
        <v>1</v>
      </c>
      <c r="AO1278" t="s">
        <v>2547</v>
      </c>
      <c r="AP1278" t="s">
        <v>2401</v>
      </c>
    </row>
    <row r="1279" spans="1:42">
      <c r="A1279" t="s">
        <v>5692</v>
      </c>
      <c r="B1279" t="s">
        <v>2389</v>
      </c>
      <c r="C1279" t="s">
        <v>2390</v>
      </c>
      <c r="D1279" t="s">
        <v>2379</v>
      </c>
      <c r="E1279" t="s">
        <v>33</v>
      </c>
      <c r="F1279" t="s">
        <v>2541</v>
      </c>
      <c r="G1279" t="s">
        <v>33</v>
      </c>
      <c r="H1279" t="b">
        <v>1</v>
      </c>
      <c r="I1279" s="8">
        <v>45933.401041666664</v>
      </c>
      <c r="J1279" t="s">
        <v>2380</v>
      </c>
      <c r="K1279">
        <v>1200003</v>
      </c>
      <c r="L1279">
        <v>602299</v>
      </c>
      <c r="M1279" t="s">
        <v>2381</v>
      </c>
      <c r="P1279" t="s">
        <v>2548</v>
      </c>
      <c r="Q1279" t="s">
        <v>2383</v>
      </c>
      <c r="R1279">
        <v>1</v>
      </c>
      <c r="S1279" t="s">
        <v>2380</v>
      </c>
      <c r="T1279" t="s">
        <v>2383</v>
      </c>
      <c r="U1279" s="8">
        <v>45930.635520833333</v>
      </c>
      <c r="V1279" s="8">
        <v>45933.958333333336</v>
      </c>
      <c r="W1279">
        <v>1</v>
      </c>
      <c r="X1279">
        <v>2.7655208330000001</v>
      </c>
      <c r="Y1279" t="s">
        <v>2542</v>
      </c>
      <c r="Z1279" t="s">
        <v>5693</v>
      </c>
      <c r="AA1279" t="s">
        <v>2927</v>
      </c>
      <c r="AB1279" t="s">
        <v>1278</v>
      </c>
      <c r="AC1279" t="s">
        <v>5694</v>
      </c>
      <c r="AD1279" t="s">
        <v>2708</v>
      </c>
      <c r="AE1279">
        <v>1</v>
      </c>
      <c r="AO1279" t="s">
        <v>2547</v>
      </c>
      <c r="AP1279" t="s">
        <v>2401</v>
      </c>
    </row>
    <row r="1280" spans="1:42">
      <c r="A1280" t="s">
        <v>6898</v>
      </c>
      <c r="B1280" t="s">
        <v>2389</v>
      </c>
      <c r="C1280" t="s">
        <v>2390</v>
      </c>
      <c r="D1280" t="s">
        <v>2379</v>
      </c>
      <c r="E1280" t="s">
        <v>2452</v>
      </c>
      <c r="F1280" t="s">
        <v>2578</v>
      </c>
      <c r="G1280" t="s">
        <v>2452</v>
      </c>
      <c r="H1280" t="b">
        <v>1</v>
      </c>
      <c r="I1280" s="8">
        <v>45933.482708333337</v>
      </c>
      <c r="J1280" t="s">
        <v>2380</v>
      </c>
      <c r="K1280">
        <v>1200062</v>
      </c>
      <c r="L1280">
        <v>603076</v>
      </c>
      <c r="M1280" t="s">
        <v>2381</v>
      </c>
      <c r="P1280" t="s">
        <v>2394</v>
      </c>
      <c r="Q1280" t="s">
        <v>2383</v>
      </c>
      <c r="R1280">
        <v>1</v>
      </c>
      <c r="S1280" t="s">
        <v>2380</v>
      </c>
      <c r="T1280" t="s">
        <v>2383</v>
      </c>
      <c r="U1280" s="8">
        <v>45930.639502314814</v>
      </c>
      <c r="V1280" s="8">
        <v>45933.958333333336</v>
      </c>
      <c r="W1280">
        <v>1</v>
      </c>
      <c r="X1280">
        <v>2.8432060190000001</v>
      </c>
      <c r="Y1280" t="s">
        <v>2579</v>
      </c>
      <c r="Z1280" t="s">
        <v>6899</v>
      </c>
      <c r="AA1280" t="s">
        <v>4411</v>
      </c>
      <c r="AB1280" t="s">
        <v>1278</v>
      </c>
      <c r="AC1280" t="s">
        <v>6900</v>
      </c>
      <c r="AD1280" t="s">
        <v>2708</v>
      </c>
      <c r="AE1280">
        <v>1</v>
      </c>
      <c r="AO1280" t="s">
        <v>2388</v>
      </c>
      <c r="AP1280" t="s">
        <v>2401</v>
      </c>
    </row>
    <row r="1281" spans="1:42">
      <c r="A1281" t="s">
        <v>1238</v>
      </c>
      <c r="B1281" t="s">
        <v>2377</v>
      </c>
      <c r="C1281" t="s">
        <v>2390</v>
      </c>
      <c r="D1281" t="s">
        <v>2379</v>
      </c>
      <c r="E1281" t="s">
        <v>12</v>
      </c>
      <c r="F1281" t="s">
        <v>2588</v>
      </c>
      <c r="G1281" t="s">
        <v>12</v>
      </c>
      <c r="H1281" t="b">
        <v>1</v>
      </c>
      <c r="I1281" s="8">
        <v>45933.491238425922</v>
      </c>
      <c r="J1281" t="s">
        <v>2380</v>
      </c>
      <c r="L1281">
        <v>603757</v>
      </c>
      <c r="M1281" t="s">
        <v>2381</v>
      </c>
      <c r="P1281" t="s">
        <v>2394</v>
      </c>
      <c r="Q1281" t="s">
        <v>2383</v>
      </c>
      <c r="R1281">
        <v>1</v>
      </c>
      <c r="S1281" t="s">
        <v>2380</v>
      </c>
      <c r="T1281" t="s">
        <v>2383</v>
      </c>
      <c r="U1281" s="8">
        <v>45930.643877314818</v>
      </c>
      <c r="V1281" s="8">
        <v>45933.958333333336</v>
      </c>
      <c r="W1281">
        <v>1</v>
      </c>
      <c r="X1281">
        <v>2.8473611110000001</v>
      </c>
      <c r="Y1281" t="s">
        <v>2579</v>
      </c>
      <c r="Z1281" t="s">
        <v>9751</v>
      </c>
      <c r="AA1281" t="s">
        <v>9752</v>
      </c>
      <c r="AB1281" t="s">
        <v>1278</v>
      </c>
      <c r="AC1281" t="s">
        <v>9753</v>
      </c>
      <c r="AD1281" t="s">
        <v>2708</v>
      </c>
      <c r="AE1281">
        <v>1</v>
      </c>
      <c r="AO1281" t="s">
        <v>3644</v>
      </c>
      <c r="AP1281" t="s">
        <v>2401</v>
      </c>
    </row>
    <row r="1282" spans="1:42">
      <c r="A1282" t="s">
        <v>5695</v>
      </c>
      <c r="B1282" t="s">
        <v>2389</v>
      </c>
      <c r="C1282" t="s">
        <v>2390</v>
      </c>
      <c r="D1282" t="s">
        <v>2379</v>
      </c>
      <c r="E1282" t="s">
        <v>33</v>
      </c>
      <c r="F1282" t="s">
        <v>2541</v>
      </c>
      <c r="G1282" t="s">
        <v>33</v>
      </c>
      <c r="H1282" t="b">
        <v>1</v>
      </c>
      <c r="I1282" s="8">
        <v>45933.578645833331</v>
      </c>
      <c r="J1282" t="s">
        <v>2380</v>
      </c>
      <c r="K1282">
        <v>1200132</v>
      </c>
      <c r="L1282">
        <v>605288</v>
      </c>
      <c r="M1282" t="s">
        <v>2381</v>
      </c>
      <c r="P1282" t="s">
        <v>2548</v>
      </c>
      <c r="Q1282" t="s">
        <v>2383</v>
      </c>
      <c r="R1282">
        <v>1</v>
      </c>
      <c r="S1282" t="s">
        <v>2380</v>
      </c>
      <c r="T1282" t="s">
        <v>2383</v>
      </c>
      <c r="U1282" s="8">
        <v>45930.666967592595</v>
      </c>
      <c r="V1282" s="8">
        <v>45933.958333333336</v>
      </c>
      <c r="W1282">
        <v>1</v>
      </c>
      <c r="X1282">
        <v>2.9116782410000002</v>
      </c>
      <c r="Y1282" t="s">
        <v>2542</v>
      </c>
      <c r="Z1282" t="s">
        <v>5696</v>
      </c>
      <c r="AA1282" t="s">
        <v>3111</v>
      </c>
      <c r="AB1282" t="s">
        <v>1278</v>
      </c>
      <c r="AC1282" t="s">
        <v>5697</v>
      </c>
      <c r="AD1282" t="s">
        <v>2708</v>
      </c>
      <c r="AE1282">
        <v>1</v>
      </c>
      <c r="AO1282" t="s">
        <v>2547</v>
      </c>
      <c r="AP1282" t="s">
        <v>2401</v>
      </c>
    </row>
    <row r="1283" spans="1:42">
      <c r="A1283" t="s">
        <v>7779</v>
      </c>
      <c r="B1283" t="s">
        <v>2389</v>
      </c>
      <c r="C1283" t="s">
        <v>2390</v>
      </c>
      <c r="D1283" t="s">
        <v>2379</v>
      </c>
      <c r="E1283" t="s">
        <v>2452</v>
      </c>
      <c r="F1283" t="s">
        <v>4756</v>
      </c>
      <c r="G1283" t="s">
        <v>2452</v>
      </c>
      <c r="H1283" t="b">
        <v>1</v>
      </c>
      <c r="I1283" s="8">
        <v>45933.399930555555</v>
      </c>
      <c r="J1283" t="s">
        <v>2380</v>
      </c>
      <c r="K1283">
        <v>1200001</v>
      </c>
      <c r="L1283">
        <v>608491</v>
      </c>
      <c r="M1283" t="s">
        <v>2381</v>
      </c>
      <c r="P1283" t="s">
        <v>2394</v>
      </c>
      <c r="Q1283" t="s">
        <v>2383</v>
      </c>
      <c r="R1283">
        <v>1</v>
      </c>
      <c r="S1283" t="s">
        <v>2380</v>
      </c>
      <c r="T1283" t="s">
        <v>2383</v>
      </c>
      <c r="U1283" s="8">
        <v>45930.667488425926</v>
      </c>
      <c r="V1283" s="8">
        <v>45938.958333333336</v>
      </c>
      <c r="W1283">
        <v>1</v>
      </c>
      <c r="X1283">
        <v>2.7324421299999999</v>
      </c>
      <c r="Y1283" t="s">
        <v>4757</v>
      </c>
      <c r="Z1283" t="s">
        <v>7780</v>
      </c>
      <c r="AA1283" t="s">
        <v>4760</v>
      </c>
      <c r="AB1283" t="s">
        <v>1278</v>
      </c>
      <c r="AC1283" t="s">
        <v>7781</v>
      </c>
      <c r="AD1283" t="s">
        <v>2708</v>
      </c>
      <c r="AE1283">
        <v>1</v>
      </c>
      <c r="AO1283" t="s">
        <v>2957</v>
      </c>
      <c r="AP1283" t="s">
        <v>2401</v>
      </c>
    </row>
    <row r="1284" spans="1:42">
      <c r="A1284" t="s">
        <v>5698</v>
      </c>
      <c r="B1284" t="s">
        <v>2389</v>
      </c>
      <c r="C1284" t="s">
        <v>2390</v>
      </c>
      <c r="D1284" t="s">
        <v>2379</v>
      </c>
      <c r="E1284" t="s">
        <v>33</v>
      </c>
      <c r="F1284" t="s">
        <v>2541</v>
      </c>
      <c r="G1284" t="s">
        <v>33</v>
      </c>
      <c r="H1284" t="b">
        <v>1</v>
      </c>
      <c r="I1284" s="8">
        <v>45933.577013888891</v>
      </c>
      <c r="J1284" t="s">
        <v>2380</v>
      </c>
      <c r="K1284">
        <v>1200131</v>
      </c>
      <c r="L1284">
        <v>605288</v>
      </c>
      <c r="M1284" t="s">
        <v>2381</v>
      </c>
      <c r="P1284" t="s">
        <v>2548</v>
      </c>
      <c r="Q1284" t="s">
        <v>2383</v>
      </c>
      <c r="R1284">
        <v>1</v>
      </c>
      <c r="S1284" t="s">
        <v>2380</v>
      </c>
      <c r="T1284" t="s">
        <v>2383</v>
      </c>
      <c r="U1284" s="8">
        <v>45930.670335648145</v>
      </c>
      <c r="V1284" s="8">
        <v>45933.958333333336</v>
      </c>
      <c r="W1284">
        <v>1</v>
      </c>
      <c r="X1284">
        <v>2.9066782409999998</v>
      </c>
      <c r="Y1284" t="s">
        <v>2542</v>
      </c>
      <c r="Z1284" t="s">
        <v>5699</v>
      </c>
      <c r="AA1284" t="s">
        <v>3111</v>
      </c>
      <c r="AB1284" t="s">
        <v>1278</v>
      </c>
      <c r="AC1284" t="s">
        <v>5700</v>
      </c>
      <c r="AD1284" t="s">
        <v>2708</v>
      </c>
      <c r="AE1284">
        <v>1</v>
      </c>
      <c r="AO1284" t="s">
        <v>2547</v>
      </c>
      <c r="AP1284" t="s">
        <v>2401</v>
      </c>
    </row>
    <row r="1285" spans="1:42">
      <c r="A1285" t="s">
        <v>5318</v>
      </c>
      <c r="B1285" t="s">
        <v>2389</v>
      </c>
      <c r="C1285" t="s">
        <v>2390</v>
      </c>
      <c r="D1285" t="s">
        <v>2379</v>
      </c>
      <c r="E1285" t="s">
        <v>2452</v>
      </c>
      <c r="F1285" t="s">
        <v>2402</v>
      </c>
      <c r="G1285" t="s">
        <v>2452</v>
      </c>
      <c r="H1285" t="b">
        <v>1</v>
      </c>
      <c r="I1285" s="8">
        <v>45933.456377314818</v>
      </c>
      <c r="J1285" t="s">
        <v>2380</v>
      </c>
      <c r="K1285">
        <v>1200047</v>
      </c>
      <c r="L1285">
        <v>609839</v>
      </c>
      <c r="M1285" t="s">
        <v>2381</v>
      </c>
      <c r="P1285" t="s">
        <v>2394</v>
      </c>
      <c r="Q1285" t="s">
        <v>2383</v>
      </c>
      <c r="R1285">
        <v>1</v>
      </c>
      <c r="S1285" t="s">
        <v>2380</v>
      </c>
      <c r="T1285" t="s">
        <v>2383</v>
      </c>
      <c r="U1285" s="8">
        <v>45930.671168981484</v>
      </c>
      <c r="V1285" s="8">
        <v>45933.958333333336</v>
      </c>
      <c r="W1285">
        <v>1</v>
      </c>
      <c r="X1285">
        <v>2.7852083329999999</v>
      </c>
      <c r="Y1285" t="s">
        <v>2403</v>
      </c>
      <c r="Z1285" t="s">
        <v>5319</v>
      </c>
      <c r="AA1285" t="s">
        <v>2760</v>
      </c>
      <c r="AB1285" t="s">
        <v>1278</v>
      </c>
      <c r="AC1285" t="s">
        <v>5320</v>
      </c>
      <c r="AD1285" t="s">
        <v>2708</v>
      </c>
      <c r="AE1285">
        <v>1</v>
      </c>
      <c r="AO1285" t="s">
        <v>2408</v>
      </c>
      <c r="AP1285" t="s">
        <v>2401</v>
      </c>
    </row>
    <row r="1286" spans="1:42">
      <c r="A1286" t="s">
        <v>5701</v>
      </c>
      <c r="B1286" t="s">
        <v>2389</v>
      </c>
      <c r="C1286" t="s">
        <v>2415</v>
      </c>
      <c r="D1286" t="s">
        <v>2379</v>
      </c>
      <c r="E1286" t="s">
        <v>33</v>
      </c>
      <c r="F1286" t="s">
        <v>2541</v>
      </c>
      <c r="G1286" t="s">
        <v>33</v>
      </c>
      <c r="H1286" t="b">
        <v>1</v>
      </c>
      <c r="I1286" s="8">
        <v>45932.58016203704</v>
      </c>
      <c r="J1286" t="s">
        <v>2380</v>
      </c>
      <c r="K1286">
        <v>1199930</v>
      </c>
      <c r="L1286">
        <v>605288</v>
      </c>
      <c r="M1286" t="s">
        <v>2381</v>
      </c>
      <c r="P1286" t="s">
        <v>2548</v>
      </c>
      <c r="Q1286" t="s">
        <v>2383</v>
      </c>
      <c r="R1286">
        <v>1</v>
      </c>
      <c r="S1286" t="s">
        <v>2380</v>
      </c>
      <c r="T1286" t="s">
        <v>2383</v>
      </c>
      <c r="U1286" s="8">
        <v>45930.67392361111</v>
      </c>
      <c r="V1286" s="8">
        <v>45933.958333333336</v>
      </c>
      <c r="W1286">
        <v>1</v>
      </c>
      <c r="X1286">
        <v>1.906238426</v>
      </c>
      <c r="Y1286" t="s">
        <v>2542</v>
      </c>
      <c r="Z1286" t="s">
        <v>5702</v>
      </c>
      <c r="AA1286" t="s">
        <v>3111</v>
      </c>
      <c r="AB1286" t="s">
        <v>1278</v>
      </c>
      <c r="AC1286" t="s">
        <v>5703</v>
      </c>
      <c r="AD1286" t="s">
        <v>2708</v>
      </c>
      <c r="AE1286">
        <v>1</v>
      </c>
      <c r="AO1286" t="s">
        <v>2547</v>
      </c>
      <c r="AP1286" t="s">
        <v>2401</v>
      </c>
    </row>
    <row r="1287" spans="1:42">
      <c r="A1287" t="s">
        <v>5321</v>
      </c>
      <c r="B1287" t="s">
        <v>2389</v>
      </c>
      <c r="C1287" t="s">
        <v>2691</v>
      </c>
      <c r="D1287" t="s">
        <v>2379</v>
      </c>
      <c r="E1287" t="s">
        <v>2452</v>
      </c>
      <c r="F1287" t="s">
        <v>2402</v>
      </c>
      <c r="G1287" t="s">
        <v>2452</v>
      </c>
      <c r="H1287" t="b">
        <v>1</v>
      </c>
      <c r="I1287" s="8">
        <v>45943.689791666664</v>
      </c>
      <c r="J1287" t="s">
        <v>2380</v>
      </c>
      <c r="K1287">
        <v>1202161</v>
      </c>
      <c r="L1287">
        <v>609839</v>
      </c>
      <c r="M1287" t="s">
        <v>2381</v>
      </c>
      <c r="P1287" t="s">
        <v>2394</v>
      </c>
      <c r="Q1287" t="s">
        <v>2383</v>
      </c>
      <c r="R1287">
        <v>1</v>
      </c>
      <c r="S1287" t="s">
        <v>2380</v>
      </c>
      <c r="T1287" t="s">
        <v>2383</v>
      </c>
      <c r="U1287" s="8">
        <v>45930.675300925926</v>
      </c>
      <c r="V1287" s="8">
        <v>45946.958333333336</v>
      </c>
      <c r="W1287">
        <v>1</v>
      </c>
      <c r="X1287">
        <v>9.0144907409999995</v>
      </c>
      <c r="Y1287" t="s">
        <v>2403</v>
      </c>
      <c r="Z1287" t="s">
        <v>5322</v>
      </c>
      <c r="AA1287" t="s">
        <v>2760</v>
      </c>
      <c r="AB1287" t="s">
        <v>1278</v>
      </c>
      <c r="AC1287" t="s">
        <v>5323</v>
      </c>
      <c r="AD1287" t="s">
        <v>2708</v>
      </c>
      <c r="AE1287">
        <v>1</v>
      </c>
      <c r="AO1287" t="s">
        <v>2408</v>
      </c>
      <c r="AP1287" t="s">
        <v>2401</v>
      </c>
    </row>
    <row r="1288" spans="1:42">
      <c r="A1288" t="s">
        <v>5324</v>
      </c>
      <c r="B1288" t="s">
        <v>2389</v>
      </c>
      <c r="C1288" t="s">
        <v>2390</v>
      </c>
      <c r="D1288" t="s">
        <v>2379</v>
      </c>
      <c r="E1288" t="s">
        <v>2452</v>
      </c>
      <c r="F1288" t="s">
        <v>2402</v>
      </c>
      <c r="G1288" t="s">
        <v>2452</v>
      </c>
      <c r="H1288" t="b">
        <v>1</v>
      </c>
      <c r="I1288" s="8">
        <v>45933.473449074074</v>
      </c>
      <c r="J1288" t="s">
        <v>2380</v>
      </c>
      <c r="K1288">
        <v>1200058</v>
      </c>
      <c r="L1288">
        <v>609839</v>
      </c>
      <c r="M1288" t="s">
        <v>2381</v>
      </c>
      <c r="P1288" t="s">
        <v>2394</v>
      </c>
      <c r="Q1288" t="s">
        <v>2383</v>
      </c>
      <c r="R1288">
        <v>1</v>
      </c>
      <c r="S1288" t="s">
        <v>2380</v>
      </c>
      <c r="T1288" t="s">
        <v>2383</v>
      </c>
      <c r="U1288" s="8">
        <v>45930.676747685182</v>
      </c>
      <c r="V1288" s="8">
        <v>45933.958333333336</v>
      </c>
      <c r="W1288">
        <v>1</v>
      </c>
      <c r="X1288">
        <v>2.7967013889999999</v>
      </c>
      <c r="Y1288" t="s">
        <v>2403</v>
      </c>
      <c r="Z1288" t="s">
        <v>5325</v>
      </c>
      <c r="AA1288" t="s">
        <v>2760</v>
      </c>
      <c r="AB1288" t="s">
        <v>1278</v>
      </c>
      <c r="AC1288" t="s">
        <v>5326</v>
      </c>
      <c r="AD1288" t="s">
        <v>2708</v>
      </c>
      <c r="AE1288">
        <v>1</v>
      </c>
      <c r="AO1288" t="s">
        <v>2408</v>
      </c>
      <c r="AP1288" t="s">
        <v>2401</v>
      </c>
    </row>
    <row r="1289" spans="1:42">
      <c r="A1289" t="s">
        <v>5327</v>
      </c>
      <c r="B1289" t="s">
        <v>2389</v>
      </c>
      <c r="C1289" t="s">
        <v>2390</v>
      </c>
      <c r="D1289" t="s">
        <v>2379</v>
      </c>
      <c r="E1289" t="s">
        <v>2452</v>
      </c>
      <c r="F1289" t="s">
        <v>2402</v>
      </c>
      <c r="G1289" t="s">
        <v>2452</v>
      </c>
      <c r="H1289" t="b">
        <v>1</v>
      </c>
      <c r="I1289" s="8">
        <v>45933.466782407406</v>
      </c>
      <c r="J1289" t="s">
        <v>2380</v>
      </c>
      <c r="K1289">
        <v>1200056</v>
      </c>
      <c r="L1289">
        <v>609839</v>
      </c>
      <c r="M1289" t="s">
        <v>2381</v>
      </c>
      <c r="P1289" t="s">
        <v>2394</v>
      </c>
      <c r="Q1289" t="s">
        <v>2383</v>
      </c>
      <c r="R1289">
        <v>1</v>
      </c>
      <c r="S1289" t="s">
        <v>2380</v>
      </c>
      <c r="T1289" t="s">
        <v>2383</v>
      </c>
      <c r="U1289" s="8">
        <v>45930.677465277775</v>
      </c>
      <c r="V1289" s="8">
        <v>45933.958333333336</v>
      </c>
      <c r="W1289">
        <v>1</v>
      </c>
      <c r="X1289">
        <v>2.7893171300000001</v>
      </c>
      <c r="Y1289" t="s">
        <v>2403</v>
      </c>
      <c r="Z1289" t="s">
        <v>5328</v>
      </c>
      <c r="AA1289" t="s">
        <v>2760</v>
      </c>
      <c r="AB1289" t="s">
        <v>1278</v>
      </c>
      <c r="AC1289" t="s">
        <v>5329</v>
      </c>
      <c r="AD1289" t="s">
        <v>2708</v>
      </c>
      <c r="AE1289">
        <v>1</v>
      </c>
      <c r="AO1289" t="s">
        <v>2408</v>
      </c>
      <c r="AP1289" t="s">
        <v>2401</v>
      </c>
    </row>
    <row r="1290" spans="1:42">
      <c r="A1290" t="s">
        <v>5704</v>
      </c>
      <c r="B1290" t="s">
        <v>2389</v>
      </c>
      <c r="C1290" t="s">
        <v>2415</v>
      </c>
      <c r="D1290" t="s">
        <v>2379</v>
      </c>
      <c r="E1290" t="s">
        <v>33</v>
      </c>
      <c r="F1290" t="s">
        <v>2541</v>
      </c>
      <c r="G1290" t="s">
        <v>33</v>
      </c>
      <c r="H1290" t="b">
        <v>1</v>
      </c>
      <c r="I1290" s="8">
        <v>45932.582314814812</v>
      </c>
      <c r="J1290" t="s">
        <v>2380</v>
      </c>
      <c r="K1290">
        <v>1199931</v>
      </c>
      <c r="L1290">
        <v>605288</v>
      </c>
      <c r="M1290" t="s">
        <v>2381</v>
      </c>
      <c r="P1290" t="s">
        <v>2548</v>
      </c>
      <c r="Q1290" t="s">
        <v>2383</v>
      </c>
      <c r="R1290">
        <v>1</v>
      </c>
      <c r="S1290" t="s">
        <v>2380</v>
      </c>
      <c r="T1290" t="s">
        <v>2383</v>
      </c>
      <c r="U1290" s="8">
        <v>45930.683263888888</v>
      </c>
      <c r="V1290" s="8">
        <v>45933.958333333336</v>
      </c>
      <c r="W1290">
        <v>1</v>
      </c>
      <c r="X1290">
        <v>1.8990509259999999</v>
      </c>
      <c r="Y1290" t="s">
        <v>2542</v>
      </c>
      <c r="Z1290" t="s">
        <v>5705</v>
      </c>
      <c r="AA1290" t="s">
        <v>3111</v>
      </c>
      <c r="AB1290" t="s">
        <v>1278</v>
      </c>
      <c r="AC1290" t="s">
        <v>5706</v>
      </c>
      <c r="AD1290" t="s">
        <v>2708</v>
      </c>
      <c r="AE1290">
        <v>1</v>
      </c>
      <c r="AO1290" t="s">
        <v>2547</v>
      </c>
      <c r="AP1290" t="s">
        <v>2401</v>
      </c>
    </row>
    <row r="1291" spans="1:42">
      <c r="A1291" t="s">
        <v>5524</v>
      </c>
      <c r="B1291" t="s">
        <v>2389</v>
      </c>
      <c r="C1291" t="s">
        <v>2415</v>
      </c>
      <c r="D1291" t="s">
        <v>2379</v>
      </c>
      <c r="E1291" t="s">
        <v>25</v>
      </c>
      <c r="F1291" t="s">
        <v>2402</v>
      </c>
      <c r="G1291" t="s">
        <v>25</v>
      </c>
      <c r="H1291" t="b">
        <v>1</v>
      </c>
      <c r="I1291" s="8">
        <v>45931.717615740738</v>
      </c>
      <c r="J1291" t="s">
        <v>2380</v>
      </c>
      <c r="K1291">
        <v>1199779</v>
      </c>
      <c r="L1291">
        <v>603790</v>
      </c>
      <c r="M1291" t="s">
        <v>2381</v>
      </c>
      <c r="N1291">
        <v>5</v>
      </c>
      <c r="P1291" t="s">
        <v>2394</v>
      </c>
      <c r="Q1291" t="s">
        <v>2383</v>
      </c>
      <c r="R1291">
        <v>1</v>
      </c>
      <c r="S1291" t="s">
        <v>2380</v>
      </c>
      <c r="T1291" t="s">
        <v>2383</v>
      </c>
      <c r="U1291" s="8">
        <v>45930.683738425927</v>
      </c>
      <c r="V1291" s="8">
        <v>45933.958333333336</v>
      </c>
      <c r="W1291">
        <v>1</v>
      </c>
      <c r="X1291">
        <v>1.033877315</v>
      </c>
      <c r="Y1291" t="s">
        <v>2403</v>
      </c>
      <c r="Z1291" t="s">
        <v>5525</v>
      </c>
      <c r="AA1291" t="s">
        <v>5307</v>
      </c>
      <c r="AB1291" t="s">
        <v>1278</v>
      </c>
      <c r="AC1291" t="s">
        <v>5526</v>
      </c>
      <c r="AD1291" t="s">
        <v>2708</v>
      </c>
      <c r="AE1291">
        <v>1</v>
      </c>
      <c r="AO1291" t="s">
        <v>2408</v>
      </c>
      <c r="AP1291" t="s">
        <v>2401</v>
      </c>
    </row>
    <row r="1292" spans="1:42">
      <c r="A1292" t="s">
        <v>5330</v>
      </c>
      <c r="B1292" t="s">
        <v>2389</v>
      </c>
      <c r="C1292" t="s">
        <v>2390</v>
      </c>
      <c r="D1292" t="s">
        <v>2379</v>
      </c>
      <c r="E1292" t="s">
        <v>2452</v>
      </c>
      <c r="F1292" t="s">
        <v>2402</v>
      </c>
      <c r="G1292" t="s">
        <v>2452</v>
      </c>
      <c r="H1292" t="b">
        <v>1</v>
      </c>
      <c r="I1292" s="8">
        <v>45932.686759259261</v>
      </c>
      <c r="J1292" t="s">
        <v>2380</v>
      </c>
      <c r="K1292">
        <v>1199993</v>
      </c>
      <c r="L1292">
        <v>609839</v>
      </c>
      <c r="M1292" t="s">
        <v>2381</v>
      </c>
      <c r="P1292" t="s">
        <v>2394</v>
      </c>
      <c r="Q1292" t="s">
        <v>2383</v>
      </c>
      <c r="R1292">
        <v>1</v>
      </c>
      <c r="S1292" t="s">
        <v>2380</v>
      </c>
      <c r="T1292" t="s">
        <v>2383</v>
      </c>
      <c r="U1292" s="8">
        <v>45930.683865740742</v>
      </c>
      <c r="V1292" s="8">
        <v>45933.958333333336</v>
      </c>
      <c r="W1292">
        <v>1</v>
      </c>
      <c r="X1292">
        <v>2.0028935190000001</v>
      </c>
      <c r="Y1292" t="s">
        <v>2403</v>
      </c>
      <c r="Z1292" t="s">
        <v>5331</v>
      </c>
      <c r="AA1292" t="s">
        <v>2760</v>
      </c>
      <c r="AB1292" t="s">
        <v>1278</v>
      </c>
      <c r="AC1292" t="s">
        <v>5332</v>
      </c>
      <c r="AD1292" t="s">
        <v>2708</v>
      </c>
      <c r="AE1292">
        <v>1</v>
      </c>
      <c r="AO1292" t="s">
        <v>2408</v>
      </c>
      <c r="AP1292" t="s">
        <v>2401</v>
      </c>
    </row>
    <row r="1293" spans="1:42">
      <c r="A1293" t="s">
        <v>5333</v>
      </c>
      <c r="B1293" t="s">
        <v>2389</v>
      </c>
      <c r="C1293" t="s">
        <v>2691</v>
      </c>
      <c r="D1293" t="s">
        <v>2379</v>
      </c>
      <c r="E1293" t="s">
        <v>2452</v>
      </c>
      <c r="F1293" t="s">
        <v>2402</v>
      </c>
      <c r="G1293" t="s">
        <v>2452</v>
      </c>
      <c r="H1293" t="b">
        <v>1</v>
      </c>
      <c r="I1293" s="8">
        <v>45943.666006944448</v>
      </c>
      <c r="J1293" t="s">
        <v>2380</v>
      </c>
      <c r="K1293">
        <v>1202055</v>
      </c>
      <c r="L1293">
        <v>609839</v>
      </c>
      <c r="M1293" t="s">
        <v>2381</v>
      </c>
      <c r="P1293" t="s">
        <v>2394</v>
      </c>
      <c r="Q1293" t="s">
        <v>2383</v>
      </c>
      <c r="R1293">
        <v>1</v>
      </c>
      <c r="S1293" t="s">
        <v>2380</v>
      </c>
      <c r="T1293" t="s">
        <v>2383</v>
      </c>
      <c r="U1293" s="8">
        <v>45930.686655092592</v>
      </c>
      <c r="V1293" s="8">
        <v>45946.958333333336</v>
      </c>
      <c r="W1293">
        <v>1</v>
      </c>
      <c r="X1293">
        <v>8.9793518520000006</v>
      </c>
      <c r="Y1293" t="s">
        <v>2403</v>
      </c>
      <c r="Z1293" t="s">
        <v>5334</v>
      </c>
      <c r="AA1293" t="s">
        <v>2760</v>
      </c>
      <c r="AB1293" t="s">
        <v>1278</v>
      </c>
      <c r="AC1293" t="s">
        <v>5335</v>
      </c>
      <c r="AD1293" t="s">
        <v>2708</v>
      </c>
      <c r="AE1293">
        <v>1</v>
      </c>
      <c r="AO1293" t="s">
        <v>2408</v>
      </c>
      <c r="AP1293" t="s">
        <v>2401</v>
      </c>
    </row>
    <row r="1294" spans="1:42">
      <c r="A1294" t="s">
        <v>5336</v>
      </c>
      <c r="B1294" t="s">
        <v>2389</v>
      </c>
      <c r="C1294" t="s">
        <v>2691</v>
      </c>
      <c r="D1294" t="s">
        <v>2379</v>
      </c>
      <c r="E1294" t="s">
        <v>2452</v>
      </c>
      <c r="F1294" t="s">
        <v>2402</v>
      </c>
      <c r="G1294" t="s">
        <v>2452</v>
      </c>
      <c r="H1294" t="b">
        <v>1</v>
      </c>
      <c r="I1294" s="8">
        <v>45944.332141203704</v>
      </c>
      <c r="J1294" t="s">
        <v>2380</v>
      </c>
      <c r="K1294">
        <v>1202175</v>
      </c>
      <c r="L1294">
        <v>609839</v>
      </c>
      <c r="M1294" t="s">
        <v>2381</v>
      </c>
      <c r="P1294" t="s">
        <v>2394</v>
      </c>
      <c r="Q1294" t="s">
        <v>2383</v>
      </c>
      <c r="R1294">
        <v>1</v>
      </c>
      <c r="S1294" t="s">
        <v>2380</v>
      </c>
      <c r="T1294" t="s">
        <v>2383</v>
      </c>
      <c r="U1294" s="8">
        <v>45930.687939814816</v>
      </c>
      <c r="V1294" s="8">
        <v>45946.958333333336</v>
      </c>
      <c r="W1294">
        <v>1</v>
      </c>
      <c r="X1294">
        <v>9.6442013889999991</v>
      </c>
      <c r="Y1294" t="s">
        <v>2403</v>
      </c>
      <c r="Z1294" t="s">
        <v>5337</v>
      </c>
      <c r="AA1294" t="s">
        <v>2760</v>
      </c>
      <c r="AB1294" t="s">
        <v>1278</v>
      </c>
      <c r="AC1294" t="s">
        <v>5338</v>
      </c>
      <c r="AD1294" t="s">
        <v>2708</v>
      </c>
      <c r="AE1294">
        <v>1</v>
      </c>
      <c r="AO1294" t="s">
        <v>2408</v>
      </c>
      <c r="AP1294" t="s">
        <v>2401</v>
      </c>
    </row>
    <row r="1295" spans="1:42">
      <c r="A1295" t="s">
        <v>5339</v>
      </c>
      <c r="B1295" t="s">
        <v>2389</v>
      </c>
      <c r="C1295" t="s">
        <v>2415</v>
      </c>
      <c r="D1295" t="s">
        <v>2379</v>
      </c>
      <c r="E1295" t="s">
        <v>2452</v>
      </c>
      <c r="F1295" t="s">
        <v>2402</v>
      </c>
      <c r="G1295" t="s">
        <v>2452</v>
      </c>
      <c r="H1295" t="b">
        <v>1</v>
      </c>
      <c r="I1295" s="8">
        <v>45932.636863425927</v>
      </c>
      <c r="J1295" t="s">
        <v>2380</v>
      </c>
      <c r="K1295">
        <v>1199963</v>
      </c>
      <c r="L1295">
        <v>609839</v>
      </c>
      <c r="M1295" t="s">
        <v>2381</v>
      </c>
      <c r="P1295" t="s">
        <v>2394</v>
      </c>
      <c r="Q1295" t="s">
        <v>2383</v>
      </c>
      <c r="R1295">
        <v>1</v>
      </c>
      <c r="S1295" t="s">
        <v>2380</v>
      </c>
      <c r="T1295" t="s">
        <v>2383</v>
      </c>
      <c r="U1295" s="8">
        <v>45930.692303240743</v>
      </c>
      <c r="V1295" s="8">
        <v>45933.958333333336</v>
      </c>
      <c r="W1295">
        <v>1</v>
      </c>
      <c r="X1295">
        <v>1.9445601850000001</v>
      </c>
      <c r="Y1295" t="s">
        <v>2403</v>
      </c>
      <c r="Z1295" t="s">
        <v>5340</v>
      </c>
      <c r="AA1295" t="s">
        <v>2760</v>
      </c>
      <c r="AB1295" t="s">
        <v>1278</v>
      </c>
      <c r="AC1295" t="s">
        <v>5341</v>
      </c>
      <c r="AD1295" t="s">
        <v>2708</v>
      </c>
      <c r="AE1295">
        <v>1</v>
      </c>
      <c r="AO1295" t="s">
        <v>2408</v>
      </c>
      <c r="AP1295" t="s">
        <v>2401</v>
      </c>
    </row>
    <row r="1296" spans="1:42">
      <c r="A1296" t="s">
        <v>5342</v>
      </c>
      <c r="B1296" t="s">
        <v>2389</v>
      </c>
      <c r="C1296" t="s">
        <v>2691</v>
      </c>
      <c r="D1296" t="s">
        <v>2379</v>
      </c>
      <c r="E1296" t="s">
        <v>2452</v>
      </c>
      <c r="F1296" t="s">
        <v>2402</v>
      </c>
      <c r="G1296" t="s">
        <v>2452</v>
      </c>
      <c r="H1296" t="b">
        <v>1</v>
      </c>
      <c r="I1296" s="8">
        <v>45944.343622685185</v>
      </c>
      <c r="J1296" t="s">
        <v>2380</v>
      </c>
      <c r="K1296">
        <v>1202176</v>
      </c>
      <c r="L1296">
        <v>609839</v>
      </c>
      <c r="M1296" t="s">
        <v>2381</v>
      </c>
      <c r="P1296" t="s">
        <v>2394</v>
      </c>
      <c r="Q1296" t="s">
        <v>2383</v>
      </c>
      <c r="R1296">
        <v>1</v>
      </c>
      <c r="S1296" t="s">
        <v>2380</v>
      </c>
      <c r="T1296" t="s">
        <v>2383</v>
      </c>
      <c r="U1296" s="8">
        <v>45930.693703703706</v>
      </c>
      <c r="V1296" s="8">
        <v>45946.958333333336</v>
      </c>
      <c r="W1296">
        <v>1</v>
      </c>
      <c r="X1296">
        <v>9.6499189810000008</v>
      </c>
      <c r="Y1296" t="s">
        <v>2403</v>
      </c>
      <c r="Z1296" t="s">
        <v>5343</v>
      </c>
      <c r="AA1296" t="s">
        <v>2760</v>
      </c>
      <c r="AB1296" t="s">
        <v>1278</v>
      </c>
      <c r="AC1296" t="s">
        <v>5344</v>
      </c>
      <c r="AD1296" t="s">
        <v>2708</v>
      </c>
      <c r="AE1296">
        <v>1</v>
      </c>
      <c r="AO1296" t="s">
        <v>2408</v>
      </c>
      <c r="AP1296" t="s">
        <v>2401</v>
      </c>
    </row>
    <row r="1297" spans="1:42">
      <c r="A1297" t="s">
        <v>4017</v>
      </c>
      <c r="B1297" t="s">
        <v>2389</v>
      </c>
      <c r="C1297" t="s">
        <v>2390</v>
      </c>
      <c r="D1297" t="s">
        <v>2379</v>
      </c>
      <c r="E1297" t="s">
        <v>33</v>
      </c>
      <c r="F1297" t="s">
        <v>3747</v>
      </c>
      <c r="G1297" t="s">
        <v>33</v>
      </c>
      <c r="H1297" t="b">
        <v>1</v>
      </c>
      <c r="I1297" s="8">
        <v>45933.444791666669</v>
      </c>
      <c r="J1297" t="s">
        <v>2380</v>
      </c>
      <c r="K1297">
        <v>1200042</v>
      </c>
      <c r="L1297">
        <v>602272</v>
      </c>
      <c r="M1297" t="s">
        <v>2381</v>
      </c>
      <c r="P1297" t="s">
        <v>2394</v>
      </c>
      <c r="Q1297" t="s">
        <v>2383</v>
      </c>
      <c r="R1297">
        <v>1</v>
      </c>
      <c r="S1297" t="s">
        <v>2380</v>
      </c>
      <c r="T1297" t="s">
        <v>2383</v>
      </c>
      <c r="U1297" s="8">
        <v>45930.699282407404</v>
      </c>
      <c r="V1297" s="8">
        <v>45933.958333333336</v>
      </c>
      <c r="W1297">
        <v>1</v>
      </c>
      <c r="X1297">
        <v>2.7455092589999999</v>
      </c>
      <c r="Y1297" t="s">
        <v>3748</v>
      </c>
      <c r="Z1297" t="s">
        <v>4018</v>
      </c>
      <c r="AA1297" t="s">
        <v>3824</v>
      </c>
      <c r="AB1297" t="s">
        <v>1278</v>
      </c>
      <c r="AC1297" t="s">
        <v>4019</v>
      </c>
      <c r="AD1297" t="s">
        <v>2708</v>
      </c>
      <c r="AE1297">
        <v>1</v>
      </c>
      <c r="AO1297" t="s">
        <v>2712</v>
      </c>
      <c r="AP1297" t="s">
        <v>2401</v>
      </c>
    </row>
    <row r="1298" spans="1:42">
      <c r="A1298" t="s">
        <v>4957</v>
      </c>
      <c r="B1298" t="s">
        <v>2389</v>
      </c>
      <c r="C1298" t="s">
        <v>2390</v>
      </c>
      <c r="D1298" t="s">
        <v>2379</v>
      </c>
      <c r="E1298" t="s">
        <v>33</v>
      </c>
      <c r="F1298" t="s">
        <v>3891</v>
      </c>
      <c r="G1298" t="s">
        <v>33</v>
      </c>
      <c r="H1298" t="b">
        <v>1</v>
      </c>
      <c r="I1298" s="8">
        <v>45933.497650462959</v>
      </c>
      <c r="J1298" t="s">
        <v>2380</v>
      </c>
      <c r="K1298">
        <v>1200076</v>
      </c>
      <c r="L1298">
        <v>605082</v>
      </c>
      <c r="M1298" t="s">
        <v>2381</v>
      </c>
      <c r="P1298" t="s">
        <v>2394</v>
      </c>
      <c r="Q1298" t="s">
        <v>2383</v>
      </c>
      <c r="R1298">
        <v>1</v>
      </c>
      <c r="S1298" t="s">
        <v>2380</v>
      </c>
      <c r="T1298" t="s">
        <v>2383</v>
      </c>
      <c r="U1298" s="8">
        <v>45930.701041666667</v>
      </c>
      <c r="V1298" s="8">
        <v>45933.958333333336</v>
      </c>
      <c r="W1298">
        <v>1</v>
      </c>
      <c r="X1298">
        <v>2.7966087960000001</v>
      </c>
      <c r="Y1298" t="s">
        <v>3892</v>
      </c>
      <c r="Z1298" t="s">
        <v>4958</v>
      </c>
      <c r="AA1298" t="s">
        <v>4959</v>
      </c>
      <c r="AB1298" t="s">
        <v>1278</v>
      </c>
      <c r="AC1298" t="s">
        <v>4960</v>
      </c>
      <c r="AD1298" t="s">
        <v>2708</v>
      </c>
      <c r="AE1298">
        <v>1</v>
      </c>
      <c r="AO1298" t="s">
        <v>2715</v>
      </c>
      <c r="AP1298" t="s">
        <v>2401</v>
      </c>
    </row>
    <row r="1299" spans="1:42">
      <c r="A1299" t="s">
        <v>10130</v>
      </c>
      <c r="B1299" t="s">
        <v>2389</v>
      </c>
      <c r="C1299" t="s">
        <v>2390</v>
      </c>
      <c r="D1299" t="s">
        <v>2379</v>
      </c>
      <c r="E1299" t="s">
        <v>2416</v>
      </c>
      <c r="F1299" t="s">
        <v>4756</v>
      </c>
      <c r="G1299" t="s">
        <v>2416</v>
      </c>
      <c r="H1299" t="b">
        <v>1</v>
      </c>
      <c r="I1299" s="8">
        <v>45933.429722222223</v>
      </c>
      <c r="J1299" t="s">
        <v>2380</v>
      </c>
      <c r="L1299">
        <v>608491</v>
      </c>
      <c r="M1299" t="s">
        <v>2381</v>
      </c>
      <c r="P1299" t="s">
        <v>2394</v>
      </c>
      <c r="Q1299" t="s">
        <v>2383</v>
      </c>
      <c r="R1299">
        <v>1</v>
      </c>
      <c r="S1299" t="s">
        <v>2380</v>
      </c>
      <c r="T1299" t="s">
        <v>2383</v>
      </c>
      <c r="U1299" s="8">
        <v>45930.707129629627</v>
      </c>
      <c r="V1299" s="8">
        <v>45933.958333333336</v>
      </c>
      <c r="W1299">
        <v>1</v>
      </c>
      <c r="X1299">
        <v>2.7225925929999999</v>
      </c>
      <c r="Y1299" t="s">
        <v>4757</v>
      </c>
      <c r="Z1299" t="s">
        <v>10131</v>
      </c>
      <c r="AA1299" t="s">
        <v>4760</v>
      </c>
      <c r="AB1299" t="s">
        <v>1278</v>
      </c>
      <c r="AC1299" t="s">
        <v>10132</v>
      </c>
      <c r="AE1299">
        <v>1</v>
      </c>
      <c r="AO1299" t="s">
        <v>2957</v>
      </c>
      <c r="AP1299" t="s">
        <v>2401</v>
      </c>
    </row>
    <row r="1300" spans="1:42">
      <c r="A1300" t="s">
        <v>10106</v>
      </c>
      <c r="B1300" t="s">
        <v>2389</v>
      </c>
      <c r="C1300" t="s">
        <v>2378</v>
      </c>
      <c r="D1300" t="s">
        <v>2379</v>
      </c>
      <c r="E1300" t="s">
        <v>2452</v>
      </c>
      <c r="F1300" t="s">
        <v>3261</v>
      </c>
      <c r="G1300" t="s">
        <v>2452</v>
      </c>
      <c r="H1300" t="b">
        <v>1</v>
      </c>
      <c r="I1300" s="8">
        <v>45934.68178240741</v>
      </c>
      <c r="J1300" t="s">
        <v>2380</v>
      </c>
      <c r="L1300">
        <v>601636</v>
      </c>
      <c r="M1300" t="s">
        <v>2381</v>
      </c>
      <c r="P1300" t="s">
        <v>2394</v>
      </c>
      <c r="Q1300" t="s">
        <v>2383</v>
      </c>
      <c r="R1300">
        <v>1</v>
      </c>
      <c r="S1300" t="s">
        <v>2380</v>
      </c>
      <c r="T1300" t="s">
        <v>2383</v>
      </c>
      <c r="U1300" s="8">
        <v>45930.716203703705</v>
      </c>
      <c r="V1300" s="8">
        <v>45938.958333333336</v>
      </c>
      <c r="W1300">
        <v>1</v>
      </c>
      <c r="X1300">
        <v>3.9655787039999999</v>
      </c>
      <c r="Y1300" t="s">
        <v>3262</v>
      </c>
      <c r="Z1300" t="s">
        <v>10107</v>
      </c>
      <c r="AA1300" t="s">
        <v>2317</v>
      </c>
      <c r="AB1300" t="s">
        <v>1278</v>
      </c>
      <c r="AC1300" t="s">
        <v>10108</v>
      </c>
      <c r="AE1300">
        <v>1</v>
      </c>
      <c r="AO1300" t="s">
        <v>2957</v>
      </c>
      <c r="AP1300" t="s">
        <v>2401</v>
      </c>
    </row>
    <row r="1301" spans="1:42">
      <c r="A1301" t="s">
        <v>1232</v>
      </c>
      <c r="B1301" t="s">
        <v>2377</v>
      </c>
      <c r="C1301" t="s">
        <v>2438</v>
      </c>
      <c r="D1301" t="s">
        <v>2379</v>
      </c>
      <c r="E1301" t="s">
        <v>1231</v>
      </c>
      <c r="F1301" t="s">
        <v>5085</v>
      </c>
      <c r="G1301" t="s">
        <v>1231</v>
      </c>
      <c r="H1301" t="b">
        <v>1</v>
      </c>
      <c r="I1301" s="8">
        <v>45931.54550925926</v>
      </c>
      <c r="J1301" t="s">
        <v>2380</v>
      </c>
      <c r="L1301">
        <v>602945</v>
      </c>
      <c r="M1301" t="s">
        <v>2381</v>
      </c>
      <c r="Q1301" t="s">
        <v>2383</v>
      </c>
      <c r="R1301">
        <v>1</v>
      </c>
      <c r="S1301" t="s">
        <v>2380</v>
      </c>
      <c r="T1301" t="s">
        <v>5117</v>
      </c>
      <c r="U1301" s="8">
        <v>45930.725578703707</v>
      </c>
      <c r="V1301" s="8">
        <v>45933.958333333336</v>
      </c>
      <c r="W1301">
        <v>1</v>
      </c>
      <c r="X1301">
        <v>0.81993055599999998</v>
      </c>
      <c r="Y1301" t="s">
        <v>5087</v>
      </c>
      <c r="Z1301" t="s">
        <v>5118</v>
      </c>
      <c r="AA1301" t="s">
        <v>5090</v>
      </c>
      <c r="AB1301" t="s">
        <v>1278</v>
      </c>
      <c r="AC1301" t="s">
        <v>5119</v>
      </c>
      <c r="AD1301" t="s">
        <v>2708</v>
      </c>
      <c r="AE1301">
        <v>1</v>
      </c>
      <c r="AO1301" t="s">
        <v>2720</v>
      </c>
      <c r="AP1301" t="s">
        <v>2401</v>
      </c>
    </row>
    <row r="1302" spans="1:42">
      <c r="A1302" t="s">
        <v>5352</v>
      </c>
      <c r="B1302" t="s">
        <v>2389</v>
      </c>
      <c r="C1302" t="s">
        <v>2390</v>
      </c>
      <c r="D1302" t="s">
        <v>2379</v>
      </c>
      <c r="E1302" t="s">
        <v>2452</v>
      </c>
      <c r="F1302" t="s">
        <v>2417</v>
      </c>
      <c r="G1302" t="s">
        <v>2452</v>
      </c>
      <c r="H1302" t="b">
        <v>1</v>
      </c>
      <c r="I1302" s="8">
        <v>45933.369803240741</v>
      </c>
      <c r="J1302" t="s">
        <v>2380</v>
      </c>
      <c r="K1302">
        <v>1199998</v>
      </c>
      <c r="L1302">
        <v>601745</v>
      </c>
      <c r="M1302" t="s">
        <v>2381</v>
      </c>
      <c r="P1302" t="s">
        <v>2394</v>
      </c>
      <c r="Q1302" t="s">
        <v>2383</v>
      </c>
      <c r="R1302">
        <v>1</v>
      </c>
      <c r="S1302" t="s">
        <v>2380</v>
      </c>
      <c r="T1302" t="s">
        <v>2383</v>
      </c>
      <c r="U1302" s="8">
        <v>45930.730150462965</v>
      </c>
      <c r="V1302" s="8">
        <v>45933.958333333336</v>
      </c>
      <c r="W1302">
        <v>1</v>
      </c>
      <c r="X1302">
        <v>2.6396527779999999</v>
      </c>
      <c r="Y1302" t="s">
        <v>2418</v>
      </c>
      <c r="Z1302" t="s">
        <v>5353</v>
      </c>
      <c r="AA1302" t="s">
        <v>4284</v>
      </c>
      <c r="AB1302" t="s">
        <v>1278</v>
      </c>
      <c r="AC1302" t="s">
        <v>5354</v>
      </c>
      <c r="AD1302" t="s">
        <v>2708</v>
      </c>
      <c r="AE1302">
        <v>1</v>
      </c>
      <c r="AO1302" t="s">
        <v>2408</v>
      </c>
      <c r="AP1302" t="s">
        <v>2401</v>
      </c>
    </row>
    <row r="1303" spans="1:42">
      <c r="A1303" t="s">
        <v>4243</v>
      </c>
      <c r="B1303" t="s">
        <v>2389</v>
      </c>
      <c r="C1303" t="s">
        <v>2415</v>
      </c>
      <c r="D1303" t="s">
        <v>2379</v>
      </c>
      <c r="E1303" t="s">
        <v>33</v>
      </c>
      <c r="F1303" t="s">
        <v>2402</v>
      </c>
      <c r="G1303" t="s">
        <v>33</v>
      </c>
      <c r="H1303" t="b">
        <v>1</v>
      </c>
      <c r="I1303" s="8">
        <v>45932.586284722223</v>
      </c>
      <c r="J1303" t="s">
        <v>2380</v>
      </c>
      <c r="K1303">
        <v>1199934</v>
      </c>
      <c r="L1303">
        <v>609839</v>
      </c>
      <c r="M1303" t="s">
        <v>2381</v>
      </c>
      <c r="P1303" t="s">
        <v>2394</v>
      </c>
      <c r="Q1303" t="s">
        <v>2383</v>
      </c>
      <c r="R1303">
        <v>1</v>
      </c>
      <c r="S1303" t="s">
        <v>2380</v>
      </c>
      <c r="T1303" t="s">
        <v>2383</v>
      </c>
      <c r="U1303" s="8">
        <v>45930.765914351854</v>
      </c>
      <c r="V1303" s="8">
        <v>45933.958333333336</v>
      </c>
      <c r="W1303">
        <v>1</v>
      </c>
      <c r="X1303">
        <v>1.82037037</v>
      </c>
      <c r="Y1303" t="s">
        <v>2403</v>
      </c>
      <c r="Z1303" t="s">
        <v>4244</v>
      </c>
      <c r="AA1303" t="s">
        <v>2760</v>
      </c>
      <c r="AB1303" t="s">
        <v>1278</v>
      </c>
      <c r="AC1303" t="s">
        <v>4245</v>
      </c>
      <c r="AD1303" t="s">
        <v>2708</v>
      </c>
      <c r="AE1303">
        <v>1</v>
      </c>
      <c r="AO1303" t="s">
        <v>2408</v>
      </c>
      <c r="AP1303" t="s">
        <v>2401</v>
      </c>
    </row>
    <row r="1304" spans="1:42">
      <c r="A1304" t="s">
        <v>4981</v>
      </c>
      <c r="B1304" t="s">
        <v>2389</v>
      </c>
      <c r="C1304" t="s">
        <v>2415</v>
      </c>
      <c r="D1304" t="s">
        <v>2379</v>
      </c>
      <c r="E1304" t="s">
        <v>2601</v>
      </c>
      <c r="F1304" t="s">
        <v>3891</v>
      </c>
      <c r="G1304" t="s">
        <v>2601</v>
      </c>
      <c r="H1304" t="b">
        <v>1</v>
      </c>
      <c r="I1304" s="8">
        <v>45932.577766203707</v>
      </c>
      <c r="J1304" t="s">
        <v>2380</v>
      </c>
      <c r="K1304">
        <v>1199927</v>
      </c>
      <c r="L1304">
        <v>602238</v>
      </c>
      <c r="M1304" t="s">
        <v>2381</v>
      </c>
      <c r="P1304" t="s">
        <v>2394</v>
      </c>
      <c r="Q1304" t="s">
        <v>2383</v>
      </c>
      <c r="R1304">
        <v>1</v>
      </c>
      <c r="S1304" t="s">
        <v>2380</v>
      </c>
      <c r="T1304" t="s">
        <v>2383</v>
      </c>
      <c r="U1304" s="8">
        <v>45930.771620370368</v>
      </c>
      <c r="V1304" s="8">
        <v>45933.958333333336</v>
      </c>
      <c r="W1304">
        <v>1</v>
      </c>
      <c r="X1304">
        <v>1.806145833</v>
      </c>
      <c r="Y1304" t="s">
        <v>3892</v>
      </c>
      <c r="Z1304" t="s">
        <v>4982</v>
      </c>
      <c r="AA1304" t="s">
        <v>4907</v>
      </c>
      <c r="AB1304" t="s">
        <v>1278</v>
      </c>
      <c r="AC1304" t="s">
        <v>4983</v>
      </c>
      <c r="AD1304" t="s">
        <v>2708</v>
      </c>
      <c r="AE1304">
        <v>1</v>
      </c>
      <c r="AO1304" t="s">
        <v>2715</v>
      </c>
      <c r="AP1304" t="s">
        <v>2401</v>
      </c>
    </row>
    <row r="1305" spans="1:42">
      <c r="A1305" t="s">
        <v>4990</v>
      </c>
      <c r="B1305" t="s">
        <v>2389</v>
      </c>
      <c r="C1305" t="s">
        <v>2415</v>
      </c>
      <c r="D1305" t="s">
        <v>2379</v>
      </c>
      <c r="E1305" t="s">
        <v>2601</v>
      </c>
      <c r="F1305" t="s">
        <v>4946</v>
      </c>
      <c r="G1305" t="s">
        <v>2601</v>
      </c>
      <c r="H1305" t="b">
        <v>1</v>
      </c>
      <c r="I1305" s="8">
        <v>45932.558796296296</v>
      </c>
      <c r="J1305" t="s">
        <v>2380</v>
      </c>
      <c r="K1305">
        <v>1199920</v>
      </c>
      <c r="L1305">
        <v>605521</v>
      </c>
      <c r="M1305" t="s">
        <v>2381</v>
      </c>
      <c r="P1305" t="s">
        <v>2394</v>
      </c>
      <c r="Q1305" t="s">
        <v>2383</v>
      </c>
      <c r="R1305">
        <v>1</v>
      </c>
      <c r="S1305" t="s">
        <v>2380</v>
      </c>
      <c r="T1305" t="s">
        <v>2383</v>
      </c>
      <c r="U1305" s="8">
        <v>45930.793287037035</v>
      </c>
      <c r="V1305" s="8">
        <v>45933.958333333336</v>
      </c>
      <c r="W1305">
        <v>1</v>
      </c>
      <c r="X1305">
        <v>1.7655092590000001</v>
      </c>
      <c r="Y1305" t="s">
        <v>4947</v>
      </c>
      <c r="Z1305" t="s">
        <v>4991</v>
      </c>
      <c r="AA1305" t="s">
        <v>4949</v>
      </c>
      <c r="AB1305" t="s">
        <v>1278</v>
      </c>
      <c r="AC1305" t="s">
        <v>4992</v>
      </c>
      <c r="AD1305" t="s">
        <v>2708</v>
      </c>
      <c r="AE1305">
        <v>1</v>
      </c>
      <c r="AO1305" t="s">
        <v>2715</v>
      </c>
      <c r="AP1305" t="s">
        <v>2401</v>
      </c>
    </row>
    <row r="1306" spans="1:42">
      <c r="A1306" t="s">
        <v>4977</v>
      </c>
      <c r="B1306" t="s">
        <v>2389</v>
      </c>
      <c r="C1306" t="s">
        <v>2415</v>
      </c>
      <c r="D1306" t="s">
        <v>2379</v>
      </c>
      <c r="E1306" t="s">
        <v>2601</v>
      </c>
      <c r="F1306" t="s">
        <v>3900</v>
      </c>
      <c r="G1306" t="s">
        <v>2601</v>
      </c>
      <c r="H1306" t="b">
        <v>1</v>
      </c>
      <c r="I1306" s="8">
        <v>45932.563703703701</v>
      </c>
      <c r="J1306" t="s">
        <v>2380</v>
      </c>
      <c r="K1306">
        <v>1199921</v>
      </c>
      <c r="L1306">
        <v>602824</v>
      </c>
      <c r="M1306" t="s">
        <v>2381</v>
      </c>
      <c r="P1306" t="s">
        <v>2394</v>
      </c>
      <c r="Q1306" t="s">
        <v>2383</v>
      </c>
      <c r="R1306">
        <v>1</v>
      </c>
      <c r="S1306" t="s">
        <v>2380</v>
      </c>
      <c r="T1306" t="s">
        <v>2383</v>
      </c>
      <c r="U1306" s="8">
        <v>45930.797465277778</v>
      </c>
      <c r="V1306" s="8">
        <v>45933.958333333336</v>
      </c>
      <c r="W1306">
        <v>1</v>
      </c>
      <c r="X1306">
        <v>1.7662384259999999</v>
      </c>
      <c r="Y1306" t="s">
        <v>3901</v>
      </c>
      <c r="Z1306" t="s">
        <v>4978</v>
      </c>
      <c r="AA1306" t="s">
        <v>4979</v>
      </c>
      <c r="AB1306" t="s">
        <v>1278</v>
      </c>
      <c r="AC1306" t="s">
        <v>4980</v>
      </c>
      <c r="AD1306" t="s">
        <v>2708</v>
      </c>
      <c r="AE1306">
        <v>1</v>
      </c>
      <c r="AO1306" t="s">
        <v>2715</v>
      </c>
      <c r="AP1306" t="s">
        <v>2401</v>
      </c>
    </row>
    <row r="1307" spans="1:42">
      <c r="A1307" t="s">
        <v>5059</v>
      </c>
      <c r="B1307" t="s">
        <v>2389</v>
      </c>
      <c r="C1307" t="s">
        <v>2390</v>
      </c>
      <c r="D1307" t="s">
        <v>2379</v>
      </c>
      <c r="E1307" t="s">
        <v>28</v>
      </c>
      <c r="F1307" t="s">
        <v>4897</v>
      </c>
      <c r="G1307" t="s">
        <v>28</v>
      </c>
      <c r="H1307" t="b">
        <v>1</v>
      </c>
      <c r="I1307" s="8">
        <v>45933.551192129627</v>
      </c>
      <c r="J1307" t="s">
        <v>2380</v>
      </c>
      <c r="K1307">
        <v>1200121</v>
      </c>
      <c r="L1307">
        <v>603372</v>
      </c>
      <c r="M1307" t="s">
        <v>2381</v>
      </c>
      <c r="N1307">
        <v>15</v>
      </c>
      <c r="P1307" t="s">
        <v>2394</v>
      </c>
      <c r="Q1307" t="s">
        <v>2383</v>
      </c>
      <c r="R1307">
        <v>1</v>
      </c>
      <c r="S1307" t="s">
        <v>2380</v>
      </c>
      <c r="T1307" t="s">
        <v>2383</v>
      </c>
      <c r="U1307" s="8">
        <v>45930.810069444444</v>
      </c>
      <c r="V1307" s="8">
        <v>45933.958333333336</v>
      </c>
      <c r="W1307">
        <v>1</v>
      </c>
      <c r="X1307">
        <v>2.7411226850000001</v>
      </c>
      <c r="Y1307" t="s">
        <v>4898</v>
      </c>
      <c r="Z1307" t="s">
        <v>5060</v>
      </c>
      <c r="AA1307" t="s">
        <v>5061</v>
      </c>
      <c r="AB1307" t="s">
        <v>1278</v>
      </c>
      <c r="AC1307" t="s">
        <v>5062</v>
      </c>
      <c r="AD1307" t="s">
        <v>2708</v>
      </c>
      <c r="AE1307">
        <v>1</v>
      </c>
      <c r="AO1307" t="s">
        <v>2715</v>
      </c>
      <c r="AP1307" t="s">
        <v>2401</v>
      </c>
    </row>
    <row r="1308" spans="1:42">
      <c r="A1308" t="s">
        <v>10109</v>
      </c>
      <c r="B1308" t="s">
        <v>2389</v>
      </c>
      <c r="C1308" t="s">
        <v>2390</v>
      </c>
      <c r="D1308" t="s">
        <v>2379</v>
      </c>
      <c r="E1308" t="s">
        <v>2452</v>
      </c>
      <c r="F1308" t="s">
        <v>3261</v>
      </c>
      <c r="G1308" t="s">
        <v>2452</v>
      </c>
      <c r="H1308" t="b">
        <v>1</v>
      </c>
      <c r="I1308" s="8">
        <v>45933.508819444447</v>
      </c>
      <c r="J1308" t="s">
        <v>2380</v>
      </c>
      <c r="L1308">
        <v>603495</v>
      </c>
      <c r="M1308" t="s">
        <v>2381</v>
      </c>
      <c r="P1308" t="s">
        <v>2394</v>
      </c>
      <c r="Q1308" t="s">
        <v>2383</v>
      </c>
      <c r="R1308">
        <v>1</v>
      </c>
      <c r="S1308" t="s">
        <v>2380</v>
      </c>
      <c r="T1308" t="s">
        <v>2383</v>
      </c>
      <c r="U1308" s="8">
        <v>45930.967164351852</v>
      </c>
      <c r="V1308" s="8">
        <v>45933.958333333336</v>
      </c>
      <c r="W1308">
        <v>1</v>
      </c>
      <c r="X1308">
        <v>2.5416550930000001</v>
      </c>
      <c r="Y1308" t="s">
        <v>3262</v>
      </c>
      <c r="Z1308" t="s">
        <v>10110</v>
      </c>
      <c r="AA1308" t="s">
        <v>3508</v>
      </c>
      <c r="AB1308" t="s">
        <v>1278</v>
      </c>
      <c r="AC1308" t="s">
        <v>10111</v>
      </c>
      <c r="AE1308">
        <v>1</v>
      </c>
      <c r="AO1308" t="s">
        <v>2957</v>
      </c>
      <c r="AP1308" t="s">
        <v>2401</v>
      </c>
    </row>
    <row r="1309" spans="1:42">
      <c r="A1309" t="s">
        <v>540</v>
      </c>
      <c r="B1309" t="s">
        <v>2377</v>
      </c>
      <c r="C1309" t="s">
        <v>2390</v>
      </c>
      <c r="D1309" t="s">
        <v>2379</v>
      </c>
      <c r="E1309" t="s">
        <v>12</v>
      </c>
      <c r="F1309" t="s">
        <v>2409</v>
      </c>
      <c r="G1309" t="s">
        <v>12</v>
      </c>
      <c r="H1309" t="b">
        <v>1</v>
      </c>
      <c r="I1309" s="8">
        <v>45933.468807870369</v>
      </c>
      <c r="J1309" t="s">
        <v>2380</v>
      </c>
      <c r="L1309">
        <v>608028</v>
      </c>
      <c r="M1309" t="s">
        <v>2381</v>
      </c>
      <c r="Q1309" t="s">
        <v>2383</v>
      </c>
      <c r="R1309">
        <v>1</v>
      </c>
      <c r="S1309" t="s">
        <v>2380</v>
      </c>
      <c r="T1309" t="s">
        <v>2383</v>
      </c>
      <c r="U1309" s="8">
        <v>45931.284907407404</v>
      </c>
      <c r="V1309" s="8">
        <v>45933.958333333336</v>
      </c>
      <c r="W1309">
        <v>1</v>
      </c>
      <c r="X1309">
        <v>2.1839004630000001</v>
      </c>
      <c r="Y1309" t="s">
        <v>2410</v>
      </c>
      <c r="Z1309" t="s">
        <v>9737</v>
      </c>
      <c r="AA1309" t="s">
        <v>8806</v>
      </c>
      <c r="AB1309" t="s">
        <v>1278</v>
      </c>
      <c r="AC1309" t="s">
        <v>9738</v>
      </c>
      <c r="AD1309" t="s">
        <v>2708</v>
      </c>
      <c r="AE1309">
        <v>1</v>
      </c>
      <c r="AO1309" t="s">
        <v>3644</v>
      </c>
      <c r="AP1309" t="s">
        <v>2401</v>
      </c>
    </row>
    <row r="1310" spans="1:42">
      <c r="A1310" t="s">
        <v>4057</v>
      </c>
      <c r="B1310" t="s">
        <v>2389</v>
      </c>
      <c r="C1310" t="s">
        <v>2415</v>
      </c>
      <c r="D1310" t="s">
        <v>2379</v>
      </c>
      <c r="E1310" t="s">
        <v>2601</v>
      </c>
      <c r="F1310" t="s">
        <v>3747</v>
      </c>
      <c r="G1310" t="s">
        <v>2601</v>
      </c>
      <c r="H1310" t="b">
        <v>1</v>
      </c>
      <c r="I1310" s="8">
        <v>45932.45621527778</v>
      </c>
      <c r="J1310" t="s">
        <v>2380</v>
      </c>
      <c r="K1310">
        <v>1199854</v>
      </c>
      <c r="L1310">
        <v>609898</v>
      </c>
      <c r="M1310" t="s">
        <v>2381</v>
      </c>
      <c r="P1310" t="s">
        <v>2394</v>
      </c>
      <c r="Q1310" t="s">
        <v>2383</v>
      </c>
      <c r="R1310">
        <v>1</v>
      </c>
      <c r="S1310" t="s">
        <v>2380</v>
      </c>
      <c r="T1310" t="s">
        <v>2383</v>
      </c>
      <c r="U1310" s="8">
        <v>45931.33761574074</v>
      </c>
      <c r="V1310" s="8">
        <v>45936.958333333336</v>
      </c>
      <c r="W1310">
        <v>1</v>
      </c>
      <c r="X1310">
        <v>1.1185995369999999</v>
      </c>
      <c r="Y1310" t="s">
        <v>3748</v>
      </c>
      <c r="Z1310" t="s">
        <v>4058</v>
      </c>
      <c r="AA1310" t="s">
        <v>3841</v>
      </c>
      <c r="AB1310" t="s">
        <v>1278</v>
      </c>
      <c r="AC1310" t="s">
        <v>4059</v>
      </c>
      <c r="AD1310" t="s">
        <v>2708</v>
      </c>
      <c r="AE1310">
        <v>1</v>
      </c>
      <c r="AO1310" t="s">
        <v>2712</v>
      </c>
      <c r="AP1310" t="s">
        <v>2401</v>
      </c>
    </row>
    <row r="1311" spans="1:42">
      <c r="A1311" t="s">
        <v>9679</v>
      </c>
      <c r="B1311" t="s">
        <v>2389</v>
      </c>
      <c r="C1311" t="s">
        <v>2378</v>
      </c>
      <c r="D1311" t="s">
        <v>2379</v>
      </c>
      <c r="E1311" t="s">
        <v>2452</v>
      </c>
      <c r="F1311" t="s">
        <v>3636</v>
      </c>
      <c r="G1311" t="s">
        <v>2452</v>
      </c>
      <c r="H1311" t="b">
        <v>1</v>
      </c>
      <c r="I1311" s="8">
        <v>45936.432002314818</v>
      </c>
      <c r="J1311" t="s">
        <v>2380</v>
      </c>
      <c r="K1311">
        <v>1200260</v>
      </c>
      <c r="L1311">
        <v>602383</v>
      </c>
      <c r="M1311" t="s">
        <v>2381</v>
      </c>
      <c r="P1311" t="s">
        <v>2394</v>
      </c>
      <c r="Q1311" t="s">
        <v>2383</v>
      </c>
      <c r="R1311">
        <v>1</v>
      </c>
      <c r="S1311" t="s">
        <v>2380</v>
      </c>
      <c r="T1311" t="s">
        <v>2383</v>
      </c>
      <c r="U1311" s="8">
        <v>45931.386504629627</v>
      </c>
      <c r="V1311" s="8">
        <v>45936.958333333336</v>
      </c>
      <c r="W1311">
        <v>1</v>
      </c>
      <c r="X1311">
        <v>3.045497685</v>
      </c>
      <c r="Y1311" t="s">
        <v>2628</v>
      </c>
      <c r="Z1311" t="s">
        <v>9680</v>
      </c>
      <c r="AA1311" t="s">
        <v>3639</v>
      </c>
      <c r="AB1311" t="s">
        <v>1278</v>
      </c>
      <c r="AC1311" t="s">
        <v>9681</v>
      </c>
      <c r="AD1311" t="s">
        <v>2708</v>
      </c>
      <c r="AE1311">
        <v>1</v>
      </c>
      <c r="AO1311" t="s">
        <v>3608</v>
      </c>
      <c r="AP1311" t="s">
        <v>2401</v>
      </c>
    </row>
    <row r="1312" spans="1:42">
      <c r="A1312" t="s">
        <v>7594</v>
      </c>
      <c r="B1312" t="s">
        <v>2389</v>
      </c>
      <c r="C1312" t="s">
        <v>2415</v>
      </c>
      <c r="D1312" t="s">
        <v>2379</v>
      </c>
      <c r="E1312" t="s">
        <v>2601</v>
      </c>
      <c r="F1312" t="s">
        <v>3514</v>
      </c>
      <c r="G1312" t="s">
        <v>2601</v>
      </c>
      <c r="H1312" t="b">
        <v>1</v>
      </c>
      <c r="I1312" s="8">
        <v>45932.451666666668</v>
      </c>
      <c r="J1312" t="s">
        <v>2380</v>
      </c>
      <c r="K1312">
        <v>1199852</v>
      </c>
      <c r="L1312">
        <v>603489</v>
      </c>
      <c r="M1312" t="s">
        <v>2381</v>
      </c>
      <c r="P1312" t="s">
        <v>2394</v>
      </c>
      <c r="Q1312" t="s">
        <v>2383</v>
      </c>
      <c r="R1312">
        <v>1</v>
      </c>
      <c r="S1312" t="s">
        <v>2380</v>
      </c>
      <c r="T1312" t="s">
        <v>2383</v>
      </c>
      <c r="U1312" s="8">
        <v>45931.388726851852</v>
      </c>
      <c r="V1312" s="8">
        <v>45936.958333333336</v>
      </c>
      <c r="W1312">
        <v>1</v>
      </c>
      <c r="X1312">
        <v>1.062939815</v>
      </c>
      <c r="Y1312" t="s">
        <v>3515</v>
      </c>
      <c r="Z1312" t="s">
        <v>7595</v>
      </c>
      <c r="AA1312" t="s">
        <v>7592</v>
      </c>
      <c r="AB1312" t="s">
        <v>1278</v>
      </c>
      <c r="AC1312" t="s">
        <v>7596</v>
      </c>
      <c r="AD1312" t="s">
        <v>2708</v>
      </c>
      <c r="AE1312">
        <v>1</v>
      </c>
      <c r="AO1312" t="s">
        <v>2957</v>
      </c>
      <c r="AP1312" t="s">
        <v>2401</v>
      </c>
    </row>
    <row r="1313" spans="1:42">
      <c r="A1313" t="s">
        <v>5148</v>
      </c>
      <c r="B1313" t="s">
        <v>2389</v>
      </c>
      <c r="C1313" t="s">
        <v>2390</v>
      </c>
      <c r="D1313" t="s">
        <v>2379</v>
      </c>
      <c r="E1313" t="s">
        <v>12</v>
      </c>
      <c r="F1313" t="s">
        <v>5085</v>
      </c>
      <c r="G1313" t="s">
        <v>12</v>
      </c>
      <c r="H1313" t="b">
        <v>1</v>
      </c>
      <c r="I1313" s="8">
        <v>45936.372766203705</v>
      </c>
      <c r="J1313" t="s">
        <v>2380</v>
      </c>
      <c r="K1313">
        <v>1200246</v>
      </c>
      <c r="L1313">
        <v>602945</v>
      </c>
      <c r="M1313" t="s">
        <v>2381</v>
      </c>
      <c r="P1313" t="s">
        <v>5107</v>
      </c>
      <c r="Q1313" t="s">
        <v>2383</v>
      </c>
      <c r="R1313">
        <v>1</v>
      </c>
      <c r="S1313" t="s">
        <v>2380</v>
      </c>
      <c r="T1313" t="s">
        <v>5117</v>
      </c>
      <c r="U1313" s="8">
        <v>45931.391180555554</v>
      </c>
      <c r="V1313" s="8">
        <v>45936.958333333336</v>
      </c>
      <c r="W1313">
        <v>1</v>
      </c>
      <c r="X1313">
        <v>2.9815856479999998</v>
      </c>
      <c r="Y1313" t="s">
        <v>5087</v>
      </c>
      <c r="Z1313" t="s">
        <v>5149</v>
      </c>
      <c r="AA1313" t="s">
        <v>5090</v>
      </c>
      <c r="AB1313" t="s">
        <v>1278</v>
      </c>
      <c r="AC1313" t="s">
        <v>5150</v>
      </c>
      <c r="AD1313" t="s">
        <v>2708</v>
      </c>
      <c r="AE1313">
        <v>1</v>
      </c>
      <c r="AO1313" t="s">
        <v>2720</v>
      </c>
      <c r="AP1313" t="s">
        <v>2401</v>
      </c>
    </row>
    <row r="1314" spans="1:42">
      <c r="A1314" t="s">
        <v>10112</v>
      </c>
      <c r="B1314" t="s">
        <v>2389</v>
      </c>
      <c r="C1314" t="s">
        <v>2378</v>
      </c>
      <c r="D1314" t="s">
        <v>2379</v>
      </c>
      <c r="E1314" t="s">
        <v>2452</v>
      </c>
      <c r="F1314" t="s">
        <v>3261</v>
      </c>
      <c r="G1314" t="s">
        <v>2452</v>
      </c>
      <c r="H1314" t="b">
        <v>1</v>
      </c>
      <c r="I1314" s="8">
        <v>45936.493055555555</v>
      </c>
      <c r="J1314" t="s">
        <v>2380</v>
      </c>
      <c r="L1314">
        <v>609878</v>
      </c>
      <c r="M1314" t="s">
        <v>2381</v>
      </c>
      <c r="P1314" t="s">
        <v>2394</v>
      </c>
      <c r="Q1314" t="s">
        <v>2383</v>
      </c>
      <c r="R1314">
        <v>1</v>
      </c>
      <c r="S1314" t="s">
        <v>2380</v>
      </c>
      <c r="T1314" t="s">
        <v>2383</v>
      </c>
      <c r="U1314" s="8">
        <v>45931.39640046296</v>
      </c>
      <c r="V1314" s="8">
        <v>45936.958333333336</v>
      </c>
      <c r="W1314">
        <v>1</v>
      </c>
      <c r="X1314">
        <v>3.0966550929999999</v>
      </c>
      <c r="Y1314" t="s">
        <v>3262</v>
      </c>
      <c r="Z1314" t="s">
        <v>10113</v>
      </c>
      <c r="AA1314" t="s">
        <v>1287</v>
      </c>
      <c r="AB1314" t="s">
        <v>1278</v>
      </c>
      <c r="AC1314" t="s">
        <v>10114</v>
      </c>
      <c r="AE1314">
        <v>1</v>
      </c>
      <c r="AO1314" t="s">
        <v>2957</v>
      </c>
      <c r="AP1314" t="s">
        <v>2401</v>
      </c>
    </row>
    <row r="1315" spans="1:42">
      <c r="A1315" t="s">
        <v>3744</v>
      </c>
      <c r="B1315" t="s">
        <v>2389</v>
      </c>
      <c r="C1315" t="s">
        <v>2390</v>
      </c>
      <c r="D1315" t="s">
        <v>2379</v>
      </c>
      <c r="E1315" t="s">
        <v>2416</v>
      </c>
      <c r="F1315" t="s">
        <v>2578</v>
      </c>
      <c r="G1315" t="s">
        <v>2416</v>
      </c>
      <c r="H1315" t="b">
        <v>1</v>
      </c>
      <c r="I1315" s="8">
        <v>45933.792210648149</v>
      </c>
      <c r="J1315" t="s">
        <v>2380</v>
      </c>
      <c r="L1315">
        <v>605268</v>
      </c>
      <c r="M1315" t="s">
        <v>2381</v>
      </c>
      <c r="P1315" t="s">
        <v>2394</v>
      </c>
      <c r="Q1315" t="s">
        <v>2383</v>
      </c>
      <c r="R1315">
        <v>1</v>
      </c>
      <c r="S1315" t="s">
        <v>2380</v>
      </c>
      <c r="T1315" t="s">
        <v>2383</v>
      </c>
      <c r="U1315" s="8">
        <v>45931.403425925928</v>
      </c>
      <c r="V1315" s="8">
        <v>45936.958333333336</v>
      </c>
      <c r="W1315">
        <v>1</v>
      </c>
      <c r="X1315">
        <v>2.388784722</v>
      </c>
      <c r="Y1315" t="s">
        <v>2579</v>
      </c>
      <c r="Z1315" t="s">
        <v>3745</v>
      </c>
      <c r="AA1315" t="s">
        <v>1301</v>
      </c>
      <c r="AB1315" t="s">
        <v>1278</v>
      </c>
      <c r="AC1315" t="s">
        <v>3746</v>
      </c>
      <c r="AE1315">
        <v>1</v>
      </c>
      <c r="AO1315" t="s">
        <v>2720</v>
      </c>
      <c r="AP1315" t="s">
        <v>2401</v>
      </c>
    </row>
    <row r="1316" spans="1:42">
      <c r="A1316" t="s">
        <v>6825</v>
      </c>
      <c r="B1316" t="s">
        <v>2389</v>
      </c>
      <c r="C1316" t="s">
        <v>2415</v>
      </c>
      <c r="D1316" t="s">
        <v>2379</v>
      </c>
      <c r="E1316" t="s">
        <v>2601</v>
      </c>
      <c r="F1316">
        <v>6397</v>
      </c>
      <c r="G1316" t="s">
        <v>2601</v>
      </c>
      <c r="H1316" t="b">
        <v>1</v>
      </c>
      <c r="I1316" s="8">
        <v>45932.445057870369</v>
      </c>
      <c r="J1316" t="s">
        <v>2380</v>
      </c>
      <c r="K1316">
        <v>1199850</v>
      </c>
      <c r="L1316">
        <v>605127</v>
      </c>
      <c r="M1316" t="s">
        <v>2381</v>
      </c>
      <c r="P1316" t="s">
        <v>2394</v>
      </c>
      <c r="Q1316" t="s">
        <v>2383</v>
      </c>
      <c r="R1316">
        <v>1</v>
      </c>
      <c r="S1316" t="s">
        <v>2380</v>
      </c>
      <c r="T1316" t="s">
        <v>2383</v>
      </c>
      <c r="U1316" s="8">
        <v>45931.406273148146</v>
      </c>
      <c r="V1316" s="8">
        <v>45936.958333333336</v>
      </c>
      <c r="W1316">
        <v>1</v>
      </c>
      <c r="X1316">
        <v>1.0387847219999999</v>
      </c>
      <c r="Y1316" t="s">
        <v>2607</v>
      </c>
      <c r="Z1316" t="s">
        <v>6826</v>
      </c>
      <c r="AA1316" t="s">
        <v>6827</v>
      </c>
      <c r="AB1316" t="s">
        <v>1278</v>
      </c>
      <c r="AC1316" t="s">
        <v>6828</v>
      </c>
      <c r="AD1316" t="s">
        <v>2708</v>
      </c>
      <c r="AE1316">
        <v>1</v>
      </c>
      <c r="AO1316" t="s">
        <v>2388</v>
      </c>
      <c r="AP1316" t="s">
        <v>2401</v>
      </c>
    </row>
    <row r="1317" spans="1:42">
      <c r="A1317" t="s">
        <v>531</v>
      </c>
      <c r="B1317" t="s">
        <v>2377</v>
      </c>
      <c r="C1317" t="s">
        <v>2438</v>
      </c>
      <c r="D1317" t="s">
        <v>2379</v>
      </c>
      <c r="E1317" t="s">
        <v>25</v>
      </c>
      <c r="F1317" t="s">
        <v>3261</v>
      </c>
      <c r="G1317" t="s">
        <v>25</v>
      </c>
      <c r="H1317" t="b">
        <v>1</v>
      </c>
      <c r="I1317" s="8">
        <v>45931.415821759256</v>
      </c>
      <c r="J1317" t="s">
        <v>2380</v>
      </c>
      <c r="L1317">
        <v>603516</v>
      </c>
      <c r="M1317" t="s">
        <v>2381</v>
      </c>
      <c r="N1317">
        <v>10</v>
      </c>
      <c r="Q1317" t="s">
        <v>2383</v>
      </c>
      <c r="R1317">
        <v>1</v>
      </c>
      <c r="S1317" t="s">
        <v>2380</v>
      </c>
      <c r="T1317" t="s">
        <v>2383</v>
      </c>
      <c r="U1317" s="8">
        <v>45931.407314814816</v>
      </c>
      <c r="V1317" s="8">
        <v>45936.958333333336</v>
      </c>
      <c r="W1317">
        <v>1</v>
      </c>
      <c r="X1317">
        <v>8.5069440000000007E-3</v>
      </c>
      <c r="Y1317" t="s">
        <v>3262</v>
      </c>
      <c r="Z1317" t="s">
        <v>7899</v>
      </c>
      <c r="AA1317" t="s">
        <v>7900</v>
      </c>
      <c r="AB1317" t="s">
        <v>1278</v>
      </c>
      <c r="AC1317" t="s">
        <v>7901</v>
      </c>
      <c r="AD1317" t="s">
        <v>2708</v>
      </c>
      <c r="AE1317">
        <v>1</v>
      </c>
      <c r="AO1317" t="s">
        <v>2957</v>
      </c>
      <c r="AP1317" t="s">
        <v>2401</v>
      </c>
    </row>
    <row r="1318" spans="1:42">
      <c r="A1318" t="s">
        <v>5929</v>
      </c>
      <c r="B1318" t="s">
        <v>2389</v>
      </c>
      <c r="C1318" t="s">
        <v>2390</v>
      </c>
      <c r="D1318" t="s">
        <v>2379</v>
      </c>
      <c r="E1318" t="s">
        <v>2601</v>
      </c>
      <c r="F1318" t="s">
        <v>2541</v>
      </c>
      <c r="G1318" t="s">
        <v>2601</v>
      </c>
      <c r="H1318" t="b">
        <v>1</v>
      </c>
      <c r="I1318" s="8">
        <v>45933.514918981484</v>
      </c>
      <c r="J1318" t="s">
        <v>2380</v>
      </c>
      <c r="K1318">
        <v>1200081</v>
      </c>
      <c r="L1318">
        <v>601353</v>
      </c>
      <c r="M1318" t="s">
        <v>2381</v>
      </c>
      <c r="P1318" t="s">
        <v>3117</v>
      </c>
      <c r="Q1318" t="s">
        <v>2383</v>
      </c>
      <c r="R1318">
        <v>1</v>
      </c>
      <c r="S1318" t="s">
        <v>2380</v>
      </c>
      <c r="T1318" t="s">
        <v>2383</v>
      </c>
      <c r="U1318" s="8">
        <v>45931.416574074072</v>
      </c>
      <c r="V1318" s="8">
        <v>45936.958333333336</v>
      </c>
      <c r="W1318">
        <v>1</v>
      </c>
      <c r="X1318">
        <v>2.098344907</v>
      </c>
      <c r="Y1318" t="s">
        <v>2542</v>
      </c>
      <c r="Z1318" t="s">
        <v>5930</v>
      </c>
      <c r="AA1318" t="s">
        <v>2934</v>
      </c>
      <c r="AB1318" t="s">
        <v>1278</v>
      </c>
      <c r="AC1318" t="s">
        <v>5931</v>
      </c>
      <c r="AD1318" t="s">
        <v>2708</v>
      </c>
      <c r="AE1318">
        <v>1</v>
      </c>
      <c r="AO1318" t="s">
        <v>2547</v>
      </c>
      <c r="AP1318" t="s">
        <v>2401</v>
      </c>
    </row>
    <row r="1319" spans="1:42">
      <c r="A1319" t="s">
        <v>5645</v>
      </c>
      <c r="B1319" t="s">
        <v>2389</v>
      </c>
      <c r="C1319" t="s">
        <v>2447</v>
      </c>
      <c r="D1319" t="s">
        <v>2379</v>
      </c>
      <c r="E1319" t="s">
        <v>33</v>
      </c>
      <c r="F1319" t="s">
        <v>2541</v>
      </c>
      <c r="G1319" t="s">
        <v>33</v>
      </c>
      <c r="H1319" t="b">
        <v>1</v>
      </c>
      <c r="I1319" s="8">
        <v>45937.524606481478</v>
      </c>
      <c r="J1319" t="s">
        <v>2380</v>
      </c>
      <c r="K1319">
        <v>1200495</v>
      </c>
      <c r="L1319">
        <v>608236</v>
      </c>
      <c r="M1319" t="s">
        <v>2381</v>
      </c>
      <c r="P1319" t="s">
        <v>3117</v>
      </c>
      <c r="Q1319" t="s">
        <v>2383</v>
      </c>
      <c r="R1319">
        <v>1</v>
      </c>
      <c r="S1319" t="s">
        <v>2380</v>
      </c>
      <c r="T1319" t="s">
        <v>2383</v>
      </c>
      <c r="U1319" s="8">
        <v>45931.416585648149</v>
      </c>
      <c r="V1319" s="8">
        <v>45940.958333333336</v>
      </c>
      <c r="W1319">
        <v>1</v>
      </c>
      <c r="X1319">
        <v>4.1080208330000003</v>
      </c>
      <c r="Y1319" t="s">
        <v>2542</v>
      </c>
      <c r="Z1319" t="s">
        <v>5646</v>
      </c>
      <c r="AA1319" t="s">
        <v>2564</v>
      </c>
      <c r="AB1319" t="s">
        <v>1278</v>
      </c>
      <c r="AC1319" t="s">
        <v>5647</v>
      </c>
      <c r="AD1319" t="s">
        <v>2708</v>
      </c>
      <c r="AE1319">
        <v>1</v>
      </c>
      <c r="AO1319" t="s">
        <v>2547</v>
      </c>
      <c r="AP1319" t="s">
        <v>2401</v>
      </c>
    </row>
    <row r="1320" spans="1:42">
      <c r="A1320" t="s">
        <v>7163</v>
      </c>
      <c r="B1320" t="s">
        <v>2389</v>
      </c>
      <c r="C1320" t="s">
        <v>2390</v>
      </c>
      <c r="D1320" t="s">
        <v>2379</v>
      </c>
      <c r="E1320" t="s">
        <v>12</v>
      </c>
      <c r="F1320">
        <v>6432</v>
      </c>
      <c r="G1320" t="s">
        <v>12</v>
      </c>
      <c r="H1320" t="b">
        <v>1</v>
      </c>
      <c r="I1320" s="8">
        <v>45936.368020833332</v>
      </c>
      <c r="J1320" t="s">
        <v>2380</v>
      </c>
      <c r="K1320">
        <v>1200245</v>
      </c>
      <c r="L1320">
        <v>602859</v>
      </c>
      <c r="M1320" t="s">
        <v>2381</v>
      </c>
      <c r="Q1320" t="s">
        <v>2383</v>
      </c>
      <c r="R1320">
        <v>1</v>
      </c>
      <c r="S1320" t="s">
        <v>2380</v>
      </c>
      <c r="T1320" t="s">
        <v>2383</v>
      </c>
      <c r="U1320" s="8">
        <v>45931.419444444444</v>
      </c>
      <c r="V1320" s="8">
        <v>45936.958333333336</v>
      </c>
      <c r="W1320">
        <v>1</v>
      </c>
      <c r="X1320">
        <v>2.9485763889999999</v>
      </c>
      <c r="Y1320" t="s">
        <v>2602</v>
      </c>
      <c r="Z1320" t="s">
        <v>7164</v>
      </c>
      <c r="AA1320" t="s">
        <v>2605</v>
      </c>
      <c r="AB1320" t="s">
        <v>1278</v>
      </c>
      <c r="AC1320" t="s">
        <v>7165</v>
      </c>
      <c r="AD1320" t="s">
        <v>2708</v>
      </c>
      <c r="AE1320">
        <v>1</v>
      </c>
      <c r="AO1320" t="s">
        <v>2388</v>
      </c>
      <c r="AP1320" t="s">
        <v>2401</v>
      </c>
    </row>
    <row r="1321" spans="1:42">
      <c r="A1321" t="s">
        <v>6707</v>
      </c>
      <c r="B1321" t="s">
        <v>2389</v>
      </c>
      <c r="C1321" t="s">
        <v>2378</v>
      </c>
      <c r="D1321" t="s">
        <v>2379</v>
      </c>
      <c r="E1321" t="s">
        <v>307</v>
      </c>
      <c r="F1321" t="s">
        <v>3308</v>
      </c>
      <c r="G1321" t="s">
        <v>307</v>
      </c>
      <c r="H1321" t="b">
        <v>1</v>
      </c>
      <c r="I1321" s="8">
        <v>45934.600810185184</v>
      </c>
      <c r="J1321" t="s">
        <v>2380</v>
      </c>
      <c r="K1321">
        <v>1200222</v>
      </c>
      <c r="L1321">
        <v>603601</v>
      </c>
      <c r="M1321" t="s">
        <v>2381</v>
      </c>
      <c r="P1321" t="s">
        <v>6706</v>
      </c>
      <c r="Q1321" t="s">
        <v>2383</v>
      </c>
      <c r="R1321">
        <v>1</v>
      </c>
      <c r="S1321" t="s">
        <v>2380</v>
      </c>
      <c r="T1321" t="s">
        <v>2383</v>
      </c>
      <c r="U1321" s="8">
        <v>45931.426203703704</v>
      </c>
      <c r="V1321" s="8">
        <v>45936.958333333336</v>
      </c>
      <c r="W1321">
        <v>1</v>
      </c>
      <c r="X1321">
        <v>3.1746064810000001</v>
      </c>
      <c r="Y1321" t="s">
        <v>3309</v>
      </c>
      <c r="Z1321" t="s">
        <v>6708</v>
      </c>
      <c r="AA1321" t="s">
        <v>6709</v>
      </c>
      <c r="AB1321" t="s">
        <v>1278</v>
      </c>
      <c r="AD1321" t="s">
        <v>2708</v>
      </c>
      <c r="AE1321">
        <v>1</v>
      </c>
      <c r="AO1321" t="s">
        <v>2388</v>
      </c>
      <c r="AP1321" t="s">
        <v>2401</v>
      </c>
    </row>
    <row r="1322" spans="1:42">
      <c r="A1322" t="s">
        <v>6710</v>
      </c>
      <c r="B1322" t="s">
        <v>2389</v>
      </c>
      <c r="C1322" t="s">
        <v>2378</v>
      </c>
      <c r="D1322" t="s">
        <v>2379</v>
      </c>
      <c r="E1322" t="s">
        <v>307</v>
      </c>
      <c r="F1322" t="s">
        <v>3308</v>
      </c>
      <c r="G1322" t="s">
        <v>307</v>
      </c>
      <c r="H1322" t="b">
        <v>1</v>
      </c>
      <c r="I1322" s="8">
        <v>45934.567777777775</v>
      </c>
      <c r="J1322" t="s">
        <v>2380</v>
      </c>
      <c r="K1322">
        <v>1200218</v>
      </c>
      <c r="L1322">
        <v>603601</v>
      </c>
      <c r="M1322" t="s">
        <v>2381</v>
      </c>
      <c r="P1322" t="s">
        <v>6706</v>
      </c>
      <c r="Q1322" t="s">
        <v>2383</v>
      </c>
      <c r="R1322">
        <v>1</v>
      </c>
      <c r="S1322" t="s">
        <v>2380</v>
      </c>
      <c r="T1322" t="s">
        <v>2383</v>
      </c>
      <c r="U1322" s="8">
        <v>45931.426203703704</v>
      </c>
      <c r="V1322" s="8">
        <v>45936.958333333336</v>
      </c>
      <c r="W1322">
        <v>1</v>
      </c>
      <c r="X1322">
        <v>3.1415740740000002</v>
      </c>
      <c r="Y1322" t="s">
        <v>3309</v>
      </c>
      <c r="Z1322" t="s">
        <v>6711</v>
      </c>
      <c r="AA1322" t="s">
        <v>6709</v>
      </c>
      <c r="AB1322" t="s">
        <v>1278</v>
      </c>
      <c r="AD1322" t="s">
        <v>2708</v>
      </c>
      <c r="AE1322">
        <v>1</v>
      </c>
      <c r="AO1322" t="s">
        <v>2388</v>
      </c>
      <c r="AP1322" t="s">
        <v>2401</v>
      </c>
    </row>
    <row r="1323" spans="1:42">
      <c r="A1323" t="s">
        <v>6712</v>
      </c>
      <c r="B1323" t="s">
        <v>2389</v>
      </c>
      <c r="C1323" t="s">
        <v>2378</v>
      </c>
      <c r="D1323" t="s">
        <v>2379</v>
      </c>
      <c r="E1323" t="s">
        <v>307</v>
      </c>
      <c r="F1323" t="s">
        <v>3308</v>
      </c>
      <c r="G1323" t="s">
        <v>307</v>
      </c>
      <c r="H1323" t="b">
        <v>1</v>
      </c>
      <c r="I1323" s="8">
        <v>45934.604490740741</v>
      </c>
      <c r="J1323" t="s">
        <v>2380</v>
      </c>
      <c r="K1323">
        <v>1200223</v>
      </c>
      <c r="L1323">
        <v>603601</v>
      </c>
      <c r="M1323" t="s">
        <v>2381</v>
      </c>
      <c r="P1323" t="s">
        <v>6706</v>
      </c>
      <c r="Q1323" t="s">
        <v>2383</v>
      </c>
      <c r="R1323">
        <v>1</v>
      </c>
      <c r="S1323" t="s">
        <v>2380</v>
      </c>
      <c r="T1323" t="s">
        <v>2383</v>
      </c>
      <c r="U1323" s="8">
        <v>45931.426203703704</v>
      </c>
      <c r="V1323" s="8">
        <v>45936.958333333336</v>
      </c>
      <c r="W1323">
        <v>1</v>
      </c>
      <c r="X1323">
        <v>3.178287037</v>
      </c>
      <c r="Y1323" t="s">
        <v>3309</v>
      </c>
      <c r="Z1323" t="s">
        <v>6713</v>
      </c>
      <c r="AA1323" t="s">
        <v>6709</v>
      </c>
      <c r="AB1323" t="s">
        <v>1278</v>
      </c>
      <c r="AD1323" t="s">
        <v>2708</v>
      </c>
      <c r="AE1323">
        <v>1</v>
      </c>
      <c r="AO1323" t="s">
        <v>2388</v>
      </c>
      <c r="AP1323" t="s">
        <v>2401</v>
      </c>
    </row>
    <row r="1324" spans="1:42">
      <c r="A1324" t="s">
        <v>6714</v>
      </c>
      <c r="B1324" t="s">
        <v>2389</v>
      </c>
      <c r="C1324" t="s">
        <v>2378</v>
      </c>
      <c r="D1324" t="s">
        <v>2379</v>
      </c>
      <c r="E1324" t="s">
        <v>307</v>
      </c>
      <c r="F1324" t="s">
        <v>3308</v>
      </c>
      <c r="G1324" t="s">
        <v>307</v>
      </c>
      <c r="H1324" t="b">
        <v>1</v>
      </c>
      <c r="I1324" s="8">
        <v>45934.669282407405</v>
      </c>
      <c r="J1324" t="s">
        <v>2380</v>
      </c>
      <c r="K1324">
        <v>1200229</v>
      </c>
      <c r="L1324">
        <v>603601</v>
      </c>
      <c r="M1324" t="s">
        <v>2381</v>
      </c>
      <c r="P1324" t="s">
        <v>6706</v>
      </c>
      <c r="Q1324" t="s">
        <v>2383</v>
      </c>
      <c r="R1324">
        <v>1</v>
      </c>
      <c r="S1324" t="s">
        <v>2380</v>
      </c>
      <c r="T1324" t="s">
        <v>2383</v>
      </c>
      <c r="U1324" s="8">
        <v>45931.426203703704</v>
      </c>
      <c r="V1324" s="8">
        <v>45936.958333333336</v>
      </c>
      <c r="W1324">
        <v>1</v>
      </c>
      <c r="X1324">
        <v>3.2430787040000002</v>
      </c>
      <c r="Y1324" t="s">
        <v>3309</v>
      </c>
      <c r="Z1324" t="s">
        <v>6715</v>
      </c>
      <c r="AA1324" t="s">
        <v>6709</v>
      </c>
      <c r="AB1324" t="s">
        <v>1278</v>
      </c>
      <c r="AD1324" t="s">
        <v>2708</v>
      </c>
      <c r="AE1324">
        <v>1</v>
      </c>
      <c r="AO1324" t="s">
        <v>2388</v>
      </c>
      <c r="AP1324" t="s">
        <v>2401</v>
      </c>
    </row>
    <row r="1325" spans="1:42">
      <c r="A1325" t="s">
        <v>3845</v>
      </c>
      <c r="B1325" t="s">
        <v>2389</v>
      </c>
      <c r="C1325" t="s">
        <v>2447</v>
      </c>
      <c r="D1325" t="s">
        <v>2379</v>
      </c>
      <c r="E1325" t="s">
        <v>2452</v>
      </c>
      <c r="F1325" t="s">
        <v>3747</v>
      </c>
      <c r="G1325" t="s">
        <v>2452</v>
      </c>
      <c r="H1325" t="b">
        <v>1</v>
      </c>
      <c r="I1325" s="8">
        <v>45937.484085648146</v>
      </c>
      <c r="J1325" t="s">
        <v>2380</v>
      </c>
      <c r="L1325">
        <v>601299</v>
      </c>
      <c r="M1325" t="s">
        <v>2381</v>
      </c>
      <c r="P1325" t="s">
        <v>2394</v>
      </c>
      <c r="Q1325" t="s">
        <v>2383</v>
      </c>
      <c r="R1325">
        <v>1</v>
      </c>
      <c r="S1325" t="s">
        <v>2380</v>
      </c>
      <c r="T1325" t="s">
        <v>2383</v>
      </c>
      <c r="U1325" s="8">
        <v>45931.435023148151</v>
      </c>
      <c r="V1325" s="8">
        <v>45937.958333333336</v>
      </c>
      <c r="W1325">
        <v>1</v>
      </c>
      <c r="X1325">
        <v>4.0490624999999998</v>
      </c>
      <c r="Y1325" t="s">
        <v>3748</v>
      </c>
      <c r="Z1325" t="s">
        <v>3846</v>
      </c>
      <c r="AA1325" t="s">
        <v>3758</v>
      </c>
      <c r="AB1325" t="s">
        <v>1278</v>
      </c>
      <c r="AC1325" t="s">
        <v>3847</v>
      </c>
      <c r="AE1325">
        <v>1</v>
      </c>
      <c r="AO1325" t="s">
        <v>2712</v>
      </c>
      <c r="AP1325" t="s">
        <v>2401</v>
      </c>
    </row>
    <row r="1326" spans="1:42">
      <c r="A1326" t="s">
        <v>8075</v>
      </c>
      <c r="B1326" t="s">
        <v>2389</v>
      </c>
      <c r="C1326" t="s">
        <v>2390</v>
      </c>
      <c r="D1326" t="s">
        <v>2379</v>
      </c>
      <c r="E1326" t="s">
        <v>2452</v>
      </c>
      <c r="F1326" t="s">
        <v>2417</v>
      </c>
      <c r="G1326" t="s">
        <v>2452</v>
      </c>
      <c r="H1326" t="b">
        <v>1</v>
      </c>
      <c r="I1326" s="8">
        <v>45936.439884259256</v>
      </c>
      <c r="J1326" t="s">
        <v>2380</v>
      </c>
      <c r="K1326">
        <v>1200269</v>
      </c>
      <c r="L1326">
        <v>603469</v>
      </c>
      <c r="M1326" t="s">
        <v>2381</v>
      </c>
      <c r="P1326" t="s">
        <v>2394</v>
      </c>
      <c r="Q1326" t="s">
        <v>2383</v>
      </c>
      <c r="R1326">
        <v>1</v>
      </c>
      <c r="S1326" t="s">
        <v>2380</v>
      </c>
      <c r="T1326" t="s">
        <v>2383</v>
      </c>
      <c r="U1326" s="8">
        <v>45931.441944444443</v>
      </c>
      <c r="V1326" s="8">
        <v>45936.958333333336</v>
      </c>
      <c r="W1326">
        <v>1</v>
      </c>
      <c r="X1326">
        <v>2.9979398150000001</v>
      </c>
      <c r="Y1326" t="s">
        <v>2418</v>
      </c>
      <c r="Z1326" t="s">
        <v>8076</v>
      </c>
      <c r="AA1326" t="s">
        <v>8077</v>
      </c>
      <c r="AB1326" t="s">
        <v>1278</v>
      </c>
      <c r="AC1326" t="s">
        <v>8078</v>
      </c>
      <c r="AD1326" t="s">
        <v>2708</v>
      </c>
      <c r="AE1326">
        <v>1</v>
      </c>
      <c r="AO1326" t="s">
        <v>4121</v>
      </c>
      <c r="AP1326" t="s">
        <v>2401</v>
      </c>
    </row>
    <row r="1327" spans="1:42">
      <c r="A1327" t="s">
        <v>1229</v>
      </c>
      <c r="B1327" t="s">
        <v>2377</v>
      </c>
      <c r="C1327" t="s">
        <v>2438</v>
      </c>
      <c r="D1327" t="s">
        <v>2379</v>
      </c>
      <c r="E1327" t="s">
        <v>15</v>
      </c>
      <c r="F1327" t="s">
        <v>2402</v>
      </c>
      <c r="G1327" t="s">
        <v>15</v>
      </c>
      <c r="H1327" t="b">
        <v>1</v>
      </c>
      <c r="I1327" s="8">
        <v>45932.377025462964</v>
      </c>
      <c r="J1327" t="s">
        <v>2393</v>
      </c>
      <c r="L1327">
        <v>605370</v>
      </c>
      <c r="M1327" t="s">
        <v>2381</v>
      </c>
      <c r="Q1327" t="s">
        <v>2383</v>
      </c>
      <c r="R1327">
        <v>1</v>
      </c>
      <c r="S1327" t="s">
        <v>2393</v>
      </c>
      <c r="T1327" t="s">
        <v>2383</v>
      </c>
      <c r="U1327" s="8">
        <v>45931.448136574072</v>
      </c>
      <c r="V1327" s="8">
        <v>45936.958333333336</v>
      </c>
      <c r="W1327">
        <v>1</v>
      </c>
      <c r="X1327">
        <v>0.928888889</v>
      </c>
      <c r="Y1327" t="s">
        <v>2403</v>
      </c>
      <c r="Z1327" t="s">
        <v>5191</v>
      </c>
      <c r="AA1327" t="s">
        <v>5192</v>
      </c>
      <c r="AB1327" t="s">
        <v>1278</v>
      </c>
      <c r="AD1327" t="s">
        <v>2708</v>
      </c>
      <c r="AE1327">
        <v>1</v>
      </c>
      <c r="AH1327" t="s">
        <v>17</v>
      </c>
      <c r="AI1327" s="8">
        <v>45931.586458333331</v>
      </c>
      <c r="AK1327" t="s">
        <v>2719</v>
      </c>
      <c r="AL1327" t="s">
        <v>2719</v>
      </c>
      <c r="AO1327" t="s">
        <v>2400</v>
      </c>
      <c r="AP1327" t="s">
        <v>2401</v>
      </c>
    </row>
    <row r="1328" spans="1:42">
      <c r="A1328" t="s">
        <v>5182</v>
      </c>
      <c r="B1328" t="s">
        <v>2389</v>
      </c>
      <c r="C1328" t="s">
        <v>2443</v>
      </c>
      <c r="D1328" t="s">
        <v>2443</v>
      </c>
      <c r="E1328" t="s">
        <v>28</v>
      </c>
      <c r="F1328" t="s">
        <v>3747</v>
      </c>
      <c r="G1328" t="s">
        <v>28</v>
      </c>
      <c r="H1328" t="b">
        <v>1</v>
      </c>
      <c r="I1328" s="8">
        <v>45958.685891203706</v>
      </c>
      <c r="J1328" t="s">
        <v>2380</v>
      </c>
      <c r="K1328">
        <v>1200420</v>
      </c>
      <c r="L1328">
        <v>601861</v>
      </c>
      <c r="M1328" t="s">
        <v>2381</v>
      </c>
      <c r="N1328">
        <v>15</v>
      </c>
      <c r="P1328" t="s">
        <v>2394</v>
      </c>
      <c r="Q1328" t="s">
        <v>2383</v>
      </c>
      <c r="R1328">
        <v>1</v>
      </c>
      <c r="S1328" t="s">
        <v>2380</v>
      </c>
      <c r="T1328" t="s">
        <v>2383</v>
      </c>
      <c r="U1328" s="8">
        <v>45931.448425925926</v>
      </c>
      <c r="V1328" s="8">
        <v>45936.958333333336</v>
      </c>
      <c r="W1328">
        <v>1</v>
      </c>
      <c r="X1328">
        <v>19.237465277999998</v>
      </c>
      <c r="Y1328" t="s">
        <v>3748</v>
      </c>
      <c r="Z1328" t="s">
        <v>5183</v>
      </c>
      <c r="AA1328" t="s">
        <v>3811</v>
      </c>
      <c r="AB1328" t="s">
        <v>1278</v>
      </c>
      <c r="AC1328" t="s">
        <v>5184</v>
      </c>
      <c r="AD1328" t="s">
        <v>2708</v>
      </c>
      <c r="AE1328">
        <v>1</v>
      </c>
      <c r="AH1328" t="s">
        <v>33</v>
      </c>
      <c r="AI1328" s="8">
        <v>45936.581354166665</v>
      </c>
      <c r="AK1328" t="s">
        <v>2719</v>
      </c>
      <c r="AL1328" t="s">
        <v>5161</v>
      </c>
      <c r="AM1328" t="s">
        <v>5174</v>
      </c>
      <c r="AO1328" t="s">
        <v>2712</v>
      </c>
      <c r="AP1328" t="s">
        <v>2401</v>
      </c>
    </row>
    <row r="1329" spans="1:42">
      <c r="A1329" t="s">
        <v>5944</v>
      </c>
      <c r="B1329" t="s">
        <v>2389</v>
      </c>
      <c r="C1329" t="s">
        <v>2415</v>
      </c>
      <c r="D1329" t="s">
        <v>2379</v>
      </c>
      <c r="E1329" t="s">
        <v>2601</v>
      </c>
      <c r="F1329" t="s">
        <v>2541</v>
      </c>
      <c r="G1329" t="s">
        <v>2601</v>
      </c>
      <c r="H1329" t="b">
        <v>1</v>
      </c>
      <c r="I1329" s="8">
        <v>45932.460162037038</v>
      </c>
      <c r="J1329" t="s">
        <v>2380</v>
      </c>
      <c r="K1329">
        <v>1199856</v>
      </c>
      <c r="L1329">
        <v>608626</v>
      </c>
      <c r="M1329" t="s">
        <v>2381</v>
      </c>
      <c r="P1329" t="s">
        <v>2548</v>
      </c>
      <c r="Q1329" t="s">
        <v>2383</v>
      </c>
      <c r="R1329">
        <v>1</v>
      </c>
      <c r="S1329" t="s">
        <v>2380</v>
      </c>
      <c r="T1329" t="s">
        <v>2383</v>
      </c>
      <c r="U1329" s="8">
        <v>45931.456365740742</v>
      </c>
      <c r="V1329" s="8">
        <v>45936.958333333336</v>
      </c>
      <c r="W1329">
        <v>1</v>
      </c>
      <c r="X1329">
        <v>1.003796296</v>
      </c>
      <c r="Y1329" t="s">
        <v>2542</v>
      </c>
      <c r="Z1329" t="s">
        <v>5945</v>
      </c>
      <c r="AA1329" t="s">
        <v>2551</v>
      </c>
      <c r="AB1329" t="s">
        <v>1278</v>
      </c>
      <c r="AC1329" t="s">
        <v>5946</v>
      </c>
      <c r="AD1329" t="s">
        <v>2708</v>
      </c>
      <c r="AE1329">
        <v>1</v>
      </c>
      <c r="AO1329" t="s">
        <v>2547</v>
      </c>
      <c r="AP1329" t="s">
        <v>2401</v>
      </c>
    </row>
    <row r="1330" spans="1:42">
      <c r="A1330" t="s">
        <v>5947</v>
      </c>
      <c r="B1330" t="s">
        <v>2389</v>
      </c>
      <c r="C1330" t="s">
        <v>2438</v>
      </c>
      <c r="D1330" t="s">
        <v>2379</v>
      </c>
      <c r="E1330" t="s">
        <v>2601</v>
      </c>
      <c r="F1330" t="s">
        <v>2541</v>
      </c>
      <c r="G1330" t="s">
        <v>2601</v>
      </c>
      <c r="H1330" t="b">
        <v>1</v>
      </c>
      <c r="I1330" s="8">
        <v>45932.431747685187</v>
      </c>
      <c r="J1330" t="s">
        <v>2380</v>
      </c>
      <c r="K1330">
        <v>1199816</v>
      </c>
      <c r="L1330">
        <v>601441</v>
      </c>
      <c r="M1330" t="s">
        <v>2381</v>
      </c>
      <c r="P1330" t="s">
        <v>2548</v>
      </c>
      <c r="Q1330" t="s">
        <v>2383</v>
      </c>
      <c r="R1330">
        <v>1</v>
      </c>
      <c r="S1330" t="s">
        <v>2380</v>
      </c>
      <c r="T1330" t="s">
        <v>2383</v>
      </c>
      <c r="U1330" s="8">
        <v>45931.468900462962</v>
      </c>
      <c r="V1330" s="8">
        <v>45936.958333333336</v>
      </c>
      <c r="W1330">
        <v>1</v>
      </c>
      <c r="X1330">
        <v>0.96284722199999995</v>
      </c>
      <c r="Y1330" t="s">
        <v>2542</v>
      </c>
      <c r="Z1330" t="s">
        <v>5948</v>
      </c>
      <c r="AA1330" t="s">
        <v>2884</v>
      </c>
      <c r="AB1330" t="s">
        <v>1278</v>
      </c>
      <c r="AC1330" t="s">
        <v>5949</v>
      </c>
      <c r="AD1330" t="s">
        <v>2708</v>
      </c>
      <c r="AE1330">
        <v>1</v>
      </c>
      <c r="AO1330" t="s">
        <v>2547</v>
      </c>
      <c r="AP1330" t="s">
        <v>2401</v>
      </c>
    </row>
    <row r="1331" spans="1:42">
      <c r="A1331" t="s">
        <v>7727</v>
      </c>
      <c r="B1331" t="s">
        <v>2389</v>
      </c>
      <c r="C1331" t="s">
        <v>2447</v>
      </c>
      <c r="D1331" t="s">
        <v>2379</v>
      </c>
      <c r="E1331" t="s">
        <v>2452</v>
      </c>
      <c r="F1331" t="s">
        <v>4709</v>
      </c>
      <c r="G1331" t="s">
        <v>2452</v>
      </c>
      <c r="H1331" t="b">
        <v>1</v>
      </c>
      <c r="I1331" s="8">
        <v>45938.354305555556</v>
      </c>
      <c r="J1331" t="s">
        <v>2380</v>
      </c>
      <c r="K1331">
        <v>1200721</v>
      </c>
      <c r="L1331">
        <v>603226</v>
      </c>
      <c r="M1331" t="s">
        <v>2381</v>
      </c>
      <c r="P1331" t="s">
        <v>2394</v>
      </c>
      <c r="Q1331" t="s">
        <v>2383</v>
      </c>
      <c r="R1331">
        <v>1</v>
      </c>
      <c r="S1331" t="s">
        <v>2380</v>
      </c>
      <c r="T1331" t="s">
        <v>2383</v>
      </c>
      <c r="U1331" s="8">
        <v>45931.473032407404</v>
      </c>
      <c r="V1331" s="8">
        <v>45940.958333333336</v>
      </c>
      <c r="W1331">
        <v>1</v>
      </c>
      <c r="X1331">
        <v>4.881273148</v>
      </c>
      <c r="Y1331" t="s">
        <v>4653</v>
      </c>
      <c r="Z1331" t="s">
        <v>7728</v>
      </c>
      <c r="AA1331" t="s">
        <v>7729</v>
      </c>
      <c r="AB1331" t="s">
        <v>1278</v>
      </c>
      <c r="AC1331" t="s">
        <v>7730</v>
      </c>
      <c r="AD1331" t="s">
        <v>2708</v>
      </c>
      <c r="AE1331">
        <v>1</v>
      </c>
      <c r="AO1331" t="s">
        <v>2957</v>
      </c>
      <c r="AP1331" t="s">
        <v>2401</v>
      </c>
    </row>
    <row r="1332" spans="1:42">
      <c r="A1332" t="s">
        <v>7240</v>
      </c>
      <c r="B1332" t="s">
        <v>2389</v>
      </c>
      <c r="C1332" t="s">
        <v>2378</v>
      </c>
      <c r="D1332" t="s">
        <v>2379</v>
      </c>
      <c r="E1332" t="s">
        <v>28</v>
      </c>
      <c r="F1332" t="s">
        <v>3308</v>
      </c>
      <c r="G1332" t="s">
        <v>28</v>
      </c>
      <c r="H1332" t="b">
        <v>1</v>
      </c>
      <c r="I1332" s="8">
        <v>45936.612222222226</v>
      </c>
      <c r="J1332" t="s">
        <v>2380</v>
      </c>
      <c r="K1332">
        <v>1200364</v>
      </c>
      <c r="L1332">
        <v>603601</v>
      </c>
      <c r="M1332" t="s">
        <v>2381</v>
      </c>
      <c r="N1332">
        <v>15</v>
      </c>
      <c r="P1332" t="s">
        <v>6706</v>
      </c>
      <c r="Q1332" t="s">
        <v>2383</v>
      </c>
      <c r="R1332">
        <v>1</v>
      </c>
      <c r="S1332" t="s">
        <v>2380</v>
      </c>
      <c r="T1332" t="s">
        <v>2383</v>
      </c>
      <c r="U1332" s="8">
        <v>45931.471273148149</v>
      </c>
      <c r="V1332" s="8">
        <v>45936.958333333336</v>
      </c>
      <c r="W1332">
        <v>1</v>
      </c>
      <c r="X1332">
        <v>3.1409490739999999</v>
      </c>
      <c r="Y1332" t="s">
        <v>3309</v>
      </c>
      <c r="Z1332" t="s">
        <v>7241</v>
      </c>
      <c r="AA1332" t="s">
        <v>6709</v>
      </c>
      <c r="AB1332" t="s">
        <v>1278</v>
      </c>
      <c r="AC1332" t="s">
        <v>7242</v>
      </c>
      <c r="AD1332" t="s">
        <v>2708</v>
      </c>
      <c r="AE1332">
        <v>1</v>
      </c>
      <c r="AO1332" t="s">
        <v>2388</v>
      </c>
      <c r="AP1332" t="s">
        <v>2401</v>
      </c>
    </row>
    <row r="1333" spans="1:42">
      <c r="A1333" t="s">
        <v>6716</v>
      </c>
      <c r="B1333" t="s">
        <v>2389</v>
      </c>
      <c r="C1333" t="s">
        <v>2378</v>
      </c>
      <c r="D1333" t="s">
        <v>2379</v>
      </c>
      <c r="E1333" t="s">
        <v>307</v>
      </c>
      <c r="F1333" t="s">
        <v>3308</v>
      </c>
      <c r="G1333" t="s">
        <v>307</v>
      </c>
      <c r="H1333" t="b">
        <v>1</v>
      </c>
      <c r="I1333" s="8">
        <v>45934.637384259258</v>
      </c>
      <c r="J1333" t="s">
        <v>2380</v>
      </c>
      <c r="K1333">
        <v>1200227</v>
      </c>
      <c r="L1333">
        <v>603601</v>
      </c>
      <c r="M1333" t="s">
        <v>2381</v>
      </c>
      <c r="P1333" t="s">
        <v>6706</v>
      </c>
      <c r="Q1333" t="s">
        <v>2383</v>
      </c>
      <c r="R1333">
        <v>1</v>
      </c>
      <c r="S1333" t="s">
        <v>2380</v>
      </c>
      <c r="T1333" t="s">
        <v>2383</v>
      </c>
      <c r="U1333" s="8">
        <v>45931.471273148149</v>
      </c>
      <c r="V1333" s="8">
        <v>45936.958333333336</v>
      </c>
      <c r="W1333">
        <v>1</v>
      </c>
      <c r="X1333">
        <v>3.1661111110000002</v>
      </c>
      <c r="Y1333" t="s">
        <v>3309</v>
      </c>
      <c r="Z1333" t="s">
        <v>6717</v>
      </c>
      <c r="AA1333" t="s">
        <v>6709</v>
      </c>
      <c r="AB1333" t="s">
        <v>1278</v>
      </c>
      <c r="AD1333" t="s">
        <v>2708</v>
      </c>
      <c r="AE1333">
        <v>1</v>
      </c>
      <c r="AO1333" t="s">
        <v>2388</v>
      </c>
      <c r="AP1333" t="s">
        <v>2401</v>
      </c>
    </row>
    <row r="1334" spans="1:42">
      <c r="A1334" t="s">
        <v>6718</v>
      </c>
      <c r="B1334" t="s">
        <v>2389</v>
      </c>
      <c r="C1334" t="s">
        <v>2378</v>
      </c>
      <c r="D1334" t="s">
        <v>2379</v>
      </c>
      <c r="E1334" t="s">
        <v>307</v>
      </c>
      <c r="F1334" t="s">
        <v>3308</v>
      </c>
      <c r="G1334" t="s">
        <v>307</v>
      </c>
      <c r="H1334" t="b">
        <v>1</v>
      </c>
      <c r="I1334" s="8">
        <v>45934.619363425925</v>
      </c>
      <c r="J1334" t="s">
        <v>2380</v>
      </c>
      <c r="K1334">
        <v>1200225</v>
      </c>
      <c r="L1334">
        <v>603601</v>
      </c>
      <c r="M1334" t="s">
        <v>2381</v>
      </c>
      <c r="P1334" t="s">
        <v>6706</v>
      </c>
      <c r="Q1334" t="s">
        <v>2383</v>
      </c>
      <c r="R1334">
        <v>1</v>
      </c>
      <c r="S1334" t="s">
        <v>2380</v>
      </c>
      <c r="T1334" t="s">
        <v>2383</v>
      </c>
      <c r="U1334" s="8">
        <v>45931.471273148149</v>
      </c>
      <c r="V1334" s="8">
        <v>45936.958333333336</v>
      </c>
      <c r="W1334">
        <v>1</v>
      </c>
      <c r="X1334">
        <v>3.1480902780000002</v>
      </c>
      <c r="Y1334" t="s">
        <v>3309</v>
      </c>
      <c r="Z1334" t="s">
        <v>6719</v>
      </c>
      <c r="AA1334" t="s">
        <v>6709</v>
      </c>
      <c r="AB1334" t="s">
        <v>1278</v>
      </c>
      <c r="AD1334" t="s">
        <v>2708</v>
      </c>
      <c r="AE1334">
        <v>1</v>
      </c>
      <c r="AO1334" t="s">
        <v>2388</v>
      </c>
      <c r="AP1334" t="s">
        <v>2401</v>
      </c>
    </row>
    <row r="1335" spans="1:42">
      <c r="A1335" t="s">
        <v>7243</v>
      </c>
      <c r="B1335" t="s">
        <v>2389</v>
      </c>
      <c r="C1335" t="s">
        <v>2443</v>
      </c>
      <c r="D1335" t="s">
        <v>2443</v>
      </c>
      <c r="E1335" t="s">
        <v>28</v>
      </c>
      <c r="F1335" t="s">
        <v>3308</v>
      </c>
      <c r="G1335" t="s">
        <v>28</v>
      </c>
      <c r="H1335" t="b">
        <v>1</v>
      </c>
      <c r="I1335" s="8">
        <v>45939.592800925922</v>
      </c>
      <c r="J1335" t="s">
        <v>2380</v>
      </c>
      <c r="K1335">
        <v>1201341</v>
      </c>
      <c r="L1335">
        <v>603601</v>
      </c>
      <c r="M1335" t="s">
        <v>2381</v>
      </c>
      <c r="N1335">
        <v>15</v>
      </c>
      <c r="P1335" t="s">
        <v>6706</v>
      </c>
      <c r="Q1335" t="s">
        <v>2383</v>
      </c>
      <c r="R1335">
        <v>1</v>
      </c>
      <c r="S1335" t="s">
        <v>2380</v>
      </c>
      <c r="T1335" t="s">
        <v>2383</v>
      </c>
      <c r="U1335" s="8">
        <v>45931.471273148149</v>
      </c>
      <c r="V1335" s="8">
        <v>45938.958333333336</v>
      </c>
      <c r="W1335">
        <v>1</v>
      </c>
      <c r="X1335">
        <v>6.1215277779999999</v>
      </c>
      <c r="Y1335" t="s">
        <v>3309</v>
      </c>
      <c r="Z1335" t="s">
        <v>7244</v>
      </c>
      <c r="AA1335" t="s">
        <v>6709</v>
      </c>
      <c r="AB1335" t="s">
        <v>1278</v>
      </c>
      <c r="AC1335" t="s">
        <v>7245</v>
      </c>
      <c r="AD1335" t="s">
        <v>2708</v>
      </c>
      <c r="AE1335">
        <v>1</v>
      </c>
      <c r="AO1335" t="s">
        <v>2388</v>
      </c>
      <c r="AP1335" t="s">
        <v>2401</v>
      </c>
    </row>
    <row r="1336" spans="1:42">
      <c r="A1336" t="s">
        <v>6720</v>
      </c>
      <c r="B1336" t="s">
        <v>2389</v>
      </c>
      <c r="C1336" t="s">
        <v>2378</v>
      </c>
      <c r="D1336" t="s">
        <v>2379</v>
      </c>
      <c r="E1336" t="s">
        <v>307</v>
      </c>
      <c r="F1336" t="s">
        <v>3308</v>
      </c>
      <c r="G1336" t="s">
        <v>307</v>
      </c>
      <c r="H1336" t="b">
        <v>1</v>
      </c>
      <c r="I1336" s="8">
        <v>45934.650937500002</v>
      </c>
      <c r="J1336" t="s">
        <v>2380</v>
      </c>
      <c r="K1336">
        <v>1200228</v>
      </c>
      <c r="L1336">
        <v>603601</v>
      </c>
      <c r="M1336" t="s">
        <v>2381</v>
      </c>
      <c r="P1336" t="s">
        <v>6706</v>
      </c>
      <c r="Q1336" t="s">
        <v>2383</v>
      </c>
      <c r="R1336">
        <v>1</v>
      </c>
      <c r="S1336" t="s">
        <v>2380</v>
      </c>
      <c r="T1336" t="s">
        <v>2383</v>
      </c>
      <c r="U1336" s="8">
        <v>45931.471273148149</v>
      </c>
      <c r="V1336" s="8">
        <v>45936.958333333336</v>
      </c>
      <c r="W1336">
        <v>1</v>
      </c>
      <c r="X1336">
        <v>3.1796643520000001</v>
      </c>
      <c r="Y1336" t="s">
        <v>3309</v>
      </c>
      <c r="Z1336" t="s">
        <v>6721</v>
      </c>
      <c r="AA1336" t="s">
        <v>6709</v>
      </c>
      <c r="AB1336" t="s">
        <v>1278</v>
      </c>
      <c r="AD1336" t="s">
        <v>2708</v>
      </c>
      <c r="AE1336">
        <v>1</v>
      </c>
      <c r="AO1336" t="s">
        <v>2388</v>
      </c>
      <c r="AP1336" t="s">
        <v>2401</v>
      </c>
    </row>
    <row r="1337" spans="1:42">
      <c r="A1337" t="s">
        <v>6722</v>
      </c>
      <c r="B1337" t="s">
        <v>2389</v>
      </c>
      <c r="C1337" t="s">
        <v>2378</v>
      </c>
      <c r="D1337" t="s">
        <v>2379</v>
      </c>
      <c r="E1337" t="s">
        <v>307</v>
      </c>
      <c r="F1337" t="s">
        <v>3308</v>
      </c>
      <c r="G1337" t="s">
        <v>307</v>
      </c>
      <c r="H1337" t="b">
        <v>1</v>
      </c>
      <c r="I1337" s="8">
        <v>45934.629884259259</v>
      </c>
      <c r="J1337" t="s">
        <v>2380</v>
      </c>
      <c r="K1337">
        <v>1200226</v>
      </c>
      <c r="L1337">
        <v>603601</v>
      </c>
      <c r="M1337" t="s">
        <v>2381</v>
      </c>
      <c r="P1337" t="s">
        <v>6706</v>
      </c>
      <c r="Q1337" t="s">
        <v>2383</v>
      </c>
      <c r="R1337">
        <v>1</v>
      </c>
      <c r="S1337" t="s">
        <v>2380</v>
      </c>
      <c r="T1337" t="s">
        <v>2383</v>
      </c>
      <c r="U1337" s="8">
        <v>45931.471273148149</v>
      </c>
      <c r="V1337" s="8">
        <v>45936.958333333336</v>
      </c>
      <c r="W1337">
        <v>1</v>
      </c>
      <c r="X1337">
        <v>3.1586111109999999</v>
      </c>
      <c r="Y1337" t="s">
        <v>3309</v>
      </c>
      <c r="Z1337" t="s">
        <v>6723</v>
      </c>
      <c r="AA1337" t="s">
        <v>6709</v>
      </c>
      <c r="AB1337" t="s">
        <v>1278</v>
      </c>
      <c r="AD1337" t="s">
        <v>2708</v>
      </c>
      <c r="AE1337">
        <v>1</v>
      </c>
      <c r="AO1337" t="s">
        <v>2388</v>
      </c>
      <c r="AP1337" t="s">
        <v>2401</v>
      </c>
    </row>
    <row r="1338" spans="1:42">
      <c r="A1338" t="s">
        <v>6724</v>
      </c>
      <c r="B1338" t="s">
        <v>2389</v>
      </c>
      <c r="C1338" t="s">
        <v>2378</v>
      </c>
      <c r="D1338" t="s">
        <v>2379</v>
      </c>
      <c r="E1338" t="s">
        <v>307</v>
      </c>
      <c r="F1338" t="s">
        <v>3308</v>
      </c>
      <c r="G1338" t="s">
        <v>307</v>
      </c>
      <c r="H1338" t="b">
        <v>1</v>
      </c>
      <c r="I1338" s="8">
        <v>45934.559861111113</v>
      </c>
      <c r="J1338" t="s">
        <v>2380</v>
      </c>
      <c r="K1338">
        <v>1200216</v>
      </c>
      <c r="L1338">
        <v>603601</v>
      </c>
      <c r="M1338" t="s">
        <v>2381</v>
      </c>
      <c r="P1338" t="s">
        <v>6706</v>
      </c>
      <c r="Q1338" t="s">
        <v>2383</v>
      </c>
      <c r="R1338">
        <v>1</v>
      </c>
      <c r="S1338" t="s">
        <v>2380</v>
      </c>
      <c r="T1338" t="s">
        <v>2383</v>
      </c>
      <c r="U1338" s="8">
        <v>45931.471273148149</v>
      </c>
      <c r="V1338" s="8">
        <v>45936.958333333336</v>
      </c>
      <c r="W1338">
        <v>1</v>
      </c>
      <c r="X1338">
        <v>3.0885879630000002</v>
      </c>
      <c r="Y1338" t="s">
        <v>3309</v>
      </c>
      <c r="Z1338" t="s">
        <v>6725</v>
      </c>
      <c r="AA1338" t="s">
        <v>6709</v>
      </c>
      <c r="AB1338" t="s">
        <v>1278</v>
      </c>
      <c r="AD1338" t="s">
        <v>2708</v>
      </c>
      <c r="AE1338">
        <v>1</v>
      </c>
      <c r="AO1338" t="s">
        <v>2388</v>
      </c>
      <c r="AP1338" t="s">
        <v>2401</v>
      </c>
    </row>
    <row r="1339" spans="1:42">
      <c r="A1339" t="s">
        <v>7246</v>
      </c>
      <c r="B1339" t="s">
        <v>2389</v>
      </c>
      <c r="C1339" t="s">
        <v>2378</v>
      </c>
      <c r="D1339" t="s">
        <v>2379</v>
      </c>
      <c r="E1339" t="s">
        <v>28</v>
      </c>
      <c r="F1339" t="s">
        <v>3308</v>
      </c>
      <c r="G1339" t="s">
        <v>28</v>
      </c>
      <c r="H1339" t="b">
        <v>1</v>
      </c>
      <c r="I1339" s="8">
        <v>45936.547534722224</v>
      </c>
      <c r="J1339" t="s">
        <v>2380</v>
      </c>
      <c r="K1339">
        <v>1200354</v>
      </c>
      <c r="L1339">
        <v>603601</v>
      </c>
      <c r="M1339" t="s">
        <v>2381</v>
      </c>
      <c r="N1339">
        <v>15</v>
      </c>
      <c r="P1339" t="s">
        <v>6706</v>
      </c>
      <c r="Q1339" t="s">
        <v>2383</v>
      </c>
      <c r="R1339">
        <v>1</v>
      </c>
      <c r="S1339" t="s">
        <v>2380</v>
      </c>
      <c r="T1339" t="s">
        <v>2383</v>
      </c>
      <c r="U1339" s="8">
        <v>45931.471273148149</v>
      </c>
      <c r="V1339" s="8">
        <v>45936.958333333336</v>
      </c>
      <c r="W1339">
        <v>1</v>
      </c>
      <c r="X1339">
        <v>3.0762615740000001</v>
      </c>
      <c r="Y1339" t="s">
        <v>3309</v>
      </c>
      <c r="Z1339" t="s">
        <v>7247</v>
      </c>
      <c r="AA1339" t="s">
        <v>6709</v>
      </c>
      <c r="AB1339" t="s">
        <v>1278</v>
      </c>
      <c r="AC1339" t="s">
        <v>7248</v>
      </c>
      <c r="AD1339" t="s">
        <v>2708</v>
      </c>
      <c r="AE1339">
        <v>1</v>
      </c>
      <c r="AO1339" t="s">
        <v>2388</v>
      </c>
      <c r="AP1339" t="s">
        <v>2401</v>
      </c>
    </row>
    <row r="1340" spans="1:42">
      <c r="A1340" t="s">
        <v>6726</v>
      </c>
      <c r="B1340" t="s">
        <v>2389</v>
      </c>
      <c r="C1340" t="s">
        <v>2378</v>
      </c>
      <c r="D1340" t="s">
        <v>2379</v>
      </c>
      <c r="E1340" t="s">
        <v>307</v>
      </c>
      <c r="F1340" t="s">
        <v>3308</v>
      </c>
      <c r="G1340" t="s">
        <v>307</v>
      </c>
      <c r="H1340" t="b">
        <v>1</v>
      </c>
      <c r="I1340" s="8">
        <v>45934.563020833331</v>
      </c>
      <c r="J1340" t="s">
        <v>2380</v>
      </c>
      <c r="K1340">
        <v>1200217</v>
      </c>
      <c r="L1340">
        <v>603601</v>
      </c>
      <c r="M1340" t="s">
        <v>2381</v>
      </c>
      <c r="P1340" t="s">
        <v>6706</v>
      </c>
      <c r="Q1340" t="s">
        <v>2383</v>
      </c>
      <c r="R1340">
        <v>1</v>
      </c>
      <c r="S1340" t="s">
        <v>2380</v>
      </c>
      <c r="T1340" t="s">
        <v>2383</v>
      </c>
      <c r="U1340" s="8">
        <v>45931.471273148149</v>
      </c>
      <c r="V1340" s="8">
        <v>45936.958333333336</v>
      </c>
      <c r="W1340">
        <v>1</v>
      </c>
      <c r="X1340">
        <v>3.0917476850000001</v>
      </c>
      <c r="Y1340" t="s">
        <v>3309</v>
      </c>
      <c r="Z1340" t="s">
        <v>6727</v>
      </c>
      <c r="AA1340" t="s">
        <v>6709</v>
      </c>
      <c r="AB1340" t="s">
        <v>1278</v>
      </c>
      <c r="AD1340" t="s">
        <v>2708</v>
      </c>
      <c r="AE1340">
        <v>1</v>
      </c>
      <c r="AO1340" t="s">
        <v>2388</v>
      </c>
      <c r="AP1340" t="s">
        <v>2401</v>
      </c>
    </row>
    <row r="1341" spans="1:42">
      <c r="A1341" t="s">
        <v>6728</v>
      </c>
      <c r="B1341" t="s">
        <v>2389</v>
      </c>
      <c r="C1341" t="s">
        <v>2378</v>
      </c>
      <c r="D1341" t="s">
        <v>2379</v>
      </c>
      <c r="E1341" t="s">
        <v>307</v>
      </c>
      <c r="F1341" t="s">
        <v>3308</v>
      </c>
      <c r="G1341" t="s">
        <v>307</v>
      </c>
      <c r="H1341" t="b">
        <v>1</v>
      </c>
      <c r="I1341" s="8">
        <v>45934.611446759256</v>
      </c>
      <c r="J1341" t="s">
        <v>2380</v>
      </c>
      <c r="K1341">
        <v>1200224</v>
      </c>
      <c r="L1341">
        <v>603601</v>
      </c>
      <c r="M1341" t="s">
        <v>2381</v>
      </c>
      <c r="P1341" t="s">
        <v>6706</v>
      </c>
      <c r="Q1341" t="s">
        <v>2383</v>
      </c>
      <c r="R1341">
        <v>1</v>
      </c>
      <c r="S1341" t="s">
        <v>2380</v>
      </c>
      <c r="T1341" t="s">
        <v>2383</v>
      </c>
      <c r="U1341" s="8">
        <v>45931.471273148149</v>
      </c>
      <c r="V1341" s="8">
        <v>45936.958333333336</v>
      </c>
      <c r="W1341">
        <v>1</v>
      </c>
      <c r="X1341">
        <v>3.1401736109999998</v>
      </c>
      <c r="Y1341" t="s">
        <v>3309</v>
      </c>
      <c r="Z1341" t="s">
        <v>6729</v>
      </c>
      <c r="AA1341" t="s">
        <v>6709</v>
      </c>
      <c r="AB1341" t="s">
        <v>1278</v>
      </c>
      <c r="AD1341" t="s">
        <v>2708</v>
      </c>
      <c r="AE1341">
        <v>1</v>
      </c>
      <c r="AO1341" t="s">
        <v>2388</v>
      </c>
      <c r="AP1341" t="s">
        <v>2401</v>
      </c>
    </row>
    <row r="1342" spans="1:42">
      <c r="A1342" t="s">
        <v>6730</v>
      </c>
      <c r="B1342" t="s">
        <v>2389</v>
      </c>
      <c r="C1342" t="s">
        <v>2378</v>
      </c>
      <c r="D1342" t="s">
        <v>2379</v>
      </c>
      <c r="E1342" t="s">
        <v>307</v>
      </c>
      <c r="F1342" t="s">
        <v>3308</v>
      </c>
      <c r="G1342" t="s">
        <v>307</v>
      </c>
      <c r="H1342" t="b">
        <v>1</v>
      </c>
      <c r="I1342" s="8">
        <v>45934.578877314816</v>
      </c>
      <c r="J1342" t="s">
        <v>2380</v>
      </c>
      <c r="K1342">
        <v>1200219</v>
      </c>
      <c r="L1342">
        <v>603601</v>
      </c>
      <c r="M1342" t="s">
        <v>2381</v>
      </c>
      <c r="P1342" t="s">
        <v>6706</v>
      </c>
      <c r="Q1342" t="s">
        <v>2383</v>
      </c>
      <c r="R1342">
        <v>1</v>
      </c>
      <c r="S1342" t="s">
        <v>2380</v>
      </c>
      <c r="T1342" t="s">
        <v>2383</v>
      </c>
      <c r="U1342" s="8">
        <v>45931.471273148149</v>
      </c>
      <c r="V1342" s="8">
        <v>45936.958333333336</v>
      </c>
      <c r="W1342">
        <v>1</v>
      </c>
      <c r="X1342">
        <v>3.1076041669999999</v>
      </c>
      <c r="Y1342" t="s">
        <v>3309</v>
      </c>
      <c r="Z1342" t="s">
        <v>6731</v>
      </c>
      <c r="AA1342" t="s">
        <v>6709</v>
      </c>
      <c r="AB1342" t="s">
        <v>1278</v>
      </c>
      <c r="AD1342" t="s">
        <v>2708</v>
      </c>
      <c r="AE1342">
        <v>1</v>
      </c>
      <c r="AO1342" t="s">
        <v>2388</v>
      </c>
      <c r="AP1342" t="s">
        <v>2401</v>
      </c>
    </row>
    <row r="1343" spans="1:42">
      <c r="A1343" t="s">
        <v>6732</v>
      </c>
      <c r="B1343" t="s">
        <v>2389</v>
      </c>
      <c r="C1343" t="s">
        <v>2378</v>
      </c>
      <c r="D1343" t="s">
        <v>2379</v>
      </c>
      <c r="E1343" t="s">
        <v>307</v>
      </c>
      <c r="F1343" t="s">
        <v>3308</v>
      </c>
      <c r="G1343" t="s">
        <v>307</v>
      </c>
      <c r="H1343" t="b">
        <v>1</v>
      </c>
      <c r="I1343" s="8">
        <v>45934.583182870374</v>
      </c>
      <c r="J1343" t="s">
        <v>2380</v>
      </c>
      <c r="K1343">
        <v>1200220</v>
      </c>
      <c r="L1343">
        <v>603601</v>
      </c>
      <c r="M1343" t="s">
        <v>2381</v>
      </c>
      <c r="P1343" t="s">
        <v>6706</v>
      </c>
      <c r="Q1343" t="s">
        <v>2383</v>
      </c>
      <c r="R1343">
        <v>1</v>
      </c>
      <c r="S1343" t="s">
        <v>2380</v>
      </c>
      <c r="T1343" t="s">
        <v>2383</v>
      </c>
      <c r="U1343" s="8">
        <v>45931.471273148149</v>
      </c>
      <c r="V1343" s="8">
        <v>45936.958333333336</v>
      </c>
      <c r="W1343">
        <v>1</v>
      </c>
      <c r="X1343">
        <v>3.111909722</v>
      </c>
      <c r="Y1343" t="s">
        <v>3309</v>
      </c>
      <c r="Z1343" t="s">
        <v>6733</v>
      </c>
      <c r="AA1343" t="s">
        <v>6709</v>
      </c>
      <c r="AB1343" t="s">
        <v>1278</v>
      </c>
      <c r="AD1343" t="s">
        <v>2708</v>
      </c>
      <c r="AE1343">
        <v>1</v>
      </c>
      <c r="AO1343" t="s">
        <v>2388</v>
      </c>
      <c r="AP1343" t="s">
        <v>2401</v>
      </c>
    </row>
    <row r="1344" spans="1:42">
      <c r="A1344" t="s">
        <v>6734</v>
      </c>
      <c r="B1344" t="s">
        <v>2389</v>
      </c>
      <c r="C1344" t="s">
        <v>2378</v>
      </c>
      <c r="D1344" t="s">
        <v>2379</v>
      </c>
      <c r="E1344" t="s">
        <v>307</v>
      </c>
      <c r="F1344" t="s">
        <v>3308</v>
      </c>
      <c r="G1344" t="s">
        <v>307</v>
      </c>
      <c r="H1344" t="b">
        <v>1</v>
      </c>
      <c r="I1344" s="8">
        <v>45934.586840277778</v>
      </c>
      <c r="J1344" t="s">
        <v>2380</v>
      </c>
      <c r="K1344">
        <v>1200221</v>
      </c>
      <c r="L1344">
        <v>603601</v>
      </c>
      <c r="M1344" t="s">
        <v>2381</v>
      </c>
      <c r="P1344" t="s">
        <v>6706</v>
      </c>
      <c r="Q1344" t="s">
        <v>2383</v>
      </c>
      <c r="R1344">
        <v>1</v>
      </c>
      <c r="S1344" t="s">
        <v>2380</v>
      </c>
      <c r="T1344" t="s">
        <v>2383</v>
      </c>
      <c r="U1344" s="8">
        <v>45931.471273148149</v>
      </c>
      <c r="V1344" s="8">
        <v>45936.958333333336</v>
      </c>
      <c r="W1344">
        <v>1</v>
      </c>
      <c r="X1344">
        <v>3.1155671300000001</v>
      </c>
      <c r="Y1344" t="s">
        <v>3309</v>
      </c>
      <c r="Z1344" t="s">
        <v>6735</v>
      </c>
      <c r="AA1344" t="s">
        <v>6709</v>
      </c>
      <c r="AB1344" t="s">
        <v>1278</v>
      </c>
      <c r="AD1344" t="s">
        <v>2708</v>
      </c>
      <c r="AE1344">
        <v>1</v>
      </c>
      <c r="AO1344" t="s">
        <v>2388</v>
      </c>
      <c r="AP1344" t="s">
        <v>2401</v>
      </c>
    </row>
    <row r="1345" spans="1:42">
      <c r="A1345" t="s">
        <v>9664</v>
      </c>
      <c r="B1345" t="s">
        <v>2389</v>
      </c>
      <c r="C1345" t="s">
        <v>2438</v>
      </c>
      <c r="D1345" t="s">
        <v>2379</v>
      </c>
      <c r="E1345" t="s">
        <v>2452</v>
      </c>
      <c r="F1345" t="s">
        <v>7611</v>
      </c>
      <c r="G1345" t="s">
        <v>2452</v>
      </c>
      <c r="H1345" t="b">
        <v>1</v>
      </c>
      <c r="I1345" s="8">
        <v>45931.680821759262</v>
      </c>
      <c r="J1345" t="s">
        <v>2380</v>
      </c>
      <c r="K1345">
        <v>1199769</v>
      </c>
      <c r="L1345">
        <v>603059</v>
      </c>
      <c r="M1345" t="s">
        <v>2381</v>
      </c>
      <c r="Q1345" t="s">
        <v>2383</v>
      </c>
      <c r="R1345">
        <v>1</v>
      </c>
      <c r="S1345" t="s">
        <v>2380</v>
      </c>
      <c r="T1345" t="s">
        <v>2383</v>
      </c>
      <c r="U1345" s="8">
        <v>45931.483807870369</v>
      </c>
      <c r="V1345" s="8">
        <v>45936.958333333336</v>
      </c>
      <c r="W1345">
        <v>1</v>
      </c>
      <c r="X1345">
        <v>0.197013889</v>
      </c>
      <c r="Y1345" t="s">
        <v>3521</v>
      </c>
      <c r="Z1345" t="s">
        <v>9665</v>
      </c>
      <c r="AA1345" t="s">
        <v>9656</v>
      </c>
      <c r="AB1345" t="s">
        <v>1278</v>
      </c>
      <c r="AC1345" t="s">
        <v>9666</v>
      </c>
      <c r="AD1345" t="s">
        <v>2708</v>
      </c>
      <c r="AE1345">
        <v>1</v>
      </c>
      <c r="AO1345" t="s">
        <v>3608</v>
      </c>
      <c r="AP1345" t="s">
        <v>2401</v>
      </c>
    </row>
    <row r="1346" spans="1:42">
      <c r="A1346" t="s">
        <v>5003</v>
      </c>
      <c r="B1346" t="s">
        <v>2389</v>
      </c>
      <c r="C1346" t="s">
        <v>2390</v>
      </c>
      <c r="D1346" t="s">
        <v>2379</v>
      </c>
      <c r="E1346" t="s">
        <v>2452</v>
      </c>
      <c r="F1346" t="s">
        <v>3891</v>
      </c>
      <c r="G1346" t="s">
        <v>2452</v>
      </c>
      <c r="H1346" t="b">
        <v>1</v>
      </c>
      <c r="I1346" s="8">
        <v>45936.483113425929</v>
      </c>
      <c r="J1346" t="s">
        <v>2380</v>
      </c>
      <c r="K1346">
        <v>1200272</v>
      </c>
      <c r="L1346">
        <v>603146</v>
      </c>
      <c r="M1346" t="s">
        <v>2381</v>
      </c>
      <c r="P1346" t="s">
        <v>2427</v>
      </c>
      <c r="Q1346" t="s">
        <v>2383</v>
      </c>
      <c r="R1346">
        <v>1</v>
      </c>
      <c r="S1346" t="s">
        <v>2380</v>
      </c>
      <c r="T1346" t="s">
        <v>2383</v>
      </c>
      <c r="U1346" s="8">
        <v>45931.493784722225</v>
      </c>
      <c r="V1346" s="8">
        <v>45936.958333333336</v>
      </c>
      <c r="W1346">
        <v>1</v>
      </c>
      <c r="X1346">
        <v>2.9893287040000001</v>
      </c>
      <c r="Y1346" t="s">
        <v>3892</v>
      </c>
      <c r="Z1346" t="s">
        <v>5004</v>
      </c>
      <c r="AA1346" t="s">
        <v>5005</v>
      </c>
      <c r="AB1346" t="s">
        <v>1278</v>
      </c>
      <c r="AC1346" t="s">
        <v>5006</v>
      </c>
      <c r="AD1346" t="s">
        <v>2708</v>
      </c>
      <c r="AE1346">
        <v>1</v>
      </c>
      <c r="AO1346" t="s">
        <v>2715</v>
      </c>
      <c r="AP1346" t="s">
        <v>2401</v>
      </c>
    </row>
    <row r="1347" spans="1:42">
      <c r="A1347" t="s">
        <v>5950</v>
      </c>
      <c r="B1347" t="s">
        <v>2389</v>
      </c>
      <c r="C1347" t="s">
        <v>2415</v>
      </c>
      <c r="D1347" t="s">
        <v>2379</v>
      </c>
      <c r="E1347" t="s">
        <v>2601</v>
      </c>
      <c r="F1347" t="s">
        <v>2541</v>
      </c>
      <c r="G1347" t="s">
        <v>2601</v>
      </c>
      <c r="H1347" t="b">
        <v>1</v>
      </c>
      <c r="I1347" s="8">
        <v>45932.650254629632</v>
      </c>
      <c r="J1347" t="s">
        <v>2380</v>
      </c>
      <c r="K1347">
        <v>1199987</v>
      </c>
      <c r="L1347">
        <v>608399</v>
      </c>
      <c r="M1347" t="s">
        <v>2381</v>
      </c>
      <c r="P1347" t="s">
        <v>2548</v>
      </c>
      <c r="Q1347" t="s">
        <v>2383</v>
      </c>
      <c r="R1347">
        <v>1</v>
      </c>
      <c r="S1347" t="s">
        <v>2380</v>
      </c>
      <c r="T1347" t="s">
        <v>2383</v>
      </c>
      <c r="U1347" s="8">
        <v>45931.531712962962</v>
      </c>
      <c r="V1347" s="8">
        <v>45936.958333333336</v>
      </c>
      <c r="W1347">
        <v>1</v>
      </c>
      <c r="X1347">
        <v>1.1185416669999999</v>
      </c>
      <c r="Y1347" t="s">
        <v>2542</v>
      </c>
      <c r="Z1347" t="s">
        <v>5951</v>
      </c>
      <c r="AA1347" t="s">
        <v>2576</v>
      </c>
      <c r="AB1347" t="s">
        <v>1278</v>
      </c>
      <c r="AC1347" t="s">
        <v>5952</v>
      </c>
      <c r="AD1347" t="s">
        <v>2708</v>
      </c>
      <c r="AE1347">
        <v>1</v>
      </c>
      <c r="AO1347" t="s">
        <v>2547</v>
      </c>
      <c r="AP1347" t="s">
        <v>2401</v>
      </c>
    </row>
    <row r="1348" spans="1:42">
      <c r="A1348" t="s">
        <v>2803</v>
      </c>
      <c r="B1348" t="s">
        <v>2389</v>
      </c>
      <c r="C1348" t="s">
        <v>2390</v>
      </c>
      <c r="D1348" t="s">
        <v>2379</v>
      </c>
      <c r="E1348" t="s">
        <v>2452</v>
      </c>
      <c r="F1348" t="s">
        <v>2417</v>
      </c>
      <c r="G1348" t="s">
        <v>2452</v>
      </c>
      <c r="H1348" t="b">
        <v>1</v>
      </c>
      <c r="I1348" s="8">
        <v>45936.413645833331</v>
      </c>
      <c r="J1348" t="s">
        <v>2380</v>
      </c>
      <c r="L1348">
        <v>609726</v>
      </c>
      <c r="M1348" t="s">
        <v>2381</v>
      </c>
      <c r="Q1348" t="s">
        <v>2383</v>
      </c>
      <c r="R1348">
        <v>1</v>
      </c>
      <c r="S1348" t="s">
        <v>2380</v>
      </c>
      <c r="T1348" t="s">
        <v>2383</v>
      </c>
      <c r="U1348" s="8">
        <v>45931.534594907411</v>
      </c>
      <c r="V1348" s="8">
        <v>45936.958333333336</v>
      </c>
      <c r="W1348">
        <v>1</v>
      </c>
      <c r="X1348">
        <v>2.8790509260000001</v>
      </c>
      <c r="Y1348" t="s">
        <v>2418</v>
      </c>
      <c r="Z1348" t="s">
        <v>2804</v>
      </c>
      <c r="AA1348" t="s">
        <v>1974</v>
      </c>
      <c r="AB1348" t="s">
        <v>1278</v>
      </c>
      <c r="AC1348" t="s">
        <v>2805</v>
      </c>
      <c r="AE1348">
        <v>1</v>
      </c>
      <c r="AO1348" t="s">
        <v>2408</v>
      </c>
      <c r="AP1348" t="s">
        <v>2401</v>
      </c>
    </row>
    <row r="1349" spans="1:42">
      <c r="A1349" t="s">
        <v>2878</v>
      </c>
      <c r="B1349" t="s">
        <v>2377</v>
      </c>
      <c r="C1349" t="s">
        <v>2378</v>
      </c>
      <c r="D1349" t="s">
        <v>2379</v>
      </c>
      <c r="E1349" t="s">
        <v>2876</v>
      </c>
      <c r="F1349" t="s">
        <v>2417</v>
      </c>
      <c r="G1349" t="s">
        <v>2416</v>
      </c>
      <c r="H1349" t="b">
        <v>1</v>
      </c>
      <c r="I1349" s="8">
        <v>45936.720590277779</v>
      </c>
      <c r="J1349" t="s">
        <v>2877</v>
      </c>
      <c r="L1349">
        <v>606821</v>
      </c>
      <c r="M1349" t="s">
        <v>2381</v>
      </c>
      <c r="Q1349" t="s">
        <v>2383</v>
      </c>
      <c r="R1349">
        <v>1</v>
      </c>
      <c r="S1349" t="s">
        <v>2877</v>
      </c>
      <c r="T1349" t="s">
        <v>2383</v>
      </c>
      <c r="U1349" s="8">
        <v>45931.535277777781</v>
      </c>
      <c r="V1349" s="8">
        <v>45936.958333333336</v>
      </c>
      <c r="W1349">
        <v>1</v>
      </c>
      <c r="X1349">
        <v>3.1853125000000002</v>
      </c>
      <c r="Y1349" t="s">
        <v>2418</v>
      </c>
      <c r="Z1349" t="s">
        <v>2879</v>
      </c>
      <c r="AA1349" t="s">
        <v>2880</v>
      </c>
      <c r="AB1349" t="s">
        <v>1278</v>
      </c>
      <c r="AC1349" t="s">
        <v>2881</v>
      </c>
      <c r="AE1349">
        <v>1</v>
      </c>
      <c r="AO1349" t="s">
        <v>2408</v>
      </c>
      <c r="AP1349" t="s">
        <v>2401</v>
      </c>
    </row>
    <row r="1350" spans="1:42">
      <c r="A1350" t="s">
        <v>4047</v>
      </c>
      <c r="B1350" t="s">
        <v>2389</v>
      </c>
      <c r="C1350" t="s">
        <v>2415</v>
      </c>
      <c r="D1350" t="s">
        <v>2379</v>
      </c>
      <c r="E1350" t="s">
        <v>307</v>
      </c>
      <c r="F1350" t="s">
        <v>3747</v>
      </c>
      <c r="G1350" t="s">
        <v>307</v>
      </c>
      <c r="H1350" t="b">
        <v>1</v>
      </c>
      <c r="I1350" s="8">
        <v>45933.487395833334</v>
      </c>
      <c r="J1350" t="s">
        <v>2380</v>
      </c>
      <c r="K1350">
        <v>1200069</v>
      </c>
      <c r="L1350">
        <v>606864</v>
      </c>
      <c r="M1350" t="s">
        <v>2381</v>
      </c>
      <c r="P1350" t="s">
        <v>2394</v>
      </c>
      <c r="Q1350" t="s">
        <v>2383</v>
      </c>
      <c r="R1350">
        <v>1</v>
      </c>
      <c r="S1350" t="s">
        <v>2380</v>
      </c>
      <c r="T1350" t="s">
        <v>2383</v>
      </c>
      <c r="U1350" s="8">
        <v>45931.537812499999</v>
      </c>
      <c r="V1350" s="8">
        <v>45936.958333333336</v>
      </c>
      <c r="W1350">
        <v>1</v>
      </c>
      <c r="X1350">
        <v>1.9495833330000001</v>
      </c>
      <c r="Y1350" t="s">
        <v>3748</v>
      </c>
      <c r="Z1350" t="s">
        <v>4048</v>
      </c>
      <c r="AA1350" t="s">
        <v>4049</v>
      </c>
      <c r="AB1350" t="s">
        <v>1278</v>
      </c>
      <c r="AD1350" t="s">
        <v>2708</v>
      </c>
      <c r="AE1350">
        <v>1</v>
      </c>
      <c r="AO1350" t="s">
        <v>2712</v>
      </c>
      <c r="AP1350" t="s">
        <v>2401</v>
      </c>
    </row>
    <row r="1351" spans="1:42">
      <c r="A1351" t="s">
        <v>5953</v>
      </c>
      <c r="B1351" t="s">
        <v>2389</v>
      </c>
      <c r="C1351" t="s">
        <v>2438</v>
      </c>
      <c r="D1351" t="s">
        <v>2379</v>
      </c>
      <c r="E1351" t="s">
        <v>2601</v>
      </c>
      <c r="F1351" t="s">
        <v>2541</v>
      </c>
      <c r="G1351" t="s">
        <v>2601</v>
      </c>
      <c r="H1351" t="b">
        <v>1</v>
      </c>
      <c r="I1351" s="8">
        <v>45932.403587962966</v>
      </c>
      <c r="J1351" t="s">
        <v>2380</v>
      </c>
      <c r="K1351">
        <v>1199804</v>
      </c>
      <c r="L1351">
        <v>601353</v>
      </c>
      <c r="M1351" t="s">
        <v>2381</v>
      </c>
      <c r="P1351" t="s">
        <v>2548</v>
      </c>
      <c r="Q1351" t="s">
        <v>2383</v>
      </c>
      <c r="R1351">
        <v>1</v>
      </c>
      <c r="S1351" t="s">
        <v>2380</v>
      </c>
      <c r="T1351" t="s">
        <v>2383</v>
      </c>
      <c r="U1351" s="8">
        <v>45931.538055555553</v>
      </c>
      <c r="V1351" s="8">
        <v>45936.958333333336</v>
      </c>
      <c r="W1351">
        <v>1</v>
      </c>
      <c r="X1351">
        <v>0.865532407</v>
      </c>
      <c r="Y1351" t="s">
        <v>2542</v>
      </c>
      <c r="Z1351" t="s">
        <v>5954</v>
      </c>
      <c r="AA1351" t="s">
        <v>2934</v>
      </c>
      <c r="AB1351" t="s">
        <v>1278</v>
      </c>
      <c r="AC1351" t="s">
        <v>5955</v>
      </c>
      <c r="AD1351" t="s">
        <v>2708</v>
      </c>
      <c r="AE1351">
        <v>1</v>
      </c>
      <c r="AO1351" t="s">
        <v>2547</v>
      </c>
      <c r="AP1351" t="s">
        <v>2401</v>
      </c>
    </row>
    <row r="1352" spans="1:42">
      <c r="A1352" t="s">
        <v>7805</v>
      </c>
      <c r="B1352" t="s">
        <v>2389</v>
      </c>
      <c r="C1352" t="s">
        <v>2443</v>
      </c>
      <c r="D1352" t="s">
        <v>2443</v>
      </c>
      <c r="E1352" t="s">
        <v>2452</v>
      </c>
      <c r="F1352" t="s">
        <v>3261</v>
      </c>
      <c r="G1352" t="s">
        <v>2452</v>
      </c>
      <c r="H1352" t="b">
        <v>1</v>
      </c>
      <c r="I1352" s="8">
        <v>45937.472650462965</v>
      </c>
      <c r="J1352" t="s">
        <v>2380</v>
      </c>
      <c r="K1352">
        <v>1200461</v>
      </c>
      <c r="L1352">
        <v>603910</v>
      </c>
      <c r="M1352" t="s">
        <v>2381</v>
      </c>
      <c r="P1352" t="s">
        <v>2394</v>
      </c>
      <c r="Q1352" t="s">
        <v>2383</v>
      </c>
      <c r="R1352">
        <v>1</v>
      </c>
      <c r="S1352" t="s">
        <v>2380</v>
      </c>
      <c r="T1352" t="s">
        <v>2383</v>
      </c>
      <c r="U1352" s="8">
        <v>45931.542754629627</v>
      </c>
      <c r="V1352" s="8">
        <v>45936.958333333336</v>
      </c>
      <c r="W1352">
        <v>1</v>
      </c>
      <c r="X1352">
        <v>3.9298958329999998</v>
      </c>
      <c r="Y1352" t="s">
        <v>3262</v>
      </c>
      <c r="Z1352" t="s">
        <v>7806</v>
      </c>
      <c r="AA1352" t="s">
        <v>7807</v>
      </c>
      <c r="AB1352" t="s">
        <v>1278</v>
      </c>
      <c r="AC1352" t="s">
        <v>7808</v>
      </c>
      <c r="AD1352" t="s">
        <v>2708</v>
      </c>
      <c r="AE1352">
        <v>1</v>
      </c>
      <c r="AO1352" t="s">
        <v>2957</v>
      </c>
      <c r="AP1352" t="s">
        <v>2401</v>
      </c>
    </row>
    <row r="1353" spans="1:42">
      <c r="A1353" t="s">
        <v>3848</v>
      </c>
      <c r="B1353" t="s">
        <v>2389</v>
      </c>
      <c r="C1353" t="s">
        <v>2390</v>
      </c>
      <c r="D1353" t="s">
        <v>2379</v>
      </c>
      <c r="E1353" t="s">
        <v>2452</v>
      </c>
      <c r="F1353" t="s">
        <v>3747</v>
      </c>
      <c r="G1353" t="s">
        <v>2452</v>
      </c>
      <c r="H1353" t="b">
        <v>1</v>
      </c>
      <c r="I1353" s="8">
        <v>45936.506041666667</v>
      </c>
      <c r="J1353" t="s">
        <v>2380</v>
      </c>
      <c r="L1353">
        <v>601527</v>
      </c>
      <c r="M1353" t="s">
        <v>2381</v>
      </c>
      <c r="P1353" t="s">
        <v>2394</v>
      </c>
      <c r="Q1353" t="s">
        <v>2383</v>
      </c>
      <c r="R1353">
        <v>1</v>
      </c>
      <c r="S1353" t="s">
        <v>2380</v>
      </c>
      <c r="T1353" t="s">
        <v>2383</v>
      </c>
      <c r="U1353" s="8">
        <v>45931.543391203704</v>
      </c>
      <c r="V1353" s="8">
        <v>45936.958333333336</v>
      </c>
      <c r="W1353">
        <v>1</v>
      </c>
      <c r="X1353">
        <v>2.9626504630000001</v>
      </c>
      <c r="Y1353" t="s">
        <v>3748</v>
      </c>
      <c r="Z1353" t="s">
        <v>3849</v>
      </c>
      <c r="AA1353" t="s">
        <v>3815</v>
      </c>
      <c r="AB1353" t="s">
        <v>1278</v>
      </c>
      <c r="AC1353" t="s">
        <v>3850</v>
      </c>
      <c r="AE1353">
        <v>1</v>
      </c>
      <c r="AO1353" t="s">
        <v>2712</v>
      </c>
      <c r="AP1353" t="s">
        <v>2401</v>
      </c>
    </row>
    <row r="1354" spans="1:42">
      <c r="A1354" t="s">
        <v>5707</v>
      </c>
      <c r="B1354" t="s">
        <v>2389</v>
      </c>
      <c r="C1354" t="s">
        <v>2415</v>
      </c>
      <c r="D1354" t="s">
        <v>2379</v>
      </c>
      <c r="E1354" t="s">
        <v>33</v>
      </c>
      <c r="F1354" t="s">
        <v>2541</v>
      </c>
      <c r="G1354" t="s">
        <v>33</v>
      </c>
      <c r="H1354" t="b">
        <v>1</v>
      </c>
      <c r="I1354" s="8">
        <v>45933.500393518516</v>
      </c>
      <c r="J1354" t="s">
        <v>2380</v>
      </c>
      <c r="K1354">
        <v>1200078</v>
      </c>
      <c r="L1354">
        <v>608399</v>
      </c>
      <c r="M1354" t="s">
        <v>2381</v>
      </c>
      <c r="P1354" t="s">
        <v>2548</v>
      </c>
      <c r="Q1354" t="s">
        <v>2383</v>
      </c>
      <c r="R1354">
        <v>1</v>
      </c>
      <c r="S1354" t="s">
        <v>2380</v>
      </c>
      <c r="T1354" t="s">
        <v>2383</v>
      </c>
      <c r="U1354" s="8">
        <v>45931.545046296298</v>
      </c>
      <c r="V1354" s="8">
        <v>45936.958333333336</v>
      </c>
      <c r="W1354">
        <v>1</v>
      </c>
      <c r="X1354">
        <v>1.9553472220000001</v>
      </c>
      <c r="Y1354" t="s">
        <v>2542</v>
      </c>
      <c r="Z1354" t="s">
        <v>5708</v>
      </c>
      <c r="AA1354" t="s">
        <v>2576</v>
      </c>
      <c r="AB1354" t="s">
        <v>1278</v>
      </c>
      <c r="AC1354" t="s">
        <v>5709</v>
      </c>
      <c r="AD1354" t="s">
        <v>2708</v>
      </c>
      <c r="AE1354">
        <v>1</v>
      </c>
      <c r="AO1354" t="s">
        <v>2547</v>
      </c>
      <c r="AP1354" t="s">
        <v>2401</v>
      </c>
    </row>
    <row r="1355" spans="1:42">
      <c r="A1355" t="s">
        <v>9675</v>
      </c>
      <c r="B1355" t="s">
        <v>2389</v>
      </c>
      <c r="C1355" t="s">
        <v>2390</v>
      </c>
      <c r="D1355" t="s">
        <v>2379</v>
      </c>
      <c r="E1355" t="s">
        <v>2452</v>
      </c>
      <c r="F1355" t="s">
        <v>9673</v>
      </c>
      <c r="G1355" t="s">
        <v>2452</v>
      </c>
      <c r="H1355" t="b">
        <v>1</v>
      </c>
      <c r="I1355" s="8">
        <v>45933.629212962966</v>
      </c>
      <c r="J1355" t="s">
        <v>2380</v>
      </c>
      <c r="K1355">
        <v>1200155</v>
      </c>
      <c r="L1355">
        <v>603499</v>
      </c>
      <c r="M1355" t="s">
        <v>2381</v>
      </c>
      <c r="P1355" t="s">
        <v>2394</v>
      </c>
      <c r="Q1355" t="s">
        <v>2383</v>
      </c>
      <c r="R1355">
        <v>1</v>
      </c>
      <c r="S1355" t="s">
        <v>2380</v>
      </c>
      <c r="T1355" t="s">
        <v>2383</v>
      </c>
      <c r="U1355" s="8">
        <v>45931.547615740739</v>
      </c>
      <c r="V1355" s="8">
        <v>45936.958333333336</v>
      </c>
      <c r="W1355">
        <v>1</v>
      </c>
      <c r="X1355">
        <v>2.0815972220000001</v>
      </c>
      <c r="Y1355" t="s">
        <v>9674</v>
      </c>
      <c r="Z1355" t="s">
        <v>9676</v>
      </c>
      <c r="AA1355" t="s">
        <v>9677</v>
      </c>
      <c r="AB1355" t="s">
        <v>1278</v>
      </c>
      <c r="AC1355" t="s">
        <v>9678</v>
      </c>
      <c r="AD1355" t="s">
        <v>2708</v>
      </c>
      <c r="AE1355">
        <v>1</v>
      </c>
      <c r="AO1355" t="s">
        <v>3608</v>
      </c>
      <c r="AP1355" t="s">
        <v>2401</v>
      </c>
    </row>
    <row r="1356" spans="1:42">
      <c r="A1356" t="s">
        <v>2765</v>
      </c>
      <c r="B1356" t="s">
        <v>2377</v>
      </c>
      <c r="C1356" t="s">
        <v>2378</v>
      </c>
      <c r="D1356" t="s">
        <v>2379</v>
      </c>
      <c r="E1356" t="s">
        <v>2416</v>
      </c>
      <c r="F1356" t="s">
        <v>2417</v>
      </c>
      <c r="G1356" t="s">
        <v>2416</v>
      </c>
      <c r="H1356" t="b">
        <v>1</v>
      </c>
      <c r="I1356" s="8">
        <v>45937.468807870369</v>
      </c>
      <c r="J1356" t="s">
        <v>2380</v>
      </c>
      <c r="L1356">
        <v>602250</v>
      </c>
      <c r="M1356" t="s">
        <v>2381</v>
      </c>
      <c r="P1356" t="s">
        <v>2394</v>
      </c>
      <c r="Q1356" t="s">
        <v>2383</v>
      </c>
      <c r="R1356">
        <v>1</v>
      </c>
      <c r="S1356" t="s">
        <v>2380</v>
      </c>
      <c r="T1356" t="s">
        <v>2383</v>
      </c>
      <c r="U1356" s="8">
        <v>45931.551076388889</v>
      </c>
      <c r="V1356" s="8">
        <v>45939.958333333336</v>
      </c>
      <c r="W1356">
        <v>1</v>
      </c>
      <c r="X1356">
        <v>3.9177314810000001</v>
      </c>
      <c r="Y1356" t="s">
        <v>2418</v>
      </c>
      <c r="Z1356" t="s">
        <v>2766</v>
      </c>
      <c r="AA1356" t="s">
        <v>2767</v>
      </c>
      <c r="AB1356" t="s">
        <v>1278</v>
      </c>
      <c r="AC1356" t="s">
        <v>2768</v>
      </c>
      <c r="AE1356">
        <v>1</v>
      </c>
      <c r="AO1356" t="s">
        <v>2408</v>
      </c>
      <c r="AP1356" t="s">
        <v>2401</v>
      </c>
    </row>
    <row r="1357" spans="1:42">
      <c r="A1357" t="s">
        <v>5956</v>
      </c>
      <c r="B1357" t="s">
        <v>2389</v>
      </c>
      <c r="C1357" t="s">
        <v>2438</v>
      </c>
      <c r="D1357" t="s">
        <v>2379</v>
      </c>
      <c r="E1357" t="s">
        <v>2601</v>
      </c>
      <c r="F1357" t="s">
        <v>2541</v>
      </c>
      <c r="G1357" t="s">
        <v>2601</v>
      </c>
      <c r="H1357" t="b">
        <v>1</v>
      </c>
      <c r="I1357" s="8">
        <v>45932.417141203703</v>
      </c>
      <c r="J1357" t="s">
        <v>2380</v>
      </c>
      <c r="K1357">
        <v>1199807</v>
      </c>
      <c r="L1357">
        <v>601441</v>
      </c>
      <c r="M1357" t="s">
        <v>2381</v>
      </c>
      <c r="P1357" t="s">
        <v>2548</v>
      </c>
      <c r="Q1357" t="s">
        <v>2383</v>
      </c>
      <c r="R1357">
        <v>1</v>
      </c>
      <c r="S1357" t="s">
        <v>2380</v>
      </c>
      <c r="T1357" t="s">
        <v>2383</v>
      </c>
      <c r="U1357" s="8">
        <v>45931.552708333336</v>
      </c>
      <c r="V1357" s="8">
        <v>45936.958333333336</v>
      </c>
      <c r="W1357">
        <v>1</v>
      </c>
      <c r="X1357">
        <v>0.86443287000000002</v>
      </c>
      <c r="Y1357" t="s">
        <v>2542</v>
      </c>
      <c r="Z1357" t="s">
        <v>5957</v>
      </c>
      <c r="AA1357" t="s">
        <v>2884</v>
      </c>
      <c r="AB1357" t="s">
        <v>1278</v>
      </c>
      <c r="AC1357" t="s">
        <v>5958</v>
      </c>
      <c r="AD1357" t="s">
        <v>2708</v>
      </c>
      <c r="AE1357">
        <v>1</v>
      </c>
      <c r="AO1357" t="s">
        <v>2547</v>
      </c>
      <c r="AP1357" t="s">
        <v>2401</v>
      </c>
    </row>
    <row r="1358" spans="1:42">
      <c r="A1358" t="s">
        <v>5959</v>
      </c>
      <c r="B1358" t="s">
        <v>2389</v>
      </c>
      <c r="C1358" t="s">
        <v>2438</v>
      </c>
      <c r="D1358" t="s">
        <v>2379</v>
      </c>
      <c r="E1358" t="s">
        <v>2601</v>
      </c>
      <c r="F1358" t="s">
        <v>2541</v>
      </c>
      <c r="G1358" t="s">
        <v>2601</v>
      </c>
      <c r="H1358" t="b">
        <v>1</v>
      </c>
      <c r="I1358" s="8">
        <v>45932.424351851849</v>
      </c>
      <c r="J1358" t="s">
        <v>2380</v>
      </c>
      <c r="K1358">
        <v>1199811</v>
      </c>
      <c r="L1358">
        <v>601096</v>
      </c>
      <c r="M1358" t="s">
        <v>2381</v>
      </c>
      <c r="P1358" t="s">
        <v>2548</v>
      </c>
      <c r="Q1358" t="s">
        <v>2383</v>
      </c>
      <c r="R1358">
        <v>1</v>
      </c>
      <c r="S1358" t="s">
        <v>2380</v>
      </c>
      <c r="T1358" t="s">
        <v>2383</v>
      </c>
      <c r="U1358" s="8">
        <v>45931.558333333334</v>
      </c>
      <c r="V1358" s="8">
        <v>45936.958333333336</v>
      </c>
      <c r="W1358">
        <v>1</v>
      </c>
      <c r="X1358">
        <v>0.86601851900000004</v>
      </c>
      <c r="Y1358" t="s">
        <v>2542</v>
      </c>
      <c r="Z1358" t="s">
        <v>5960</v>
      </c>
      <c r="AA1358" t="s">
        <v>2888</v>
      </c>
      <c r="AB1358" t="s">
        <v>1278</v>
      </c>
      <c r="AC1358" t="s">
        <v>5961</v>
      </c>
      <c r="AD1358" t="s">
        <v>2708</v>
      </c>
      <c r="AE1358">
        <v>1</v>
      </c>
      <c r="AO1358" t="s">
        <v>2547</v>
      </c>
      <c r="AP1358" t="s">
        <v>2401</v>
      </c>
    </row>
    <row r="1359" spans="1:42">
      <c r="A1359" t="s">
        <v>7301</v>
      </c>
      <c r="B1359" t="s">
        <v>2389</v>
      </c>
      <c r="C1359" t="s">
        <v>2378</v>
      </c>
      <c r="D1359" t="s">
        <v>2379</v>
      </c>
      <c r="E1359" t="s">
        <v>25</v>
      </c>
      <c r="F1359" t="s">
        <v>2578</v>
      </c>
      <c r="G1359" t="s">
        <v>25</v>
      </c>
      <c r="H1359" t="b">
        <v>1</v>
      </c>
      <c r="I1359" s="8">
        <v>45931.651180555556</v>
      </c>
      <c r="J1359" t="s">
        <v>2380</v>
      </c>
      <c r="K1359">
        <v>1199745</v>
      </c>
      <c r="L1359">
        <v>603303</v>
      </c>
      <c r="M1359" t="s">
        <v>2381</v>
      </c>
      <c r="N1359">
        <v>5</v>
      </c>
      <c r="P1359" t="s">
        <v>2394</v>
      </c>
      <c r="Q1359" t="s">
        <v>2383</v>
      </c>
      <c r="R1359">
        <v>1</v>
      </c>
      <c r="S1359" t="s">
        <v>2380</v>
      </c>
      <c r="T1359" t="s">
        <v>2383</v>
      </c>
      <c r="U1359" s="8">
        <v>45926.516782407409</v>
      </c>
      <c r="V1359" s="8">
        <v>45931.958333333336</v>
      </c>
      <c r="W1359">
        <v>1</v>
      </c>
      <c r="X1359">
        <v>3.1343981479999998</v>
      </c>
      <c r="Y1359" t="s">
        <v>2579</v>
      </c>
      <c r="Z1359" t="s">
        <v>7302</v>
      </c>
      <c r="AA1359" t="s">
        <v>4599</v>
      </c>
      <c r="AB1359" t="s">
        <v>1278</v>
      </c>
      <c r="AD1359" t="s">
        <v>2708</v>
      </c>
      <c r="AE1359">
        <v>1</v>
      </c>
      <c r="AO1359" t="s">
        <v>2388</v>
      </c>
      <c r="AP1359" t="s">
        <v>2401</v>
      </c>
    </row>
    <row r="1360" spans="1:42">
      <c r="A1360" t="s">
        <v>10087</v>
      </c>
      <c r="B1360" t="s">
        <v>2389</v>
      </c>
      <c r="C1360" t="s">
        <v>2390</v>
      </c>
      <c r="D1360" t="s">
        <v>2379</v>
      </c>
      <c r="E1360" t="s">
        <v>2452</v>
      </c>
      <c r="F1360" t="s">
        <v>2627</v>
      </c>
      <c r="G1360" t="s">
        <v>2452</v>
      </c>
      <c r="H1360" t="b">
        <v>1</v>
      </c>
      <c r="I1360" s="8">
        <v>45936.397673611114</v>
      </c>
      <c r="J1360" t="s">
        <v>2380</v>
      </c>
      <c r="K1360">
        <v>1167547</v>
      </c>
      <c r="L1360">
        <v>602559</v>
      </c>
      <c r="M1360" t="s">
        <v>2381</v>
      </c>
      <c r="P1360" t="s">
        <v>2394</v>
      </c>
      <c r="Q1360" t="s">
        <v>2383</v>
      </c>
      <c r="R1360">
        <v>1</v>
      </c>
      <c r="S1360" t="s">
        <v>2380</v>
      </c>
      <c r="T1360" t="s">
        <v>2383</v>
      </c>
      <c r="U1360" s="8">
        <v>45931.560983796298</v>
      </c>
      <c r="V1360" s="8">
        <v>45936.958333333336</v>
      </c>
      <c r="W1360">
        <v>1</v>
      </c>
      <c r="X1360">
        <v>2.8366898150000002</v>
      </c>
      <c r="Y1360" t="s">
        <v>2628</v>
      </c>
      <c r="Z1360" t="s">
        <v>10088</v>
      </c>
      <c r="AA1360" t="s">
        <v>10089</v>
      </c>
      <c r="AB1360" t="s">
        <v>1278</v>
      </c>
      <c r="AC1360" t="s">
        <v>10090</v>
      </c>
      <c r="AE1360">
        <v>1</v>
      </c>
      <c r="AO1360" t="s">
        <v>2957</v>
      </c>
      <c r="AP1360" t="s">
        <v>2401</v>
      </c>
    </row>
    <row r="1361" spans="1:42">
      <c r="A1361" t="s">
        <v>5962</v>
      </c>
      <c r="B1361" t="s">
        <v>2389</v>
      </c>
      <c r="C1361" t="s">
        <v>2415</v>
      </c>
      <c r="D1361" t="s">
        <v>2379</v>
      </c>
      <c r="E1361" t="s">
        <v>2601</v>
      </c>
      <c r="F1361" t="s">
        <v>2541</v>
      </c>
      <c r="G1361" t="s">
        <v>2601</v>
      </c>
      <c r="H1361" t="b">
        <v>1</v>
      </c>
      <c r="I1361" s="8">
        <v>45933.503553240742</v>
      </c>
      <c r="J1361" t="s">
        <v>2380</v>
      </c>
      <c r="K1361">
        <v>1200079</v>
      </c>
      <c r="L1361">
        <v>608399</v>
      </c>
      <c r="M1361" t="s">
        <v>2381</v>
      </c>
      <c r="P1361" t="s">
        <v>2548</v>
      </c>
      <c r="Q1361" t="s">
        <v>2383</v>
      </c>
      <c r="R1361">
        <v>1</v>
      </c>
      <c r="S1361" t="s">
        <v>2380</v>
      </c>
      <c r="T1361" t="s">
        <v>2383</v>
      </c>
      <c r="U1361" s="8">
        <v>45931.563935185186</v>
      </c>
      <c r="V1361" s="8">
        <v>45936.958333333336</v>
      </c>
      <c r="W1361">
        <v>1</v>
      </c>
      <c r="X1361">
        <v>1.939618056</v>
      </c>
      <c r="Y1361" t="s">
        <v>2542</v>
      </c>
      <c r="Z1361" t="s">
        <v>5963</v>
      </c>
      <c r="AA1361" t="s">
        <v>2576</v>
      </c>
      <c r="AB1361" t="s">
        <v>1278</v>
      </c>
      <c r="AC1361" t="s">
        <v>5964</v>
      </c>
      <c r="AD1361" t="s">
        <v>2708</v>
      </c>
      <c r="AE1361">
        <v>1</v>
      </c>
      <c r="AO1361" t="s">
        <v>2547</v>
      </c>
      <c r="AP1361" t="s">
        <v>2401</v>
      </c>
    </row>
    <row r="1362" spans="1:42">
      <c r="A1362" t="s">
        <v>5965</v>
      </c>
      <c r="B1362" t="s">
        <v>2389</v>
      </c>
      <c r="C1362" t="s">
        <v>2415</v>
      </c>
      <c r="D1362" t="s">
        <v>2379</v>
      </c>
      <c r="E1362" t="s">
        <v>2601</v>
      </c>
      <c r="F1362" t="s">
        <v>2541</v>
      </c>
      <c r="G1362" t="s">
        <v>2601</v>
      </c>
      <c r="H1362" t="b">
        <v>1</v>
      </c>
      <c r="I1362" s="8">
        <v>45932.642222222225</v>
      </c>
      <c r="J1362" t="s">
        <v>2380</v>
      </c>
      <c r="K1362">
        <v>1199984</v>
      </c>
      <c r="L1362">
        <v>608399</v>
      </c>
      <c r="M1362" t="s">
        <v>2381</v>
      </c>
      <c r="P1362" t="s">
        <v>2548</v>
      </c>
      <c r="Q1362" t="s">
        <v>2383</v>
      </c>
      <c r="R1362">
        <v>1</v>
      </c>
      <c r="S1362" t="s">
        <v>2380</v>
      </c>
      <c r="T1362" t="s">
        <v>2383</v>
      </c>
      <c r="U1362" s="8">
        <v>45931.579212962963</v>
      </c>
      <c r="V1362" s="8">
        <v>45936.958333333336</v>
      </c>
      <c r="W1362">
        <v>1</v>
      </c>
      <c r="X1362">
        <v>1.063009259</v>
      </c>
      <c r="Y1362" t="s">
        <v>2542</v>
      </c>
      <c r="Z1362" t="s">
        <v>5966</v>
      </c>
      <c r="AA1362" t="s">
        <v>2576</v>
      </c>
      <c r="AB1362" t="s">
        <v>1278</v>
      </c>
      <c r="AC1362" t="s">
        <v>5967</v>
      </c>
      <c r="AD1362" t="s">
        <v>2708</v>
      </c>
      <c r="AE1362">
        <v>1</v>
      </c>
      <c r="AO1362" t="s">
        <v>2547</v>
      </c>
      <c r="AP1362" t="s">
        <v>2401</v>
      </c>
    </row>
    <row r="1363" spans="1:42">
      <c r="A1363" t="s">
        <v>8991</v>
      </c>
      <c r="B1363" t="s">
        <v>2389</v>
      </c>
      <c r="C1363" t="s">
        <v>2415</v>
      </c>
      <c r="D1363" t="s">
        <v>2379</v>
      </c>
      <c r="E1363" t="s">
        <v>2452</v>
      </c>
      <c r="F1363" t="s">
        <v>2541</v>
      </c>
      <c r="G1363" t="s">
        <v>2452</v>
      </c>
      <c r="H1363" t="b">
        <v>1</v>
      </c>
      <c r="I1363" s="8">
        <v>45932.607615740744</v>
      </c>
      <c r="J1363" t="s">
        <v>2380</v>
      </c>
      <c r="K1363">
        <v>1199705</v>
      </c>
      <c r="L1363">
        <v>602299</v>
      </c>
      <c r="M1363" t="s">
        <v>2381</v>
      </c>
      <c r="Q1363" t="s">
        <v>2383</v>
      </c>
      <c r="R1363">
        <v>1</v>
      </c>
      <c r="S1363" t="s">
        <v>2380</v>
      </c>
      <c r="T1363" t="s">
        <v>2383</v>
      </c>
      <c r="U1363" s="8">
        <v>45931.58</v>
      </c>
      <c r="V1363" s="8">
        <v>45936.958333333336</v>
      </c>
      <c r="W1363">
        <v>1</v>
      </c>
      <c r="X1363">
        <v>1.027615741</v>
      </c>
      <c r="Y1363" t="s">
        <v>2542</v>
      </c>
      <c r="Z1363" t="s">
        <v>8992</v>
      </c>
      <c r="AA1363" t="s">
        <v>2927</v>
      </c>
      <c r="AB1363" t="s">
        <v>1278</v>
      </c>
      <c r="AC1363" t="s">
        <v>8993</v>
      </c>
      <c r="AD1363" t="s">
        <v>2708</v>
      </c>
      <c r="AE1363">
        <v>1</v>
      </c>
      <c r="AH1363" t="s">
        <v>33</v>
      </c>
      <c r="AI1363" s="8">
        <v>45932.593356481484</v>
      </c>
      <c r="AK1363" t="s">
        <v>2719</v>
      </c>
      <c r="AL1363" t="s">
        <v>2719</v>
      </c>
      <c r="AO1363" t="s">
        <v>2547</v>
      </c>
      <c r="AP1363" t="s">
        <v>2401</v>
      </c>
    </row>
    <row r="1364" spans="1:42">
      <c r="A1364" t="s">
        <v>2925</v>
      </c>
      <c r="B1364" t="s">
        <v>2389</v>
      </c>
      <c r="C1364" t="s">
        <v>2438</v>
      </c>
      <c r="D1364" t="s">
        <v>2379</v>
      </c>
      <c r="E1364" t="s">
        <v>2452</v>
      </c>
      <c r="F1364" t="s">
        <v>2541</v>
      </c>
      <c r="G1364" t="s">
        <v>2452</v>
      </c>
      <c r="H1364" t="b">
        <v>1</v>
      </c>
      <c r="I1364" s="8">
        <v>45931.597928240742</v>
      </c>
      <c r="J1364" t="s">
        <v>2380</v>
      </c>
      <c r="L1364">
        <v>602299</v>
      </c>
      <c r="M1364" t="s">
        <v>2381</v>
      </c>
      <c r="Q1364" t="s">
        <v>2383</v>
      </c>
      <c r="R1364">
        <v>1</v>
      </c>
      <c r="S1364" t="s">
        <v>2380</v>
      </c>
      <c r="T1364" t="s">
        <v>2383</v>
      </c>
      <c r="U1364" s="8">
        <v>45931.580335648148</v>
      </c>
      <c r="V1364" s="8">
        <v>45936.958333333336</v>
      </c>
      <c r="W1364">
        <v>1</v>
      </c>
      <c r="X1364">
        <v>1.7592593E-2</v>
      </c>
      <c r="Y1364" t="s">
        <v>2542</v>
      </c>
      <c r="Z1364" t="s">
        <v>2926</v>
      </c>
      <c r="AA1364" t="s">
        <v>2927</v>
      </c>
      <c r="AB1364" t="s">
        <v>1278</v>
      </c>
      <c r="AC1364" t="s">
        <v>2928</v>
      </c>
      <c r="AE1364">
        <v>1</v>
      </c>
      <c r="AO1364" t="s">
        <v>2547</v>
      </c>
      <c r="AP1364" t="s">
        <v>2401</v>
      </c>
    </row>
    <row r="1365" spans="1:42">
      <c r="A1365" t="s">
        <v>2929</v>
      </c>
      <c r="B1365" t="s">
        <v>2389</v>
      </c>
      <c r="C1365" t="s">
        <v>2438</v>
      </c>
      <c r="D1365" t="s">
        <v>2379</v>
      </c>
      <c r="E1365" t="s">
        <v>2452</v>
      </c>
      <c r="F1365" t="s">
        <v>2541</v>
      </c>
      <c r="G1365" t="s">
        <v>2452</v>
      </c>
      <c r="H1365" t="b">
        <v>1</v>
      </c>
      <c r="I1365" s="8">
        <v>45931.599826388891</v>
      </c>
      <c r="J1365" t="s">
        <v>2380</v>
      </c>
      <c r="L1365">
        <v>602299</v>
      </c>
      <c r="M1365" t="s">
        <v>2381</v>
      </c>
      <c r="Q1365" t="s">
        <v>2383</v>
      </c>
      <c r="R1365">
        <v>1</v>
      </c>
      <c r="S1365" t="s">
        <v>2380</v>
      </c>
      <c r="T1365" t="s">
        <v>2383</v>
      </c>
      <c r="U1365" s="8">
        <v>45931.580717592595</v>
      </c>
      <c r="V1365" s="8">
        <v>45936.958333333336</v>
      </c>
      <c r="W1365">
        <v>1</v>
      </c>
      <c r="X1365">
        <v>1.9108796000000001E-2</v>
      </c>
      <c r="Y1365" t="s">
        <v>2542</v>
      </c>
      <c r="Z1365" t="s">
        <v>2930</v>
      </c>
      <c r="AA1365" t="s">
        <v>2927</v>
      </c>
      <c r="AB1365" t="s">
        <v>1278</v>
      </c>
      <c r="AC1365" t="s">
        <v>2931</v>
      </c>
      <c r="AE1365">
        <v>1</v>
      </c>
      <c r="AO1365" t="s">
        <v>2547</v>
      </c>
      <c r="AP1365" t="s">
        <v>2401</v>
      </c>
    </row>
    <row r="1366" spans="1:42">
      <c r="A1366" t="s">
        <v>5710</v>
      </c>
      <c r="B1366" t="s">
        <v>2389</v>
      </c>
      <c r="C1366" t="s">
        <v>2443</v>
      </c>
      <c r="D1366" t="s">
        <v>2443</v>
      </c>
      <c r="E1366" t="s">
        <v>33</v>
      </c>
      <c r="F1366" t="s">
        <v>2541</v>
      </c>
      <c r="G1366" t="s">
        <v>33</v>
      </c>
      <c r="H1366" t="b">
        <v>1</v>
      </c>
      <c r="I1366" s="8">
        <v>45953.55872685185</v>
      </c>
      <c r="J1366" t="s">
        <v>2380</v>
      </c>
      <c r="K1366">
        <v>1204219</v>
      </c>
      <c r="L1366">
        <v>608398</v>
      </c>
      <c r="M1366" t="s">
        <v>2381</v>
      </c>
      <c r="P1366" t="s">
        <v>2548</v>
      </c>
      <c r="Q1366" t="s">
        <v>2383</v>
      </c>
      <c r="R1366">
        <v>1</v>
      </c>
      <c r="S1366" t="s">
        <v>2380</v>
      </c>
      <c r="T1366" t="s">
        <v>2383</v>
      </c>
      <c r="U1366" s="8">
        <v>45931.589733796296</v>
      </c>
      <c r="V1366" s="8">
        <v>45936.958333333336</v>
      </c>
      <c r="W1366">
        <v>1</v>
      </c>
      <c r="X1366">
        <v>15.968993056</v>
      </c>
      <c r="Y1366" t="s">
        <v>2542</v>
      </c>
      <c r="Z1366" t="s">
        <v>5711</v>
      </c>
      <c r="AA1366" t="s">
        <v>2917</v>
      </c>
      <c r="AB1366" t="s">
        <v>1278</v>
      </c>
      <c r="AC1366" t="s">
        <v>5712</v>
      </c>
      <c r="AD1366" t="s">
        <v>2708</v>
      </c>
      <c r="AE1366">
        <v>1</v>
      </c>
      <c r="AO1366" t="s">
        <v>2547</v>
      </c>
      <c r="AP1366" t="s">
        <v>2401</v>
      </c>
    </row>
    <row r="1367" spans="1:42">
      <c r="A1367" t="s">
        <v>162</v>
      </c>
      <c r="B1367" t="s">
        <v>2377</v>
      </c>
      <c r="C1367" t="s">
        <v>2443</v>
      </c>
      <c r="D1367" t="s">
        <v>2443</v>
      </c>
      <c r="E1367" t="s">
        <v>28</v>
      </c>
      <c r="F1367" t="s">
        <v>2578</v>
      </c>
      <c r="G1367" t="s">
        <v>28</v>
      </c>
      <c r="H1367" t="b">
        <v>1</v>
      </c>
      <c r="I1367" s="8">
        <v>45937.508125</v>
      </c>
      <c r="J1367" t="s">
        <v>2380</v>
      </c>
      <c r="L1367">
        <v>603755</v>
      </c>
      <c r="M1367" t="s">
        <v>2381</v>
      </c>
      <c r="N1367">
        <v>20</v>
      </c>
      <c r="Q1367" t="s">
        <v>2383</v>
      </c>
      <c r="R1367">
        <v>1</v>
      </c>
      <c r="S1367" t="s">
        <v>2380</v>
      </c>
      <c r="T1367" t="s">
        <v>2383</v>
      </c>
      <c r="U1367" s="8">
        <v>45931.600891203707</v>
      </c>
      <c r="V1367" s="8">
        <v>45936.958333333336</v>
      </c>
      <c r="W1367">
        <v>1</v>
      </c>
      <c r="X1367">
        <v>3.9072337959999999</v>
      </c>
      <c r="Y1367" t="s">
        <v>2579</v>
      </c>
      <c r="Z1367" t="s">
        <v>7263</v>
      </c>
      <c r="AA1367" t="s">
        <v>7264</v>
      </c>
      <c r="AB1367" t="s">
        <v>1278</v>
      </c>
      <c r="AC1367" t="s">
        <v>3066</v>
      </c>
      <c r="AD1367" t="s">
        <v>2708</v>
      </c>
      <c r="AE1367">
        <v>1</v>
      </c>
      <c r="AO1367" t="s">
        <v>2388</v>
      </c>
      <c r="AP1367" t="s">
        <v>2401</v>
      </c>
    </row>
    <row r="1368" spans="1:42">
      <c r="A1368" t="s">
        <v>7256</v>
      </c>
      <c r="B1368" t="s">
        <v>2389</v>
      </c>
      <c r="C1368" t="s">
        <v>2378</v>
      </c>
      <c r="D1368" t="s">
        <v>2379</v>
      </c>
      <c r="E1368" t="s">
        <v>28</v>
      </c>
      <c r="F1368">
        <v>6280</v>
      </c>
      <c r="G1368" t="s">
        <v>28</v>
      </c>
      <c r="H1368" t="b">
        <v>1</v>
      </c>
      <c r="I1368" s="8">
        <v>45936.632106481484</v>
      </c>
      <c r="J1368" t="s">
        <v>2380</v>
      </c>
      <c r="K1368">
        <v>1200368</v>
      </c>
      <c r="L1368">
        <v>603674</v>
      </c>
      <c r="M1368" t="s">
        <v>2381</v>
      </c>
      <c r="N1368">
        <v>15</v>
      </c>
      <c r="P1368" t="s">
        <v>2394</v>
      </c>
      <c r="Q1368" t="s">
        <v>2383</v>
      </c>
      <c r="R1368">
        <v>1</v>
      </c>
      <c r="S1368" t="s">
        <v>2380</v>
      </c>
      <c r="T1368" t="s">
        <v>2383</v>
      </c>
      <c r="U1368" s="8">
        <v>45931.603055555555</v>
      </c>
      <c r="V1368" s="8">
        <v>45936.958333333336</v>
      </c>
      <c r="W1368">
        <v>1</v>
      </c>
      <c r="X1368">
        <v>3.029050926</v>
      </c>
      <c r="Y1368" t="s">
        <v>4555</v>
      </c>
      <c r="Z1368" t="s">
        <v>7257</v>
      </c>
      <c r="AA1368" t="s">
        <v>7258</v>
      </c>
      <c r="AB1368" t="s">
        <v>1278</v>
      </c>
      <c r="AC1368" t="s">
        <v>7259</v>
      </c>
      <c r="AD1368" t="s">
        <v>2708</v>
      </c>
      <c r="AE1368">
        <v>1</v>
      </c>
      <c r="AO1368" t="s">
        <v>2388</v>
      </c>
      <c r="AP1368" t="s">
        <v>2401</v>
      </c>
    </row>
    <row r="1369" spans="1:42">
      <c r="A1369" t="s">
        <v>818</v>
      </c>
      <c r="B1369" t="s">
        <v>2377</v>
      </c>
      <c r="C1369" t="s">
        <v>2390</v>
      </c>
      <c r="D1369" t="s">
        <v>2379</v>
      </c>
      <c r="E1369" t="s">
        <v>25</v>
      </c>
      <c r="G1369" t="s">
        <v>25</v>
      </c>
      <c r="H1369" t="b">
        <v>1</v>
      </c>
      <c r="I1369" s="8">
        <v>45931.616990740738</v>
      </c>
      <c r="J1369" t="s">
        <v>2380</v>
      </c>
      <c r="L1369">
        <v>603381</v>
      </c>
      <c r="M1369" t="s">
        <v>2381</v>
      </c>
      <c r="N1369">
        <v>5</v>
      </c>
      <c r="P1369" t="s">
        <v>2704</v>
      </c>
      <c r="Q1369" t="s">
        <v>2383</v>
      </c>
      <c r="R1369">
        <v>1</v>
      </c>
      <c r="S1369" t="s">
        <v>2380</v>
      </c>
      <c r="T1369" t="s">
        <v>2383</v>
      </c>
      <c r="U1369" s="8">
        <v>45926.672800925924</v>
      </c>
      <c r="V1369" s="8">
        <v>45931.958333333336</v>
      </c>
      <c r="W1369">
        <v>1</v>
      </c>
      <c r="X1369">
        <v>2.9441898150000001</v>
      </c>
      <c r="Z1369" t="s">
        <v>2713</v>
      </c>
      <c r="AA1369" t="s">
        <v>2714</v>
      </c>
      <c r="AB1369" t="s">
        <v>1278</v>
      </c>
      <c r="AC1369" t="s">
        <v>817</v>
      </c>
      <c r="AD1369" t="s">
        <v>2708</v>
      </c>
      <c r="AE1369">
        <v>1</v>
      </c>
      <c r="AO1369" t="s">
        <v>2715</v>
      </c>
    </row>
    <row r="1370" spans="1:42">
      <c r="A1370" t="s">
        <v>9986</v>
      </c>
      <c r="B1370" t="s">
        <v>2377</v>
      </c>
      <c r="C1370" t="s">
        <v>2378</v>
      </c>
      <c r="D1370" t="s">
        <v>2379</v>
      </c>
      <c r="E1370" t="s">
        <v>2416</v>
      </c>
      <c r="F1370" t="s">
        <v>3261</v>
      </c>
      <c r="G1370" t="s">
        <v>2416</v>
      </c>
      <c r="H1370" t="b">
        <v>1</v>
      </c>
      <c r="I1370" s="8">
        <v>45937.604398148149</v>
      </c>
      <c r="J1370" t="s">
        <v>2380</v>
      </c>
      <c r="L1370">
        <v>603583</v>
      </c>
      <c r="M1370" t="s">
        <v>2381</v>
      </c>
      <c r="Q1370" t="s">
        <v>2383</v>
      </c>
      <c r="R1370">
        <v>1</v>
      </c>
      <c r="S1370" t="s">
        <v>2380</v>
      </c>
      <c r="T1370" t="s">
        <v>2383</v>
      </c>
      <c r="U1370" s="8">
        <v>45931.606666666667</v>
      </c>
      <c r="V1370" s="8">
        <v>45940.958333333336</v>
      </c>
      <c r="W1370">
        <v>1</v>
      </c>
      <c r="X1370">
        <v>3.9977314810000002</v>
      </c>
      <c r="Y1370" t="s">
        <v>3262</v>
      </c>
      <c r="Z1370" t="s">
        <v>9987</v>
      </c>
      <c r="AA1370" t="s">
        <v>7968</v>
      </c>
      <c r="AB1370" t="s">
        <v>1278</v>
      </c>
      <c r="AC1370" t="s">
        <v>9988</v>
      </c>
      <c r="AE1370">
        <v>1</v>
      </c>
      <c r="AO1370" t="s">
        <v>2957</v>
      </c>
      <c r="AP1370" t="s">
        <v>2401</v>
      </c>
    </row>
    <row r="1371" spans="1:42">
      <c r="A1371" t="s">
        <v>4996</v>
      </c>
      <c r="B1371" t="s">
        <v>2389</v>
      </c>
      <c r="C1371" t="s">
        <v>2390</v>
      </c>
      <c r="D1371" t="s">
        <v>2379</v>
      </c>
      <c r="E1371" t="s">
        <v>2452</v>
      </c>
      <c r="F1371" t="s">
        <v>4112</v>
      </c>
      <c r="G1371" t="s">
        <v>2452</v>
      </c>
      <c r="H1371" t="b">
        <v>1</v>
      </c>
      <c r="I1371" s="8">
        <v>45933.620115740741</v>
      </c>
      <c r="J1371" t="s">
        <v>2380</v>
      </c>
      <c r="K1371">
        <v>1200148</v>
      </c>
      <c r="L1371">
        <v>603799</v>
      </c>
      <c r="M1371" t="s">
        <v>2381</v>
      </c>
      <c r="Q1371" t="s">
        <v>2383</v>
      </c>
      <c r="R1371">
        <v>1</v>
      </c>
      <c r="S1371" t="s">
        <v>2380</v>
      </c>
      <c r="T1371" t="s">
        <v>2383</v>
      </c>
      <c r="U1371" s="8">
        <v>45931.618263888886</v>
      </c>
      <c r="V1371" s="8">
        <v>45936.958333333336</v>
      </c>
      <c r="W1371">
        <v>1</v>
      </c>
      <c r="X1371">
        <v>2.0018518520000002</v>
      </c>
      <c r="Y1371" t="s">
        <v>3901</v>
      </c>
      <c r="Z1371" t="s">
        <v>4997</v>
      </c>
      <c r="AA1371" t="s">
        <v>4115</v>
      </c>
      <c r="AB1371" t="s">
        <v>1278</v>
      </c>
      <c r="AC1371" t="s">
        <v>4998</v>
      </c>
      <c r="AD1371" t="s">
        <v>2708</v>
      </c>
      <c r="AE1371">
        <v>1</v>
      </c>
      <c r="AO1371" t="s">
        <v>2715</v>
      </c>
      <c r="AP1371" t="s">
        <v>2401</v>
      </c>
    </row>
    <row r="1372" spans="1:42">
      <c r="A1372" t="s">
        <v>759</v>
      </c>
      <c r="B1372" t="s">
        <v>2377</v>
      </c>
      <c r="C1372" t="s">
        <v>2390</v>
      </c>
      <c r="D1372" t="s">
        <v>2379</v>
      </c>
      <c r="E1372" t="s">
        <v>12</v>
      </c>
      <c r="F1372" t="s">
        <v>3339</v>
      </c>
      <c r="G1372" t="s">
        <v>12</v>
      </c>
      <c r="H1372" t="b">
        <v>1</v>
      </c>
      <c r="I1372" s="8">
        <v>45936.444664351853</v>
      </c>
      <c r="J1372" t="s">
        <v>2380</v>
      </c>
      <c r="L1372">
        <v>603170</v>
      </c>
      <c r="M1372" t="s">
        <v>2381</v>
      </c>
      <c r="Q1372" t="s">
        <v>2383</v>
      </c>
      <c r="R1372">
        <v>1</v>
      </c>
      <c r="S1372" t="s">
        <v>2380</v>
      </c>
      <c r="T1372" t="s">
        <v>2383</v>
      </c>
      <c r="U1372" s="8">
        <v>45931.627835648149</v>
      </c>
      <c r="V1372" s="8">
        <v>45936.958333333336</v>
      </c>
      <c r="W1372">
        <v>1</v>
      </c>
      <c r="X1372">
        <v>2.8168287040000002</v>
      </c>
      <c r="Y1372" t="s">
        <v>3340</v>
      </c>
      <c r="Z1372" t="s">
        <v>8058</v>
      </c>
      <c r="AA1372" t="s">
        <v>8059</v>
      </c>
      <c r="AB1372" t="s">
        <v>1278</v>
      </c>
      <c r="AC1372" t="s">
        <v>758</v>
      </c>
      <c r="AD1372" t="s">
        <v>2708</v>
      </c>
      <c r="AE1372">
        <v>1</v>
      </c>
      <c r="AO1372" t="s">
        <v>4121</v>
      </c>
      <c r="AP1372" t="s">
        <v>2401</v>
      </c>
    </row>
    <row r="1373" spans="1:42">
      <c r="A1373" t="s">
        <v>8994</v>
      </c>
      <c r="B1373" t="s">
        <v>2389</v>
      </c>
      <c r="C1373" t="s">
        <v>2390</v>
      </c>
      <c r="D1373" t="s">
        <v>2379</v>
      </c>
      <c r="E1373" t="s">
        <v>2452</v>
      </c>
      <c r="F1373" t="s">
        <v>2541</v>
      </c>
      <c r="G1373" t="s">
        <v>2452</v>
      </c>
      <c r="H1373" t="b">
        <v>1</v>
      </c>
      <c r="I1373" s="8">
        <v>45936.607731481483</v>
      </c>
      <c r="J1373" t="s">
        <v>2380</v>
      </c>
      <c r="K1373">
        <v>1200230</v>
      </c>
      <c r="L1373">
        <v>601720</v>
      </c>
      <c r="M1373" t="s">
        <v>2381</v>
      </c>
      <c r="Q1373" t="s">
        <v>2383</v>
      </c>
      <c r="R1373">
        <v>1</v>
      </c>
      <c r="S1373" t="s">
        <v>2380</v>
      </c>
      <c r="T1373" t="s">
        <v>2383</v>
      </c>
      <c r="U1373" s="8">
        <v>45931.635844907411</v>
      </c>
      <c r="V1373" s="8">
        <v>45936.958333333336</v>
      </c>
      <c r="W1373">
        <v>1</v>
      </c>
      <c r="X1373">
        <v>2.971886574</v>
      </c>
      <c r="Y1373" t="s">
        <v>2542</v>
      </c>
      <c r="Z1373" t="s">
        <v>8995</v>
      </c>
      <c r="AA1373" t="s">
        <v>8996</v>
      </c>
      <c r="AB1373" t="s">
        <v>1278</v>
      </c>
      <c r="AC1373" t="s">
        <v>8997</v>
      </c>
      <c r="AD1373" t="s">
        <v>2708</v>
      </c>
      <c r="AE1373">
        <v>1</v>
      </c>
      <c r="AH1373" t="s">
        <v>33</v>
      </c>
      <c r="AI1373" s="8">
        <v>45936.579884259256</v>
      </c>
      <c r="AK1373" t="s">
        <v>2719</v>
      </c>
      <c r="AL1373" t="s">
        <v>2719</v>
      </c>
      <c r="AO1373" t="s">
        <v>2547</v>
      </c>
      <c r="AP1373" t="s">
        <v>2401</v>
      </c>
    </row>
    <row r="1374" spans="1:42">
      <c r="A1374" t="s">
        <v>5868</v>
      </c>
      <c r="B1374" t="s">
        <v>2389</v>
      </c>
      <c r="C1374" t="s">
        <v>2390</v>
      </c>
      <c r="D1374" t="s">
        <v>2379</v>
      </c>
      <c r="E1374" t="s">
        <v>307</v>
      </c>
      <c r="F1374" t="s">
        <v>2541</v>
      </c>
      <c r="G1374" t="s">
        <v>307</v>
      </c>
      <c r="H1374" t="b">
        <v>1</v>
      </c>
      <c r="I1374" s="8">
        <v>45934.482777777775</v>
      </c>
      <c r="J1374" t="s">
        <v>2380</v>
      </c>
      <c r="K1374">
        <v>1200201</v>
      </c>
      <c r="L1374">
        <v>601353</v>
      </c>
      <c r="M1374" t="s">
        <v>2381</v>
      </c>
      <c r="P1374" t="s">
        <v>2548</v>
      </c>
      <c r="Q1374" t="s">
        <v>2383</v>
      </c>
      <c r="R1374">
        <v>1</v>
      </c>
      <c r="S1374" t="s">
        <v>2380</v>
      </c>
      <c r="T1374" t="s">
        <v>2383</v>
      </c>
      <c r="U1374" s="8">
        <v>45931.640115740738</v>
      </c>
      <c r="V1374" s="8">
        <v>45936.958333333336</v>
      </c>
      <c r="W1374">
        <v>1</v>
      </c>
      <c r="X1374">
        <v>2.8426620370000002</v>
      </c>
      <c r="Y1374" t="s">
        <v>2542</v>
      </c>
      <c r="Z1374" t="s">
        <v>5869</v>
      </c>
      <c r="AA1374" t="s">
        <v>2934</v>
      </c>
      <c r="AB1374" t="s">
        <v>1278</v>
      </c>
      <c r="AD1374" t="s">
        <v>2708</v>
      </c>
      <c r="AE1374">
        <v>1</v>
      </c>
      <c r="AO1374" t="s">
        <v>2547</v>
      </c>
      <c r="AP1374" t="s">
        <v>2401</v>
      </c>
    </row>
    <row r="1375" spans="1:42">
      <c r="A1375" t="s">
        <v>7664</v>
      </c>
      <c r="B1375" t="s">
        <v>2389</v>
      </c>
      <c r="C1375" t="s">
        <v>2390</v>
      </c>
      <c r="D1375" t="s">
        <v>2379</v>
      </c>
      <c r="E1375" t="s">
        <v>2452</v>
      </c>
      <c r="F1375" t="s">
        <v>3491</v>
      </c>
      <c r="G1375" t="s">
        <v>2452</v>
      </c>
      <c r="H1375" t="b">
        <v>1</v>
      </c>
      <c r="I1375" s="8">
        <v>45936.472453703704</v>
      </c>
      <c r="J1375" t="s">
        <v>2380</v>
      </c>
      <c r="K1375">
        <v>1200271</v>
      </c>
      <c r="L1375">
        <v>602666</v>
      </c>
      <c r="M1375" t="s">
        <v>2381</v>
      </c>
      <c r="P1375" t="s">
        <v>2394</v>
      </c>
      <c r="Q1375" t="s">
        <v>2383</v>
      </c>
      <c r="R1375">
        <v>1</v>
      </c>
      <c r="S1375" t="s">
        <v>2380</v>
      </c>
      <c r="T1375" t="s">
        <v>2383</v>
      </c>
      <c r="U1375" s="8">
        <v>45931.645520833335</v>
      </c>
      <c r="V1375" s="8">
        <v>45936.958333333336</v>
      </c>
      <c r="W1375">
        <v>1</v>
      </c>
      <c r="X1375">
        <v>2.8269328699999998</v>
      </c>
      <c r="Y1375" t="s">
        <v>3492</v>
      </c>
      <c r="Z1375" t="s">
        <v>7665</v>
      </c>
      <c r="AA1375" t="s">
        <v>3495</v>
      </c>
      <c r="AB1375" t="s">
        <v>1278</v>
      </c>
      <c r="AC1375" t="s">
        <v>7666</v>
      </c>
      <c r="AD1375" t="s">
        <v>2708</v>
      </c>
      <c r="AE1375">
        <v>1</v>
      </c>
      <c r="AO1375" t="s">
        <v>2957</v>
      </c>
      <c r="AP1375" t="s">
        <v>2401</v>
      </c>
    </row>
    <row r="1376" spans="1:42">
      <c r="A1376" t="s">
        <v>3629</v>
      </c>
      <c r="B1376" t="s">
        <v>2389</v>
      </c>
      <c r="C1376" t="s">
        <v>2390</v>
      </c>
      <c r="D1376" t="s">
        <v>2379</v>
      </c>
      <c r="E1376" t="s">
        <v>2452</v>
      </c>
      <c r="F1376" t="s">
        <v>3339</v>
      </c>
      <c r="G1376" t="s">
        <v>2452</v>
      </c>
      <c r="H1376" t="b">
        <v>1</v>
      </c>
      <c r="I1376" s="8">
        <v>45936.476319444446</v>
      </c>
      <c r="J1376" t="s">
        <v>2380</v>
      </c>
      <c r="L1376">
        <v>602488</v>
      </c>
      <c r="M1376" t="s">
        <v>2381</v>
      </c>
      <c r="P1376" t="s">
        <v>3628</v>
      </c>
      <c r="Q1376" t="s">
        <v>2383</v>
      </c>
      <c r="R1376">
        <v>1</v>
      </c>
      <c r="S1376" t="s">
        <v>2380</v>
      </c>
      <c r="T1376" t="s">
        <v>2383</v>
      </c>
      <c r="U1376" s="8">
        <v>45931.647847222222</v>
      </c>
      <c r="V1376" s="8">
        <v>45936.958333333336</v>
      </c>
      <c r="W1376">
        <v>1</v>
      </c>
      <c r="X1376">
        <v>2.8284722219999998</v>
      </c>
      <c r="Y1376" t="s">
        <v>3340</v>
      </c>
      <c r="Z1376" t="s">
        <v>3630</v>
      </c>
      <c r="AA1376" t="s">
        <v>3631</v>
      </c>
      <c r="AB1376" t="s">
        <v>1278</v>
      </c>
      <c r="AC1376" t="s">
        <v>3632</v>
      </c>
      <c r="AE1376">
        <v>1</v>
      </c>
      <c r="AO1376" t="s">
        <v>3608</v>
      </c>
      <c r="AP1376" t="s">
        <v>2401</v>
      </c>
    </row>
    <row r="1377" spans="1:42">
      <c r="A1377" t="s">
        <v>7041</v>
      </c>
      <c r="B1377" t="s">
        <v>2389</v>
      </c>
      <c r="C1377" t="s">
        <v>2390</v>
      </c>
      <c r="D1377" t="s">
        <v>2379</v>
      </c>
      <c r="E1377" t="s">
        <v>2452</v>
      </c>
      <c r="F1377">
        <v>6397</v>
      </c>
      <c r="G1377" t="s">
        <v>2452</v>
      </c>
      <c r="H1377" t="b">
        <v>1</v>
      </c>
      <c r="I1377" s="8">
        <v>45933.664421296293</v>
      </c>
      <c r="J1377" t="s">
        <v>2380</v>
      </c>
      <c r="K1377">
        <v>1200172</v>
      </c>
      <c r="L1377">
        <v>606290</v>
      </c>
      <c r="M1377" t="s">
        <v>2381</v>
      </c>
      <c r="P1377" t="s">
        <v>2394</v>
      </c>
      <c r="Q1377" t="s">
        <v>2383</v>
      </c>
      <c r="R1377">
        <v>1</v>
      </c>
      <c r="S1377" t="s">
        <v>2380</v>
      </c>
      <c r="T1377" t="s">
        <v>2383</v>
      </c>
      <c r="U1377" s="8">
        <v>45931.649618055555</v>
      </c>
      <c r="V1377" s="8">
        <v>45936.958333333336</v>
      </c>
      <c r="W1377">
        <v>1</v>
      </c>
      <c r="X1377">
        <v>2.0148032410000001</v>
      </c>
      <c r="Y1377" t="s">
        <v>2607</v>
      </c>
      <c r="Z1377" t="s">
        <v>7042</v>
      </c>
      <c r="AA1377" t="s">
        <v>6853</v>
      </c>
      <c r="AB1377" t="s">
        <v>1278</v>
      </c>
      <c r="AC1377" t="s">
        <v>7043</v>
      </c>
      <c r="AD1377" t="s">
        <v>2708</v>
      </c>
      <c r="AE1377">
        <v>1</v>
      </c>
      <c r="AO1377" t="s">
        <v>2388</v>
      </c>
      <c r="AP1377" t="s">
        <v>2401</v>
      </c>
    </row>
    <row r="1378" spans="1:42">
      <c r="A1378" t="s">
        <v>5845</v>
      </c>
      <c r="B1378" t="s">
        <v>2389</v>
      </c>
      <c r="C1378" t="s">
        <v>2415</v>
      </c>
      <c r="D1378" t="s">
        <v>2379</v>
      </c>
      <c r="E1378" t="s">
        <v>307</v>
      </c>
      <c r="F1378" t="s">
        <v>2541</v>
      </c>
      <c r="G1378" t="s">
        <v>307</v>
      </c>
      <c r="H1378" t="b">
        <v>1</v>
      </c>
      <c r="I1378" s="8">
        <v>45933.410925925928</v>
      </c>
      <c r="J1378" t="s">
        <v>2380</v>
      </c>
      <c r="K1378">
        <v>1200014</v>
      </c>
      <c r="L1378">
        <v>605288</v>
      </c>
      <c r="M1378" t="s">
        <v>2381</v>
      </c>
      <c r="Q1378" t="s">
        <v>2383</v>
      </c>
      <c r="R1378">
        <v>1</v>
      </c>
      <c r="S1378" t="s">
        <v>2380</v>
      </c>
      <c r="T1378" t="s">
        <v>2383</v>
      </c>
      <c r="U1378" s="8">
        <v>45931.652511574073</v>
      </c>
      <c r="V1378" s="8">
        <v>45936.958333333336</v>
      </c>
      <c r="W1378">
        <v>1</v>
      </c>
      <c r="X1378">
        <v>1.758414352</v>
      </c>
      <c r="Y1378" t="s">
        <v>2542</v>
      </c>
      <c r="Z1378" t="s">
        <v>5846</v>
      </c>
      <c r="AA1378" t="s">
        <v>3111</v>
      </c>
      <c r="AB1378" t="s">
        <v>1278</v>
      </c>
      <c r="AC1378" t="s">
        <v>5847</v>
      </c>
      <c r="AD1378" t="s">
        <v>2708</v>
      </c>
      <c r="AE1378">
        <v>1</v>
      </c>
      <c r="AO1378" t="s">
        <v>2547</v>
      </c>
      <c r="AP1378" t="s">
        <v>2401</v>
      </c>
    </row>
    <row r="1379" spans="1:42">
      <c r="A1379" t="s">
        <v>6993</v>
      </c>
      <c r="B1379" t="s">
        <v>2389</v>
      </c>
      <c r="C1379" t="s">
        <v>2691</v>
      </c>
      <c r="D1379" t="s">
        <v>2379</v>
      </c>
      <c r="E1379" t="s">
        <v>2452</v>
      </c>
      <c r="F1379">
        <v>4025</v>
      </c>
      <c r="G1379" t="s">
        <v>2452</v>
      </c>
      <c r="H1379" t="b">
        <v>1</v>
      </c>
      <c r="I1379" s="8">
        <v>45943.658622685187</v>
      </c>
      <c r="J1379" t="s">
        <v>2380</v>
      </c>
      <c r="K1379">
        <v>1202045</v>
      </c>
      <c r="L1379">
        <v>609873</v>
      </c>
      <c r="M1379" t="s">
        <v>2381</v>
      </c>
      <c r="P1379" t="s">
        <v>2394</v>
      </c>
      <c r="Q1379" t="s">
        <v>2383</v>
      </c>
      <c r="R1379">
        <v>1</v>
      </c>
      <c r="S1379" t="s">
        <v>2380</v>
      </c>
      <c r="T1379" t="s">
        <v>2383</v>
      </c>
      <c r="U1379" s="8">
        <v>45931.657395833332</v>
      </c>
      <c r="V1379" s="8">
        <v>45946.958333333336</v>
      </c>
      <c r="W1379">
        <v>1</v>
      </c>
      <c r="X1379">
        <v>8.0012268520000003</v>
      </c>
      <c r="Y1379" t="s">
        <v>6992</v>
      </c>
      <c r="Z1379" t="s">
        <v>6994</v>
      </c>
      <c r="AA1379" t="s">
        <v>6995</v>
      </c>
      <c r="AB1379" t="s">
        <v>1278</v>
      </c>
      <c r="AC1379" t="s">
        <v>6996</v>
      </c>
      <c r="AD1379" t="s">
        <v>2708</v>
      </c>
      <c r="AE1379">
        <v>1</v>
      </c>
      <c r="AO1379" t="s">
        <v>2388</v>
      </c>
      <c r="AP1379" t="s">
        <v>2401</v>
      </c>
    </row>
    <row r="1380" spans="1:42">
      <c r="A1380" t="s">
        <v>7667</v>
      </c>
      <c r="B1380" t="s">
        <v>2389</v>
      </c>
      <c r="C1380" t="s">
        <v>2390</v>
      </c>
      <c r="D1380" t="s">
        <v>2379</v>
      </c>
      <c r="E1380" t="s">
        <v>2452</v>
      </c>
      <c r="F1380" t="s">
        <v>3491</v>
      </c>
      <c r="G1380" t="s">
        <v>2452</v>
      </c>
      <c r="H1380" t="b">
        <v>1</v>
      </c>
      <c r="I1380" s="8">
        <v>45936.403055555558</v>
      </c>
      <c r="J1380" t="s">
        <v>2380</v>
      </c>
      <c r="K1380">
        <v>1200252</v>
      </c>
      <c r="L1380">
        <v>602666</v>
      </c>
      <c r="M1380" t="s">
        <v>2381</v>
      </c>
      <c r="P1380" t="s">
        <v>2394</v>
      </c>
      <c r="Q1380" t="s">
        <v>2383</v>
      </c>
      <c r="R1380">
        <v>1</v>
      </c>
      <c r="S1380" t="s">
        <v>2380</v>
      </c>
      <c r="T1380" t="s">
        <v>2383</v>
      </c>
      <c r="U1380" s="8">
        <v>45931.676319444443</v>
      </c>
      <c r="V1380" s="8">
        <v>45936.958333333336</v>
      </c>
      <c r="W1380">
        <v>1</v>
      </c>
      <c r="X1380">
        <v>2.7267361110000001</v>
      </c>
      <c r="Y1380" t="s">
        <v>3492</v>
      </c>
      <c r="Z1380" t="s">
        <v>7668</v>
      </c>
      <c r="AA1380" t="s">
        <v>3495</v>
      </c>
      <c r="AB1380" t="s">
        <v>1278</v>
      </c>
      <c r="AC1380" t="s">
        <v>7669</v>
      </c>
      <c r="AD1380" t="s">
        <v>2708</v>
      </c>
      <c r="AE1380">
        <v>1</v>
      </c>
      <c r="AO1380" t="s">
        <v>2957</v>
      </c>
      <c r="AP1380" t="s">
        <v>2401</v>
      </c>
    </row>
    <row r="1381" spans="1:42">
      <c r="A1381" t="s">
        <v>7753</v>
      </c>
      <c r="B1381" t="s">
        <v>2389</v>
      </c>
      <c r="C1381" t="s">
        <v>2390</v>
      </c>
      <c r="D1381" t="s">
        <v>2379</v>
      </c>
      <c r="E1381" t="s">
        <v>2452</v>
      </c>
      <c r="F1381" t="s">
        <v>7752</v>
      </c>
      <c r="G1381" t="s">
        <v>2452</v>
      </c>
      <c r="H1381" t="b">
        <v>1</v>
      </c>
      <c r="I1381" s="8">
        <v>45936.421064814815</v>
      </c>
      <c r="J1381" t="s">
        <v>2380</v>
      </c>
      <c r="K1381">
        <v>1200255</v>
      </c>
      <c r="L1381">
        <v>609780</v>
      </c>
      <c r="M1381" t="s">
        <v>2381</v>
      </c>
      <c r="P1381" t="s">
        <v>2394</v>
      </c>
      <c r="Q1381" t="s">
        <v>2383</v>
      </c>
      <c r="R1381">
        <v>1</v>
      </c>
      <c r="S1381" t="s">
        <v>2380</v>
      </c>
      <c r="T1381" t="s">
        <v>2383</v>
      </c>
      <c r="U1381" s="8">
        <v>45931.679189814815</v>
      </c>
      <c r="V1381" s="8">
        <v>45936.958333333336</v>
      </c>
      <c r="W1381">
        <v>1</v>
      </c>
      <c r="X1381">
        <v>2.7418749999999998</v>
      </c>
      <c r="Y1381" t="s">
        <v>3521</v>
      </c>
      <c r="Z1381" t="s">
        <v>7754</v>
      </c>
      <c r="AA1381" t="s">
        <v>7755</v>
      </c>
      <c r="AB1381" t="s">
        <v>1278</v>
      </c>
      <c r="AC1381" t="s">
        <v>7756</v>
      </c>
      <c r="AD1381" t="s">
        <v>2708</v>
      </c>
      <c r="AE1381">
        <v>1</v>
      </c>
      <c r="AO1381" t="s">
        <v>2957</v>
      </c>
      <c r="AP1381" t="s">
        <v>2401</v>
      </c>
    </row>
    <row r="1382" spans="1:42">
      <c r="A1382" t="s">
        <v>7111</v>
      </c>
      <c r="B1382" t="s">
        <v>2389</v>
      </c>
      <c r="C1382" t="s">
        <v>2443</v>
      </c>
      <c r="D1382" t="s">
        <v>2443</v>
      </c>
      <c r="E1382" t="s">
        <v>18</v>
      </c>
      <c r="F1382" t="s">
        <v>7109</v>
      </c>
      <c r="G1382" t="s">
        <v>2416</v>
      </c>
      <c r="H1382" t="b">
        <v>1</v>
      </c>
      <c r="I1382" s="8">
        <v>45931.699131944442</v>
      </c>
      <c r="J1382" t="s">
        <v>2380</v>
      </c>
      <c r="K1382">
        <v>1199775</v>
      </c>
      <c r="L1382">
        <v>608968</v>
      </c>
      <c r="M1382" t="s">
        <v>2381</v>
      </c>
      <c r="Q1382" t="s">
        <v>2383</v>
      </c>
      <c r="R1382">
        <v>1</v>
      </c>
      <c r="S1382" t="s">
        <v>2380</v>
      </c>
      <c r="T1382" t="s">
        <v>2383</v>
      </c>
      <c r="U1382" s="8">
        <v>45926</v>
      </c>
      <c r="V1382" s="8">
        <v>45930.958333333336</v>
      </c>
      <c r="W1382">
        <v>1</v>
      </c>
      <c r="X1382">
        <v>3.6991319439999999</v>
      </c>
      <c r="Y1382" t="s">
        <v>7110</v>
      </c>
      <c r="Z1382" t="s">
        <v>7112</v>
      </c>
      <c r="AA1382" t="s">
        <v>7113</v>
      </c>
      <c r="AB1382" t="s">
        <v>1278</v>
      </c>
      <c r="AC1382" t="s">
        <v>7114</v>
      </c>
      <c r="AD1382" t="s">
        <v>2708</v>
      </c>
      <c r="AE1382">
        <v>1</v>
      </c>
      <c r="AO1382" t="s">
        <v>2388</v>
      </c>
      <c r="AP1382" t="s">
        <v>2401</v>
      </c>
    </row>
    <row r="1383" spans="1:42">
      <c r="A1383" t="s">
        <v>3888</v>
      </c>
      <c r="B1383" t="s">
        <v>2389</v>
      </c>
      <c r="C1383" t="s">
        <v>2390</v>
      </c>
      <c r="D1383" t="s">
        <v>2379</v>
      </c>
      <c r="E1383" t="s">
        <v>2416</v>
      </c>
      <c r="F1383" t="s">
        <v>3747</v>
      </c>
      <c r="G1383" t="s">
        <v>2416</v>
      </c>
      <c r="H1383" t="b">
        <v>1</v>
      </c>
      <c r="I1383" s="8">
        <v>45936.503657407404</v>
      </c>
      <c r="J1383" t="s">
        <v>2380</v>
      </c>
      <c r="L1383">
        <v>601299</v>
      </c>
      <c r="M1383" t="s">
        <v>2381</v>
      </c>
      <c r="P1383" t="s">
        <v>2394</v>
      </c>
      <c r="Q1383" t="s">
        <v>2383</v>
      </c>
      <c r="R1383">
        <v>1</v>
      </c>
      <c r="S1383" t="s">
        <v>2380</v>
      </c>
      <c r="T1383" t="s">
        <v>2383</v>
      </c>
      <c r="U1383" s="8">
        <v>45931.6875462963</v>
      </c>
      <c r="V1383" s="8">
        <v>45936.958333333336</v>
      </c>
      <c r="W1383">
        <v>1</v>
      </c>
      <c r="X1383">
        <v>2.8161111110000001</v>
      </c>
      <c r="Y1383" t="s">
        <v>3748</v>
      </c>
      <c r="Z1383" t="s">
        <v>3889</v>
      </c>
      <c r="AA1383" t="s">
        <v>3758</v>
      </c>
      <c r="AB1383" t="s">
        <v>1278</v>
      </c>
      <c r="AC1383" t="s">
        <v>3890</v>
      </c>
      <c r="AE1383">
        <v>1</v>
      </c>
      <c r="AO1383" t="s">
        <v>2712</v>
      </c>
      <c r="AP1383" t="s">
        <v>2401</v>
      </c>
    </row>
    <row r="1384" spans="1:42">
      <c r="A1384" t="s">
        <v>5527</v>
      </c>
      <c r="B1384" t="s">
        <v>2389</v>
      </c>
      <c r="C1384" t="s">
        <v>2378</v>
      </c>
      <c r="D1384" t="s">
        <v>2379</v>
      </c>
      <c r="E1384" t="s">
        <v>25</v>
      </c>
      <c r="F1384" t="s">
        <v>2402</v>
      </c>
      <c r="G1384" t="s">
        <v>25</v>
      </c>
      <c r="H1384" t="b">
        <v>1</v>
      </c>
      <c r="I1384" s="8">
        <v>45931.711944444447</v>
      </c>
      <c r="J1384" t="s">
        <v>2380</v>
      </c>
      <c r="K1384">
        <v>1199778</v>
      </c>
      <c r="L1384">
        <v>602880</v>
      </c>
      <c r="M1384" t="s">
        <v>2381</v>
      </c>
      <c r="N1384">
        <v>5</v>
      </c>
      <c r="P1384" t="s">
        <v>2394</v>
      </c>
      <c r="Q1384" t="s">
        <v>2383</v>
      </c>
      <c r="R1384">
        <v>1</v>
      </c>
      <c r="S1384" t="s">
        <v>2380</v>
      </c>
      <c r="T1384" t="s">
        <v>2383</v>
      </c>
      <c r="U1384" s="8">
        <v>45926.451956018522</v>
      </c>
      <c r="V1384" s="8">
        <v>45931.958333333336</v>
      </c>
      <c r="W1384">
        <v>1</v>
      </c>
      <c r="X1384">
        <v>3.2599884260000001</v>
      </c>
      <c r="Y1384" t="s">
        <v>2403</v>
      </c>
      <c r="Z1384" t="s">
        <v>5528</v>
      </c>
      <c r="AA1384" t="s">
        <v>1776</v>
      </c>
      <c r="AB1384" t="s">
        <v>1278</v>
      </c>
      <c r="AC1384" t="s">
        <v>5529</v>
      </c>
      <c r="AD1384" t="s">
        <v>2708</v>
      </c>
      <c r="AE1384">
        <v>1</v>
      </c>
      <c r="AO1384" t="s">
        <v>2408</v>
      </c>
      <c r="AP1384" t="s">
        <v>2401</v>
      </c>
    </row>
    <row r="1385" spans="1:42">
      <c r="A1385" t="s">
        <v>4246</v>
      </c>
      <c r="B1385" t="s">
        <v>2389</v>
      </c>
      <c r="C1385" t="s">
        <v>2438</v>
      </c>
      <c r="D1385" t="s">
        <v>2379</v>
      </c>
      <c r="E1385" t="s">
        <v>33</v>
      </c>
      <c r="F1385" t="s">
        <v>2402</v>
      </c>
      <c r="G1385" t="s">
        <v>33</v>
      </c>
      <c r="H1385" t="b">
        <v>1</v>
      </c>
      <c r="I1385" s="8">
        <v>45932.43105324074</v>
      </c>
      <c r="J1385" t="s">
        <v>2380</v>
      </c>
      <c r="K1385">
        <v>1199815</v>
      </c>
      <c r="L1385">
        <v>609839</v>
      </c>
      <c r="M1385" t="s">
        <v>2381</v>
      </c>
      <c r="P1385" t="s">
        <v>2394</v>
      </c>
      <c r="Q1385" t="s">
        <v>2383</v>
      </c>
      <c r="R1385">
        <v>1</v>
      </c>
      <c r="S1385" t="s">
        <v>2380</v>
      </c>
      <c r="T1385" t="s">
        <v>2383</v>
      </c>
      <c r="U1385" s="8">
        <v>45931.699456018519</v>
      </c>
      <c r="V1385" s="8">
        <v>45936.958333333336</v>
      </c>
      <c r="W1385">
        <v>1</v>
      </c>
      <c r="X1385">
        <v>0.73159722199999999</v>
      </c>
      <c r="Y1385" t="s">
        <v>2403</v>
      </c>
      <c r="Z1385" t="s">
        <v>4247</v>
      </c>
      <c r="AA1385" t="s">
        <v>2760</v>
      </c>
      <c r="AB1385" t="s">
        <v>1278</v>
      </c>
      <c r="AC1385" t="s">
        <v>4248</v>
      </c>
      <c r="AD1385" t="s">
        <v>2708</v>
      </c>
      <c r="AE1385">
        <v>1</v>
      </c>
      <c r="AO1385" t="s">
        <v>2408</v>
      </c>
      <c r="AP1385" t="s">
        <v>2401</v>
      </c>
    </row>
    <row r="1386" spans="1:42">
      <c r="A1386" t="s">
        <v>3753</v>
      </c>
      <c r="B1386" t="s">
        <v>2377</v>
      </c>
      <c r="C1386" t="s">
        <v>2390</v>
      </c>
      <c r="D1386" t="s">
        <v>2379</v>
      </c>
      <c r="E1386" t="s">
        <v>24</v>
      </c>
      <c r="F1386" t="s">
        <v>3747</v>
      </c>
      <c r="G1386" t="s">
        <v>24</v>
      </c>
      <c r="H1386" t="b">
        <v>1</v>
      </c>
      <c r="I1386" s="8">
        <v>45936.608726851853</v>
      </c>
      <c r="J1386" t="s">
        <v>2380</v>
      </c>
      <c r="L1386">
        <v>606849</v>
      </c>
      <c r="M1386" t="s">
        <v>2381</v>
      </c>
      <c r="P1386" t="s">
        <v>2394</v>
      </c>
      <c r="Q1386" t="s">
        <v>2383</v>
      </c>
      <c r="R1386">
        <v>1</v>
      </c>
      <c r="S1386" t="s">
        <v>2380</v>
      </c>
      <c r="T1386" t="s">
        <v>2383</v>
      </c>
      <c r="U1386" s="8">
        <v>45931.702245370368</v>
      </c>
      <c r="V1386" s="8">
        <v>45936.958333333336</v>
      </c>
      <c r="W1386">
        <v>1</v>
      </c>
      <c r="X1386">
        <v>2.9064814810000001</v>
      </c>
      <c r="Y1386" t="s">
        <v>3748</v>
      </c>
      <c r="Z1386" t="s">
        <v>3754</v>
      </c>
      <c r="AA1386" t="s">
        <v>3755</v>
      </c>
      <c r="AB1386" t="s">
        <v>1278</v>
      </c>
      <c r="AE1386">
        <v>1</v>
      </c>
      <c r="AO1386" t="s">
        <v>2712</v>
      </c>
      <c r="AP1386" t="s">
        <v>2401</v>
      </c>
    </row>
    <row r="1387" spans="1:42">
      <c r="A1387" t="s">
        <v>7031</v>
      </c>
      <c r="B1387" t="s">
        <v>2389</v>
      </c>
      <c r="C1387" t="s">
        <v>2415</v>
      </c>
      <c r="D1387" t="s">
        <v>2379</v>
      </c>
      <c r="E1387" t="s">
        <v>2452</v>
      </c>
      <c r="F1387" t="s">
        <v>4604</v>
      </c>
      <c r="G1387" t="s">
        <v>2452</v>
      </c>
      <c r="H1387" t="b">
        <v>1</v>
      </c>
      <c r="I1387" s="8">
        <v>45933.610671296294</v>
      </c>
      <c r="J1387" t="s">
        <v>2380</v>
      </c>
      <c r="K1387">
        <v>1200144</v>
      </c>
      <c r="L1387">
        <v>601741</v>
      </c>
      <c r="M1387" t="s">
        <v>2381</v>
      </c>
      <c r="P1387" t="s">
        <v>2394</v>
      </c>
      <c r="Q1387" t="s">
        <v>2383</v>
      </c>
      <c r="R1387">
        <v>1</v>
      </c>
      <c r="S1387" t="s">
        <v>2380</v>
      </c>
      <c r="T1387" t="s">
        <v>2383</v>
      </c>
      <c r="U1387" s="8">
        <v>45931.703055555554</v>
      </c>
      <c r="V1387" s="8">
        <v>45936.958333333336</v>
      </c>
      <c r="W1387">
        <v>1</v>
      </c>
      <c r="X1387">
        <v>1.9076157410000001</v>
      </c>
      <c r="Y1387" t="s">
        <v>4605</v>
      </c>
      <c r="Z1387" t="s">
        <v>7032</v>
      </c>
      <c r="AA1387" t="s">
        <v>4608</v>
      </c>
      <c r="AB1387" t="s">
        <v>1278</v>
      </c>
      <c r="AC1387" t="s">
        <v>7033</v>
      </c>
      <c r="AD1387" t="s">
        <v>2708</v>
      </c>
      <c r="AE1387">
        <v>1</v>
      </c>
      <c r="AO1387" t="s">
        <v>2388</v>
      </c>
      <c r="AP1387" t="s">
        <v>2401</v>
      </c>
    </row>
    <row r="1388" spans="1:42">
      <c r="A1388" t="s">
        <v>4249</v>
      </c>
      <c r="B1388" t="s">
        <v>2389</v>
      </c>
      <c r="C1388" t="s">
        <v>2438</v>
      </c>
      <c r="D1388" t="s">
        <v>2379</v>
      </c>
      <c r="E1388" t="s">
        <v>33</v>
      </c>
      <c r="F1388" t="s">
        <v>2402</v>
      </c>
      <c r="G1388" t="s">
        <v>33</v>
      </c>
      <c r="H1388" t="b">
        <v>1</v>
      </c>
      <c r="I1388" s="8">
        <v>45932.614155092589</v>
      </c>
      <c r="J1388" t="s">
        <v>2380</v>
      </c>
      <c r="K1388">
        <v>1199955</v>
      </c>
      <c r="L1388">
        <v>609839</v>
      </c>
      <c r="M1388" t="s">
        <v>2381</v>
      </c>
      <c r="P1388" t="s">
        <v>2394</v>
      </c>
      <c r="Q1388" t="s">
        <v>2383</v>
      </c>
      <c r="R1388">
        <v>1</v>
      </c>
      <c r="S1388" t="s">
        <v>2380</v>
      </c>
      <c r="T1388" t="s">
        <v>2383</v>
      </c>
      <c r="U1388" s="8">
        <v>45931.703703703701</v>
      </c>
      <c r="V1388" s="8">
        <v>45936.958333333336</v>
      </c>
      <c r="W1388">
        <v>1</v>
      </c>
      <c r="X1388">
        <v>0.910451389</v>
      </c>
      <c r="Y1388" t="s">
        <v>2403</v>
      </c>
      <c r="Z1388" t="s">
        <v>4250</v>
      </c>
      <c r="AA1388" t="s">
        <v>2760</v>
      </c>
      <c r="AB1388" t="s">
        <v>1278</v>
      </c>
      <c r="AC1388" t="s">
        <v>4251</v>
      </c>
      <c r="AD1388" t="s">
        <v>2708</v>
      </c>
      <c r="AE1388">
        <v>1</v>
      </c>
      <c r="AO1388" t="s">
        <v>2408</v>
      </c>
      <c r="AP1388" t="s">
        <v>2401</v>
      </c>
    </row>
    <row r="1389" spans="1:42">
      <c r="A1389" t="s">
        <v>5530</v>
      </c>
      <c r="B1389" t="s">
        <v>2389</v>
      </c>
      <c r="C1389" t="s">
        <v>2390</v>
      </c>
      <c r="D1389" t="s">
        <v>2379</v>
      </c>
      <c r="E1389" t="s">
        <v>25</v>
      </c>
      <c r="F1389" t="s">
        <v>2402</v>
      </c>
      <c r="G1389" t="s">
        <v>25</v>
      </c>
      <c r="H1389" t="b">
        <v>1</v>
      </c>
      <c r="I1389" s="8">
        <v>45932.541504629633</v>
      </c>
      <c r="J1389" t="s">
        <v>2380</v>
      </c>
      <c r="K1389">
        <v>1199915</v>
      </c>
      <c r="L1389">
        <v>603790</v>
      </c>
      <c r="M1389" t="s">
        <v>2381</v>
      </c>
      <c r="N1389">
        <v>5</v>
      </c>
      <c r="P1389" t="s">
        <v>2394</v>
      </c>
      <c r="Q1389" t="s">
        <v>2383</v>
      </c>
      <c r="R1389">
        <v>1</v>
      </c>
      <c r="S1389" t="s">
        <v>2380</v>
      </c>
      <c r="T1389" t="s">
        <v>2383</v>
      </c>
      <c r="U1389" s="8">
        <v>45930.519652777781</v>
      </c>
      <c r="V1389" s="8">
        <v>45933.958333333336</v>
      </c>
      <c r="W1389">
        <v>1</v>
      </c>
      <c r="X1389">
        <v>2.0218518520000002</v>
      </c>
      <c r="Y1389" t="s">
        <v>2403</v>
      </c>
      <c r="Z1389" t="s">
        <v>5531</v>
      </c>
      <c r="AA1389" t="s">
        <v>5307</v>
      </c>
      <c r="AB1389" t="s">
        <v>1278</v>
      </c>
      <c r="AC1389" t="s">
        <v>5532</v>
      </c>
      <c r="AD1389" t="s">
        <v>2708</v>
      </c>
      <c r="AE1389">
        <v>1</v>
      </c>
      <c r="AO1389" t="s">
        <v>2408</v>
      </c>
      <c r="AP1389" t="s">
        <v>2401</v>
      </c>
    </row>
    <row r="1390" spans="1:42">
      <c r="A1390" t="s">
        <v>9980</v>
      </c>
      <c r="B1390" t="s">
        <v>2377</v>
      </c>
      <c r="C1390" t="s">
        <v>2390</v>
      </c>
      <c r="D1390" t="s">
        <v>2379</v>
      </c>
      <c r="E1390" t="s">
        <v>2416</v>
      </c>
      <c r="F1390" t="s">
        <v>3339</v>
      </c>
      <c r="G1390" t="s">
        <v>2416</v>
      </c>
      <c r="H1390" t="b">
        <v>1</v>
      </c>
      <c r="I1390" s="8">
        <v>45933.787835648145</v>
      </c>
      <c r="J1390" t="s">
        <v>2380</v>
      </c>
      <c r="L1390">
        <v>609982</v>
      </c>
      <c r="M1390" t="s">
        <v>2381</v>
      </c>
      <c r="Q1390" t="s">
        <v>2383</v>
      </c>
      <c r="R1390">
        <v>1</v>
      </c>
      <c r="S1390" t="s">
        <v>2380</v>
      </c>
      <c r="T1390" t="s">
        <v>2383</v>
      </c>
      <c r="U1390" s="8">
        <v>45931.730543981481</v>
      </c>
      <c r="V1390" s="8">
        <v>45936.958333333336</v>
      </c>
      <c r="W1390">
        <v>1</v>
      </c>
      <c r="X1390">
        <v>2.0572916669999999</v>
      </c>
      <c r="Y1390" t="s">
        <v>3340</v>
      </c>
      <c r="Z1390" t="s">
        <v>9981</v>
      </c>
      <c r="AA1390" t="s">
        <v>7463</v>
      </c>
      <c r="AB1390" t="s">
        <v>1278</v>
      </c>
      <c r="AC1390" t="s">
        <v>9982</v>
      </c>
      <c r="AE1390">
        <v>1</v>
      </c>
      <c r="AO1390" t="s">
        <v>2957</v>
      </c>
      <c r="AP1390" t="s">
        <v>2401</v>
      </c>
    </row>
    <row r="1391" spans="1:42">
      <c r="A1391" t="s">
        <v>9983</v>
      </c>
      <c r="B1391" t="s">
        <v>2377</v>
      </c>
      <c r="C1391" t="s">
        <v>2390</v>
      </c>
      <c r="D1391" t="s">
        <v>2379</v>
      </c>
      <c r="E1391" t="s">
        <v>2416</v>
      </c>
      <c r="F1391" t="s">
        <v>3339</v>
      </c>
      <c r="G1391" t="s">
        <v>2416</v>
      </c>
      <c r="H1391" t="b">
        <v>1</v>
      </c>
      <c r="I1391" s="8">
        <v>45933.752268518518</v>
      </c>
      <c r="J1391" t="s">
        <v>2380</v>
      </c>
      <c r="L1391">
        <v>609982</v>
      </c>
      <c r="M1391" t="s">
        <v>2381</v>
      </c>
      <c r="Q1391" t="s">
        <v>2383</v>
      </c>
      <c r="R1391">
        <v>1</v>
      </c>
      <c r="S1391" t="s">
        <v>2380</v>
      </c>
      <c r="T1391" t="s">
        <v>2383</v>
      </c>
      <c r="U1391" s="8">
        <v>45931.730555555558</v>
      </c>
      <c r="V1391" s="8">
        <v>45936.958333333336</v>
      </c>
      <c r="W1391">
        <v>1</v>
      </c>
      <c r="X1391">
        <v>2.0217129630000001</v>
      </c>
      <c r="Y1391" t="s">
        <v>3340</v>
      </c>
      <c r="Z1391" t="s">
        <v>9984</v>
      </c>
      <c r="AA1391" t="s">
        <v>7463</v>
      </c>
      <c r="AB1391" t="s">
        <v>1278</v>
      </c>
      <c r="AC1391" t="s">
        <v>9985</v>
      </c>
      <c r="AE1391">
        <v>1</v>
      </c>
      <c r="AO1391" t="s">
        <v>2957</v>
      </c>
      <c r="AP1391" t="s">
        <v>2401</v>
      </c>
    </row>
    <row r="1392" spans="1:42">
      <c r="A1392" t="s">
        <v>4252</v>
      </c>
      <c r="B1392" t="s">
        <v>2389</v>
      </c>
      <c r="C1392" t="s">
        <v>2438</v>
      </c>
      <c r="D1392" t="s">
        <v>2379</v>
      </c>
      <c r="E1392" t="s">
        <v>33</v>
      </c>
      <c r="F1392" t="s">
        <v>2402</v>
      </c>
      <c r="G1392" t="s">
        <v>33</v>
      </c>
      <c r="H1392" t="b">
        <v>1</v>
      </c>
      <c r="I1392" s="8">
        <v>45932.429016203707</v>
      </c>
      <c r="J1392" t="s">
        <v>2380</v>
      </c>
      <c r="K1392">
        <v>1199814</v>
      </c>
      <c r="L1392">
        <v>609839</v>
      </c>
      <c r="M1392" t="s">
        <v>2381</v>
      </c>
      <c r="P1392" t="s">
        <v>2394</v>
      </c>
      <c r="Q1392" t="s">
        <v>2383</v>
      </c>
      <c r="R1392">
        <v>1</v>
      </c>
      <c r="S1392" t="s">
        <v>2380</v>
      </c>
      <c r="T1392" t="s">
        <v>2383</v>
      </c>
      <c r="U1392" s="8">
        <v>45931.736631944441</v>
      </c>
      <c r="V1392" s="8">
        <v>45936.958333333336</v>
      </c>
      <c r="W1392">
        <v>1</v>
      </c>
      <c r="X1392">
        <v>0.692384259</v>
      </c>
      <c r="Y1392" t="s">
        <v>2403</v>
      </c>
      <c r="Z1392" t="s">
        <v>4253</v>
      </c>
      <c r="AA1392" t="s">
        <v>2760</v>
      </c>
      <c r="AB1392" t="s">
        <v>1278</v>
      </c>
      <c r="AC1392" t="s">
        <v>4254</v>
      </c>
      <c r="AD1392" t="s">
        <v>2708</v>
      </c>
      <c r="AE1392">
        <v>1</v>
      </c>
      <c r="AO1392" t="s">
        <v>2408</v>
      </c>
      <c r="AP1392" t="s">
        <v>2401</v>
      </c>
    </row>
    <row r="1393" spans="1:42">
      <c r="A1393" t="s">
        <v>4255</v>
      </c>
      <c r="B1393" t="s">
        <v>2389</v>
      </c>
      <c r="C1393" t="s">
        <v>2390</v>
      </c>
      <c r="D1393" t="s">
        <v>2379</v>
      </c>
      <c r="E1393" t="s">
        <v>33</v>
      </c>
      <c r="F1393" t="s">
        <v>2402</v>
      </c>
      <c r="G1393" t="s">
        <v>33</v>
      </c>
      <c r="H1393" t="b">
        <v>1</v>
      </c>
      <c r="I1393" s="8">
        <v>45934.445648148147</v>
      </c>
      <c r="J1393" t="s">
        <v>2380</v>
      </c>
      <c r="K1393">
        <v>1200194</v>
      </c>
      <c r="L1393">
        <v>609839</v>
      </c>
      <c r="M1393" t="s">
        <v>2381</v>
      </c>
      <c r="P1393" t="s">
        <v>2394</v>
      </c>
      <c r="Q1393" t="s">
        <v>2383</v>
      </c>
      <c r="R1393">
        <v>1</v>
      </c>
      <c r="S1393" t="s">
        <v>2380</v>
      </c>
      <c r="T1393" t="s">
        <v>2383</v>
      </c>
      <c r="U1393" s="8">
        <v>45931.737326388888</v>
      </c>
      <c r="V1393" s="8">
        <v>45936.958333333336</v>
      </c>
      <c r="W1393">
        <v>1</v>
      </c>
      <c r="X1393">
        <v>2.7083217589999999</v>
      </c>
      <c r="Y1393" t="s">
        <v>2403</v>
      </c>
      <c r="Z1393" t="s">
        <v>4256</v>
      </c>
      <c r="AA1393" t="s">
        <v>2760</v>
      </c>
      <c r="AB1393" t="s">
        <v>1278</v>
      </c>
      <c r="AC1393" t="s">
        <v>4257</v>
      </c>
      <c r="AD1393" t="s">
        <v>2708</v>
      </c>
      <c r="AE1393">
        <v>1</v>
      </c>
      <c r="AO1393" t="s">
        <v>2408</v>
      </c>
      <c r="AP1393" t="s">
        <v>2401</v>
      </c>
    </row>
    <row r="1394" spans="1:42">
      <c r="A1394" t="s">
        <v>4258</v>
      </c>
      <c r="B1394" t="s">
        <v>2389</v>
      </c>
      <c r="C1394" t="s">
        <v>2438</v>
      </c>
      <c r="D1394" t="s">
        <v>2379</v>
      </c>
      <c r="E1394" t="s">
        <v>33</v>
      </c>
      <c r="F1394" t="s">
        <v>2402</v>
      </c>
      <c r="G1394" t="s">
        <v>33</v>
      </c>
      <c r="H1394" t="b">
        <v>1</v>
      </c>
      <c r="I1394" s="8">
        <v>45932.607361111113</v>
      </c>
      <c r="J1394" t="s">
        <v>2380</v>
      </c>
      <c r="K1394">
        <v>1199946</v>
      </c>
      <c r="L1394">
        <v>609839</v>
      </c>
      <c r="M1394" t="s">
        <v>2381</v>
      </c>
      <c r="P1394" t="s">
        <v>2394</v>
      </c>
      <c r="Q1394" t="s">
        <v>2383</v>
      </c>
      <c r="R1394">
        <v>1</v>
      </c>
      <c r="S1394" t="s">
        <v>2380</v>
      </c>
      <c r="T1394" t="s">
        <v>2383</v>
      </c>
      <c r="U1394" s="8">
        <v>45931.740833333337</v>
      </c>
      <c r="V1394" s="8">
        <v>45936.958333333336</v>
      </c>
      <c r="W1394">
        <v>1</v>
      </c>
      <c r="X1394">
        <v>0.86652777800000003</v>
      </c>
      <c r="Y1394" t="s">
        <v>2403</v>
      </c>
      <c r="Z1394" t="s">
        <v>4259</v>
      </c>
      <c r="AA1394" t="s">
        <v>2760</v>
      </c>
      <c r="AB1394" t="s">
        <v>1278</v>
      </c>
      <c r="AC1394" t="s">
        <v>4260</v>
      </c>
      <c r="AD1394" t="s">
        <v>2708</v>
      </c>
      <c r="AE1394">
        <v>1</v>
      </c>
      <c r="AO1394" t="s">
        <v>2408</v>
      </c>
      <c r="AP1394" t="s">
        <v>2401</v>
      </c>
    </row>
    <row r="1395" spans="1:42">
      <c r="A1395" t="s">
        <v>9374</v>
      </c>
      <c r="B1395" t="s">
        <v>2389</v>
      </c>
      <c r="C1395" t="s">
        <v>2390</v>
      </c>
      <c r="D1395" t="s">
        <v>2379</v>
      </c>
      <c r="E1395" t="s">
        <v>33</v>
      </c>
      <c r="F1395" t="s">
        <v>2402</v>
      </c>
      <c r="G1395" t="s">
        <v>33</v>
      </c>
      <c r="H1395" t="b">
        <v>1</v>
      </c>
      <c r="I1395" s="8">
        <v>45936.623796296299</v>
      </c>
      <c r="J1395" t="s">
        <v>2380</v>
      </c>
      <c r="K1395">
        <v>1199819</v>
      </c>
      <c r="L1395">
        <v>609839</v>
      </c>
      <c r="M1395" t="s">
        <v>2381</v>
      </c>
      <c r="P1395" t="s">
        <v>2394</v>
      </c>
      <c r="Q1395" t="s">
        <v>2383</v>
      </c>
      <c r="R1395">
        <v>1</v>
      </c>
      <c r="S1395" t="s">
        <v>2380</v>
      </c>
      <c r="T1395" t="s">
        <v>2383</v>
      </c>
      <c r="U1395" s="8">
        <v>45931.742303240739</v>
      </c>
      <c r="V1395" s="8">
        <v>45936.958333333336</v>
      </c>
      <c r="W1395">
        <v>1</v>
      </c>
      <c r="X1395">
        <v>2.8814930560000001</v>
      </c>
      <c r="Y1395" t="s">
        <v>2403</v>
      </c>
      <c r="Z1395" t="s">
        <v>9375</v>
      </c>
      <c r="AA1395" t="s">
        <v>2760</v>
      </c>
      <c r="AB1395" t="s">
        <v>1278</v>
      </c>
      <c r="AC1395" t="s">
        <v>9376</v>
      </c>
      <c r="AD1395" t="s">
        <v>2708</v>
      </c>
      <c r="AE1395">
        <v>1</v>
      </c>
      <c r="AH1395" t="s">
        <v>4895</v>
      </c>
      <c r="AI1395" s="8">
        <v>45936.623159722221</v>
      </c>
      <c r="AK1395" t="s">
        <v>2719</v>
      </c>
      <c r="AL1395" t="s">
        <v>18</v>
      </c>
      <c r="AO1395" t="s">
        <v>2408</v>
      </c>
      <c r="AP1395" t="s">
        <v>2401</v>
      </c>
    </row>
    <row r="1396" spans="1:42">
      <c r="A1396" t="s">
        <v>4261</v>
      </c>
      <c r="B1396" t="s">
        <v>2389</v>
      </c>
      <c r="C1396" t="s">
        <v>2438</v>
      </c>
      <c r="D1396" t="s">
        <v>2379</v>
      </c>
      <c r="E1396" t="s">
        <v>33</v>
      </c>
      <c r="F1396" t="s">
        <v>2402</v>
      </c>
      <c r="G1396" t="s">
        <v>33</v>
      </c>
      <c r="H1396" t="b">
        <v>1</v>
      </c>
      <c r="I1396" s="8">
        <v>45932.617638888885</v>
      </c>
      <c r="J1396" t="s">
        <v>2380</v>
      </c>
      <c r="K1396">
        <v>1199958</v>
      </c>
      <c r="L1396">
        <v>609839</v>
      </c>
      <c r="M1396" t="s">
        <v>2381</v>
      </c>
      <c r="P1396" t="s">
        <v>2394</v>
      </c>
      <c r="Q1396" t="s">
        <v>2383</v>
      </c>
      <c r="R1396">
        <v>1</v>
      </c>
      <c r="S1396" t="s">
        <v>2380</v>
      </c>
      <c r="T1396" t="s">
        <v>2383</v>
      </c>
      <c r="U1396" s="8">
        <v>45931.743645833332</v>
      </c>
      <c r="V1396" s="8">
        <v>45936.958333333336</v>
      </c>
      <c r="W1396">
        <v>1</v>
      </c>
      <c r="X1396">
        <v>0.87399305599999999</v>
      </c>
      <c r="Y1396" t="s">
        <v>2403</v>
      </c>
      <c r="Z1396" t="s">
        <v>4262</v>
      </c>
      <c r="AA1396" t="s">
        <v>2760</v>
      </c>
      <c r="AB1396" t="s">
        <v>1278</v>
      </c>
      <c r="AC1396" t="s">
        <v>4263</v>
      </c>
      <c r="AD1396" t="s">
        <v>2708</v>
      </c>
      <c r="AE1396">
        <v>1</v>
      </c>
      <c r="AO1396" t="s">
        <v>2408</v>
      </c>
      <c r="AP1396" t="s">
        <v>2401</v>
      </c>
    </row>
    <row r="1397" spans="1:42">
      <c r="A1397" t="s">
        <v>4264</v>
      </c>
      <c r="B1397" t="s">
        <v>2389</v>
      </c>
      <c r="C1397" t="s">
        <v>2438</v>
      </c>
      <c r="D1397" t="s">
        <v>2379</v>
      </c>
      <c r="E1397" t="s">
        <v>33</v>
      </c>
      <c r="F1397" t="s">
        <v>2402</v>
      </c>
      <c r="G1397" t="s">
        <v>33</v>
      </c>
      <c r="H1397" t="b">
        <v>1</v>
      </c>
      <c r="I1397" s="8">
        <v>45932.432592592595</v>
      </c>
      <c r="J1397" t="s">
        <v>2380</v>
      </c>
      <c r="K1397">
        <v>1199817</v>
      </c>
      <c r="L1397">
        <v>609839</v>
      </c>
      <c r="M1397" t="s">
        <v>2381</v>
      </c>
      <c r="P1397" t="s">
        <v>2394</v>
      </c>
      <c r="Q1397" t="s">
        <v>2383</v>
      </c>
      <c r="R1397">
        <v>1</v>
      </c>
      <c r="S1397" t="s">
        <v>2380</v>
      </c>
      <c r="T1397" t="s">
        <v>2383</v>
      </c>
      <c r="U1397" s="8">
        <v>45931.746504629627</v>
      </c>
      <c r="V1397" s="8">
        <v>45936.958333333336</v>
      </c>
      <c r="W1397">
        <v>1</v>
      </c>
      <c r="X1397">
        <v>0.68608796299999997</v>
      </c>
      <c r="Y1397" t="s">
        <v>2403</v>
      </c>
      <c r="Z1397" t="s">
        <v>4265</v>
      </c>
      <c r="AA1397" t="s">
        <v>2760</v>
      </c>
      <c r="AB1397" t="s">
        <v>1278</v>
      </c>
      <c r="AC1397" t="s">
        <v>4266</v>
      </c>
      <c r="AD1397" t="s">
        <v>2708</v>
      </c>
      <c r="AE1397">
        <v>1</v>
      </c>
      <c r="AO1397" t="s">
        <v>2408</v>
      </c>
      <c r="AP1397" t="s">
        <v>2401</v>
      </c>
    </row>
    <row r="1398" spans="1:42">
      <c r="A1398" t="s">
        <v>4267</v>
      </c>
      <c r="B1398" t="s">
        <v>2389</v>
      </c>
      <c r="C1398" t="s">
        <v>2438</v>
      </c>
      <c r="D1398" t="s">
        <v>2379</v>
      </c>
      <c r="E1398" t="s">
        <v>33</v>
      </c>
      <c r="F1398" t="s">
        <v>2402</v>
      </c>
      <c r="G1398" t="s">
        <v>33</v>
      </c>
      <c r="H1398" t="b">
        <v>1</v>
      </c>
      <c r="I1398" s="8">
        <v>45932.612939814811</v>
      </c>
      <c r="J1398" t="s">
        <v>2380</v>
      </c>
      <c r="K1398">
        <v>1199953</v>
      </c>
      <c r="L1398">
        <v>609839</v>
      </c>
      <c r="M1398" t="s">
        <v>2381</v>
      </c>
      <c r="P1398" t="s">
        <v>2394</v>
      </c>
      <c r="Q1398" t="s">
        <v>2383</v>
      </c>
      <c r="R1398">
        <v>1</v>
      </c>
      <c r="S1398" t="s">
        <v>2380</v>
      </c>
      <c r="T1398" t="s">
        <v>2383</v>
      </c>
      <c r="U1398" s="8">
        <v>45931.749930555554</v>
      </c>
      <c r="V1398" s="8">
        <v>45936.958333333336</v>
      </c>
      <c r="W1398">
        <v>1</v>
      </c>
      <c r="X1398">
        <v>0.86300925900000003</v>
      </c>
      <c r="Y1398" t="s">
        <v>2403</v>
      </c>
      <c r="Z1398" t="s">
        <v>4268</v>
      </c>
      <c r="AA1398" t="s">
        <v>2760</v>
      </c>
      <c r="AB1398" t="s">
        <v>1278</v>
      </c>
      <c r="AC1398" t="s">
        <v>4269</v>
      </c>
      <c r="AD1398" t="s">
        <v>2708</v>
      </c>
      <c r="AE1398">
        <v>1</v>
      </c>
      <c r="AO1398" t="s">
        <v>2408</v>
      </c>
      <c r="AP1398" t="s">
        <v>2401</v>
      </c>
    </row>
    <row r="1399" spans="1:42">
      <c r="A1399" t="s">
        <v>4270</v>
      </c>
      <c r="B1399" t="s">
        <v>2389</v>
      </c>
      <c r="C1399" t="s">
        <v>2438</v>
      </c>
      <c r="D1399" t="s">
        <v>2379</v>
      </c>
      <c r="E1399" t="s">
        <v>33</v>
      </c>
      <c r="F1399" t="s">
        <v>2402</v>
      </c>
      <c r="G1399" t="s">
        <v>33</v>
      </c>
      <c r="H1399" t="b">
        <v>1</v>
      </c>
      <c r="I1399" s="8">
        <v>45932.610821759263</v>
      </c>
      <c r="J1399" t="s">
        <v>2380</v>
      </c>
      <c r="K1399">
        <v>1199948</v>
      </c>
      <c r="L1399">
        <v>609839</v>
      </c>
      <c r="M1399" t="s">
        <v>2381</v>
      </c>
      <c r="P1399" t="s">
        <v>2394</v>
      </c>
      <c r="Q1399" t="s">
        <v>2383</v>
      </c>
      <c r="R1399">
        <v>1</v>
      </c>
      <c r="S1399" t="s">
        <v>2380</v>
      </c>
      <c r="T1399" t="s">
        <v>2383</v>
      </c>
      <c r="U1399" s="8">
        <v>45931.752789351849</v>
      </c>
      <c r="V1399" s="8">
        <v>45936.958333333336</v>
      </c>
      <c r="W1399">
        <v>1</v>
      </c>
      <c r="X1399">
        <v>0.85803240700000005</v>
      </c>
      <c r="Y1399" t="s">
        <v>2403</v>
      </c>
      <c r="Z1399" t="s">
        <v>4271</v>
      </c>
      <c r="AA1399" t="s">
        <v>2760</v>
      </c>
      <c r="AB1399" t="s">
        <v>1278</v>
      </c>
      <c r="AC1399" t="s">
        <v>4272</v>
      </c>
      <c r="AD1399" t="s">
        <v>2708</v>
      </c>
      <c r="AE1399">
        <v>1</v>
      </c>
      <c r="AO1399" t="s">
        <v>2408</v>
      </c>
      <c r="AP1399" t="s">
        <v>2401</v>
      </c>
    </row>
    <row r="1400" spans="1:42">
      <c r="A1400" t="s">
        <v>4273</v>
      </c>
      <c r="B1400" t="s">
        <v>2389</v>
      </c>
      <c r="C1400" t="s">
        <v>2438</v>
      </c>
      <c r="D1400" t="s">
        <v>2379</v>
      </c>
      <c r="E1400" t="s">
        <v>33</v>
      </c>
      <c r="F1400" t="s">
        <v>2402</v>
      </c>
      <c r="G1400" t="s">
        <v>33</v>
      </c>
      <c r="H1400" t="b">
        <v>1</v>
      </c>
      <c r="I1400" s="8">
        <v>45932.608715277776</v>
      </c>
      <c r="J1400" t="s">
        <v>2380</v>
      </c>
      <c r="K1400">
        <v>1199947</v>
      </c>
      <c r="L1400">
        <v>609839</v>
      </c>
      <c r="M1400" t="s">
        <v>2381</v>
      </c>
      <c r="P1400" t="s">
        <v>2394</v>
      </c>
      <c r="Q1400" t="s">
        <v>2383</v>
      </c>
      <c r="R1400">
        <v>1</v>
      </c>
      <c r="S1400" t="s">
        <v>2380</v>
      </c>
      <c r="T1400" t="s">
        <v>2383</v>
      </c>
      <c r="U1400" s="8">
        <v>45931.753483796296</v>
      </c>
      <c r="V1400" s="8">
        <v>45936.958333333336</v>
      </c>
      <c r="W1400">
        <v>1</v>
      </c>
      <c r="X1400">
        <v>0.85523148100000002</v>
      </c>
      <c r="Y1400" t="s">
        <v>2403</v>
      </c>
      <c r="Z1400" t="s">
        <v>4274</v>
      </c>
      <c r="AA1400" t="s">
        <v>2760</v>
      </c>
      <c r="AB1400" t="s">
        <v>1278</v>
      </c>
      <c r="AC1400" t="s">
        <v>4275</v>
      </c>
      <c r="AD1400" t="s">
        <v>2708</v>
      </c>
      <c r="AE1400">
        <v>1</v>
      </c>
      <c r="AO1400" t="s">
        <v>2408</v>
      </c>
      <c r="AP1400" t="s">
        <v>2401</v>
      </c>
    </row>
    <row r="1401" spans="1:42">
      <c r="A1401" t="s">
        <v>4276</v>
      </c>
      <c r="B1401" t="s">
        <v>2389</v>
      </c>
      <c r="C1401" t="s">
        <v>2438</v>
      </c>
      <c r="D1401" t="s">
        <v>2379</v>
      </c>
      <c r="E1401" t="s">
        <v>33</v>
      </c>
      <c r="F1401" t="s">
        <v>2402</v>
      </c>
      <c r="G1401" t="s">
        <v>33</v>
      </c>
      <c r="H1401" t="b">
        <v>1</v>
      </c>
      <c r="I1401" s="8">
        <v>45932.616030092591</v>
      </c>
      <c r="J1401" t="s">
        <v>2380</v>
      </c>
      <c r="K1401">
        <v>1199956</v>
      </c>
      <c r="L1401">
        <v>609839</v>
      </c>
      <c r="M1401" t="s">
        <v>2381</v>
      </c>
      <c r="P1401" t="s">
        <v>2394</v>
      </c>
      <c r="Q1401" t="s">
        <v>2383</v>
      </c>
      <c r="R1401">
        <v>1</v>
      </c>
      <c r="S1401" t="s">
        <v>2380</v>
      </c>
      <c r="T1401" t="s">
        <v>2383</v>
      </c>
      <c r="U1401" s="8">
        <v>45931.764027777775</v>
      </c>
      <c r="V1401" s="8">
        <v>45936.958333333336</v>
      </c>
      <c r="W1401">
        <v>1</v>
      </c>
      <c r="X1401">
        <v>0.85200231500000001</v>
      </c>
      <c r="Y1401" t="s">
        <v>2403</v>
      </c>
      <c r="Z1401" t="s">
        <v>4277</v>
      </c>
      <c r="AA1401" t="s">
        <v>2760</v>
      </c>
      <c r="AB1401" t="s">
        <v>1278</v>
      </c>
      <c r="AC1401" t="s">
        <v>4278</v>
      </c>
      <c r="AD1401" t="s">
        <v>2708</v>
      </c>
      <c r="AE1401">
        <v>1</v>
      </c>
      <c r="AO1401" t="s">
        <v>2408</v>
      </c>
      <c r="AP1401" t="s">
        <v>2401</v>
      </c>
    </row>
    <row r="1402" spans="1:42">
      <c r="A1402" t="s">
        <v>6352</v>
      </c>
      <c r="B1402" t="s">
        <v>2389</v>
      </c>
      <c r="C1402" t="s">
        <v>2378</v>
      </c>
      <c r="D1402" t="s">
        <v>2379</v>
      </c>
      <c r="E1402" t="s">
        <v>25</v>
      </c>
      <c r="F1402" t="s">
        <v>2541</v>
      </c>
      <c r="G1402" t="s">
        <v>25</v>
      </c>
      <c r="H1402" t="b">
        <v>1</v>
      </c>
      <c r="I1402" s="8">
        <v>45932.577893518515</v>
      </c>
      <c r="J1402" t="s">
        <v>2380</v>
      </c>
      <c r="K1402">
        <v>1199928</v>
      </c>
      <c r="L1402">
        <v>608236</v>
      </c>
      <c r="M1402" t="s">
        <v>2381</v>
      </c>
      <c r="N1402">
        <v>5</v>
      </c>
      <c r="P1402" t="s">
        <v>2427</v>
      </c>
      <c r="Q1402" t="s">
        <v>2383</v>
      </c>
      <c r="R1402">
        <v>1</v>
      </c>
      <c r="S1402" t="s">
        <v>2380</v>
      </c>
      <c r="T1402" t="s">
        <v>2383</v>
      </c>
      <c r="U1402" s="8">
        <v>45929.344236111108</v>
      </c>
      <c r="V1402" s="8">
        <v>45932.958333333336</v>
      </c>
      <c r="W1402">
        <v>1</v>
      </c>
      <c r="X1402">
        <v>3.2336574069999999</v>
      </c>
      <c r="Y1402" t="s">
        <v>2542</v>
      </c>
      <c r="Z1402" t="s">
        <v>6353</v>
      </c>
      <c r="AA1402" t="s">
        <v>2564</v>
      </c>
      <c r="AB1402" t="s">
        <v>1278</v>
      </c>
      <c r="AC1402" t="s">
        <v>6354</v>
      </c>
      <c r="AD1402" t="s">
        <v>2708</v>
      </c>
      <c r="AE1402">
        <v>1</v>
      </c>
      <c r="AO1402" t="s">
        <v>2547</v>
      </c>
      <c r="AP1402" t="s">
        <v>2401</v>
      </c>
    </row>
    <row r="1403" spans="1:42">
      <c r="A1403" t="s">
        <v>6355</v>
      </c>
      <c r="B1403" t="s">
        <v>2389</v>
      </c>
      <c r="C1403" t="s">
        <v>2378</v>
      </c>
      <c r="D1403" t="s">
        <v>2379</v>
      </c>
      <c r="E1403" t="s">
        <v>25</v>
      </c>
      <c r="F1403" t="s">
        <v>2541</v>
      </c>
      <c r="G1403" t="s">
        <v>25</v>
      </c>
      <c r="H1403" t="b">
        <v>1</v>
      </c>
      <c r="I1403" s="8">
        <v>45932.392013888886</v>
      </c>
      <c r="J1403" t="s">
        <v>2380</v>
      </c>
      <c r="K1403">
        <v>1199798</v>
      </c>
      <c r="L1403">
        <v>608236</v>
      </c>
      <c r="M1403" t="s">
        <v>2381</v>
      </c>
      <c r="N1403">
        <v>5</v>
      </c>
      <c r="P1403" t="s">
        <v>2427</v>
      </c>
      <c r="Q1403" t="s">
        <v>2383</v>
      </c>
      <c r="R1403">
        <v>1</v>
      </c>
      <c r="S1403" t="s">
        <v>2380</v>
      </c>
      <c r="T1403" t="s">
        <v>2383</v>
      </c>
      <c r="U1403" s="8">
        <v>45929.344236111108</v>
      </c>
      <c r="V1403" s="8">
        <v>45932.958333333336</v>
      </c>
      <c r="W1403">
        <v>1</v>
      </c>
      <c r="X1403">
        <v>3.0477777779999999</v>
      </c>
      <c r="Y1403" t="s">
        <v>2542</v>
      </c>
      <c r="Z1403" t="s">
        <v>6356</v>
      </c>
      <c r="AA1403" t="s">
        <v>2564</v>
      </c>
      <c r="AB1403" t="s">
        <v>1278</v>
      </c>
      <c r="AC1403" t="s">
        <v>6357</v>
      </c>
      <c r="AD1403" t="s">
        <v>2708</v>
      </c>
      <c r="AE1403">
        <v>1</v>
      </c>
      <c r="AO1403" t="s">
        <v>2547</v>
      </c>
      <c r="AP1403" t="s">
        <v>2401</v>
      </c>
    </row>
    <row r="1404" spans="1:42">
      <c r="A1404" t="s">
        <v>6358</v>
      </c>
      <c r="B1404" t="s">
        <v>2389</v>
      </c>
      <c r="C1404" t="s">
        <v>2378</v>
      </c>
      <c r="D1404" t="s">
        <v>2379</v>
      </c>
      <c r="E1404" t="s">
        <v>25</v>
      </c>
      <c r="F1404" t="s">
        <v>2541</v>
      </c>
      <c r="G1404" t="s">
        <v>25</v>
      </c>
      <c r="H1404" t="b">
        <v>1</v>
      </c>
      <c r="I1404" s="8">
        <v>45932.580034722225</v>
      </c>
      <c r="J1404" t="s">
        <v>2380</v>
      </c>
      <c r="K1404">
        <v>1199929</v>
      </c>
      <c r="L1404">
        <v>608236</v>
      </c>
      <c r="M1404" t="s">
        <v>2381</v>
      </c>
      <c r="N1404">
        <v>5</v>
      </c>
      <c r="P1404" t="s">
        <v>2427</v>
      </c>
      <c r="Q1404" t="s">
        <v>2383</v>
      </c>
      <c r="R1404">
        <v>1</v>
      </c>
      <c r="S1404" t="s">
        <v>2380</v>
      </c>
      <c r="T1404" t="s">
        <v>2383</v>
      </c>
      <c r="U1404" s="8">
        <v>45929.344236111108</v>
      </c>
      <c r="V1404" s="8">
        <v>45932.958333333336</v>
      </c>
      <c r="W1404">
        <v>1</v>
      </c>
      <c r="X1404">
        <v>3.2357986109999999</v>
      </c>
      <c r="Y1404" t="s">
        <v>2542</v>
      </c>
      <c r="Z1404" t="s">
        <v>6359</v>
      </c>
      <c r="AA1404" t="s">
        <v>2564</v>
      </c>
      <c r="AB1404" t="s">
        <v>1278</v>
      </c>
      <c r="AC1404" t="s">
        <v>6360</v>
      </c>
      <c r="AD1404" t="s">
        <v>2708</v>
      </c>
      <c r="AE1404">
        <v>1</v>
      </c>
      <c r="AO1404" t="s">
        <v>2547</v>
      </c>
      <c r="AP1404" t="s">
        <v>2401</v>
      </c>
    </row>
    <row r="1405" spans="1:42">
      <c r="A1405" t="s">
        <v>6361</v>
      </c>
      <c r="B1405" t="s">
        <v>2389</v>
      </c>
      <c r="C1405" t="s">
        <v>2378</v>
      </c>
      <c r="D1405" t="s">
        <v>2379</v>
      </c>
      <c r="E1405" t="s">
        <v>25</v>
      </c>
      <c r="F1405" t="s">
        <v>2541</v>
      </c>
      <c r="G1405" t="s">
        <v>25</v>
      </c>
      <c r="H1405" t="b">
        <v>1</v>
      </c>
      <c r="I1405" s="8">
        <v>45932.590081018519</v>
      </c>
      <c r="J1405" t="s">
        <v>2380</v>
      </c>
      <c r="K1405">
        <v>1199936</v>
      </c>
      <c r="L1405">
        <v>608236</v>
      </c>
      <c r="M1405" t="s">
        <v>2381</v>
      </c>
      <c r="N1405">
        <v>5</v>
      </c>
      <c r="P1405" t="s">
        <v>2427</v>
      </c>
      <c r="Q1405" t="s">
        <v>2383</v>
      </c>
      <c r="R1405">
        <v>1</v>
      </c>
      <c r="S1405" t="s">
        <v>2380</v>
      </c>
      <c r="T1405" t="s">
        <v>2383</v>
      </c>
      <c r="U1405" s="8">
        <v>45929.344236111108</v>
      </c>
      <c r="V1405" s="8">
        <v>45932.958333333336</v>
      </c>
      <c r="W1405">
        <v>1</v>
      </c>
      <c r="X1405">
        <v>3.2458449069999999</v>
      </c>
      <c r="Y1405" t="s">
        <v>2542</v>
      </c>
      <c r="Z1405" t="s">
        <v>6362</v>
      </c>
      <c r="AA1405" t="s">
        <v>2564</v>
      </c>
      <c r="AB1405" t="s">
        <v>1278</v>
      </c>
      <c r="AC1405" t="s">
        <v>6363</v>
      </c>
      <c r="AD1405" t="s">
        <v>2708</v>
      </c>
      <c r="AE1405">
        <v>1</v>
      </c>
      <c r="AO1405" t="s">
        <v>2547</v>
      </c>
      <c r="AP1405" t="s">
        <v>2401</v>
      </c>
    </row>
    <row r="1406" spans="1:42">
      <c r="A1406" t="s">
        <v>6364</v>
      </c>
      <c r="B1406" t="s">
        <v>2389</v>
      </c>
      <c r="C1406" t="s">
        <v>2378</v>
      </c>
      <c r="D1406" t="s">
        <v>2379</v>
      </c>
      <c r="E1406" t="s">
        <v>25</v>
      </c>
      <c r="F1406" t="s">
        <v>2541</v>
      </c>
      <c r="G1406" t="s">
        <v>25</v>
      </c>
      <c r="H1406" t="b">
        <v>1</v>
      </c>
      <c r="I1406" s="8">
        <v>45932.394305555557</v>
      </c>
      <c r="J1406" t="s">
        <v>2380</v>
      </c>
      <c r="K1406">
        <v>1199800</v>
      </c>
      <c r="L1406">
        <v>608236</v>
      </c>
      <c r="M1406" t="s">
        <v>2381</v>
      </c>
      <c r="N1406">
        <v>5</v>
      </c>
      <c r="P1406" t="s">
        <v>2427</v>
      </c>
      <c r="Q1406" t="s">
        <v>2383</v>
      </c>
      <c r="R1406">
        <v>1</v>
      </c>
      <c r="S1406" t="s">
        <v>2380</v>
      </c>
      <c r="T1406" t="s">
        <v>2383</v>
      </c>
      <c r="U1406" s="8">
        <v>45929.344236111108</v>
      </c>
      <c r="V1406" s="8">
        <v>45932.958333333336</v>
      </c>
      <c r="W1406">
        <v>1</v>
      </c>
      <c r="X1406">
        <v>3.050069444</v>
      </c>
      <c r="Y1406" t="s">
        <v>2542</v>
      </c>
      <c r="Z1406" t="s">
        <v>6365</v>
      </c>
      <c r="AA1406" t="s">
        <v>2564</v>
      </c>
      <c r="AB1406" t="s">
        <v>1278</v>
      </c>
      <c r="AC1406" t="s">
        <v>6366</v>
      </c>
      <c r="AD1406" t="s">
        <v>2708</v>
      </c>
      <c r="AE1406">
        <v>1</v>
      </c>
      <c r="AO1406" t="s">
        <v>2547</v>
      </c>
      <c r="AP1406" t="s">
        <v>2401</v>
      </c>
    </row>
    <row r="1407" spans="1:42">
      <c r="A1407" t="s">
        <v>6367</v>
      </c>
      <c r="B1407" t="s">
        <v>2389</v>
      </c>
      <c r="C1407" t="s">
        <v>2378</v>
      </c>
      <c r="D1407" t="s">
        <v>2379</v>
      </c>
      <c r="E1407" t="s">
        <v>25</v>
      </c>
      <c r="F1407" t="s">
        <v>2541</v>
      </c>
      <c r="G1407" t="s">
        <v>25</v>
      </c>
      <c r="H1407" t="b">
        <v>1</v>
      </c>
      <c r="I1407" s="8">
        <v>45932.582569444443</v>
      </c>
      <c r="J1407" t="s">
        <v>2380</v>
      </c>
      <c r="K1407">
        <v>1199933</v>
      </c>
      <c r="L1407">
        <v>608236</v>
      </c>
      <c r="M1407" t="s">
        <v>2381</v>
      </c>
      <c r="N1407">
        <v>5</v>
      </c>
      <c r="P1407" t="s">
        <v>2427</v>
      </c>
      <c r="Q1407" t="s">
        <v>2383</v>
      </c>
      <c r="R1407">
        <v>1</v>
      </c>
      <c r="S1407" t="s">
        <v>2380</v>
      </c>
      <c r="T1407" t="s">
        <v>2383</v>
      </c>
      <c r="U1407" s="8">
        <v>45929.344236111108</v>
      </c>
      <c r="V1407" s="8">
        <v>45932.958333333336</v>
      </c>
      <c r="W1407">
        <v>1</v>
      </c>
      <c r="X1407">
        <v>3.2383333329999999</v>
      </c>
      <c r="Y1407" t="s">
        <v>2542</v>
      </c>
      <c r="Z1407" t="s">
        <v>6368</v>
      </c>
      <c r="AA1407" t="s">
        <v>2564</v>
      </c>
      <c r="AB1407" t="s">
        <v>1278</v>
      </c>
      <c r="AC1407" t="s">
        <v>6369</v>
      </c>
      <c r="AD1407" t="s">
        <v>2708</v>
      </c>
      <c r="AE1407">
        <v>1</v>
      </c>
      <c r="AO1407" t="s">
        <v>2547</v>
      </c>
      <c r="AP1407" t="s">
        <v>2401</v>
      </c>
    </row>
    <row r="1408" spans="1:42">
      <c r="A1408" t="s">
        <v>6370</v>
      </c>
      <c r="B1408" t="s">
        <v>2389</v>
      </c>
      <c r="C1408" t="s">
        <v>2378</v>
      </c>
      <c r="D1408" t="s">
        <v>2379</v>
      </c>
      <c r="E1408" t="s">
        <v>25</v>
      </c>
      <c r="F1408" t="s">
        <v>2541</v>
      </c>
      <c r="G1408" t="s">
        <v>25</v>
      </c>
      <c r="H1408" t="b">
        <v>1</v>
      </c>
      <c r="I1408" s="8">
        <v>45932.396064814813</v>
      </c>
      <c r="J1408" t="s">
        <v>2380</v>
      </c>
      <c r="K1408">
        <v>1199801</v>
      </c>
      <c r="L1408">
        <v>608236</v>
      </c>
      <c r="M1408" t="s">
        <v>2381</v>
      </c>
      <c r="N1408">
        <v>5</v>
      </c>
      <c r="P1408" t="s">
        <v>2427</v>
      </c>
      <c r="Q1408" t="s">
        <v>2383</v>
      </c>
      <c r="R1408">
        <v>1</v>
      </c>
      <c r="S1408" t="s">
        <v>2380</v>
      </c>
      <c r="T1408" t="s">
        <v>2383</v>
      </c>
      <c r="U1408" s="8">
        <v>45929.344236111108</v>
      </c>
      <c r="V1408" s="8">
        <v>45932.958333333336</v>
      </c>
      <c r="W1408">
        <v>1</v>
      </c>
      <c r="X1408">
        <v>3.0518287040000001</v>
      </c>
      <c r="Y1408" t="s">
        <v>2542</v>
      </c>
      <c r="Z1408" t="s">
        <v>6371</v>
      </c>
      <c r="AA1408" t="s">
        <v>2564</v>
      </c>
      <c r="AB1408" t="s">
        <v>1278</v>
      </c>
      <c r="AC1408" t="s">
        <v>6372</v>
      </c>
      <c r="AD1408" t="s">
        <v>2708</v>
      </c>
      <c r="AE1408">
        <v>1</v>
      </c>
      <c r="AO1408" t="s">
        <v>2547</v>
      </c>
      <c r="AP1408" t="s">
        <v>2401</v>
      </c>
    </row>
    <row r="1409" spans="1:42">
      <c r="A1409" t="s">
        <v>6373</v>
      </c>
      <c r="B1409" t="s">
        <v>2389</v>
      </c>
      <c r="C1409" t="s">
        <v>2378</v>
      </c>
      <c r="D1409" t="s">
        <v>2379</v>
      </c>
      <c r="E1409" t="s">
        <v>25</v>
      </c>
      <c r="F1409" t="s">
        <v>2541</v>
      </c>
      <c r="G1409" t="s">
        <v>25</v>
      </c>
      <c r="H1409" t="b">
        <v>1</v>
      </c>
      <c r="I1409" s="8">
        <v>45932.381990740738</v>
      </c>
      <c r="J1409" t="s">
        <v>2380</v>
      </c>
      <c r="K1409">
        <v>1199793</v>
      </c>
      <c r="L1409">
        <v>608236</v>
      </c>
      <c r="M1409" t="s">
        <v>2381</v>
      </c>
      <c r="N1409">
        <v>5</v>
      </c>
      <c r="P1409" t="s">
        <v>2427</v>
      </c>
      <c r="Q1409" t="s">
        <v>2383</v>
      </c>
      <c r="R1409">
        <v>1</v>
      </c>
      <c r="S1409" t="s">
        <v>2380</v>
      </c>
      <c r="T1409" t="s">
        <v>2383</v>
      </c>
      <c r="U1409" s="8">
        <v>45929.344236111108</v>
      </c>
      <c r="V1409" s="8">
        <v>45932.958333333336</v>
      </c>
      <c r="W1409">
        <v>1</v>
      </c>
      <c r="X1409">
        <v>3.0377546299999998</v>
      </c>
      <c r="Y1409" t="s">
        <v>2542</v>
      </c>
      <c r="Z1409" t="s">
        <v>6374</v>
      </c>
      <c r="AA1409" t="s">
        <v>2564</v>
      </c>
      <c r="AB1409" t="s">
        <v>1278</v>
      </c>
      <c r="AC1409" t="s">
        <v>6375</v>
      </c>
      <c r="AD1409" t="s">
        <v>2708</v>
      </c>
      <c r="AE1409">
        <v>1</v>
      </c>
      <c r="AO1409" t="s">
        <v>2547</v>
      </c>
      <c r="AP1409" t="s">
        <v>2401</v>
      </c>
    </row>
    <row r="1410" spans="1:42">
      <c r="A1410" t="s">
        <v>6376</v>
      </c>
      <c r="B1410" t="s">
        <v>2389</v>
      </c>
      <c r="C1410" t="s">
        <v>2378</v>
      </c>
      <c r="D1410" t="s">
        <v>2379</v>
      </c>
      <c r="E1410" t="s">
        <v>25</v>
      </c>
      <c r="F1410" t="s">
        <v>2541</v>
      </c>
      <c r="G1410" t="s">
        <v>25</v>
      </c>
      <c r="H1410" t="b">
        <v>1</v>
      </c>
      <c r="I1410" s="8">
        <v>45932.384062500001</v>
      </c>
      <c r="J1410" t="s">
        <v>2380</v>
      </c>
      <c r="K1410">
        <v>1199794</v>
      </c>
      <c r="L1410">
        <v>608236</v>
      </c>
      <c r="M1410" t="s">
        <v>2381</v>
      </c>
      <c r="N1410">
        <v>5</v>
      </c>
      <c r="P1410" t="s">
        <v>2427</v>
      </c>
      <c r="Q1410" t="s">
        <v>2383</v>
      </c>
      <c r="R1410">
        <v>1</v>
      </c>
      <c r="S1410" t="s">
        <v>2380</v>
      </c>
      <c r="T1410" t="s">
        <v>2383</v>
      </c>
      <c r="U1410" s="8">
        <v>45929.344236111108</v>
      </c>
      <c r="V1410" s="8">
        <v>45932.958333333336</v>
      </c>
      <c r="W1410">
        <v>1</v>
      </c>
      <c r="X1410">
        <v>3.0398263889999999</v>
      </c>
      <c r="Y1410" t="s">
        <v>2542</v>
      </c>
      <c r="Z1410" t="s">
        <v>6377</v>
      </c>
      <c r="AA1410" t="s">
        <v>2564</v>
      </c>
      <c r="AB1410" t="s">
        <v>1278</v>
      </c>
      <c r="AC1410" t="s">
        <v>6378</v>
      </c>
      <c r="AD1410" t="s">
        <v>2708</v>
      </c>
      <c r="AE1410">
        <v>1</v>
      </c>
      <c r="AO1410" t="s">
        <v>2547</v>
      </c>
      <c r="AP1410" t="s">
        <v>2401</v>
      </c>
    </row>
    <row r="1411" spans="1:42">
      <c r="A1411" t="s">
        <v>6379</v>
      </c>
      <c r="B1411" t="s">
        <v>2389</v>
      </c>
      <c r="C1411" t="s">
        <v>2378</v>
      </c>
      <c r="D1411" t="s">
        <v>2379</v>
      </c>
      <c r="E1411" t="s">
        <v>25</v>
      </c>
      <c r="F1411" t="s">
        <v>2541</v>
      </c>
      <c r="G1411" t="s">
        <v>25</v>
      </c>
      <c r="H1411" t="b">
        <v>1</v>
      </c>
      <c r="I1411" s="8">
        <v>45932.387916666667</v>
      </c>
      <c r="J1411" t="s">
        <v>2380</v>
      </c>
      <c r="K1411">
        <v>1199796</v>
      </c>
      <c r="L1411">
        <v>608236</v>
      </c>
      <c r="M1411" t="s">
        <v>2381</v>
      </c>
      <c r="N1411">
        <v>5</v>
      </c>
      <c r="P1411" t="s">
        <v>2427</v>
      </c>
      <c r="Q1411" t="s">
        <v>2383</v>
      </c>
      <c r="R1411">
        <v>1</v>
      </c>
      <c r="S1411" t="s">
        <v>2380</v>
      </c>
      <c r="T1411" t="s">
        <v>2383</v>
      </c>
      <c r="U1411" s="8">
        <v>45929.344236111108</v>
      </c>
      <c r="V1411" s="8">
        <v>45932.958333333336</v>
      </c>
      <c r="W1411">
        <v>1</v>
      </c>
      <c r="X1411">
        <v>3.043680556</v>
      </c>
      <c r="Y1411" t="s">
        <v>2542</v>
      </c>
      <c r="Z1411" t="s">
        <v>6380</v>
      </c>
      <c r="AA1411" t="s">
        <v>2564</v>
      </c>
      <c r="AB1411" t="s">
        <v>1278</v>
      </c>
      <c r="AC1411" t="s">
        <v>6381</v>
      </c>
      <c r="AD1411" t="s">
        <v>2708</v>
      </c>
      <c r="AE1411">
        <v>1</v>
      </c>
      <c r="AO1411" t="s">
        <v>2547</v>
      </c>
      <c r="AP1411" t="s">
        <v>2401</v>
      </c>
    </row>
    <row r="1412" spans="1:42">
      <c r="A1412" t="s">
        <v>6382</v>
      </c>
      <c r="B1412" t="s">
        <v>2389</v>
      </c>
      <c r="C1412" t="s">
        <v>2378</v>
      </c>
      <c r="D1412" t="s">
        <v>2379</v>
      </c>
      <c r="E1412" t="s">
        <v>25</v>
      </c>
      <c r="F1412" t="s">
        <v>2541</v>
      </c>
      <c r="G1412" t="s">
        <v>25</v>
      </c>
      <c r="H1412" t="b">
        <v>1</v>
      </c>
      <c r="I1412" s="8">
        <v>45932.389953703707</v>
      </c>
      <c r="J1412" t="s">
        <v>2380</v>
      </c>
      <c r="K1412">
        <v>1199797</v>
      </c>
      <c r="L1412">
        <v>608236</v>
      </c>
      <c r="M1412" t="s">
        <v>2381</v>
      </c>
      <c r="N1412">
        <v>5</v>
      </c>
      <c r="P1412" t="s">
        <v>2427</v>
      </c>
      <c r="Q1412" t="s">
        <v>2383</v>
      </c>
      <c r="R1412">
        <v>1</v>
      </c>
      <c r="S1412" t="s">
        <v>2380</v>
      </c>
      <c r="T1412" t="s">
        <v>2383</v>
      </c>
      <c r="U1412" s="8">
        <v>45929.344236111108</v>
      </c>
      <c r="V1412" s="8">
        <v>45932.958333333336</v>
      </c>
      <c r="W1412">
        <v>1</v>
      </c>
      <c r="X1412">
        <v>3.045717593</v>
      </c>
      <c r="Y1412" t="s">
        <v>2542</v>
      </c>
      <c r="Z1412" t="s">
        <v>6383</v>
      </c>
      <c r="AA1412" t="s">
        <v>2564</v>
      </c>
      <c r="AB1412" t="s">
        <v>1278</v>
      </c>
      <c r="AC1412" t="s">
        <v>6384</v>
      </c>
      <c r="AD1412" t="s">
        <v>2708</v>
      </c>
      <c r="AE1412">
        <v>1</v>
      </c>
      <c r="AO1412" t="s">
        <v>2547</v>
      </c>
      <c r="AP1412" t="s">
        <v>2401</v>
      </c>
    </row>
    <row r="1413" spans="1:42">
      <c r="A1413" t="s">
        <v>6385</v>
      </c>
      <c r="B1413" t="s">
        <v>2389</v>
      </c>
      <c r="C1413" t="s">
        <v>2378</v>
      </c>
      <c r="D1413" t="s">
        <v>2379</v>
      </c>
      <c r="E1413" t="s">
        <v>25</v>
      </c>
      <c r="F1413" t="s">
        <v>2541</v>
      </c>
      <c r="G1413" t="s">
        <v>25</v>
      </c>
      <c r="H1413" t="b">
        <v>1</v>
      </c>
      <c r="I1413" s="8">
        <v>45932.410891203705</v>
      </c>
      <c r="J1413" t="s">
        <v>2380</v>
      </c>
      <c r="K1413">
        <v>1199805</v>
      </c>
      <c r="L1413">
        <v>608066</v>
      </c>
      <c r="M1413" t="s">
        <v>2381</v>
      </c>
      <c r="N1413">
        <v>5</v>
      </c>
      <c r="P1413" t="s">
        <v>2427</v>
      </c>
      <c r="Q1413" t="s">
        <v>2383</v>
      </c>
      <c r="R1413">
        <v>1</v>
      </c>
      <c r="S1413" t="s">
        <v>2380</v>
      </c>
      <c r="T1413" t="s">
        <v>2383</v>
      </c>
      <c r="U1413" s="8">
        <v>45929.356620370374</v>
      </c>
      <c r="V1413" s="8">
        <v>45932.958333333336</v>
      </c>
      <c r="W1413">
        <v>1</v>
      </c>
      <c r="X1413">
        <v>3.0542708329999999</v>
      </c>
      <c r="Y1413" t="s">
        <v>2542</v>
      </c>
      <c r="Z1413" t="s">
        <v>6386</v>
      </c>
      <c r="AA1413" t="s">
        <v>2914</v>
      </c>
      <c r="AB1413" t="s">
        <v>1278</v>
      </c>
      <c r="AC1413" t="s">
        <v>6387</v>
      </c>
      <c r="AD1413" t="s">
        <v>2708</v>
      </c>
      <c r="AE1413">
        <v>1</v>
      </c>
      <c r="AO1413" t="s">
        <v>2547</v>
      </c>
      <c r="AP1413" t="s">
        <v>2401</v>
      </c>
    </row>
    <row r="1414" spans="1:42">
      <c r="A1414" t="s">
        <v>6388</v>
      </c>
      <c r="B1414" t="s">
        <v>2389</v>
      </c>
      <c r="C1414" t="s">
        <v>2378</v>
      </c>
      <c r="D1414" t="s">
        <v>2379</v>
      </c>
      <c r="E1414" t="s">
        <v>25</v>
      </c>
      <c r="F1414" t="s">
        <v>2541</v>
      </c>
      <c r="G1414" t="s">
        <v>25</v>
      </c>
      <c r="H1414" t="b">
        <v>1</v>
      </c>
      <c r="I1414" s="8">
        <v>45932.414687500001</v>
      </c>
      <c r="J1414" t="s">
        <v>2380</v>
      </c>
      <c r="K1414">
        <v>1199806</v>
      </c>
      <c r="L1414">
        <v>608066</v>
      </c>
      <c r="M1414" t="s">
        <v>2381</v>
      </c>
      <c r="N1414">
        <v>5</v>
      </c>
      <c r="P1414" t="s">
        <v>2427</v>
      </c>
      <c r="Q1414" t="s">
        <v>2383</v>
      </c>
      <c r="R1414">
        <v>1</v>
      </c>
      <c r="S1414" t="s">
        <v>2380</v>
      </c>
      <c r="T1414" t="s">
        <v>2383</v>
      </c>
      <c r="U1414" s="8">
        <v>45929.356620370374</v>
      </c>
      <c r="V1414" s="8">
        <v>45932.958333333336</v>
      </c>
      <c r="W1414">
        <v>1</v>
      </c>
      <c r="X1414">
        <v>3.05806713</v>
      </c>
      <c r="Y1414" t="s">
        <v>2542</v>
      </c>
      <c r="Z1414" t="s">
        <v>6389</v>
      </c>
      <c r="AA1414" t="s">
        <v>2914</v>
      </c>
      <c r="AB1414" t="s">
        <v>1278</v>
      </c>
      <c r="AC1414" t="s">
        <v>6390</v>
      </c>
      <c r="AD1414" t="s">
        <v>2708</v>
      </c>
      <c r="AE1414">
        <v>1</v>
      </c>
      <c r="AO1414" t="s">
        <v>2547</v>
      </c>
      <c r="AP1414" t="s">
        <v>2401</v>
      </c>
    </row>
    <row r="1415" spans="1:42">
      <c r="A1415" t="s">
        <v>6391</v>
      </c>
      <c r="B1415" t="s">
        <v>2389</v>
      </c>
      <c r="C1415" t="s">
        <v>2378</v>
      </c>
      <c r="D1415" t="s">
        <v>2379</v>
      </c>
      <c r="E1415" t="s">
        <v>25</v>
      </c>
      <c r="F1415" t="s">
        <v>2541</v>
      </c>
      <c r="G1415" t="s">
        <v>25</v>
      </c>
      <c r="H1415" t="b">
        <v>1</v>
      </c>
      <c r="I1415" s="8">
        <v>45932.417199074072</v>
      </c>
      <c r="J1415" t="s">
        <v>2380</v>
      </c>
      <c r="K1415">
        <v>1199808</v>
      </c>
      <c r="L1415">
        <v>608066</v>
      </c>
      <c r="M1415" t="s">
        <v>2381</v>
      </c>
      <c r="N1415">
        <v>5</v>
      </c>
      <c r="P1415" t="s">
        <v>2427</v>
      </c>
      <c r="Q1415" t="s">
        <v>2383</v>
      </c>
      <c r="R1415">
        <v>1</v>
      </c>
      <c r="S1415" t="s">
        <v>2380</v>
      </c>
      <c r="T1415" t="s">
        <v>2383</v>
      </c>
      <c r="U1415" s="8">
        <v>45929.356620370374</v>
      </c>
      <c r="V1415" s="8">
        <v>45932.958333333336</v>
      </c>
      <c r="W1415">
        <v>1</v>
      </c>
      <c r="X1415">
        <v>3.0605787040000001</v>
      </c>
      <c r="Y1415" t="s">
        <v>2542</v>
      </c>
      <c r="Z1415" t="s">
        <v>6392</v>
      </c>
      <c r="AA1415" t="s">
        <v>2914</v>
      </c>
      <c r="AB1415" t="s">
        <v>1278</v>
      </c>
      <c r="AC1415" t="s">
        <v>6393</v>
      </c>
      <c r="AD1415" t="s">
        <v>2708</v>
      </c>
      <c r="AE1415">
        <v>1</v>
      </c>
      <c r="AO1415" t="s">
        <v>2547</v>
      </c>
      <c r="AP1415" t="s">
        <v>2401</v>
      </c>
    </row>
    <row r="1416" spans="1:42">
      <c r="A1416" t="s">
        <v>6394</v>
      </c>
      <c r="B1416" t="s">
        <v>2389</v>
      </c>
      <c r="C1416" t="s">
        <v>2378</v>
      </c>
      <c r="D1416" t="s">
        <v>2379</v>
      </c>
      <c r="E1416" t="s">
        <v>25</v>
      </c>
      <c r="F1416" t="s">
        <v>2541</v>
      </c>
      <c r="G1416" t="s">
        <v>25</v>
      </c>
      <c r="H1416" t="b">
        <v>1</v>
      </c>
      <c r="I1416" s="8">
        <v>45932.424791666665</v>
      </c>
      <c r="J1416" t="s">
        <v>2380</v>
      </c>
      <c r="K1416">
        <v>1199812</v>
      </c>
      <c r="L1416">
        <v>608066</v>
      </c>
      <c r="M1416" t="s">
        <v>2381</v>
      </c>
      <c r="N1416">
        <v>5</v>
      </c>
      <c r="P1416" t="s">
        <v>2427</v>
      </c>
      <c r="Q1416" t="s">
        <v>2383</v>
      </c>
      <c r="R1416">
        <v>1</v>
      </c>
      <c r="S1416" t="s">
        <v>2380</v>
      </c>
      <c r="T1416" t="s">
        <v>2383</v>
      </c>
      <c r="U1416" s="8">
        <v>45929.356620370374</v>
      </c>
      <c r="V1416" s="8">
        <v>45932.958333333336</v>
      </c>
      <c r="W1416">
        <v>1</v>
      </c>
      <c r="X1416">
        <v>3.068171296</v>
      </c>
      <c r="Y1416" t="s">
        <v>2542</v>
      </c>
      <c r="Z1416" t="s">
        <v>6395</v>
      </c>
      <c r="AA1416" t="s">
        <v>2914</v>
      </c>
      <c r="AB1416" t="s">
        <v>1278</v>
      </c>
      <c r="AC1416" t="s">
        <v>6396</v>
      </c>
      <c r="AD1416" t="s">
        <v>2708</v>
      </c>
      <c r="AE1416">
        <v>1</v>
      </c>
      <c r="AO1416" t="s">
        <v>2547</v>
      </c>
      <c r="AP1416" t="s">
        <v>2401</v>
      </c>
    </row>
    <row r="1417" spans="1:42">
      <c r="A1417" t="s">
        <v>6397</v>
      </c>
      <c r="B1417" t="s">
        <v>2389</v>
      </c>
      <c r="C1417" t="s">
        <v>2378</v>
      </c>
      <c r="D1417" t="s">
        <v>2379</v>
      </c>
      <c r="E1417" t="s">
        <v>25</v>
      </c>
      <c r="F1417" t="s">
        <v>2541</v>
      </c>
      <c r="G1417" t="s">
        <v>25</v>
      </c>
      <c r="H1417" t="b">
        <v>1</v>
      </c>
      <c r="I1417" s="8">
        <v>45932.427488425928</v>
      </c>
      <c r="J1417" t="s">
        <v>2380</v>
      </c>
      <c r="K1417">
        <v>1199813</v>
      </c>
      <c r="L1417">
        <v>608066</v>
      </c>
      <c r="M1417" t="s">
        <v>2381</v>
      </c>
      <c r="N1417">
        <v>5</v>
      </c>
      <c r="P1417" t="s">
        <v>2427</v>
      </c>
      <c r="Q1417" t="s">
        <v>2383</v>
      </c>
      <c r="R1417">
        <v>1</v>
      </c>
      <c r="S1417" t="s">
        <v>2380</v>
      </c>
      <c r="T1417" t="s">
        <v>2383</v>
      </c>
      <c r="U1417" s="8">
        <v>45929.356620370374</v>
      </c>
      <c r="V1417" s="8">
        <v>45932.958333333336</v>
      </c>
      <c r="W1417">
        <v>1</v>
      </c>
      <c r="X1417">
        <v>3.0708680560000001</v>
      </c>
      <c r="Y1417" t="s">
        <v>2542</v>
      </c>
      <c r="Z1417" t="s">
        <v>6398</v>
      </c>
      <c r="AA1417" t="s">
        <v>2914</v>
      </c>
      <c r="AB1417" t="s">
        <v>1278</v>
      </c>
      <c r="AC1417" t="s">
        <v>6399</v>
      </c>
      <c r="AD1417" t="s">
        <v>2708</v>
      </c>
      <c r="AE1417">
        <v>1</v>
      </c>
      <c r="AO1417" t="s">
        <v>2547</v>
      </c>
      <c r="AP1417" t="s">
        <v>2401</v>
      </c>
    </row>
    <row r="1418" spans="1:42">
      <c r="A1418" t="s">
        <v>3820</v>
      </c>
      <c r="B1418" t="s">
        <v>2389</v>
      </c>
      <c r="C1418" t="s">
        <v>2438</v>
      </c>
      <c r="D1418" t="s">
        <v>2379</v>
      </c>
      <c r="E1418" t="s">
        <v>307</v>
      </c>
      <c r="F1418" t="s">
        <v>3747</v>
      </c>
      <c r="G1418" t="s">
        <v>24</v>
      </c>
      <c r="H1418" t="b">
        <v>1</v>
      </c>
      <c r="I1418" s="8">
        <v>45932.438935185186</v>
      </c>
      <c r="J1418" t="s">
        <v>2380</v>
      </c>
      <c r="L1418">
        <v>609121</v>
      </c>
      <c r="M1418" t="s">
        <v>2381</v>
      </c>
      <c r="P1418" t="s">
        <v>2394</v>
      </c>
      <c r="Q1418" t="s">
        <v>2383</v>
      </c>
      <c r="R1418">
        <v>1</v>
      </c>
      <c r="S1418" t="s">
        <v>2380</v>
      </c>
      <c r="T1418" t="s">
        <v>2383</v>
      </c>
      <c r="U1418" s="8">
        <v>45932.372395833336</v>
      </c>
      <c r="V1418" s="8">
        <v>45937.958333333336</v>
      </c>
      <c r="W1418">
        <v>1</v>
      </c>
      <c r="X1418">
        <v>6.6539351999999996E-2</v>
      </c>
      <c r="Y1418" t="s">
        <v>3748</v>
      </c>
      <c r="Z1418" t="s">
        <v>3821</v>
      </c>
      <c r="AA1418" t="s">
        <v>3751</v>
      </c>
      <c r="AB1418" t="s">
        <v>1278</v>
      </c>
      <c r="AE1418">
        <v>1</v>
      </c>
      <c r="AO1418" t="s">
        <v>2712</v>
      </c>
      <c r="AP1418" t="s">
        <v>2401</v>
      </c>
    </row>
    <row r="1419" spans="1:42">
      <c r="A1419" t="s">
        <v>5848</v>
      </c>
      <c r="B1419" t="s">
        <v>2389</v>
      </c>
      <c r="C1419" t="s">
        <v>2415</v>
      </c>
      <c r="D1419" t="s">
        <v>2379</v>
      </c>
      <c r="E1419" t="s">
        <v>307</v>
      </c>
      <c r="F1419" t="s">
        <v>2541</v>
      </c>
      <c r="G1419" t="s">
        <v>307</v>
      </c>
      <c r="H1419" t="b">
        <v>1</v>
      </c>
      <c r="I1419" s="8">
        <v>45935.555509259262</v>
      </c>
      <c r="J1419" t="s">
        <v>2380</v>
      </c>
      <c r="K1419">
        <v>1200236</v>
      </c>
      <c r="L1419">
        <v>605288</v>
      </c>
      <c r="M1419" t="s">
        <v>2381</v>
      </c>
      <c r="Q1419" t="s">
        <v>2383</v>
      </c>
      <c r="R1419">
        <v>1</v>
      </c>
      <c r="S1419" t="s">
        <v>2380</v>
      </c>
      <c r="T1419" t="s">
        <v>2383</v>
      </c>
      <c r="U1419" s="8">
        <v>45932.38858796296</v>
      </c>
      <c r="V1419" s="8">
        <v>45937.958333333336</v>
      </c>
      <c r="W1419">
        <v>1</v>
      </c>
      <c r="X1419">
        <v>1.1669212959999999</v>
      </c>
      <c r="Y1419" t="s">
        <v>2542</v>
      </c>
      <c r="Z1419" t="s">
        <v>5849</v>
      </c>
      <c r="AA1419" t="s">
        <v>3111</v>
      </c>
      <c r="AB1419" t="s">
        <v>1278</v>
      </c>
      <c r="AC1419" t="s">
        <v>5850</v>
      </c>
      <c r="AD1419" t="s">
        <v>2708</v>
      </c>
      <c r="AE1419">
        <v>1</v>
      </c>
      <c r="AO1419" t="s">
        <v>2547</v>
      </c>
      <c r="AP1419" t="s">
        <v>2401</v>
      </c>
    </row>
    <row r="1420" spans="1:42">
      <c r="A1420" t="s">
        <v>5977</v>
      </c>
      <c r="B1420" t="s">
        <v>2389</v>
      </c>
      <c r="C1420" t="s">
        <v>2415</v>
      </c>
      <c r="D1420" t="s">
        <v>2379</v>
      </c>
      <c r="E1420" t="s">
        <v>2601</v>
      </c>
      <c r="F1420" t="s">
        <v>2541</v>
      </c>
      <c r="G1420" t="s">
        <v>2601</v>
      </c>
      <c r="H1420" t="b">
        <v>1</v>
      </c>
      <c r="I1420" s="8">
        <v>45933.550949074073</v>
      </c>
      <c r="J1420" t="s">
        <v>2380</v>
      </c>
      <c r="K1420">
        <v>1200120</v>
      </c>
      <c r="L1420">
        <v>608142</v>
      </c>
      <c r="M1420" t="s">
        <v>2381</v>
      </c>
      <c r="P1420" t="s">
        <v>2427</v>
      </c>
      <c r="Q1420" t="s">
        <v>2383</v>
      </c>
      <c r="R1420">
        <v>1</v>
      </c>
      <c r="S1420" t="s">
        <v>2380</v>
      </c>
      <c r="T1420" t="s">
        <v>2383</v>
      </c>
      <c r="U1420" s="8">
        <v>45932.401828703703</v>
      </c>
      <c r="V1420" s="8">
        <v>45937.958333333336</v>
      </c>
      <c r="W1420">
        <v>1</v>
      </c>
      <c r="X1420">
        <v>1.1491203699999999</v>
      </c>
      <c r="Y1420" t="s">
        <v>2542</v>
      </c>
      <c r="Z1420" t="s">
        <v>5978</v>
      </c>
      <c r="AA1420" t="s">
        <v>3115</v>
      </c>
      <c r="AB1420" t="s">
        <v>1278</v>
      </c>
      <c r="AC1420" t="s">
        <v>5979</v>
      </c>
      <c r="AD1420" t="s">
        <v>2708</v>
      </c>
      <c r="AE1420">
        <v>1</v>
      </c>
      <c r="AO1420" t="s">
        <v>2547</v>
      </c>
      <c r="AP1420" t="s">
        <v>2401</v>
      </c>
    </row>
    <row r="1421" spans="1:42">
      <c r="A1421" t="s">
        <v>5980</v>
      </c>
      <c r="B1421" t="s">
        <v>2389</v>
      </c>
      <c r="C1421" t="s">
        <v>2415</v>
      </c>
      <c r="D1421" t="s">
        <v>2379</v>
      </c>
      <c r="E1421" t="s">
        <v>2601</v>
      </c>
      <c r="F1421" t="s">
        <v>2541</v>
      </c>
      <c r="G1421" t="s">
        <v>2601</v>
      </c>
      <c r="H1421" t="b">
        <v>1</v>
      </c>
      <c r="I1421" s="8">
        <v>45933.532175925924</v>
      </c>
      <c r="J1421" t="s">
        <v>2380</v>
      </c>
      <c r="K1421">
        <v>1200113</v>
      </c>
      <c r="L1421">
        <v>601096</v>
      </c>
      <c r="M1421" t="s">
        <v>2381</v>
      </c>
      <c r="P1421" t="s">
        <v>2427</v>
      </c>
      <c r="Q1421" t="s">
        <v>2383</v>
      </c>
      <c r="R1421">
        <v>1</v>
      </c>
      <c r="S1421" t="s">
        <v>2380</v>
      </c>
      <c r="T1421" t="s">
        <v>2383</v>
      </c>
      <c r="U1421" s="8">
        <v>45932.401828703703</v>
      </c>
      <c r="V1421" s="8">
        <v>45937.958333333336</v>
      </c>
      <c r="W1421">
        <v>1</v>
      </c>
      <c r="X1421">
        <v>1.1303472219999999</v>
      </c>
      <c r="Y1421" t="s">
        <v>2542</v>
      </c>
      <c r="Z1421" t="s">
        <v>5981</v>
      </c>
      <c r="AA1421" t="s">
        <v>2888</v>
      </c>
      <c r="AB1421" t="s">
        <v>1278</v>
      </c>
      <c r="AC1421" t="s">
        <v>5982</v>
      </c>
      <c r="AD1421" t="s">
        <v>2708</v>
      </c>
      <c r="AE1421">
        <v>1</v>
      </c>
      <c r="AO1421" t="s">
        <v>2547</v>
      </c>
      <c r="AP1421" t="s">
        <v>2401</v>
      </c>
    </row>
    <row r="1422" spans="1:42">
      <c r="A1422" t="s">
        <v>5851</v>
      </c>
      <c r="B1422" t="s">
        <v>2389</v>
      </c>
      <c r="C1422" t="s">
        <v>2415</v>
      </c>
      <c r="D1422" t="s">
        <v>2379</v>
      </c>
      <c r="E1422" t="s">
        <v>307</v>
      </c>
      <c r="F1422" t="s">
        <v>2541</v>
      </c>
      <c r="G1422" t="s">
        <v>307</v>
      </c>
      <c r="H1422" t="b">
        <v>1</v>
      </c>
      <c r="I1422" s="8">
        <v>45935.552141203705</v>
      </c>
      <c r="J1422" t="s">
        <v>2380</v>
      </c>
      <c r="K1422">
        <v>1200235</v>
      </c>
      <c r="L1422">
        <v>605288</v>
      </c>
      <c r="M1422" t="s">
        <v>2381</v>
      </c>
      <c r="Q1422" t="s">
        <v>2383</v>
      </c>
      <c r="R1422">
        <v>1</v>
      </c>
      <c r="S1422" t="s">
        <v>2380</v>
      </c>
      <c r="T1422" t="s">
        <v>2383</v>
      </c>
      <c r="U1422" s="8">
        <v>45932.402291666665</v>
      </c>
      <c r="V1422" s="8">
        <v>45937.958333333336</v>
      </c>
      <c r="W1422">
        <v>1</v>
      </c>
      <c r="X1422">
        <v>1.1498495369999999</v>
      </c>
      <c r="Y1422" t="s">
        <v>2542</v>
      </c>
      <c r="Z1422" t="s">
        <v>5852</v>
      </c>
      <c r="AA1422" t="s">
        <v>3111</v>
      </c>
      <c r="AB1422" t="s">
        <v>1278</v>
      </c>
      <c r="AC1422" t="s">
        <v>5853</v>
      </c>
      <c r="AD1422" t="s">
        <v>2708</v>
      </c>
      <c r="AE1422">
        <v>1</v>
      </c>
      <c r="AO1422" t="s">
        <v>2547</v>
      </c>
      <c r="AP1422" t="s">
        <v>2401</v>
      </c>
    </row>
    <row r="1423" spans="1:42">
      <c r="A1423" t="s">
        <v>5983</v>
      </c>
      <c r="B1423" t="s">
        <v>2389</v>
      </c>
      <c r="C1423" t="s">
        <v>2438</v>
      </c>
      <c r="D1423" t="s">
        <v>2379</v>
      </c>
      <c r="E1423" t="s">
        <v>2601</v>
      </c>
      <c r="F1423" t="s">
        <v>2541</v>
      </c>
      <c r="G1423" t="s">
        <v>2601</v>
      </c>
      <c r="H1423" t="b">
        <v>1</v>
      </c>
      <c r="I1423" s="8">
        <v>45932.660821759258</v>
      </c>
      <c r="J1423" t="s">
        <v>2380</v>
      </c>
      <c r="K1423">
        <v>1199990</v>
      </c>
      <c r="L1423">
        <v>601096</v>
      </c>
      <c r="M1423" t="s">
        <v>2381</v>
      </c>
      <c r="P1423" t="s">
        <v>2427</v>
      </c>
      <c r="Q1423" t="s">
        <v>2383</v>
      </c>
      <c r="R1423">
        <v>1</v>
      </c>
      <c r="S1423" t="s">
        <v>2380</v>
      </c>
      <c r="T1423" t="s">
        <v>2383</v>
      </c>
      <c r="U1423" s="8">
        <v>45932.403252314813</v>
      </c>
      <c r="V1423" s="8">
        <v>45937.958333333336</v>
      </c>
      <c r="W1423">
        <v>1</v>
      </c>
      <c r="X1423">
        <v>0.25756944399999998</v>
      </c>
      <c r="Y1423" t="s">
        <v>2542</v>
      </c>
      <c r="Z1423" t="s">
        <v>5984</v>
      </c>
      <c r="AA1423" t="s">
        <v>2888</v>
      </c>
      <c r="AB1423" t="s">
        <v>1278</v>
      </c>
      <c r="AC1423" t="s">
        <v>5985</v>
      </c>
      <c r="AD1423" t="s">
        <v>2708</v>
      </c>
      <c r="AE1423">
        <v>1</v>
      </c>
      <c r="AO1423" t="s">
        <v>2547</v>
      </c>
      <c r="AP1423" t="s">
        <v>2401</v>
      </c>
    </row>
    <row r="1424" spans="1:42">
      <c r="A1424" t="s">
        <v>5986</v>
      </c>
      <c r="B1424" t="s">
        <v>2389</v>
      </c>
      <c r="C1424" t="s">
        <v>2415</v>
      </c>
      <c r="D1424" t="s">
        <v>2379</v>
      </c>
      <c r="E1424" t="s">
        <v>2601</v>
      </c>
      <c r="F1424" t="s">
        <v>2541</v>
      </c>
      <c r="G1424" t="s">
        <v>2601</v>
      </c>
      <c r="H1424" t="b">
        <v>1</v>
      </c>
      <c r="I1424" s="8">
        <v>45933.547800925924</v>
      </c>
      <c r="J1424" t="s">
        <v>2380</v>
      </c>
      <c r="K1424">
        <v>1200117</v>
      </c>
      <c r="L1424">
        <v>601096</v>
      </c>
      <c r="M1424" t="s">
        <v>2381</v>
      </c>
      <c r="P1424" t="s">
        <v>2427</v>
      </c>
      <c r="Q1424" t="s">
        <v>2383</v>
      </c>
      <c r="R1424">
        <v>1</v>
      </c>
      <c r="S1424" t="s">
        <v>2380</v>
      </c>
      <c r="T1424" t="s">
        <v>2383</v>
      </c>
      <c r="U1424" s="8">
        <v>45932.403263888889</v>
      </c>
      <c r="V1424" s="8">
        <v>45937.958333333336</v>
      </c>
      <c r="W1424">
        <v>1</v>
      </c>
      <c r="X1424">
        <v>1.1445370370000001</v>
      </c>
      <c r="Y1424" t="s">
        <v>2542</v>
      </c>
      <c r="Z1424" t="s">
        <v>5987</v>
      </c>
      <c r="AA1424" t="s">
        <v>2888</v>
      </c>
      <c r="AB1424" t="s">
        <v>1278</v>
      </c>
      <c r="AC1424" t="s">
        <v>5988</v>
      </c>
      <c r="AD1424" t="s">
        <v>2708</v>
      </c>
      <c r="AE1424">
        <v>1</v>
      </c>
      <c r="AO1424" t="s">
        <v>2547</v>
      </c>
      <c r="AP1424" t="s">
        <v>2401</v>
      </c>
    </row>
    <row r="1425" spans="1:42">
      <c r="A1425" t="s">
        <v>2906</v>
      </c>
      <c r="B1425" t="s">
        <v>2389</v>
      </c>
      <c r="C1425" t="s">
        <v>2415</v>
      </c>
      <c r="D1425" t="s">
        <v>2379</v>
      </c>
      <c r="E1425" t="s">
        <v>307</v>
      </c>
      <c r="F1425" t="s">
        <v>2541</v>
      </c>
      <c r="G1425" t="s">
        <v>307</v>
      </c>
      <c r="H1425" t="b">
        <v>1</v>
      </c>
      <c r="I1425" s="8">
        <v>45933.545937499999</v>
      </c>
      <c r="J1425" t="s">
        <v>2380</v>
      </c>
      <c r="L1425">
        <v>601096</v>
      </c>
      <c r="M1425" t="s">
        <v>2381</v>
      </c>
      <c r="P1425" t="s">
        <v>2427</v>
      </c>
      <c r="Q1425" t="s">
        <v>2383</v>
      </c>
      <c r="R1425">
        <v>1</v>
      </c>
      <c r="S1425" t="s">
        <v>2380</v>
      </c>
      <c r="T1425" t="s">
        <v>2383</v>
      </c>
      <c r="U1425" s="8">
        <v>45932.403969907406</v>
      </c>
      <c r="V1425" s="8">
        <v>45937.958333333336</v>
      </c>
      <c r="W1425">
        <v>1</v>
      </c>
      <c r="X1425">
        <v>1.1419675929999999</v>
      </c>
      <c r="Y1425" t="s">
        <v>2542</v>
      </c>
      <c r="Z1425" t="s">
        <v>2907</v>
      </c>
      <c r="AA1425" t="s">
        <v>2888</v>
      </c>
      <c r="AB1425" t="s">
        <v>1278</v>
      </c>
      <c r="AC1425" t="s">
        <v>2800</v>
      </c>
      <c r="AE1425">
        <v>1</v>
      </c>
      <c r="AO1425" t="s">
        <v>2547</v>
      </c>
      <c r="AP1425" t="s">
        <v>2401</v>
      </c>
    </row>
    <row r="1426" spans="1:42">
      <c r="A1426" t="s">
        <v>5750</v>
      </c>
      <c r="B1426" t="s">
        <v>2389</v>
      </c>
      <c r="C1426" t="s">
        <v>2390</v>
      </c>
      <c r="D1426" t="s">
        <v>2379</v>
      </c>
      <c r="E1426" t="s">
        <v>33</v>
      </c>
      <c r="F1426" t="s">
        <v>2541</v>
      </c>
      <c r="G1426" t="s">
        <v>33</v>
      </c>
      <c r="H1426" t="b">
        <v>1</v>
      </c>
      <c r="I1426" s="8">
        <v>45934.495798611111</v>
      </c>
      <c r="J1426" t="s">
        <v>2380</v>
      </c>
      <c r="K1426">
        <v>1200209</v>
      </c>
      <c r="L1426">
        <v>608142</v>
      </c>
      <c r="M1426" t="s">
        <v>2381</v>
      </c>
      <c r="P1426" t="s">
        <v>2427</v>
      </c>
      <c r="Q1426" t="s">
        <v>2383</v>
      </c>
      <c r="R1426">
        <v>1</v>
      </c>
      <c r="S1426" t="s">
        <v>2380</v>
      </c>
      <c r="T1426" t="s">
        <v>2383</v>
      </c>
      <c r="U1426" s="8">
        <v>45932.403981481482</v>
      </c>
      <c r="V1426" s="8">
        <v>45937.958333333336</v>
      </c>
      <c r="W1426">
        <v>1</v>
      </c>
      <c r="X1426">
        <v>2.0918171299999999</v>
      </c>
      <c r="Y1426" t="s">
        <v>2542</v>
      </c>
      <c r="Z1426" t="s">
        <v>5751</v>
      </c>
      <c r="AA1426" t="s">
        <v>3115</v>
      </c>
      <c r="AB1426" t="s">
        <v>1278</v>
      </c>
      <c r="AC1426" t="s">
        <v>5752</v>
      </c>
      <c r="AD1426" t="s">
        <v>2708</v>
      </c>
      <c r="AE1426">
        <v>1</v>
      </c>
      <c r="AO1426" t="s">
        <v>2547</v>
      </c>
      <c r="AP1426" t="s">
        <v>2401</v>
      </c>
    </row>
    <row r="1427" spans="1:42">
      <c r="A1427" t="s">
        <v>5753</v>
      </c>
      <c r="B1427" t="s">
        <v>2389</v>
      </c>
      <c r="C1427" t="s">
        <v>2390</v>
      </c>
      <c r="D1427" t="s">
        <v>2379</v>
      </c>
      <c r="E1427" t="s">
        <v>33</v>
      </c>
      <c r="F1427" t="s">
        <v>2541</v>
      </c>
      <c r="G1427" t="s">
        <v>33</v>
      </c>
      <c r="H1427" t="b">
        <v>1</v>
      </c>
      <c r="I1427" s="8">
        <v>45934.497094907405</v>
      </c>
      <c r="J1427" t="s">
        <v>2380</v>
      </c>
      <c r="K1427">
        <v>1200210</v>
      </c>
      <c r="L1427">
        <v>608151</v>
      </c>
      <c r="M1427" t="s">
        <v>2381</v>
      </c>
      <c r="P1427" t="s">
        <v>2427</v>
      </c>
      <c r="Q1427" t="s">
        <v>2383</v>
      </c>
      <c r="R1427">
        <v>1</v>
      </c>
      <c r="S1427" t="s">
        <v>2380</v>
      </c>
      <c r="T1427" t="s">
        <v>2383</v>
      </c>
      <c r="U1427" s="8">
        <v>45932.404594907406</v>
      </c>
      <c r="V1427" s="8">
        <v>45937.958333333336</v>
      </c>
      <c r="W1427">
        <v>1</v>
      </c>
      <c r="X1427">
        <v>2.0924999999999998</v>
      </c>
      <c r="Y1427" t="s">
        <v>2542</v>
      </c>
      <c r="Z1427" t="s">
        <v>5754</v>
      </c>
      <c r="AA1427" t="s">
        <v>5755</v>
      </c>
      <c r="AB1427" t="s">
        <v>1278</v>
      </c>
      <c r="AC1427" t="s">
        <v>5756</v>
      </c>
      <c r="AD1427" t="s">
        <v>2708</v>
      </c>
      <c r="AE1427">
        <v>1</v>
      </c>
      <c r="AO1427" t="s">
        <v>2547</v>
      </c>
      <c r="AP1427" t="s">
        <v>2401</v>
      </c>
    </row>
    <row r="1428" spans="1:42">
      <c r="A1428" t="s">
        <v>6901</v>
      </c>
      <c r="B1428" t="s">
        <v>2389</v>
      </c>
      <c r="C1428" t="s">
        <v>2390</v>
      </c>
      <c r="D1428" t="s">
        <v>2379</v>
      </c>
      <c r="E1428" t="s">
        <v>2452</v>
      </c>
      <c r="F1428" t="s">
        <v>2588</v>
      </c>
      <c r="G1428" t="s">
        <v>2452</v>
      </c>
      <c r="H1428" t="b">
        <v>1</v>
      </c>
      <c r="I1428" s="8">
        <v>45936.636828703704</v>
      </c>
      <c r="J1428" t="s">
        <v>2380</v>
      </c>
      <c r="K1428">
        <v>1200370</v>
      </c>
      <c r="L1428">
        <v>603520</v>
      </c>
      <c r="M1428" t="s">
        <v>2381</v>
      </c>
      <c r="P1428" t="s">
        <v>2394</v>
      </c>
      <c r="Q1428" t="s">
        <v>2383</v>
      </c>
      <c r="R1428">
        <v>1</v>
      </c>
      <c r="S1428" t="s">
        <v>2380</v>
      </c>
      <c r="T1428" t="s">
        <v>2383</v>
      </c>
      <c r="U1428" s="8">
        <v>45932.404791666668</v>
      </c>
      <c r="V1428" s="8">
        <v>45937.958333333336</v>
      </c>
      <c r="W1428">
        <v>1</v>
      </c>
      <c r="X1428">
        <v>2.232037037</v>
      </c>
      <c r="Y1428" t="s">
        <v>2579</v>
      </c>
      <c r="Z1428" t="s">
        <v>6902</v>
      </c>
      <c r="AA1428" t="s">
        <v>3435</v>
      </c>
      <c r="AB1428" t="s">
        <v>1278</v>
      </c>
      <c r="AC1428" t="s">
        <v>6903</v>
      </c>
      <c r="AD1428" t="s">
        <v>2708</v>
      </c>
      <c r="AE1428">
        <v>1</v>
      </c>
      <c r="AO1428" t="s">
        <v>2388</v>
      </c>
      <c r="AP1428" t="s">
        <v>2401</v>
      </c>
    </row>
    <row r="1429" spans="1:42">
      <c r="A1429" t="s">
        <v>5884</v>
      </c>
      <c r="B1429" t="s">
        <v>2389</v>
      </c>
      <c r="C1429" t="s">
        <v>2415</v>
      </c>
      <c r="D1429" t="s">
        <v>2379</v>
      </c>
      <c r="E1429" t="s">
        <v>307</v>
      </c>
      <c r="F1429" t="s">
        <v>2541</v>
      </c>
      <c r="G1429" t="s">
        <v>307</v>
      </c>
      <c r="H1429" t="b">
        <v>1</v>
      </c>
      <c r="I1429" s="8">
        <v>45933.55060185185</v>
      </c>
      <c r="J1429" t="s">
        <v>2380</v>
      </c>
      <c r="K1429">
        <v>1200119</v>
      </c>
      <c r="L1429">
        <v>601096</v>
      </c>
      <c r="M1429" t="s">
        <v>2381</v>
      </c>
      <c r="P1429" t="s">
        <v>2427</v>
      </c>
      <c r="Q1429" t="s">
        <v>2383</v>
      </c>
      <c r="R1429">
        <v>1</v>
      </c>
      <c r="S1429" t="s">
        <v>2380</v>
      </c>
      <c r="T1429" t="s">
        <v>2383</v>
      </c>
      <c r="U1429" s="8">
        <v>45932.405439814815</v>
      </c>
      <c r="V1429" s="8">
        <v>45937.958333333336</v>
      </c>
      <c r="W1429">
        <v>1</v>
      </c>
      <c r="X1429">
        <v>1.145162037</v>
      </c>
      <c r="Y1429" t="s">
        <v>2542</v>
      </c>
      <c r="Z1429" t="s">
        <v>5885</v>
      </c>
      <c r="AA1429" t="s">
        <v>2888</v>
      </c>
      <c r="AB1429" t="s">
        <v>1278</v>
      </c>
      <c r="AC1429" t="s">
        <v>5886</v>
      </c>
      <c r="AD1429" t="s">
        <v>2708</v>
      </c>
      <c r="AE1429">
        <v>1</v>
      </c>
      <c r="AO1429" t="s">
        <v>2547</v>
      </c>
      <c r="AP1429" t="s">
        <v>2401</v>
      </c>
    </row>
    <row r="1430" spans="1:42">
      <c r="A1430" t="s">
        <v>2908</v>
      </c>
      <c r="B1430" t="s">
        <v>2389</v>
      </c>
      <c r="C1430" t="s">
        <v>2415</v>
      </c>
      <c r="D1430" t="s">
        <v>2379</v>
      </c>
      <c r="E1430" t="s">
        <v>307</v>
      </c>
      <c r="F1430" t="s">
        <v>2541</v>
      </c>
      <c r="G1430" t="s">
        <v>307</v>
      </c>
      <c r="H1430" t="b">
        <v>1</v>
      </c>
      <c r="I1430" s="8">
        <v>45933.551608796297</v>
      </c>
      <c r="J1430" t="s">
        <v>2380</v>
      </c>
      <c r="L1430">
        <v>601096</v>
      </c>
      <c r="M1430" t="s">
        <v>2381</v>
      </c>
      <c r="P1430" t="s">
        <v>2427</v>
      </c>
      <c r="Q1430" t="s">
        <v>2383</v>
      </c>
      <c r="R1430">
        <v>1</v>
      </c>
      <c r="S1430" t="s">
        <v>2380</v>
      </c>
      <c r="T1430" t="s">
        <v>2383</v>
      </c>
      <c r="U1430" s="8">
        <v>45932.405439814815</v>
      </c>
      <c r="V1430" s="8">
        <v>45937.958333333336</v>
      </c>
      <c r="W1430">
        <v>1</v>
      </c>
      <c r="X1430">
        <v>1.146168981</v>
      </c>
      <c r="Y1430" t="s">
        <v>2542</v>
      </c>
      <c r="Z1430" t="s">
        <v>2909</v>
      </c>
      <c r="AA1430" t="s">
        <v>2888</v>
      </c>
      <c r="AB1430" t="s">
        <v>1278</v>
      </c>
      <c r="AC1430" t="s">
        <v>2800</v>
      </c>
      <c r="AE1430">
        <v>1</v>
      </c>
      <c r="AO1430" t="s">
        <v>2547</v>
      </c>
      <c r="AP1430" t="s">
        <v>2401</v>
      </c>
    </row>
    <row r="1431" spans="1:42">
      <c r="A1431" t="s">
        <v>2910</v>
      </c>
      <c r="B1431" t="s">
        <v>2389</v>
      </c>
      <c r="C1431" t="s">
        <v>2415</v>
      </c>
      <c r="D1431" t="s">
        <v>2379</v>
      </c>
      <c r="E1431" t="s">
        <v>307</v>
      </c>
      <c r="F1431" t="s">
        <v>2541</v>
      </c>
      <c r="G1431" t="s">
        <v>307</v>
      </c>
      <c r="H1431" t="b">
        <v>1</v>
      </c>
      <c r="I1431" s="8">
        <v>45933.605682870373</v>
      </c>
      <c r="J1431" t="s">
        <v>2380</v>
      </c>
      <c r="L1431">
        <v>601096</v>
      </c>
      <c r="M1431" t="s">
        <v>2381</v>
      </c>
      <c r="P1431" t="s">
        <v>2427</v>
      </c>
      <c r="Q1431" t="s">
        <v>2383</v>
      </c>
      <c r="R1431">
        <v>1</v>
      </c>
      <c r="S1431" t="s">
        <v>2380</v>
      </c>
      <c r="T1431" t="s">
        <v>2383</v>
      </c>
      <c r="U1431" s="8">
        <v>45932.406747685185</v>
      </c>
      <c r="V1431" s="8">
        <v>45937.958333333336</v>
      </c>
      <c r="W1431">
        <v>1</v>
      </c>
      <c r="X1431">
        <v>1.1989351850000001</v>
      </c>
      <c r="Y1431" t="s">
        <v>2542</v>
      </c>
      <c r="Z1431" t="s">
        <v>2911</v>
      </c>
      <c r="AA1431" t="s">
        <v>2888</v>
      </c>
      <c r="AB1431" t="s">
        <v>1278</v>
      </c>
      <c r="AC1431" t="s">
        <v>2800</v>
      </c>
      <c r="AE1431">
        <v>1</v>
      </c>
      <c r="AO1431" t="s">
        <v>2547</v>
      </c>
      <c r="AP1431" t="s">
        <v>2401</v>
      </c>
    </row>
    <row r="1432" spans="1:42">
      <c r="A1432" t="s">
        <v>5757</v>
      </c>
      <c r="B1432" t="s">
        <v>2389</v>
      </c>
      <c r="C1432" t="s">
        <v>2390</v>
      </c>
      <c r="D1432" t="s">
        <v>2379</v>
      </c>
      <c r="E1432" t="s">
        <v>33</v>
      </c>
      <c r="F1432" t="s">
        <v>2541</v>
      </c>
      <c r="G1432" t="s">
        <v>33</v>
      </c>
      <c r="H1432" t="b">
        <v>1</v>
      </c>
      <c r="I1432" s="8">
        <v>45934.493680555555</v>
      </c>
      <c r="J1432" t="s">
        <v>2380</v>
      </c>
      <c r="K1432">
        <v>1200208</v>
      </c>
      <c r="L1432">
        <v>608066</v>
      </c>
      <c r="M1432" t="s">
        <v>2381</v>
      </c>
      <c r="P1432" t="s">
        <v>2427</v>
      </c>
      <c r="Q1432" t="s">
        <v>2383</v>
      </c>
      <c r="R1432">
        <v>1</v>
      </c>
      <c r="S1432" t="s">
        <v>2380</v>
      </c>
      <c r="T1432" t="s">
        <v>2383</v>
      </c>
      <c r="U1432" s="8">
        <v>45932.406805555554</v>
      </c>
      <c r="V1432" s="8">
        <v>45937.958333333336</v>
      </c>
      <c r="W1432">
        <v>1</v>
      </c>
      <c r="X1432">
        <v>2.086875</v>
      </c>
      <c r="Y1432" t="s">
        <v>2542</v>
      </c>
      <c r="Z1432" t="s">
        <v>5758</v>
      </c>
      <c r="AA1432" t="s">
        <v>2914</v>
      </c>
      <c r="AB1432" t="s">
        <v>1278</v>
      </c>
      <c r="AC1432" t="s">
        <v>5759</v>
      </c>
      <c r="AD1432" t="s">
        <v>2708</v>
      </c>
      <c r="AE1432">
        <v>1</v>
      </c>
      <c r="AO1432" t="s">
        <v>2547</v>
      </c>
      <c r="AP1432" t="s">
        <v>2401</v>
      </c>
    </row>
    <row r="1433" spans="1:42">
      <c r="A1433" t="s">
        <v>5887</v>
      </c>
      <c r="B1433" t="s">
        <v>2389</v>
      </c>
      <c r="C1433" t="s">
        <v>2415</v>
      </c>
      <c r="D1433" t="s">
        <v>2379</v>
      </c>
      <c r="E1433" t="s">
        <v>307</v>
      </c>
      <c r="F1433" t="s">
        <v>2541</v>
      </c>
      <c r="G1433" t="s">
        <v>307</v>
      </c>
      <c r="H1433" t="b">
        <v>1</v>
      </c>
      <c r="I1433" s="8">
        <v>45933.572939814818</v>
      </c>
      <c r="J1433" t="s">
        <v>2380</v>
      </c>
      <c r="K1433">
        <v>1200126</v>
      </c>
      <c r="L1433">
        <v>601096</v>
      </c>
      <c r="M1433" t="s">
        <v>2381</v>
      </c>
      <c r="P1433" t="s">
        <v>2427</v>
      </c>
      <c r="Q1433" t="s">
        <v>2383</v>
      </c>
      <c r="R1433">
        <v>1</v>
      </c>
      <c r="S1433" t="s">
        <v>2380</v>
      </c>
      <c r="T1433" t="s">
        <v>2383</v>
      </c>
      <c r="U1433" s="8">
        <v>45932.407511574071</v>
      </c>
      <c r="V1433" s="8">
        <v>45937.958333333336</v>
      </c>
      <c r="W1433">
        <v>1</v>
      </c>
      <c r="X1433">
        <v>1.1654282410000001</v>
      </c>
      <c r="Y1433" t="s">
        <v>2542</v>
      </c>
      <c r="Z1433" t="s">
        <v>5888</v>
      </c>
      <c r="AA1433" t="s">
        <v>2888</v>
      </c>
      <c r="AB1433" t="s">
        <v>1278</v>
      </c>
      <c r="AC1433" t="s">
        <v>5889</v>
      </c>
      <c r="AD1433" t="s">
        <v>2708</v>
      </c>
      <c r="AE1433">
        <v>1</v>
      </c>
      <c r="AO1433" t="s">
        <v>2547</v>
      </c>
      <c r="AP1433" t="s">
        <v>2401</v>
      </c>
    </row>
    <row r="1434" spans="1:42">
      <c r="A1434" t="s">
        <v>9852</v>
      </c>
      <c r="B1434" t="s">
        <v>2389</v>
      </c>
      <c r="C1434" t="s">
        <v>2691</v>
      </c>
      <c r="D1434" t="s">
        <v>2379</v>
      </c>
      <c r="E1434" t="s">
        <v>12</v>
      </c>
      <c r="F1434" t="s">
        <v>2588</v>
      </c>
      <c r="G1434" t="s">
        <v>12</v>
      </c>
      <c r="H1434" t="b">
        <v>1</v>
      </c>
      <c r="I1434" s="8">
        <v>45943.584907407407</v>
      </c>
      <c r="J1434" t="s">
        <v>2380</v>
      </c>
      <c r="K1434">
        <v>1201942</v>
      </c>
      <c r="L1434">
        <v>603950</v>
      </c>
      <c r="M1434" t="s">
        <v>2381</v>
      </c>
      <c r="P1434" t="s">
        <v>2394</v>
      </c>
      <c r="Q1434" t="s">
        <v>2383</v>
      </c>
      <c r="R1434">
        <v>1</v>
      </c>
      <c r="S1434" t="s">
        <v>2380</v>
      </c>
      <c r="T1434" t="s">
        <v>2383</v>
      </c>
      <c r="U1434" s="8">
        <v>45932.420219907406</v>
      </c>
      <c r="V1434" s="8">
        <v>45943.958333333336</v>
      </c>
      <c r="W1434">
        <v>1</v>
      </c>
      <c r="X1434">
        <v>7.1646875000000003</v>
      </c>
      <c r="Y1434" t="s">
        <v>2579</v>
      </c>
      <c r="Z1434" t="s">
        <v>9853</v>
      </c>
      <c r="AA1434" t="s">
        <v>3647</v>
      </c>
      <c r="AB1434" t="s">
        <v>1278</v>
      </c>
      <c r="AC1434" t="s">
        <v>9854</v>
      </c>
      <c r="AD1434" t="s">
        <v>2708</v>
      </c>
      <c r="AE1434">
        <v>1</v>
      </c>
      <c r="AO1434" t="s">
        <v>3644</v>
      </c>
      <c r="AP1434" t="s">
        <v>2401</v>
      </c>
    </row>
    <row r="1435" spans="1:42">
      <c r="A1435" t="s">
        <v>5713</v>
      </c>
      <c r="B1435" t="s">
        <v>2389</v>
      </c>
      <c r="C1435" t="s">
        <v>2443</v>
      </c>
      <c r="D1435" t="s">
        <v>2443</v>
      </c>
      <c r="E1435" t="s">
        <v>33</v>
      </c>
      <c r="F1435" t="s">
        <v>2541</v>
      </c>
      <c r="G1435" t="s">
        <v>33</v>
      </c>
      <c r="H1435" t="b">
        <v>1</v>
      </c>
      <c r="I1435" s="8">
        <v>45953.560590277775</v>
      </c>
      <c r="J1435" t="s">
        <v>2380</v>
      </c>
      <c r="K1435">
        <v>1204220</v>
      </c>
      <c r="L1435">
        <v>608135</v>
      </c>
      <c r="M1435" t="s">
        <v>2381</v>
      </c>
      <c r="P1435" t="s">
        <v>2548</v>
      </c>
      <c r="Q1435" t="s">
        <v>2383</v>
      </c>
      <c r="R1435">
        <v>1</v>
      </c>
      <c r="S1435" t="s">
        <v>2380</v>
      </c>
      <c r="T1435" t="s">
        <v>2383</v>
      </c>
      <c r="U1435" s="8">
        <v>45932.424074074072</v>
      </c>
      <c r="V1435" s="8">
        <v>45937.958333333336</v>
      </c>
      <c r="W1435">
        <v>1</v>
      </c>
      <c r="X1435">
        <v>15.136516203999999</v>
      </c>
      <c r="Y1435" t="s">
        <v>2542</v>
      </c>
      <c r="Z1435" t="s">
        <v>5714</v>
      </c>
      <c r="AA1435" t="s">
        <v>5715</v>
      </c>
      <c r="AB1435" t="s">
        <v>1278</v>
      </c>
      <c r="AC1435" t="s">
        <v>5716</v>
      </c>
      <c r="AD1435" t="s">
        <v>2708</v>
      </c>
      <c r="AE1435">
        <v>1</v>
      </c>
      <c r="AO1435" t="s">
        <v>2547</v>
      </c>
      <c r="AP1435" t="s">
        <v>2401</v>
      </c>
    </row>
    <row r="1436" spans="1:42">
      <c r="A1436" t="s">
        <v>6050</v>
      </c>
      <c r="B1436" t="s">
        <v>2389</v>
      </c>
      <c r="C1436" t="s">
        <v>2415</v>
      </c>
      <c r="D1436" t="s">
        <v>2379</v>
      </c>
      <c r="E1436" t="s">
        <v>2452</v>
      </c>
      <c r="F1436" t="s">
        <v>2541</v>
      </c>
      <c r="G1436" t="s">
        <v>2452</v>
      </c>
      <c r="H1436" t="b">
        <v>1</v>
      </c>
      <c r="I1436" s="8">
        <v>45936.392106481479</v>
      </c>
      <c r="J1436" t="s">
        <v>2380</v>
      </c>
      <c r="K1436">
        <v>1200249</v>
      </c>
      <c r="L1436">
        <v>608399</v>
      </c>
      <c r="M1436" t="s">
        <v>2381</v>
      </c>
      <c r="P1436" t="s">
        <v>2548</v>
      </c>
      <c r="Q1436" t="s">
        <v>2383</v>
      </c>
      <c r="R1436">
        <v>1</v>
      </c>
      <c r="S1436" t="s">
        <v>2380</v>
      </c>
      <c r="T1436" t="s">
        <v>2383</v>
      </c>
      <c r="U1436" s="8">
        <v>45932.426863425928</v>
      </c>
      <c r="V1436" s="8">
        <v>45937.958333333336</v>
      </c>
      <c r="W1436">
        <v>1</v>
      </c>
      <c r="X1436">
        <v>1.965243056</v>
      </c>
      <c r="Y1436" t="s">
        <v>2542</v>
      </c>
      <c r="Z1436" t="s">
        <v>6051</v>
      </c>
      <c r="AA1436" t="s">
        <v>2576</v>
      </c>
      <c r="AB1436" t="s">
        <v>1278</v>
      </c>
      <c r="AC1436" t="s">
        <v>6052</v>
      </c>
      <c r="AD1436" t="s">
        <v>2708</v>
      </c>
      <c r="AE1436">
        <v>1</v>
      </c>
      <c r="AO1436" t="s">
        <v>2547</v>
      </c>
      <c r="AP1436" t="s">
        <v>2401</v>
      </c>
    </row>
    <row r="1437" spans="1:42">
      <c r="A1437" t="s">
        <v>10149</v>
      </c>
      <c r="B1437" t="s">
        <v>2377</v>
      </c>
      <c r="C1437" t="s">
        <v>2378</v>
      </c>
      <c r="D1437" t="s">
        <v>2379</v>
      </c>
      <c r="E1437" t="s">
        <v>12</v>
      </c>
      <c r="F1437" t="s">
        <v>2402</v>
      </c>
      <c r="G1437" t="s">
        <v>12</v>
      </c>
      <c r="H1437" t="b">
        <v>1</v>
      </c>
      <c r="I1437" s="8">
        <v>45937.453611111108</v>
      </c>
      <c r="J1437" t="s">
        <v>2380</v>
      </c>
      <c r="L1437">
        <v>603642</v>
      </c>
      <c r="M1437" t="s">
        <v>2381</v>
      </c>
      <c r="Q1437" t="s">
        <v>2383</v>
      </c>
      <c r="R1437">
        <v>1</v>
      </c>
      <c r="S1437" t="s">
        <v>2380</v>
      </c>
      <c r="T1437" t="s">
        <v>2383</v>
      </c>
      <c r="U1437" s="8">
        <v>45932.429803240739</v>
      </c>
      <c r="V1437" s="8">
        <v>45937.958333333336</v>
      </c>
      <c r="W1437">
        <v>1</v>
      </c>
      <c r="X1437">
        <v>3.0238078700000002</v>
      </c>
      <c r="Y1437" t="s">
        <v>2403</v>
      </c>
      <c r="Z1437" t="s">
        <v>10150</v>
      </c>
      <c r="AA1437" t="s">
        <v>8053</v>
      </c>
      <c r="AB1437" t="s">
        <v>1278</v>
      </c>
      <c r="AC1437" t="s">
        <v>10151</v>
      </c>
      <c r="AE1437">
        <v>1</v>
      </c>
      <c r="AO1437" t="s">
        <v>4121</v>
      </c>
      <c r="AP1437" t="s">
        <v>2401</v>
      </c>
    </row>
    <row r="1438" spans="1:42">
      <c r="A1438" t="s">
        <v>2780</v>
      </c>
      <c r="B1438" t="s">
        <v>2389</v>
      </c>
      <c r="C1438" t="s">
        <v>2390</v>
      </c>
      <c r="D1438" t="s">
        <v>2379</v>
      </c>
      <c r="E1438" t="s">
        <v>33</v>
      </c>
      <c r="F1438" t="s">
        <v>2779</v>
      </c>
      <c r="G1438" t="s">
        <v>33</v>
      </c>
      <c r="H1438" t="b">
        <v>1</v>
      </c>
      <c r="I1438" s="8">
        <v>45937.426122685189</v>
      </c>
      <c r="J1438" t="s">
        <v>2380</v>
      </c>
      <c r="L1438">
        <v>603483</v>
      </c>
      <c r="M1438" t="s">
        <v>2381</v>
      </c>
      <c r="P1438" t="s">
        <v>2394</v>
      </c>
      <c r="Q1438" t="s">
        <v>2383</v>
      </c>
      <c r="R1438">
        <v>1</v>
      </c>
      <c r="S1438" t="s">
        <v>2380</v>
      </c>
      <c r="T1438" t="s">
        <v>2383</v>
      </c>
      <c r="U1438" s="8">
        <v>45932.431469907409</v>
      </c>
      <c r="V1438" s="8">
        <v>45937.958333333336</v>
      </c>
      <c r="W1438">
        <v>1</v>
      </c>
      <c r="X1438">
        <v>2.9946527779999998</v>
      </c>
      <c r="Y1438" t="s">
        <v>1352</v>
      </c>
      <c r="Z1438" t="s">
        <v>2781</v>
      </c>
      <c r="AA1438" t="s">
        <v>2198</v>
      </c>
      <c r="AB1438" t="s">
        <v>1278</v>
      </c>
      <c r="AC1438" t="s">
        <v>2782</v>
      </c>
      <c r="AE1438">
        <v>1</v>
      </c>
      <c r="AO1438" t="s">
        <v>2408</v>
      </c>
      <c r="AP1438" t="s">
        <v>2401</v>
      </c>
    </row>
    <row r="1439" spans="1:42">
      <c r="A1439" t="s">
        <v>7075</v>
      </c>
      <c r="B1439" t="s">
        <v>2389</v>
      </c>
      <c r="C1439" t="s">
        <v>2378</v>
      </c>
      <c r="D1439" t="s">
        <v>2379</v>
      </c>
      <c r="E1439" t="s">
        <v>2452</v>
      </c>
      <c r="F1439">
        <v>6397</v>
      </c>
      <c r="G1439" t="s">
        <v>2452</v>
      </c>
      <c r="H1439" t="b">
        <v>1</v>
      </c>
      <c r="I1439" s="8">
        <v>45937.524745370371</v>
      </c>
      <c r="J1439" t="s">
        <v>2380</v>
      </c>
      <c r="K1439">
        <v>1200498</v>
      </c>
      <c r="L1439">
        <v>606290</v>
      </c>
      <c r="M1439" t="s">
        <v>2381</v>
      </c>
      <c r="P1439" t="s">
        <v>2427</v>
      </c>
      <c r="Q1439" t="s">
        <v>2383</v>
      </c>
      <c r="R1439">
        <v>1</v>
      </c>
      <c r="S1439" t="s">
        <v>2380</v>
      </c>
      <c r="T1439" t="s">
        <v>2383</v>
      </c>
      <c r="U1439" s="8">
        <v>45932.432002314818</v>
      </c>
      <c r="V1439" s="8">
        <v>45937.958333333336</v>
      </c>
      <c r="W1439">
        <v>1</v>
      </c>
      <c r="X1439">
        <v>3.0927430560000002</v>
      </c>
      <c r="Y1439" t="s">
        <v>2607</v>
      </c>
      <c r="Z1439" t="s">
        <v>7076</v>
      </c>
      <c r="AA1439" t="s">
        <v>6853</v>
      </c>
      <c r="AB1439" t="s">
        <v>1278</v>
      </c>
      <c r="AC1439" t="s">
        <v>7077</v>
      </c>
      <c r="AD1439" t="s">
        <v>2708</v>
      </c>
      <c r="AE1439">
        <v>1</v>
      </c>
      <c r="AO1439" t="s">
        <v>2388</v>
      </c>
      <c r="AP1439" t="s">
        <v>2401</v>
      </c>
    </row>
    <row r="1440" spans="1:42">
      <c r="A1440" t="s">
        <v>7809</v>
      </c>
      <c r="B1440" t="s">
        <v>2389</v>
      </c>
      <c r="C1440" t="s">
        <v>2378</v>
      </c>
      <c r="D1440" t="s">
        <v>2379</v>
      </c>
      <c r="E1440" t="s">
        <v>2452</v>
      </c>
      <c r="F1440" t="s">
        <v>2715</v>
      </c>
      <c r="G1440" t="s">
        <v>2452</v>
      </c>
      <c r="H1440" t="b">
        <v>1</v>
      </c>
      <c r="I1440" s="8">
        <v>45937.514201388891</v>
      </c>
      <c r="J1440" t="s">
        <v>2380</v>
      </c>
      <c r="K1440">
        <v>1200486</v>
      </c>
      <c r="L1440">
        <v>609860</v>
      </c>
      <c r="M1440" t="s">
        <v>2381</v>
      </c>
      <c r="P1440" t="s">
        <v>2427</v>
      </c>
      <c r="Q1440" t="s">
        <v>2383</v>
      </c>
      <c r="R1440">
        <v>1</v>
      </c>
      <c r="S1440" t="s">
        <v>2380</v>
      </c>
      <c r="T1440" t="s">
        <v>2383</v>
      </c>
      <c r="U1440" s="8">
        <v>45932.436006944445</v>
      </c>
      <c r="V1440" s="8">
        <v>45937.958333333336</v>
      </c>
      <c r="W1440">
        <v>1</v>
      </c>
      <c r="X1440">
        <v>3.0781944440000002</v>
      </c>
      <c r="Y1440" t="s">
        <v>4653</v>
      </c>
      <c r="Z1440" t="s">
        <v>7810</v>
      </c>
      <c r="AA1440" t="s">
        <v>7811</v>
      </c>
      <c r="AB1440" t="s">
        <v>1278</v>
      </c>
      <c r="AC1440" t="s">
        <v>7812</v>
      </c>
      <c r="AD1440" t="s">
        <v>2708</v>
      </c>
      <c r="AE1440">
        <v>1</v>
      </c>
      <c r="AO1440" t="s">
        <v>2957</v>
      </c>
      <c r="AP1440" t="s">
        <v>2401</v>
      </c>
    </row>
    <row r="1441" spans="1:42">
      <c r="A1441" t="s">
        <v>7000</v>
      </c>
      <c r="B1441" t="s">
        <v>2389</v>
      </c>
      <c r="C1441" t="s">
        <v>2390</v>
      </c>
      <c r="D1441" t="s">
        <v>2379</v>
      </c>
      <c r="E1441" t="s">
        <v>2452</v>
      </c>
      <c r="F1441" t="s">
        <v>2627</v>
      </c>
      <c r="G1441" t="s">
        <v>2452</v>
      </c>
      <c r="H1441" t="b">
        <v>1</v>
      </c>
      <c r="I1441" s="8">
        <v>45937.382418981484</v>
      </c>
      <c r="J1441" t="s">
        <v>2380</v>
      </c>
      <c r="K1441">
        <v>1200432</v>
      </c>
      <c r="L1441">
        <v>602997</v>
      </c>
      <c r="M1441" t="s">
        <v>2381</v>
      </c>
      <c r="P1441" t="s">
        <v>2394</v>
      </c>
      <c r="Q1441" t="s">
        <v>2383</v>
      </c>
      <c r="R1441">
        <v>1</v>
      </c>
      <c r="S1441" t="s">
        <v>2380</v>
      </c>
      <c r="T1441" t="s">
        <v>2383</v>
      </c>
      <c r="U1441" s="8">
        <v>45932.455428240741</v>
      </c>
      <c r="V1441" s="8">
        <v>45937.958333333336</v>
      </c>
      <c r="W1441">
        <v>1</v>
      </c>
      <c r="X1441">
        <v>2.926990741</v>
      </c>
      <c r="Y1441" t="s">
        <v>2628</v>
      </c>
      <c r="Z1441" t="s">
        <v>7001</v>
      </c>
      <c r="AA1441" t="s">
        <v>2631</v>
      </c>
      <c r="AB1441" t="s">
        <v>1278</v>
      </c>
      <c r="AC1441" t="s">
        <v>7002</v>
      </c>
      <c r="AD1441" t="s">
        <v>2708</v>
      </c>
      <c r="AE1441">
        <v>1</v>
      </c>
      <c r="AO1441" t="s">
        <v>2388</v>
      </c>
      <c r="AP1441" t="s">
        <v>2401</v>
      </c>
    </row>
    <row r="1442" spans="1:42">
      <c r="A1442" t="s">
        <v>6053</v>
      </c>
      <c r="B1442" t="s">
        <v>2389</v>
      </c>
      <c r="C1442" t="s">
        <v>2390</v>
      </c>
      <c r="D1442" t="s">
        <v>2379</v>
      </c>
      <c r="E1442" t="s">
        <v>2452</v>
      </c>
      <c r="F1442" t="s">
        <v>2541</v>
      </c>
      <c r="G1442" t="s">
        <v>2452</v>
      </c>
      <c r="H1442" t="b">
        <v>1</v>
      </c>
      <c r="I1442" s="8">
        <v>45936.613043981481</v>
      </c>
      <c r="J1442" t="s">
        <v>2380</v>
      </c>
      <c r="K1442">
        <v>1200361</v>
      </c>
      <c r="L1442">
        <v>608398</v>
      </c>
      <c r="M1442" t="s">
        <v>2381</v>
      </c>
      <c r="P1442" t="s">
        <v>2548</v>
      </c>
      <c r="Q1442" t="s">
        <v>2383</v>
      </c>
      <c r="R1442">
        <v>1</v>
      </c>
      <c r="S1442" t="s">
        <v>2380</v>
      </c>
      <c r="T1442" t="s">
        <v>2383</v>
      </c>
      <c r="U1442" s="8">
        <v>45932.45890046296</v>
      </c>
      <c r="V1442" s="8">
        <v>45939.958333333336</v>
      </c>
      <c r="W1442">
        <v>1</v>
      </c>
      <c r="X1442">
        <v>2.1541435189999998</v>
      </c>
      <c r="Y1442" t="s">
        <v>2542</v>
      </c>
      <c r="Z1442" t="s">
        <v>6054</v>
      </c>
      <c r="AA1442" t="s">
        <v>2917</v>
      </c>
      <c r="AB1442" t="s">
        <v>1278</v>
      </c>
      <c r="AC1442" t="s">
        <v>6055</v>
      </c>
      <c r="AD1442" t="s">
        <v>2708</v>
      </c>
      <c r="AE1442">
        <v>1</v>
      </c>
      <c r="AO1442" t="s">
        <v>2547</v>
      </c>
      <c r="AP1442" t="s">
        <v>2401</v>
      </c>
    </row>
    <row r="1443" spans="1:42">
      <c r="A1443" t="s">
        <v>10307</v>
      </c>
      <c r="B1443" t="s">
        <v>2377</v>
      </c>
      <c r="C1443" t="s">
        <v>2390</v>
      </c>
      <c r="D1443" t="s">
        <v>2379</v>
      </c>
      <c r="E1443" t="s">
        <v>307</v>
      </c>
      <c r="F1443" t="s">
        <v>3891</v>
      </c>
      <c r="G1443" t="s">
        <v>307</v>
      </c>
      <c r="H1443" t="b">
        <v>1</v>
      </c>
      <c r="I1443" s="8">
        <v>45936.611250000002</v>
      </c>
      <c r="J1443" t="s">
        <v>2380</v>
      </c>
      <c r="L1443">
        <v>602985</v>
      </c>
      <c r="M1443" t="s">
        <v>2381</v>
      </c>
      <c r="P1443" t="s">
        <v>2394</v>
      </c>
      <c r="Q1443" t="s">
        <v>2383</v>
      </c>
      <c r="R1443">
        <v>1</v>
      </c>
      <c r="S1443" t="s">
        <v>2380</v>
      </c>
      <c r="T1443" t="s">
        <v>2383</v>
      </c>
      <c r="U1443" s="8">
        <v>45932.464641203704</v>
      </c>
      <c r="V1443" s="8">
        <v>45937.958333333336</v>
      </c>
      <c r="W1443">
        <v>1</v>
      </c>
      <c r="X1443">
        <v>2.1466087960000002</v>
      </c>
      <c r="Y1443" t="s">
        <v>3892</v>
      </c>
      <c r="Z1443" t="s">
        <v>10308</v>
      </c>
      <c r="AA1443" t="s">
        <v>10309</v>
      </c>
      <c r="AB1443" t="s">
        <v>1278</v>
      </c>
      <c r="AC1443" t="s">
        <v>2333</v>
      </c>
      <c r="AE1443">
        <v>1</v>
      </c>
      <c r="AO1443" t="s">
        <v>2715</v>
      </c>
      <c r="AP1443" t="s">
        <v>2401</v>
      </c>
    </row>
    <row r="1444" spans="1:42">
      <c r="A1444" t="s">
        <v>9956</v>
      </c>
      <c r="B1444" t="s">
        <v>2377</v>
      </c>
      <c r="C1444" t="s">
        <v>2390</v>
      </c>
      <c r="D1444" t="s">
        <v>2379</v>
      </c>
      <c r="E1444" t="s">
        <v>9955</v>
      </c>
      <c r="F1444" t="s">
        <v>3339</v>
      </c>
      <c r="G1444" t="s">
        <v>24</v>
      </c>
      <c r="H1444" t="b">
        <v>1</v>
      </c>
      <c r="I1444" s="8">
        <v>45936.610138888886</v>
      </c>
      <c r="J1444" t="s">
        <v>2380</v>
      </c>
      <c r="L1444">
        <v>609986</v>
      </c>
      <c r="M1444" t="s">
        <v>2381</v>
      </c>
      <c r="P1444" t="s">
        <v>2394</v>
      </c>
      <c r="Q1444" t="s">
        <v>2383</v>
      </c>
      <c r="R1444">
        <v>1</v>
      </c>
      <c r="S1444" t="s">
        <v>2380</v>
      </c>
      <c r="T1444" t="s">
        <v>2383</v>
      </c>
      <c r="U1444" s="8">
        <v>45932.467395833337</v>
      </c>
      <c r="V1444" s="8">
        <v>45937.958333333336</v>
      </c>
      <c r="W1444">
        <v>1</v>
      </c>
      <c r="X1444">
        <v>2.142743056</v>
      </c>
      <c r="Y1444" t="s">
        <v>3340</v>
      </c>
      <c r="Z1444" t="s">
        <v>9957</v>
      </c>
      <c r="AA1444" t="s">
        <v>9958</v>
      </c>
      <c r="AB1444" t="s">
        <v>1278</v>
      </c>
      <c r="AE1444">
        <v>1</v>
      </c>
      <c r="AO1444" t="s">
        <v>2957</v>
      </c>
      <c r="AP1444" t="s">
        <v>2401</v>
      </c>
    </row>
    <row r="1445" spans="1:42">
      <c r="A1445" t="s">
        <v>10075</v>
      </c>
      <c r="B1445" t="s">
        <v>2389</v>
      </c>
      <c r="C1445" t="s">
        <v>2390</v>
      </c>
      <c r="D1445" t="s">
        <v>2379</v>
      </c>
      <c r="E1445" t="s">
        <v>2452</v>
      </c>
      <c r="F1445" t="s">
        <v>7697</v>
      </c>
      <c r="G1445" t="s">
        <v>2452</v>
      </c>
      <c r="H1445" t="b">
        <v>1</v>
      </c>
      <c r="I1445" s="8">
        <v>45937.377847222226</v>
      </c>
      <c r="J1445" t="s">
        <v>2380</v>
      </c>
      <c r="L1445">
        <v>606927</v>
      </c>
      <c r="M1445" t="s">
        <v>2381</v>
      </c>
      <c r="P1445" t="s">
        <v>2394</v>
      </c>
      <c r="Q1445" t="s">
        <v>2383</v>
      </c>
      <c r="R1445">
        <v>1</v>
      </c>
      <c r="S1445" t="s">
        <v>2380</v>
      </c>
      <c r="T1445" t="s">
        <v>2383</v>
      </c>
      <c r="U1445" s="8">
        <v>45932.472384259258</v>
      </c>
      <c r="V1445" s="8">
        <v>45937.958333333336</v>
      </c>
      <c r="W1445">
        <v>1</v>
      </c>
      <c r="X1445">
        <v>2.9054629630000002</v>
      </c>
      <c r="Y1445" t="s">
        <v>7698</v>
      </c>
      <c r="Z1445" t="s">
        <v>10076</v>
      </c>
      <c r="AA1445" t="s">
        <v>7701</v>
      </c>
      <c r="AB1445" t="s">
        <v>1278</v>
      </c>
      <c r="AC1445" t="s">
        <v>10077</v>
      </c>
      <c r="AE1445">
        <v>1</v>
      </c>
      <c r="AO1445" t="s">
        <v>2957</v>
      </c>
      <c r="AP1445" t="s">
        <v>2401</v>
      </c>
    </row>
    <row r="1446" spans="1:42">
      <c r="A1446" t="s">
        <v>9670</v>
      </c>
      <c r="B1446" t="s">
        <v>2389</v>
      </c>
      <c r="C1446" t="s">
        <v>2390</v>
      </c>
      <c r="D1446" t="s">
        <v>2379</v>
      </c>
      <c r="E1446" t="s">
        <v>2452</v>
      </c>
      <c r="F1446" t="s">
        <v>3619</v>
      </c>
      <c r="G1446" t="s">
        <v>2452</v>
      </c>
      <c r="H1446" t="b">
        <v>1</v>
      </c>
      <c r="I1446" s="8">
        <v>45934.708391203705</v>
      </c>
      <c r="J1446" t="s">
        <v>2380</v>
      </c>
      <c r="K1446">
        <v>1200231</v>
      </c>
      <c r="L1446">
        <v>609244</v>
      </c>
      <c r="M1446" t="s">
        <v>2381</v>
      </c>
      <c r="P1446" t="s">
        <v>2394</v>
      </c>
      <c r="Q1446" t="s">
        <v>2383</v>
      </c>
      <c r="R1446">
        <v>1</v>
      </c>
      <c r="S1446" t="s">
        <v>2380</v>
      </c>
      <c r="T1446" t="s">
        <v>2383</v>
      </c>
      <c r="U1446" s="8">
        <v>45932.473032407404</v>
      </c>
      <c r="V1446" s="8">
        <v>45937.958333333336</v>
      </c>
      <c r="W1446">
        <v>1</v>
      </c>
      <c r="X1446">
        <v>2.2353587959999999</v>
      </c>
      <c r="Y1446" t="s">
        <v>3620</v>
      </c>
      <c r="Z1446" t="s">
        <v>9671</v>
      </c>
      <c r="AA1446" t="s">
        <v>3623</v>
      </c>
      <c r="AB1446" t="s">
        <v>1278</v>
      </c>
      <c r="AC1446" t="s">
        <v>9672</v>
      </c>
      <c r="AD1446" t="s">
        <v>2708</v>
      </c>
      <c r="AE1446">
        <v>1</v>
      </c>
      <c r="AO1446" t="s">
        <v>3608</v>
      </c>
      <c r="AP1446" t="s">
        <v>2401</v>
      </c>
    </row>
    <row r="1447" spans="1:42">
      <c r="A1447" t="s">
        <v>4050</v>
      </c>
      <c r="B1447" t="s">
        <v>2389</v>
      </c>
      <c r="C1447" t="s">
        <v>2390</v>
      </c>
      <c r="D1447" t="s">
        <v>2379</v>
      </c>
      <c r="E1447" t="s">
        <v>307</v>
      </c>
      <c r="F1447" t="s">
        <v>3747</v>
      </c>
      <c r="G1447" t="s">
        <v>307</v>
      </c>
      <c r="H1447" t="b">
        <v>1</v>
      </c>
      <c r="I1447" s="8">
        <v>45936.750532407408</v>
      </c>
      <c r="J1447" t="s">
        <v>2380</v>
      </c>
      <c r="K1447">
        <v>1200426</v>
      </c>
      <c r="L1447">
        <v>609714</v>
      </c>
      <c r="M1447" t="s">
        <v>2381</v>
      </c>
      <c r="P1447" t="s">
        <v>2394</v>
      </c>
      <c r="Q1447" t="s">
        <v>2383</v>
      </c>
      <c r="R1447">
        <v>1</v>
      </c>
      <c r="S1447" t="s">
        <v>2380</v>
      </c>
      <c r="T1447" t="s">
        <v>2383</v>
      </c>
      <c r="U1447" s="8">
        <v>45932.473043981481</v>
      </c>
      <c r="V1447" s="8">
        <v>45938.958333333336</v>
      </c>
      <c r="W1447">
        <v>1</v>
      </c>
      <c r="X1447">
        <v>2.2774884260000001</v>
      </c>
      <c r="Y1447" t="s">
        <v>3748</v>
      </c>
      <c r="Z1447" t="s">
        <v>4051</v>
      </c>
      <c r="AA1447" t="s">
        <v>3803</v>
      </c>
      <c r="AB1447" t="s">
        <v>1278</v>
      </c>
      <c r="AD1447" t="s">
        <v>2708</v>
      </c>
      <c r="AE1447">
        <v>1</v>
      </c>
      <c r="AO1447" t="s">
        <v>2712</v>
      </c>
      <c r="AP1447" t="s">
        <v>2401</v>
      </c>
    </row>
    <row r="1448" spans="1:42">
      <c r="A1448" t="s">
        <v>7699</v>
      </c>
      <c r="B1448" t="s">
        <v>2389</v>
      </c>
      <c r="C1448" t="s">
        <v>2390</v>
      </c>
      <c r="D1448" t="s">
        <v>2379</v>
      </c>
      <c r="E1448" t="s">
        <v>2452</v>
      </c>
      <c r="F1448" t="s">
        <v>7697</v>
      </c>
      <c r="G1448" t="s">
        <v>2452</v>
      </c>
      <c r="H1448" t="b">
        <v>1</v>
      </c>
      <c r="I1448" s="8">
        <v>45937.415416666663</v>
      </c>
      <c r="J1448" t="s">
        <v>2380</v>
      </c>
      <c r="K1448">
        <v>1200441</v>
      </c>
      <c r="L1448">
        <v>606927</v>
      </c>
      <c r="M1448" t="s">
        <v>2381</v>
      </c>
      <c r="P1448" t="s">
        <v>2394</v>
      </c>
      <c r="Q1448" t="s">
        <v>2383</v>
      </c>
      <c r="R1448">
        <v>1</v>
      </c>
      <c r="S1448" t="s">
        <v>2380</v>
      </c>
      <c r="T1448" t="s">
        <v>2383</v>
      </c>
      <c r="U1448" s="8">
        <v>45932.478009259263</v>
      </c>
      <c r="V1448" s="8">
        <v>45937.958333333336</v>
      </c>
      <c r="W1448">
        <v>1</v>
      </c>
      <c r="X1448">
        <v>2.9374074069999998</v>
      </c>
      <c r="Y1448" t="s">
        <v>7698</v>
      </c>
      <c r="Z1448" t="s">
        <v>7700</v>
      </c>
      <c r="AA1448" t="s">
        <v>7701</v>
      </c>
      <c r="AB1448" t="s">
        <v>1278</v>
      </c>
      <c r="AC1448" t="s">
        <v>7702</v>
      </c>
      <c r="AD1448" t="s">
        <v>2708</v>
      </c>
      <c r="AE1448">
        <v>1</v>
      </c>
      <c r="AO1448" t="s">
        <v>2957</v>
      </c>
      <c r="AP1448" t="s">
        <v>2401</v>
      </c>
    </row>
    <row r="1449" spans="1:42">
      <c r="A1449" t="s">
        <v>7160</v>
      </c>
      <c r="B1449" t="s">
        <v>2389</v>
      </c>
      <c r="C1449" t="s">
        <v>2390</v>
      </c>
      <c r="D1449" t="s">
        <v>2379</v>
      </c>
      <c r="E1449" t="s">
        <v>12</v>
      </c>
      <c r="F1449" t="s">
        <v>2578</v>
      </c>
      <c r="G1449" t="s">
        <v>12</v>
      </c>
      <c r="H1449" t="b">
        <v>1</v>
      </c>
      <c r="I1449" s="8">
        <v>45937.472349537034</v>
      </c>
      <c r="J1449" t="s">
        <v>2380</v>
      </c>
      <c r="K1449">
        <v>1200462</v>
      </c>
      <c r="L1449">
        <v>609810</v>
      </c>
      <c r="M1449" t="s">
        <v>2381</v>
      </c>
      <c r="Q1449" t="s">
        <v>2383</v>
      </c>
      <c r="R1449">
        <v>1</v>
      </c>
      <c r="S1449" t="s">
        <v>2380</v>
      </c>
      <c r="T1449" t="s">
        <v>2383</v>
      </c>
      <c r="U1449" s="8">
        <v>45932.48269675926</v>
      </c>
      <c r="V1449" s="8">
        <v>45937.958333333336</v>
      </c>
      <c r="W1449">
        <v>1</v>
      </c>
      <c r="X1449">
        <v>2.989652778</v>
      </c>
      <c r="Y1449" t="s">
        <v>2579</v>
      </c>
      <c r="Z1449" t="s">
        <v>7161</v>
      </c>
      <c r="AA1449" t="s">
        <v>2645</v>
      </c>
      <c r="AB1449" t="s">
        <v>1278</v>
      </c>
      <c r="AC1449" t="s">
        <v>7162</v>
      </c>
      <c r="AD1449" t="s">
        <v>2708</v>
      </c>
      <c r="AE1449">
        <v>1</v>
      </c>
      <c r="AO1449" t="s">
        <v>2388</v>
      </c>
      <c r="AP1449" t="s">
        <v>2401</v>
      </c>
    </row>
    <row r="1450" spans="1:42">
      <c r="A1450" t="s">
        <v>1023</v>
      </c>
      <c r="B1450" t="s">
        <v>2377</v>
      </c>
      <c r="C1450" t="s">
        <v>2691</v>
      </c>
      <c r="D1450" t="s">
        <v>2379</v>
      </c>
      <c r="E1450" t="s">
        <v>33</v>
      </c>
      <c r="F1450" t="s">
        <v>2402</v>
      </c>
      <c r="G1450" t="s">
        <v>33</v>
      </c>
      <c r="H1450" t="b">
        <v>1</v>
      </c>
      <c r="I1450" s="8">
        <v>45946.460277777776</v>
      </c>
      <c r="J1450" t="s">
        <v>2380</v>
      </c>
      <c r="L1450">
        <v>609839</v>
      </c>
      <c r="M1450" t="s">
        <v>2381</v>
      </c>
      <c r="Q1450" t="s">
        <v>2383</v>
      </c>
      <c r="R1450">
        <v>1</v>
      </c>
      <c r="S1450" t="s">
        <v>2380</v>
      </c>
      <c r="T1450" t="s">
        <v>2383</v>
      </c>
      <c r="U1450" s="8">
        <v>45932.483622685184</v>
      </c>
      <c r="V1450" s="8">
        <v>45950.958333333336</v>
      </c>
      <c r="W1450">
        <v>1</v>
      </c>
      <c r="X1450">
        <v>9.9766550929999998</v>
      </c>
      <c r="Y1450" t="s">
        <v>2403</v>
      </c>
      <c r="Z1450" t="s">
        <v>5172</v>
      </c>
      <c r="AA1450" t="s">
        <v>2760</v>
      </c>
      <c r="AB1450" t="s">
        <v>1278</v>
      </c>
      <c r="AC1450" t="s">
        <v>5173</v>
      </c>
      <c r="AD1450" t="s">
        <v>2708</v>
      </c>
      <c r="AE1450">
        <v>1</v>
      </c>
      <c r="AH1450" t="s">
        <v>24</v>
      </c>
      <c r="AI1450" s="8">
        <v>45945.692800925928</v>
      </c>
      <c r="AK1450" t="s">
        <v>2719</v>
      </c>
      <c r="AL1450" t="s">
        <v>5161</v>
      </c>
      <c r="AM1450" t="s">
        <v>5174</v>
      </c>
      <c r="AO1450" t="s">
        <v>2408</v>
      </c>
      <c r="AP1450" t="s">
        <v>2401</v>
      </c>
    </row>
    <row r="1451" spans="1:42">
      <c r="A1451" t="s">
        <v>7138</v>
      </c>
      <c r="B1451" t="s">
        <v>2389</v>
      </c>
      <c r="C1451" t="s">
        <v>2438</v>
      </c>
      <c r="D1451" t="s">
        <v>2379</v>
      </c>
      <c r="E1451" t="s">
        <v>2416</v>
      </c>
      <c r="F1451" t="s">
        <v>2578</v>
      </c>
      <c r="G1451" t="s">
        <v>2416</v>
      </c>
      <c r="H1451" t="b">
        <v>1</v>
      </c>
      <c r="I1451" s="8">
        <v>45932.517835648148</v>
      </c>
      <c r="J1451" t="s">
        <v>2380</v>
      </c>
      <c r="K1451">
        <v>1199906</v>
      </c>
      <c r="L1451">
        <v>602145</v>
      </c>
      <c r="M1451" t="s">
        <v>2381</v>
      </c>
      <c r="P1451" t="s">
        <v>2427</v>
      </c>
      <c r="Q1451" t="s">
        <v>2383</v>
      </c>
      <c r="R1451">
        <v>1</v>
      </c>
      <c r="S1451" t="s">
        <v>2380</v>
      </c>
      <c r="T1451" t="s">
        <v>2383</v>
      </c>
      <c r="U1451" s="8">
        <v>45932.491469907407</v>
      </c>
      <c r="V1451" s="8">
        <v>45937.958333333336</v>
      </c>
      <c r="W1451">
        <v>1</v>
      </c>
      <c r="X1451">
        <v>2.6365741000000002E-2</v>
      </c>
      <c r="Y1451" t="s">
        <v>2579</v>
      </c>
      <c r="Z1451" t="s">
        <v>7139</v>
      </c>
      <c r="AA1451" t="s">
        <v>6930</v>
      </c>
      <c r="AB1451" t="s">
        <v>1278</v>
      </c>
      <c r="AC1451" t="s">
        <v>7140</v>
      </c>
      <c r="AD1451" t="s">
        <v>2708</v>
      </c>
      <c r="AE1451">
        <v>1</v>
      </c>
      <c r="AO1451" t="s">
        <v>2388</v>
      </c>
      <c r="AP1451" t="s">
        <v>2401</v>
      </c>
    </row>
    <row r="1452" spans="1:42">
      <c r="A1452" t="s">
        <v>5870</v>
      </c>
      <c r="B1452" t="s">
        <v>2389</v>
      </c>
      <c r="C1452" t="s">
        <v>2415</v>
      </c>
      <c r="D1452" t="s">
        <v>2379</v>
      </c>
      <c r="E1452" t="s">
        <v>307</v>
      </c>
      <c r="F1452" t="s">
        <v>2541</v>
      </c>
      <c r="G1452" t="s">
        <v>307</v>
      </c>
      <c r="H1452" t="b">
        <v>1</v>
      </c>
      <c r="I1452" s="8">
        <v>45935.786493055559</v>
      </c>
      <c r="J1452" t="s">
        <v>2380</v>
      </c>
      <c r="K1452">
        <v>1200241</v>
      </c>
      <c r="L1452">
        <v>608236</v>
      </c>
      <c r="M1452" t="s">
        <v>2381</v>
      </c>
      <c r="P1452" t="s">
        <v>2548</v>
      </c>
      <c r="Q1452" t="s">
        <v>2383</v>
      </c>
      <c r="R1452">
        <v>1</v>
      </c>
      <c r="S1452" t="s">
        <v>2380</v>
      </c>
      <c r="T1452" t="s">
        <v>2383</v>
      </c>
      <c r="U1452" s="8">
        <v>45932.491793981484</v>
      </c>
      <c r="V1452" s="8">
        <v>45937.958333333336</v>
      </c>
      <c r="W1452">
        <v>1</v>
      </c>
      <c r="X1452">
        <v>1.2946990739999999</v>
      </c>
      <c r="Y1452" t="s">
        <v>2542</v>
      </c>
      <c r="Z1452" t="s">
        <v>5871</v>
      </c>
      <c r="AA1452" t="s">
        <v>2564</v>
      </c>
      <c r="AB1452" t="s">
        <v>1278</v>
      </c>
      <c r="AC1452" t="s">
        <v>5872</v>
      </c>
      <c r="AD1452" t="s">
        <v>2708</v>
      </c>
      <c r="AE1452">
        <v>1</v>
      </c>
      <c r="AO1452" t="s">
        <v>2547</v>
      </c>
      <c r="AP1452" t="s">
        <v>2401</v>
      </c>
    </row>
    <row r="1453" spans="1:42">
      <c r="A1453" t="s">
        <v>322</v>
      </c>
      <c r="B1453" t="s">
        <v>2377</v>
      </c>
      <c r="C1453" t="s">
        <v>2438</v>
      </c>
      <c r="D1453" t="s">
        <v>2379</v>
      </c>
      <c r="E1453" t="s">
        <v>12</v>
      </c>
      <c r="F1453" t="s">
        <v>2578</v>
      </c>
      <c r="G1453" t="s">
        <v>12</v>
      </c>
      <c r="H1453" t="b">
        <v>1</v>
      </c>
      <c r="I1453" s="8">
        <v>45932.498553240737</v>
      </c>
      <c r="J1453" t="s">
        <v>2380</v>
      </c>
      <c r="L1453">
        <v>603645</v>
      </c>
      <c r="M1453" t="s">
        <v>2381</v>
      </c>
      <c r="Q1453" t="s">
        <v>2383</v>
      </c>
      <c r="R1453">
        <v>1</v>
      </c>
      <c r="S1453" t="s">
        <v>2380</v>
      </c>
      <c r="T1453" t="s">
        <v>2383</v>
      </c>
      <c r="U1453" s="8">
        <v>45932.492696759262</v>
      </c>
      <c r="V1453" s="8">
        <v>45937.958333333336</v>
      </c>
      <c r="W1453">
        <v>1</v>
      </c>
      <c r="X1453">
        <v>5.8564810000000002E-3</v>
      </c>
      <c r="Y1453" t="s">
        <v>2579</v>
      </c>
      <c r="Z1453" t="s">
        <v>9741</v>
      </c>
      <c r="AA1453" t="s">
        <v>3661</v>
      </c>
      <c r="AB1453" t="s">
        <v>1278</v>
      </c>
      <c r="AC1453" t="s">
        <v>9742</v>
      </c>
      <c r="AD1453" t="s">
        <v>2708</v>
      </c>
      <c r="AE1453">
        <v>1</v>
      </c>
      <c r="AO1453" t="s">
        <v>3644</v>
      </c>
      <c r="AP1453" t="s">
        <v>2401</v>
      </c>
    </row>
    <row r="1454" spans="1:42">
      <c r="A1454" t="s">
        <v>4063</v>
      </c>
      <c r="B1454" t="s">
        <v>2389</v>
      </c>
      <c r="C1454" t="s">
        <v>2691</v>
      </c>
      <c r="D1454" t="s">
        <v>2379</v>
      </c>
      <c r="E1454" t="s">
        <v>2452</v>
      </c>
      <c r="F1454" t="s">
        <v>3747</v>
      </c>
      <c r="G1454" t="s">
        <v>2452</v>
      </c>
      <c r="H1454" t="b">
        <v>1</v>
      </c>
      <c r="I1454" s="8">
        <v>45953.396273148152</v>
      </c>
      <c r="J1454" t="s">
        <v>2380</v>
      </c>
      <c r="K1454">
        <v>1204104</v>
      </c>
      <c r="L1454">
        <v>609900</v>
      </c>
      <c r="M1454" t="s">
        <v>2381</v>
      </c>
      <c r="Q1454" t="s">
        <v>2383</v>
      </c>
      <c r="R1454">
        <v>1</v>
      </c>
      <c r="S1454" t="s">
        <v>2380</v>
      </c>
      <c r="T1454" t="s">
        <v>2383</v>
      </c>
      <c r="U1454" s="8">
        <v>45932.49318287037</v>
      </c>
      <c r="V1454" s="8">
        <v>45958.958333333336</v>
      </c>
      <c r="W1454">
        <v>1</v>
      </c>
      <c r="X1454">
        <v>14.903090278000001</v>
      </c>
      <c r="Y1454" t="s">
        <v>3748</v>
      </c>
      <c r="Z1454" t="s">
        <v>4064</v>
      </c>
      <c r="AA1454" t="s">
        <v>4065</v>
      </c>
      <c r="AB1454" t="s">
        <v>1278</v>
      </c>
      <c r="AC1454" t="s">
        <v>4066</v>
      </c>
      <c r="AD1454" t="s">
        <v>2708</v>
      </c>
      <c r="AE1454">
        <v>1</v>
      </c>
      <c r="AO1454" t="s">
        <v>2712</v>
      </c>
      <c r="AP1454" t="s">
        <v>2401</v>
      </c>
    </row>
    <row r="1455" spans="1:42">
      <c r="A1455" t="s">
        <v>7647</v>
      </c>
      <c r="B1455" t="s">
        <v>2389</v>
      </c>
      <c r="C1455" t="s">
        <v>2390</v>
      </c>
      <c r="D1455" t="s">
        <v>2379</v>
      </c>
      <c r="E1455" t="s">
        <v>2452</v>
      </c>
      <c r="F1455" t="s">
        <v>3577</v>
      </c>
      <c r="G1455" t="s">
        <v>2452</v>
      </c>
      <c r="H1455" t="b">
        <v>1</v>
      </c>
      <c r="I1455" s="8">
        <v>45937.343634259261</v>
      </c>
      <c r="J1455" t="s">
        <v>2380</v>
      </c>
      <c r="K1455">
        <v>1200430</v>
      </c>
      <c r="L1455">
        <v>606952</v>
      </c>
      <c r="M1455" t="s">
        <v>2381</v>
      </c>
      <c r="P1455" t="s">
        <v>2394</v>
      </c>
      <c r="Q1455" t="s">
        <v>2383</v>
      </c>
      <c r="R1455">
        <v>1</v>
      </c>
      <c r="S1455" t="s">
        <v>2380</v>
      </c>
      <c r="T1455" t="s">
        <v>2383</v>
      </c>
      <c r="U1455" s="8">
        <v>45932.499849537038</v>
      </c>
      <c r="V1455" s="8">
        <v>45937.958333333336</v>
      </c>
      <c r="W1455">
        <v>1</v>
      </c>
      <c r="X1455">
        <v>2.8437847220000001</v>
      </c>
      <c r="Y1455" t="s">
        <v>3578</v>
      </c>
      <c r="Z1455" t="s">
        <v>7648</v>
      </c>
      <c r="AA1455" t="s">
        <v>7649</v>
      </c>
      <c r="AB1455" t="s">
        <v>1278</v>
      </c>
      <c r="AC1455" t="s">
        <v>7650</v>
      </c>
      <c r="AD1455" t="s">
        <v>2708</v>
      </c>
      <c r="AE1455">
        <v>1</v>
      </c>
      <c r="AO1455" t="s">
        <v>2957</v>
      </c>
      <c r="AP1455" t="s">
        <v>2401</v>
      </c>
    </row>
    <row r="1456" spans="1:42">
      <c r="A1456" t="s">
        <v>2751</v>
      </c>
      <c r="B1456" t="s">
        <v>2377</v>
      </c>
      <c r="C1456" t="s">
        <v>2438</v>
      </c>
      <c r="D1456" t="s">
        <v>2379</v>
      </c>
      <c r="E1456" t="s">
        <v>2750</v>
      </c>
      <c r="F1456" t="s">
        <v>2402</v>
      </c>
      <c r="G1456" t="s">
        <v>24</v>
      </c>
      <c r="H1456" t="b">
        <v>1</v>
      </c>
      <c r="I1456" s="8">
        <v>45932.686111111114</v>
      </c>
      <c r="J1456" t="s">
        <v>2380</v>
      </c>
      <c r="L1456">
        <v>605252</v>
      </c>
      <c r="M1456" t="s">
        <v>2381</v>
      </c>
      <c r="P1456" t="s">
        <v>2394</v>
      </c>
      <c r="Q1456" t="s">
        <v>2383</v>
      </c>
      <c r="R1456">
        <v>1</v>
      </c>
      <c r="S1456" t="s">
        <v>2380</v>
      </c>
      <c r="T1456" t="s">
        <v>2383</v>
      </c>
      <c r="U1456" s="8">
        <v>45932.507569444446</v>
      </c>
      <c r="V1456" s="8">
        <v>45937.958333333336</v>
      </c>
      <c r="W1456">
        <v>1</v>
      </c>
      <c r="X1456">
        <v>0.17854166699999999</v>
      </c>
      <c r="Y1456" t="s">
        <v>2403</v>
      </c>
      <c r="Z1456" t="s">
        <v>2752</v>
      </c>
      <c r="AA1456" t="s">
        <v>1291</v>
      </c>
      <c r="AB1456" t="s">
        <v>1278</v>
      </c>
      <c r="AE1456">
        <v>1</v>
      </c>
      <c r="AO1456" t="s">
        <v>2408</v>
      </c>
      <c r="AP1456" t="s">
        <v>2401</v>
      </c>
    </row>
    <row r="1457" spans="1:42">
      <c r="A1457" t="s">
        <v>7115</v>
      </c>
      <c r="B1457" t="s">
        <v>2389</v>
      </c>
      <c r="C1457" t="s">
        <v>2438</v>
      </c>
      <c r="D1457" t="s">
        <v>2379</v>
      </c>
      <c r="E1457" t="s">
        <v>18</v>
      </c>
      <c r="F1457" t="s">
        <v>2578</v>
      </c>
      <c r="G1457" t="s">
        <v>2416</v>
      </c>
      <c r="H1457" t="b">
        <v>1</v>
      </c>
      <c r="I1457" s="8">
        <v>45932.5231712963</v>
      </c>
      <c r="J1457" t="s">
        <v>2380</v>
      </c>
      <c r="K1457">
        <v>1199911</v>
      </c>
      <c r="L1457">
        <v>602145</v>
      </c>
      <c r="M1457" t="s">
        <v>2381</v>
      </c>
      <c r="Q1457" t="s">
        <v>2383</v>
      </c>
      <c r="R1457">
        <v>1</v>
      </c>
      <c r="S1457" t="s">
        <v>2380</v>
      </c>
      <c r="T1457" t="s">
        <v>2383</v>
      </c>
      <c r="U1457" s="8">
        <v>45932</v>
      </c>
      <c r="V1457" s="8">
        <v>45936.958333333336</v>
      </c>
      <c r="W1457">
        <v>1</v>
      </c>
      <c r="X1457">
        <v>0.52317129600000001</v>
      </c>
      <c r="Y1457" t="s">
        <v>2579</v>
      </c>
      <c r="Z1457" t="s">
        <v>7116</v>
      </c>
      <c r="AA1457" t="s">
        <v>6930</v>
      </c>
      <c r="AB1457" t="s">
        <v>1278</v>
      </c>
      <c r="AC1457" t="s">
        <v>7117</v>
      </c>
      <c r="AD1457" t="s">
        <v>2708</v>
      </c>
      <c r="AE1457">
        <v>1</v>
      </c>
      <c r="AO1457" t="s">
        <v>2388</v>
      </c>
      <c r="AP1457" t="s">
        <v>2401</v>
      </c>
    </row>
    <row r="1458" spans="1:42">
      <c r="A1458" t="s">
        <v>9547</v>
      </c>
      <c r="B1458" t="s">
        <v>2389</v>
      </c>
      <c r="C1458" t="s">
        <v>2390</v>
      </c>
      <c r="D1458" t="s">
        <v>2379</v>
      </c>
      <c r="E1458" t="s">
        <v>2601</v>
      </c>
      <c r="F1458">
        <v>6262</v>
      </c>
      <c r="G1458" t="s">
        <v>2601</v>
      </c>
      <c r="H1458" t="b">
        <v>1</v>
      </c>
      <c r="I1458" s="8">
        <v>45936.588495370372</v>
      </c>
      <c r="J1458" t="s">
        <v>2380</v>
      </c>
      <c r="K1458">
        <v>1159791</v>
      </c>
      <c r="L1458">
        <v>603657</v>
      </c>
      <c r="M1458" t="s">
        <v>2381</v>
      </c>
      <c r="P1458" t="s">
        <v>2394</v>
      </c>
      <c r="Q1458" t="s">
        <v>2383</v>
      </c>
      <c r="R1458">
        <v>1</v>
      </c>
      <c r="S1458" t="s">
        <v>2380</v>
      </c>
      <c r="T1458" t="s">
        <v>2383</v>
      </c>
      <c r="U1458" s="8">
        <v>45932.509687500002</v>
      </c>
      <c r="V1458" s="8">
        <v>45937.958333333336</v>
      </c>
      <c r="W1458">
        <v>1</v>
      </c>
      <c r="X1458">
        <v>2.0788078699999999</v>
      </c>
      <c r="Y1458" t="s">
        <v>9546</v>
      </c>
      <c r="Z1458" t="s">
        <v>9548</v>
      </c>
      <c r="AA1458" t="s">
        <v>9549</v>
      </c>
      <c r="AB1458" t="s">
        <v>1278</v>
      </c>
      <c r="AC1458" t="s">
        <v>9550</v>
      </c>
      <c r="AE1458">
        <v>1</v>
      </c>
      <c r="AH1458" t="s">
        <v>33</v>
      </c>
      <c r="AI1458" s="8">
        <v>45936.587187500001</v>
      </c>
      <c r="AK1458" t="s">
        <v>2719</v>
      </c>
      <c r="AL1458" t="s">
        <v>2719</v>
      </c>
      <c r="AO1458" t="s">
        <v>2388</v>
      </c>
      <c r="AP1458" t="s">
        <v>2401</v>
      </c>
    </row>
    <row r="1459" spans="1:42">
      <c r="A1459" t="s">
        <v>7118</v>
      </c>
      <c r="B1459" t="s">
        <v>2389</v>
      </c>
      <c r="C1459" t="s">
        <v>2438</v>
      </c>
      <c r="D1459" t="s">
        <v>2379</v>
      </c>
      <c r="E1459" t="s">
        <v>18</v>
      </c>
      <c r="F1459" t="s">
        <v>2578</v>
      </c>
      <c r="G1459" t="s">
        <v>2416</v>
      </c>
      <c r="H1459" t="b">
        <v>1</v>
      </c>
      <c r="I1459" s="8">
        <v>45932.527569444443</v>
      </c>
      <c r="J1459" t="s">
        <v>2380</v>
      </c>
      <c r="K1459">
        <v>1199912</v>
      </c>
      <c r="L1459">
        <v>602145</v>
      </c>
      <c r="M1459" t="s">
        <v>2381</v>
      </c>
      <c r="Q1459" t="s">
        <v>2383</v>
      </c>
      <c r="R1459">
        <v>1</v>
      </c>
      <c r="S1459" t="s">
        <v>2380</v>
      </c>
      <c r="T1459" t="s">
        <v>2383</v>
      </c>
      <c r="U1459" s="8">
        <v>45932</v>
      </c>
      <c r="V1459" s="8">
        <v>45936.958333333336</v>
      </c>
      <c r="W1459">
        <v>1</v>
      </c>
      <c r="X1459">
        <v>0.52756944400000005</v>
      </c>
      <c r="Y1459" t="s">
        <v>2579</v>
      </c>
      <c r="Z1459" t="s">
        <v>7119</v>
      </c>
      <c r="AA1459" t="s">
        <v>6930</v>
      </c>
      <c r="AB1459" t="s">
        <v>1278</v>
      </c>
      <c r="AC1459" t="s">
        <v>7120</v>
      </c>
      <c r="AD1459" t="s">
        <v>2708</v>
      </c>
      <c r="AE1459">
        <v>1</v>
      </c>
      <c r="AO1459" t="s">
        <v>2388</v>
      </c>
      <c r="AP1459" t="s">
        <v>2401</v>
      </c>
    </row>
    <row r="1460" spans="1:42">
      <c r="A1460" t="s">
        <v>3779</v>
      </c>
      <c r="B1460" t="s">
        <v>2377</v>
      </c>
      <c r="C1460" t="s">
        <v>2415</v>
      </c>
      <c r="D1460" t="s">
        <v>2379</v>
      </c>
      <c r="E1460" t="s">
        <v>307</v>
      </c>
      <c r="F1460" t="s">
        <v>3747</v>
      </c>
      <c r="G1460" t="s">
        <v>307</v>
      </c>
      <c r="H1460" t="b">
        <v>1</v>
      </c>
      <c r="I1460" s="8">
        <v>45935.579687500001</v>
      </c>
      <c r="J1460" t="s">
        <v>2380</v>
      </c>
      <c r="L1460">
        <v>606811</v>
      </c>
      <c r="M1460" t="s">
        <v>2381</v>
      </c>
      <c r="P1460" t="s">
        <v>2394</v>
      </c>
      <c r="Q1460" t="s">
        <v>2383</v>
      </c>
      <c r="R1460">
        <v>1</v>
      </c>
      <c r="S1460" t="s">
        <v>2380</v>
      </c>
      <c r="T1460" t="s">
        <v>2383</v>
      </c>
      <c r="U1460" s="8">
        <v>45932.510393518518</v>
      </c>
      <c r="V1460" s="8">
        <v>45937.958333333336</v>
      </c>
      <c r="W1460">
        <v>1</v>
      </c>
      <c r="X1460">
        <v>1.0692939809999999</v>
      </c>
      <c r="Y1460" t="s">
        <v>3748</v>
      </c>
      <c r="Z1460" t="s">
        <v>3780</v>
      </c>
      <c r="AA1460" t="s">
        <v>3781</v>
      </c>
      <c r="AB1460" t="s">
        <v>1278</v>
      </c>
      <c r="AC1460" t="s">
        <v>2333</v>
      </c>
      <c r="AE1460">
        <v>1</v>
      </c>
      <c r="AO1460" t="s">
        <v>2712</v>
      </c>
      <c r="AP1460" t="s">
        <v>2401</v>
      </c>
    </row>
    <row r="1461" spans="1:42">
      <c r="A1461" t="s">
        <v>2834</v>
      </c>
      <c r="B1461" t="s">
        <v>2389</v>
      </c>
      <c r="C1461" t="s">
        <v>2390</v>
      </c>
      <c r="D1461" t="s">
        <v>2379</v>
      </c>
      <c r="E1461" t="s">
        <v>2452</v>
      </c>
      <c r="F1461" t="s">
        <v>2779</v>
      </c>
      <c r="G1461" t="s">
        <v>2452</v>
      </c>
      <c r="H1461" t="b">
        <v>1</v>
      </c>
      <c r="I1461" s="8">
        <v>45934.702800925923</v>
      </c>
      <c r="J1461" t="s">
        <v>2380</v>
      </c>
      <c r="L1461">
        <v>603483</v>
      </c>
      <c r="M1461" t="s">
        <v>2381</v>
      </c>
      <c r="P1461" t="s">
        <v>2394</v>
      </c>
      <c r="Q1461" t="s">
        <v>2383</v>
      </c>
      <c r="R1461">
        <v>1</v>
      </c>
      <c r="S1461" t="s">
        <v>2380</v>
      </c>
      <c r="T1461" t="s">
        <v>2383</v>
      </c>
      <c r="U1461" s="8">
        <v>45932.513287037036</v>
      </c>
      <c r="V1461" s="8">
        <v>45937.958333333336</v>
      </c>
      <c r="W1461">
        <v>1</v>
      </c>
      <c r="X1461">
        <v>2.1895138890000001</v>
      </c>
      <c r="Y1461" t="s">
        <v>1352</v>
      </c>
      <c r="Z1461" t="s">
        <v>2835</v>
      </c>
      <c r="AA1461" t="s">
        <v>2198</v>
      </c>
      <c r="AB1461" t="s">
        <v>1278</v>
      </c>
      <c r="AC1461" t="s">
        <v>2836</v>
      </c>
      <c r="AE1461">
        <v>1</v>
      </c>
      <c r="AO1461" t="s">
        <v>2408</v>
      </c>
      <c r="AP1461" t="s">
        <v>2401</v>
      </c>
    </row>
    <row r="1462" spans="1:42">
      <c r="A1462" t="s">
        <v>7003</v>
      </c>
      <c r="B1462" t="s">
        <v>2389</v>
      </c>
      <c r="C1462" t="s">
        <v>2390</v>
      </c>
      <c r="D1462" t="s">
        <v>2379</v>
      </c>
      <c r="E1462" t="s">
        <v>2452</v>
      </c>
      <c r="F1462" t="s">
        <v>2627</v>
      </c>
      <c r="G1462" t="s">
        <v>2452</v>
      </c>
      <c r="H1462" t="b">
        <v>1</v>
      </c>
      <c r="I1462" s="8">
        <v>45937.376192129632</v>
      </c>
      <c r="J1462" t="s">
        <v>2380</v>
      </c>
      <c r="K1462">
        <v>1200431</v>
      </c>
      <c r="L1462">
        <v>602997</v>
      </c>
      <c r="M1462" t="s">
        <v>2381</v>
      </c>
      <c r="P1462" t="s">
        <v>2394</v>
      </c>
      <c r="Q1462" t="s">
        <v>2383</v>
      </c>
      <c r="R1462">
        <v>1</v>
      </c>
      <c r="S1462" t="s">
        <v>2380</v>
      </c>
      <c r="T1462" t="s">
        <v>2383</v>
      </c>
      <c r="U1462" s="8">
        <v>45932.521006944444</v>
      </c>
      <c r="V1462" s="8">
        <v>45937.958333333336</v>
      </c>
      <c r="W1462">
        <v>1</v>
      </c>
      <c r="X1462">
        <v>2.8551851849999998</v>
      </c>
      <c r="Y1462" t="s">
        <v>2628</v>
      </c>
      <c r="Z1462" t="s">
        <v>7004</v>
      </c>
      <c r="AA1462" t="s">
        <v>2631</v>
      </c>
      <c r="AB1462" t="s">
        <v>1278</v>
      </c>
      <c r="AC1462" t="s">
        <v>7005</v>
      </c>
      <c r="AD1462" t="s">
        <v>2708</v>
      </c>
      <c r="AE1462">
        <v>1</v>
      </c>
      <c r="AO1462" t="s">
        <v>2388</v>
      </c>
      <c r="AP1462" t="s">
        <v>2401</v>
      </c>
    </row>
    <row r="1463" spans="1:42">
      <c r="A1463" t="s">
        <v>5372</v>
      </c>
      <c r="B1463" t="s">
        <v>2389</v>
      </c>
      <c r="C1463" t="s">
        <v>2691</v>
      </c>
      <c r="D1463" t="s">
        <v>2379</v>
      </c>
      <c r="E1463" t="s">
        <v>2452</v>
      </c>
      <c r="F1463" t="s">
        <v>2409</v>
      </c>
      <c r="G1463" t="s">
        <v>2452</v>
      </c>
      <c r="H1463" t="b">
        <v>1</v>
      </c>
      <c r="I1463" s="8">
        <v>45944.426898148151</v>
      </c>
      <c r="J1463" t="s">
        <v>2380</v>
      </c>
      <c r="K1463">
        <v>1200382</v>
      </c>
      <c r="L1463">
        <v>609379</v>
      </c>
      <c r="M1463" t="s">
        <v>2381</v>
      </c>
      <c r="P1463" t="s">
        <v>2427</v>
      </c>
      <c r="Q1463" t="s">
        <v>2383</v>
      </c>
      <c r="R1463">
        <v>1</v>
      </c>
      <c r="S1463" t="s">
        <v>2380</v>
      </c>
      <c r="T1463" t="s">
        <v>2383</v>
      </c>
      <c r="U1463" s="8">
        <v>45932.537418981483</v>
      </c>
      <c r="V1463" s="8">
        <v>45944.958333333336</v>
      </c>
      <c r="W1463">
        <v>1</v>
      </c>
      <c r="X1463">
        <v>7.8894791670000002</v>
      </c>
      <c r="Y1463" t="s">
        <v>2410</v>
      </c>
      <c r="Z1463" t="s">
        <v>5373</v>
      </c>
      <c r="AA1463" t="s">
        <v>5374</v>
      </c>
      <c r="AB1463" t="s">
        <v>1278</v>
      </c>
      <c r="AC1463" t="s">
        <v>5375</v>
      </c>
      <c r="AD1463" t="s">
        <v>2708</v>
      </c>
      <c r="AE1463">
        <v>1</v>
      </c>
      <c r="AO1463" t="s">
        <v>2408</v>
      </c>
      <c r="AP1463" t="s">
        <v>2401</v>
      </c>
    </row>
    <row r="1464" spans="1:42">
      <c r="A1464" t="s">
        <v>751</v>
      </c>
      <c r="B1464" t="s">
        <v>2377</v>
      </c>
      <c r="C1464" t="s">
        <v>2443</v>
      </c>
      <c r="D1464" t="s">
        <v>2443</v>
      </c>
      <c r="E1464" t="s">
        <v>18</v>
      </c>
      <c r="F1464" t="s">
        <v>2578</v>
      </c>
      <c r="G1464" t="s">
        <v>2416</v>
      </c>
      <c r="H1464" t="b">
        <v>1</v>
      </c>
      <c r="I1464" s="8">
        <v>45932.550567129627</v>
      </c>
      <c r="J1464" t="s">
        <v>2380</v>
      </c>
      <c r="L1464">
        <v>602943</v>
      </c>
      <c r="M1464" t="s">
        <v>2381</v>
      </c>
      <c r="Q1464" t="s">
        <v>2383</v>
      </c>
      <c r="R1464">
        <v>1</v>
      </c>
      <c r="S1464" t="s">
        <v>2380</v>
      </c>
      <c r="T1464" t="s">
        <v>2383</v>
      </c>
      <c r="U1464" s="8">
        <v>45929</v>
      </c>
      <c r="V1464" s="8">
        <v>45931.958333333336</v>
      </c>
      <c r="W1464">
        <v>1</v>
      </c>
      <c r="X1464">
        <v>3.5505671300000001</v>
      </c>
      <c r="Y1464" t="s">
        <v>2579</v>
      </c>
      <c r="Z1464" t="s">
        <v>6573</v>
      </c>
      <c r="AA1464" t="s">
        <v>2220</v>
      </c>
      <c r="AB1464" t="s">
        <v>1278</v>
      </c>
      <c r="AC1464" t="s">
        <v>6574</v>
      </c>
      <c r="AD1464" t="s">
        <v>2708</v>
      </c>
      <c r="AE1464">
        <v>1</v>
      </c>
      <c r="AO1464" t="s">
        <v>2388</v>
      </c>
      <c r="AP1464" t="s">
        <v>2401</v>
      </c>
    </row>
    <row r="1465" spans="1:42">
      <c r="A1465" t="s">
        <v>7651</v>
      </c>
      <c r="B1465" t="s">
        <v>2389</v>
      </c>
      <c r="C1465" t="s">
        <v>2691</v>
      </c>
      <c r="D1465" t="s">
        <v>2379</v>
      </c>
      <c r="E1465" t="s">
        <v>2452</v>
      </c>
      <c r="F1465" t="s">
        <v>4644</v>
      </c>
      <c r="G1465" t="s">
        <v>2452</v>
      </c>
      <c r="H1465" t="b">
        <v>1</v>
      </c>
      <c r="I1465" s="8">
        <v>45943.419791666667</v>
      </c>
      <c r="J1465" t="s">
        <v>2380</v>
      </c>
      <c r="K1465">
        <v>1201747</v>
      </c>
      <c r="L1465">
        <v>609737</v>
      </c>
      <c r="M1465" t="s">
        <v>2381</v>
      </c>
      <c r="P1465" t="s">
        <v>2394</v>
      </c>
      <c r="Q1465" t="s">
        <v>2383</v>
      </c>
      <c r="R1465">
        <v>1</v>
      </c>
      <c r="S1465" t="s">
        <v>2380</v>
      </c>
      <c r="T1465" t="s">
        <v>2383</v>
      </c>
      <c r="U1465" s="8">
        <v>45932.541446759256</v>
      </c>
      <c r="V1465" s="8">
        <v>45945.958333333336</v>
      </c>
      <c r="W1465">
        <v>1</v>
      </c>
      <c r="X1465">
        <v>6.8783449069999998</v>
      </c>
      <c r="Y1465" t="s">
        <v>3578</v>
      </c>
      <c r="Z1465" t="s">
        <v>7652</v>
      </c>
      <c r="AA1465" t="s">
        <v>7653</v>
      </c>
      <c r="AB1465" t="s">
        <v>1278</v>
      </c>
      <c r="AC1465" t="s">
        <v>7654</v>
      </c>
      <c r="AD1465" t="s">
        <v>2708</v>
      </c>
      <c r="AE1465">
        <v>1</v>
      </c>
      <c r="AO1465" t="s">
        <v>2957</v>
      </c>
      <c r="AP1465" t="s">
        <v>2401</v>
      </c>
    </row>
    <row r="1466" spans="1:42">
      <c r="A1466" t="s">
        <v>3587</v>
      </c>
      <c r="B1466" t="s">
        <v>2377</v>
      </c>
      <c r="C1466" t="s">
        <v>2438</v>
      </c>
      <c r="D1466" t="s">
        <v>2379</v>
      </c>
      <c r="E1466" t="s">
        <v>2750</v>
      </c>
      <c r="F1466" t="s">
        <v>2627</v>
      </c>
      <c r="G1466" t="s">
        <v>24</v>
      </c>
      <c r="H1466" t="b">
        <v>1</v>
      </c>
      <c r="I1466" s="8">
        <v>45932.677025462966</v>
      </c>
      <c r="J1466" t="s">
        <v>2380</v>
      </c>
      <c r="L1466">
        <v>602686</v>
      </c>
      <c r="M1466" t="s">
        <v>2381</v>
      </c>
      <c r="Q1466" t="s">
        <v>2383</v>
      </c>
      <c r="R1466">
        <v>1</v>
      </c>
      <c r="S1466" t="s">
        <v>2380</v>
      </c>
      <c r="T1466" t="s">
        <v>2383</v>
      </c>
      <c r="U1466" s="8">
        <v>45932.544317129628</v>
      </c>
      <c r="V1466" s="8">
        <v>45937.958333333336</v>
      </c>
      <c r="W1466">
        <v>1</v>
      </c>
      <c r="X1466">
        <v>0.13270833300000001</v>
      </c>
      <c r="Y1466" t="s">
        <v>2628</v>
      </c>
      <c r="Z1466" t="s">
        <v>3588</v>
      </c>
      <c r="AA1466" t="s">
        <v>3585</v>
      </c>
      <c r="AB1466" t="s">
        <v>1278</v>
      </c>
      <c r="AE1466">
        <v>1</v>
      </c>
      <c r="AO1466" t="s">
        <v>3586</v>
      </c>
      <c r="AP1466" t="s">
        <v>2401</v>
      </c>
    </row>
    <row r="1467" spans="1:42">
      <c r="A1467" t="s">
        <v>3583</v>
      </c>
      <c r="B1467" t="s">
        <v>2377</v>
      </c>
      <c r="C1467" t="s">
        <v>2438</v>
      </c>
      <c r="D1467" t="s">
        <v>2379</v>
      </c>
      <c r="E1467" t="s">
        <v>24</v>
      </c>
      <c r="F1467" t="s">
        <v>2627</v>
      </c>
      <c r="G1467" t="s">
        <v>24</v>
      </c>
      <c r="H1467" t="b">
        <v>1</v>
      </c>
      <c r="I1467" s="8">
        <v>45932.642604166664</v>
      </c>
      <c r="J1467" t="s">
        <v>2380</v>
      </c>
      <c r="L1467">
        <v>602686</v>
      </c>
      <c r="M1467" t="s">
        <v>2381</v>
      </c>
      <c r="Q1467" t="s">
        <v>2383</v>
      </c>
      <c r="R1467">
        <v>1</v>
      </c>
      <c r="S1467" t="s">
        <v>2380</v>
      </c>
      <c r="T1467" t="s">
        <v>2383</v>
      </c>
      <c r="U1467" s="8">
        <v>45932.544317129628</v>
      </c>
      <c r="V1467" s="8">
        <v>45937.958333333336</v>
      </c>
      <c r="W1467">
        <v>1</v>
      </c>
      <c r="X1467">
        <v>9.8287036999999994E-2</v>
      </c>
      <c r="Y1467" t="s">
        <v>2628</v>
      </c>
      <c r="Z1467" t="s">
        <v>3584</v>
      </c>
      <c r="AA1467" t="s">
        <v>3585</v>
      </c>
      <c r="AB1467" t="s">
        <v>1278</v>
      </c>
      <c r="AE1467">
        <v>1</v>
      </c>
      <c r="AO1467" t="s">
        <v>3586</v>
      </c>
      <c r="AP1467" t="s">
        <v>2401</v>
      </c>
    </row>
    <row r="1468" spans="1:42">
      <c r="A1468" t="s">
        <v>4286</v>
      </c>
      <c r="B1468" t="s">
        <v>2389</v>
      </c>
      <c r="C1468" t="s">
        <v>2390</v>
      </c>
      <c r="D1468" t="s">
        <v>2379</v>
      </c>
      <c r="E1468" t="s">
        <v>33</v>
      </c>
      <c r="F1468" t="s">
        <v>2779</v>
      </c>
      <c r="G1468" t="s">
        <v>33</v>
      </c>
      <c r="H1468" t="b">
        <v>1</v>
      </c>
      <c r="I1468" s="8">
        <v>45937.433310185188</v>
      </c>
      <c r="J1468" t="s">
        <v>2380</v>
      </c>
      <c r="K1468">
        <v>1200444</v>
      </c>
      <c r="L1468">
        <v>603817</v>
      </c>
      <c r="M1468" t="s">
        <v>2381</v>
      </c>
      <c r="P1468" t="s">
        <v>2394</v>
      </c>
      <c r="Q1468" t="s">
        <v>2383</v>
      </c>
      <c r="R1468">
        <v>1</v>
      </c>
      <c r="S1468" t="s">
        <v>2380</v>
      </c>
      <c r="T1468" t="s">
        <v>2383</v>
      </c>
      <c r="U1468" s="8">
        <v>45932.569537037038</v>
      </c>
      <c r="V1468" s="8">
        <v>45937.958333333336</v>
      </c>
      <c r="W1468">
        <v>1</v>
      </c>
      <c r="X1468">
        <v>2.8637731479999999</v>
      </c>
      <c r="Y1468" t="s">
        <v>1352</v>
      </c>
      <c r="Z1468" t="s">
        <v>4287</v>
      </c>
      <c r="AA1468" t="s">
        <v>2981</v>
      </c>
      <c r="AB1468" t="s">
        <v>1278</v>
      </c>
      <c r="AC1468" t="s">
        <v>4288</v>
      </c>
      <c r="AD1468" t="s">
        <v>2708</v>
      </c>
      <c r="AE1468">
        <v>1</v>
      </c>
      <c r="AO1468" t="s">
        <v>2408</v>
      </c>
      <c r="AP1468" t="s">
        <v>2401</v>
      </c>
    </row>
    <row r="1469" spans="1:42">
      <c r="A1469" t="s">
        <v>7688</v>
      </c>
      <c r="B1469" t="s">
        <v>2389</v>
      </c>
      <c r="C1469" t="s">
        <v>2390</v>
      </c>
      <c r="D1469" t="s">
        <v>2379</v>
      </c>
      <c r="E1469" t="s">
        <v>2452</v>
      </c>
      <c r="F1469" t="s">
        <v>7686</v>
      </c>
      <c r="G1469" t="s">
        <v>2452</v>
      </c>
      <c r="H1469" t="b">
        <v>1</v>
      </c>
      <c r="I1469" s="8">
        <v>45936.625243055554</v>
      </c>
      <c r="J1469" t="s">
        <v>2380</v>
      </c>
      <c r="K1469">
        <v>1200366</v>
      </c>
      <c r="L1469">
        <v>602469</v>
      </c>
      <c r="M1469" t="s">
        <v>2381</v>
      </c>
      <c r="P1469" t="s">
        <v>2394</v>
      </c>
      <c r="Q1469" t="s">
        <v>2383</v>
      </c>
      <c r="R1469">
        <v>1</v>
      </c>
      <c r="S1469" t="s">
        <v>2380</v>
      </c>
      <c r="T1469" t="s">
        <v>2383</v>
      </c>
      <c r="U1469" s="8">
        <v>45932.580671296295</v>
      </c>
      <c r="V1469" s="8">
        <v>45939.958333333336</v>
      </c>
      <c r="W1469">
        <v>1</v>
      </c>
      <c r="X1469">
        <v>2.0445717590000001</v>
      </c>
      <c r="Y1469" t="s">
        <v>7687</v>
      </c>
      <c r="Z1469" t="s">
        <v>7689</v>
      </c>
      <c r="AA1469" t="s">
        <v>7690</v>
      </c>
      <c r="AB1469" t="s">
        <v>1278</v>
      </c>
      <c r="AC1469" t="s">
        <v>7691</v>
      </c>
      <c r="AD1469" t="s">
        <v>2708</v>
      </c>
      <c r="AE1469">
        <v>1</v>
      </c>
      <c r="AO1469" t="s">
        <v>2957</v>
      </c>
      <c r="AP1469" t="s">
        <v>2401</v>
      </c>
    </row>
    <row r="1470" spans="1:42">
      <c r="A1470" t="s">
        <v>10041</v>
      </c>
      <c r="B1470" t="s">
        <v>2389</v>
      </c>
      <c r="C1470" t="s">
        <v>2438</v>
      </c>
      <c r="D1470" t="s">
        <v>2379</v>
      </c>
      <c r="E1470" t="s">
        <v>2452</v>
      </c>
      <c r="F1470" t="s">
        <v>3261</v>
      </c>
      <c r="G1470" t="s">
        <v>2452</v>
      </c>
      <c r="H1470" t="b">
        <v>1</v>
      </c>
      <c r="I1470" s="8">
        <v>45932.600624999999</v>
      </c>
      <c r="J1470" t="s">
        <v>2380</v>
      </c>
      <c r="L1470">
        <v>601636</v>
      </c>
      <c r="M1470" t="s">
        <v>2381</v>
      </c>
      <c r="Q1470" t="s">
        <v>2383</v>
      </c>
      <c r="R1470">
        <v>1</v>
      </c>
      <c r="S1470" t="s">
        <v>2380</v>
      </c>
      <c r="T1470" t="s">
        <v>2383</v>
      </c>
      <c r="U1470" s="8">
        <v>45932.588553240741</v>
      </c>
      <c r="V1470" s="8">
        <v>45937.958333333336</v>
      </c>
      <c r="W1470">
        <v>1</v>
      </c>
      <c r="X1470">
        <v>1.2071759E-2</v>
      </c>
      <c r="Y1470" t="s">
        <v>3262</v>
      </c>
      <c r="Z1470" t="s">
        <v>10042</v>
      </c>
      <c r="AA1470" t="s">
        <v>2317</v>
      </c>
      <c r="AB1470" t="s">
        <v>1278</v>
      </c>
      <c r="AC1470" t="s">
        <v>10043</v>
      </c>
      <c r="AE1470">
        <v>1</v>
      </c>
      <c r="AO1470" t="s">
        <v>2957</v>
      </c>
      <c r="AP1470" t="s">
        <v>2401</v>
      </c>
    </row>
    <row r="1471" spans="1:42">
      <c r="A1471" t="s">
        <v>10044</v>
      </c>
      <c r="B1471" t="s">
        <v>2389</v>
      </c>
      <c r="C1471" t="s">
        <v>2438</v>
      </c>
      <c r="D1471" t="s">
        <v>2379</v>
      </c>
      <c r="E1471" t="s">
        <v>2452</v>
      </c>
      <c r="F1471" t="s">
        <v>3261</v>
      </c>
      <c r="G1471" t="s">
        <v>2452</v>
      </c>
      <c r="H1471" t="b">
        <v>1</v>
      </c>
      <c r="I1471" s="8">
        <v>45932.630578703705</v>
      </c>
      <c r="J1471" t="s">
        <v>2380</v>
      </c>
      <c r="L1471">
        <v>601636</v>
      </c>
      <c r="M1471" t="s">
        <v>2381</v>
      </c>
      <c r="Q1471" t="s">
        <v>2383</v>
      </c>
      <c r="R1471">
        <v>1</v>
      </c>
      <c r="S1471" t="s">
        <v>2380</v>
      </c>
      <c r="T1471" t="s">
        <v>2383</v>
      </c>
      <c r="U1471" s="8">
        <v>45932.588923611111</v>
      </c>
      <c r="V1471" s="8">
        <v>45937.958333333336</v>
      </c>
      <c r="W1471">
        <v>1</v>
      </c>
      <c r="X1471">
        <v>4.1655092999999997E-2</v>
      </c>
      <c r="Y1471" t="s">
        <v>3262</v>
      </c>
      <c r="Z1471" t="s">
        <v>10045</v>
      </c>
      <c r="AA1471" t="s">
        <v>2317</v>
      </c>
      <c r="AB1471" t="s">
        <v>1278</v>
      </c>
      <c r="AC1471" t="s">
        <v>10046</v>
      </c>
      <c r="AE1471">
        <v>1</v>
      </c>
      <c r="AO1471" t="s">
        <v>2957</v>
      </c>
      <c r="AP1471" t="s">
        <v>2401</v>
      </c>
    </row>
    <row r="1472" spans="1:42">
      <c r="A1472" t="s">
        <v>10047</v>
      </c>
      <c r="B1472" t="s">
        <v>2389</v>
      </c>
      <c r="C1472" t="s">
        <v>2438</v>
      </c>
      <c r="D1472" t="s">
        <v>2379</v>
      </c>
      <c r="E1472" t="s">
        <v>2452</v>
      </c>
      <c r="F1472" t="s">
        <v>3261</v>
      </c>
      <c r="G1472" t="s">
        <v>2452</v>
      </c>
      <c r="H1472" t="b">
        <v>1</v>
      </c>
      <c r="I1472" s="8">
        <v>45932.602361111109</v>
      </c>
      <c r="J1472" t="s">
        <v>2380</v>
      </c>
      <c r="L1472">
        <v>601636</v>
      </c>
      <c r="M1472" t="s">
        <v>2381</v>
      </c>
      <c r="Q1472" t="s">
        <v>2383</v>
      </c>
      <c r="R1472">
        <v>1</v>
      </c>
      <c r="S1472" t="s">
        <v>2380</v>
      </c>
      <c r="T1472" t="s">
        <v>2383</v>
      </c>
      <c r="U1472" s="8">
        <v>45932.589363425926</v>
      </c>
      <c r="V1472" s="8">
        <v>45937.958333333336</v>
      </c>
      <c r="W1472">
        <v>1</v>
      </c>
      <c r="X1472">
        <v>1.2997685E-2</v>
      </c>
      <c r="Y1472" t="s">
        <v>3262</v>
      </c>
      <c r="Z1472" t="s">
        <v>10048</v>
      </c>
      <c r="AA1472" t="s">
        <v>2317</v>
      </c>
      <c r="AB1472" t="s">
        <v>1278</v>
      </c>
      <c r="AC1472" t="s">
        <v>10049</v>
      </c>
      <c r="AE1472">
        <v>1</v>
      </c>
      <c r="AO1472" t="s">
        <v>2957</v>
      </c>
      <c r="AP1472" t="s">
        <v>2401</v>
      </c>
    </row>
    <row r="1473" spans="1:42">
      <c r="A1473" t="s">
        <v>1152</v>
      </c>
      <c r="B1473" t="s">
        <v>2377</v>
      </c>
      <c r="C1473" t="s">
        <v>2691</v>
      </c>
      <c r="D1473" t="s">
        <v>2379</v>
      </c>
      <c r="E1473" t="s">
        <v>2416</v>
      </c>
      <c r="G1473" t="s">
        <v>2416</v>
      </c>
      <c r="H1473" t="b">
        <v>1</v>
      </c>
      <c r="I1473" s="8">
        <v>45959.407060185185</v>
      </c>
      <c r="J1473" t="s">
        <v>2380</v>
      </c>
      <c r="L1473">
        <v>602843</v>
      </c>
      <c r="M1473" t="s">
        <v>2381</v>
      </c>
      <c r="Q1473" t="s">
        <v>2383</v>
      </c>
      <c r="R1473">
        <v>1</v>
      </c>
      <c r="S1473" t="s">
        <v>2380</v>
      </c>
      <c r="T1473" t="s">
        <v>2383</v>
      </c>
      <c r="U1473" s="8">
        <v>45932.594155092593</v>
      </c>
      <c r="V1473" s="8">
        <v>45960.958333333336</v>
      </c>
      <c r="W1473">
        <v>1</v>
      </c>
      <c r="X1473">
        <v>18.812905093000001</v>
      </c>
      <c r="Z1473" t="s">
        <v>2692</v>
      </c>
      <c r="AA1473" t="s">
        <v>261</v>
      </c>
      <c r="AB1473" t="s">
        <v>1278</v>
      </c>
      <c r="AC1473" t="s">
        <v>2693</v>
      </c>
      <c r="AE1473">
        <v>1</v>
      </c>
    </row>
    <row r="1474" spans="1:42">
      <c r="A1474" t="s">
        <v>3199</v>
      </c>
      <c r="B1474" t="s">
        <v>2377</v>
      </c>
      <c r="C1474" t="s">
        <v>2443</v>
      </c>
      <c r="D1474" t="s">
        <v>2443</v>
      </c>
      <c r="E1474" t="s">
        <v>25</v>
      </c>
      <c r="F1474" t="s">
        <v>2588</v>
      </c>
      <c r="G1474" t="s">
        <v>25</v>
      </c>
      <c r="H1474" t="b">
        <v>1</v>
      </c>
      <c r="I1474" s="8">
        <v>45932.656782407408</v>
      </c>
      <c r="J1474" t="s">
        <v>2380</v>
      </c>
      <c r="L1474">
        <v>601221</v>
      </c>
      <c r="M1474" t="s">
        <v>2381</v>
      </c>
      <c r="Q1474" t="s">
        <v>2383</v>
      </c>
      <c r="R1474">
        <v>1</v>
      </c>
      <c r="S1474" t="s">
        <v>2380</v>
      </c>
      <c r="T1474" t="s">
        <v>2383</v>
      </c>
      <c r="U1474" s="8">
        <v>45929</v>
      </c>
      <c r="V1474" s="8">
        <v>45931.958333333336</v>
      </c>
      <c r="W1474">
        <v>1</v>
      </c>
      <c r="X1474">
        <v>3.6567824070000001</v>
      </c>
      <c r="Y1474" t="s">
        <v>2579</v>
      </c>
      <c r="Z1474" t="s">
        <v>3200</v>
      </c>
      <c r="AA1474" t="s">
        <v>3201</v>
      </c>
      <c r="AB1474" t="s">
        <v>1278</v>
      </c>
      <c r="AC1474" t="s">
        <v>3202</v>
      </c>
      <c r="AE1474">
        <v>1</v>
      </c>
      <c r="AO1474" t="s">
        <v>2388</v>
      </c>
      <c r="AP1474" t="s">
        <v>2401</v>
      </c>
    </row>
    <row r="1475" spans="1:42">
      <c r="A1475" t="s">
        <v>9732</v>
      </c>
      <c r="B1475" t="s">
        <v>2389</v>
      </c>
      <c r="C1475" t="s">
        <v>2438</v>
      </c>
      <c r="D1475" t="s">
        <v>2379</v>
      </c>
      <c r="E1475" t="s">
        <v>25</v>
      </c>
      <c r="F1475" t="s">
        <v>2578</v>
      </c>
      <c r="G1475" t="s">
        <v>25</v>
      </c>
      <c r="H1475" t="b">
        <v>1</v>
      </c>
      <c r="I1475" s="8">
        <v>45932.652129629627</v>
      </c>
      <c r="J1475" t="s">
        <v>2380</v>
      </c>
      <c r="K1475">
        <v>1199988</v>
      </c>
      <c r="L1475">
        <v>602429</v>
      </c>
      <c r="M1475" t="s">
        <v>2381</v>
      </c>
      <c r="N1475">
        <v>5</v>
      </c>
      <c r="Q1475" t="s">
        <v>2383</v>
      </c>
      <c r="R1475">
        <v>1</v>
      </c>
      <c r="S1475" t="s">
        <v>2380</v>
      </c>
      <c r="T1475" t="s">
        <v>2383</v>
      </c>
      <c r="U1475" s="8">
        <v>45932.637592592589</v>
      </c>
      <c r="V1475" s="8">
        <v>45937.958333333336</v>
      </c>
      <c r="W1475">
        <v>1</v>
      </c>
      <c r="X1475">
        <v>1.4537036999999999E-2</v>
      </c>
      <c r="Y1475" t="s">
        <v>2579</v>
      </c>
      <c r="Z1475" t="s">
        <v>9733</v>
      </c>
      <c r="AA1475" t="s">
        <v>3606</v>
      </c>
      <c r="AB1475" t="s">
        <v>1278</v>
      </c>
      <c r="AC1475" t="s">
        <v>9734</v>
      </c>
      <c r="AD1475" t="s">
        <v>2708</v>
      </c>
      <c r="AE1475">
        <v>1</v>
      </c>
      <c r="AO1475" t="s">
        <v>3608</v>
      </c>
      <c r="AP1475" t="s">
        <v>2401</v>
      </c>
    </row>
    <row r="1476" spans="1:42">
      <c r="A1476" t="s">
        <v>3731</v>
      </c>
      <c r="B1476" t="s">
        <v>2377</v>
      </c>
      <c r="C1476" t="s">
        <v>2415</v>
      </c>
      <c r="D1476" t="s">
        <v>2379</v>
      </c>
      <c r="E1476" t="s">
        <v>12</v>
      </c>
      <c r="F1476" t="s">
        <v>2578</v>
      </c>
      <c r="G1476" t="s">
        <v>12</v>
      </c>
      <c r="H1476" t="b">
        <v>1</v>
      </c>
      <c r="I1476" s="8">
        <v>45936.521122685182</v>
      </c>
      <c r="J1476" t="s">
        <v>2380</v>
      </c>
      <c r="L1476">
        <v>609862</v>
      </c>
      <c r="M1476" t="s">
        <v>2381</v>
      </c>
      <c r="P1476" t="s">
        <v>2394</v>
      </c>
      <c r="Q1476" t="s">
        <v>2383</v>
      </c>
      <c r="R1476">
        <v>1</v>
      </c>
      <c r="S1476" t="s">
        <v>2380</v>
      </c>
      <c r="T1476" t="s">
        <v>2383</v>
      </c>
      <c r="U1476" s="8">
        <v>45932.648865740739</v>
      </c>
      <c r="V1476" s="8">
        <v>45937.958333333336</v>
      </c>
      <c r="W1476">
        <v>1</v>
      </c>
      <c r="X1476">
        <v>1.8722569440000001</v>
      </c>
      <c r="Y1476" t="s">
        <v>2579</v>
      </c>
      <c r="Z1476" t="s">
        <v>3732</v>
      </c>
      <c r="AA1476" t="s">
        <v>3733</v>
      </c>
      <c r="AB1476" t="s">
        <v>1278</v>
      </c>
      <c r="AC1476" t="s">
        <v>3734</v>
      </c>
      <c r="AE1476">
        <v>1</v>
      </c>
      <c r="AO1476" t="s">
        <v>2720</v>
      </c>
      <c r="AP1476" t="s">
        <v>2401</v>
      </c>
    </row>
    <row r="1477" spans="1:42">
      <c r="A1477" t="s">
        <v>2904</v>
      </c>
      <c r="B1477" t="s">
        <v>2389</v>
      </c>
      <c r="C1477" t="s">
        <v>2438</v>
      </c>
      <c r="D1477" t="s">
        <v>2379</v>
      </c>
      <c r="E1477" t="s">
        <v>307</v>
      </c>
      <c r="F1477" t="s">
        <v>2541</v>
      </c>
      <c r="G1477" t="s">
        <v>307</v>
      </c>
      <c r="H1477" t="b">
        <v>1</v>
      </c>
      <c r="I1477" s="8">
        <v>45935.538136574076</v>
      </c>
      <c r="J1477" t="s">
        <v>2380</v>
      </c>
      <c r="L1477">
        <v>608626</v>
      </c>
      <c r="M1477" t="s">
        <v>2381</v>
      </c>
      <c r="P1477" t="s">
        <v>2548</v>
      </c>
      <c r="Q1477" t="s">
        <v>2383</v>
      </c>
      <c r="R1477">
        <v>1</v>
      </c>
      <c r="S1477" t="s">
        <v>2380</v>
      </c>
      <c r="T1477" t="s">
        <v>2383</v>
      </c>
      <c r="U1477" s="8">
        <v>45932.649664351855</v>
      </c>
      <c r="V1477" s="8">
        <v>45937.958333333336</v>
      </c>
      <c r="W1477">
        <v>1</v>
      </c>
      <c r="X1477">
        <v>0.88847222199999998</v>
      </c>
      <c r="Y1477" t="s">
        <v>2542</v>
      </c>
      <c r="Z1477" t="s">
        <v>2905</v>
      </c>
      <c r="AA1477" t="s">
        <v>2551</v>
      </c>
      <c r="AB1477" t="s">
        <v>1278</v>
      </c>
      <c r="AC1477" t="s">
        <v>2800</v>
      </c>
      <c r="AE1477">
        <v>1</v>
      </c>
      <c r="AO1477" t="s">
        <v>2547</v>
      </c>
      <c r="AP1477" t="s">
        <v>2401</v>
      </c>
    </row>
    <row r="1478" spans="1:42">
      <c r="A1478" t="s">
        <v>5187</v>
      </c>
      <c r="B1478" t="s">
        <v>2389</v>
      </c>
      <c r="C1478" t="s">
        <v>2390</v>
      </c>
      <c r="D1478" t="s">
        <v>2379</v>
      </c>
      <c r="E1478" t="s">
        <v>33</v>
      </c>
      <c r="F1478" t="s">
        <v>2541</v>
      </c>
      <c r="G1478" t="s">
        <v>33</v>
      </c>
      <c r="H1478" t="b">
        <v>1</v>
      </c>
      <c r="I1478" s="8">
        <v>45937.455925925926</v>
      </c>
      <c r="J1478" t="s">
        <v>2380</v>
      </c>
      <c r="K1478">
        <v>1200203</v>
      </c>
      <c r="L1478">
        <v>608626</v>
      </c>
      <c r="M1478" t="s">
        <v>2381</v>
      </c>
      <c r="P1478" t="s">
        <v>2427</v>
      </c>
      <c r="Q1478" t="s">
        <v>2383</v>
      </c>
      <c r="R1478">
        <v>1</v>
      </c>
      <c r="S1478" t="s">
        <v>2380</v>
      </c>
      <c r="T1478" t="s">
        <v>2383</v>
      </c>
      <c r="U1478" s="8">
        <v>45932.657488425924</v>
      </c>
      <c r="V1478" s="8">
        <v>45937.958333333336</v>
      </c>
      <c r="W1478">
        <v>1</v>
      </c>
      <c r="X1478">
        <v>2.7984374999999999</v>
      </c>
      <c r="Y1478" t="s">
        <v>2542</v>
      </c>
      <c r="Z1478" t="s">
        <v>5188</v>
      </c>
      <c r="AA1478" t="s">
        <v>2551</v>
      </c>
      <c r="AB1478" t="s">
        <v>1278</v>
      </c>
      <c r="AC1478" t="s">
        <v>5189</v>
      </c>
      <c r="AD1478" t="s">
        <v>2708</v>
      </c>
      <c r="AE1478">
        <v>1</v>
      </c>
      <c r="AF1478">
        <v>2</v>
      </c>
      <c r="AH1478" t="s">
        <v>2723</v>
      </c>
      <c r="AI1478" s="8">
        <v>45937.392893518518</v>
      </c>
      <c r="AK1478" t="s">
        <v>2719</v>
      </c>
      <c r="AL1478" t="s">
        <v>5190</v>
      </c>
      <c r="AM1478" t="s">
        <v>5174</v>
      </c>
      <c r="AO1478" t="s">
        <v>2547</v>
      </c>
      <c r="AP1478" t="s">
        <v>2401</v>
      </c>
    </row>
    <row r="1479" spans="1:42">
      <c r="A1479" t="s">
        <v>5760</v>
      </c>
      <c r="B1479" t="s">
        <v>2389</v>
      </c>
      <c r="C1479" t="s">
        <v>2415</v>
      </c>
      <c r="D1479" t="s">
        <v>2379</v>
      </c>
      <c r="E1479" t="s">
        <v>33</v>
      </c>
      <c r="F1479" t="s">
        <v>2541</v>
      </c>
      <c r="G1479" t="s">
        <v>33</v>
      </c>
      <c r="H1479" t="b">
        <v>1</v>
      </c>
      <c r="I1479" s="8">
        <v>45934.488692129627</v>
      </c>
      <c r="J1479" t="s">
        <v>2380</v>
      </c>
      <c r="K1479">
        <v>1200204</v>
      </c>
      <c r="L1479">
        <v>608626</v>
      </c>
      <c r="M1479" t="s">
        <v>2381</v>
      </c>
      <c r="P1479" t="s">
        <v>2427</v>
      </c>
      <c r="Q1479" t="s">
        <v>2383</v>
      </c>
      <c r="R1479">
        <v>1</v>
      </c>
      <c r="S1479" t="s">
        <v>2380</v>
      </c>
      <c r="T1479" t="s">
        <v>2383</v>
      </c>
      <c r="U1479" s="8">
        <v>45932.657500000001</v>
      </c>
      <c r="V1479" s="8">
        <v>45937.958333333336</v>
      </c>
      <c r="W1479">
        <v>1</v>
      </c>
      <c r="X1479">
        <v>1.83119213</v>
      </c>
      <c r="Y1479" t="s">
        <v>2542</v>
      </c>
      <c r="Z1479" t="s">
        <v>5761</v>
      </c>
      <c r="AA1479" t="s">
        <v>2551</v>
      </c>
      <c r="AB1479" t="s">
        <v>1278</v>
      </c>
      <c r="AC1479" t="s">
        <v>5762</v>
      </c>
      <c r="AD1479" t="s">
        <v>2708</v>
      </c>
      <c r="AE1479">
        <v>1</v>
      </c>
      <c r="AO1479" t="s">
        <v>2547</v>
      </c>
      <c r="AP1479" t="s">
        <v>2401</v>
      </c>
    </row>
    <row r="1480" spans="1:42">
      <c r="A1480" t="s">
        <v>7034</v>
      </c>
      <c r="B1480" t="s">
        <v>2389</v>
      </c>
      <c r="C1480" t="s">
        <v>2390</v>
      </c>
      <c r="D1480" t="s">
        <v>2379</v>
      </c>
      <c r="E1480" t="s">
        <v>2452</v>
      </c>
      <c r="F1480" t="s">
        <v>4604</v>
      </c>
      <c r="G1480" t="s">
        <v>2452</v>
      </c>
      <c r="H1480" t="b">
        <v>1</v>
      </c>
      <c r="I1480" s="8">
        <v>45937.504062499997</v>
      </c>
      <c r="J1480" t="s">
        <v>2380</v>
      </c>
      <c r="K1480">
        <v>1200475</v>
      </c>
      <c r="L1480">
        <v>601482</v>
      </c>
      <c r="M1480" t="s">
        <v>2381</v>
      </c>
      <c r="P1480" t="s">
        <v>2394</v>
      </c>
      <c r="Q1480" t="s">
        <v>2383</v>
      </c>
      <c r="R1480">
        <v>1</v>
      </c>
      <c r="S1480" t="s">
        <v>2380</v>
      </c>
      <c r="T1480" t="s">
        <v>2383</v>
      </c>
      <c r="U1480" s="8">
        <v>45932.658182870371</v>
      </c>
      <c r="V1480" s="8">
        <v>45937.958333333336</v>
      </c>
      <c r="W1480">
        <v>1</v>
      </c>
      <c r="X1480">
        <v>2.8458796300000002</v>
      </c>
      <c r="Y1480" t="s">
        <v>4605</v>
      </c>
      <c r="Z1480" t="s">
        <v>7035</v>
      </c>
      <c r="AA1480" t="s">
        <v>7036</v>
      </c>
      <c r="AB1480" t="s">
        <v>1278</v>
      </c>
      <c r="AC1480" t="s">
        <v>7037</v>
      </c>
      <c r="AD1480" t="s">
        <v>2708</v>
      </c>
      <c r="AE1480">
        <v>1</v>
      </c>
      <c r="AO1480" t="s">
        <v>2388</v>
      </c>
      <c r="AP1480" t="s">
        <v>2401</v>
      </c>
    </row>
    <row r="1481" spans="1:42">
      <c r="A1481" t="s">
        <v>5763</v>
      </c>
      <c r="B1481" t="s">
        <v>2389</v>
      </c>
      <c r="C1481" t="s">
        <v>2415</v>
      </c>
      <c r="D1481" t="s">
        <v>2379</v>
      </c>
      <c r="E1481" t="s">
        <v>33</v>
      </c>
      <c r="F1481" t="s">
        <v>2541</v>
      </c>
      <c r="G1481" t="s">
        <v>33</v>
      </c>
      <c r="H1481" t="b">
        <v>1</v>
      </c>
      <c r="I1481" s="8">
        <v>45934.50409722222</v>
      </c>
      <c r="J1481" t="s">
        <v>2380</v>
      </c>
      <c r="K1481">
        <v>1200214</v>
      </c>
      <c r="L1481">
        <v>608626</v>
      </c>
      <c r="M1481" t="s">
        <v>2381</v>
      </c>
      <c r="P1481" t="s">
        <v>2427</v>
      </c>
      <c r="Q1481" t="s">
        <v>2383</v>
      </c>
      <c r="R1481">
        <v>1</v>
      </c>
      <c r="S1481" t="s">
        <v>2380</v>
      </c>
      <c r="T1481" t="s">
        <v>2383</v>
      </c>
      <c r="U1481" s="8">
        <v>45932.658182870371</v>
      </c>
      <c r="V1481" s="8">
        <v>45937.958333333336</v>
      </c>
      <c r="W1481">
        <v>1</v>
      </c>
      <c r="X1481">
        <v>1.8459143520000001</v>
      </c>
      <c r="Y1481" t="s">
        <v>2542</v>
      </c>
      <c r="Z1481" t="s">
        <v>5764</v>
      </c>
      <c r="AA1481" t="s">
        <v>2551</v>
      </c>
      <c r="AB1481" t="s">
        <v>1278</v>
      </c>
      <c r="AC1481" t="s">
        <v>5765</v>
      </c>
      <c r="AD1481" t="s">
        <v>2708</v>
      </c>
      <c r="AE1481">
        <v>1</v>
      </c>
      <c r="AO1481" t="s">
        <v>2547</v>
      </c>
      <c r="AP1481" t="s">
        <v>2401</v>
      </c>
    </row>
    <row r="1482" spans="1:42">
      <c r="A1482" t="s">
        <v>5766</v>
      </c>
      <c r="B1482" t="s">
        <v>2389</v>
      </c>
      <c r="C1482" t="s">
        <v>2415</v>
      </c>
      <c r="D1482" t="s">
        <v>2379</v>
      </c>
      <c r="E1482" t="s">
        <v>33</v>
      </c>
      <c r="F1482" t="s">
        <v>2541</v>
      </c>
      <c r="G1482" t="s">
        <v>33</v>
      </c>
      <c r="H1482" t="b">
        <v>1</v>
      </c>
      <c r="I1482" s="8">
        <v>45934.500740740739</v>
      </c>
      <c r="J1482" t="s">
        <v>2380</v>
      </c>
      <c r="K1482">
        <v>1200213</v>
      </c>
      <c r="L1482">
        <v>608626</v>
      </c>
      <c r="M1482" t="s">
        <v>2381</v>
      </c>
      <c r="P1482" t="s">
        <v>2427</v>
      </c>
      <c r="Q1482" t="s">
        <v>2383</v>
      </c>
      <c r="R1482">
        <v>1</v>
      </c>
      <c r="S1482" t="s">
        <v>2380</v>
      </c>
      <c r="T1482" t="s">
        <v>2383</v>
      </c>
      <c r="U1482" s="8">
        <v>45932.658252314817</v>
      </c>
      <c r="V1482" s="8">
        <v>45937.958333333336</v>
      </c>
      <c r="W1482">
        <v>1</v>
      </c>
      <c r="X1482">
        <v>1.8424884260000001</v>
      </c>
      <c r="Y1482" t="s">
        <v>2542</v>
      </c>
      <c r="Z1482" t="s">
        <v>5767</v>
      </c>
      <c r="AA1482" t="s">
        <v>2551</v>
      </c>
      <c r="AB1482" t="s">
        <v>1278</v>
      </c>
      <c r="AC1482" t="s">
        <v>5768</v>
      </c>
      <c r="AD1482" t="s">
        <v>2708</v>
      </c>
      <c r="AE1482">
        <v>1</v>
      </c>
      <c r="AO1482" t="s">
        <v>2547</v>
      </c>
      <c r="AP1482" t="s">
        <v>2401</v>
      </c>
    </row>
    <row r="1483" spans="1:42">
      <c r="A1483" t="s">
        <v>5769</v>
      </c>
      <c r="B1483" t="s">
        <v>2389</v>
      </c>
      <c r="C1483" t="s">
        <v>2415</v>
      </c>
      <c r="D1483" t="s">
        <v>2379</v>
      </c>
      <c r="E1483" t="s">
        <v>33</v>
      </c>
      <c r="F1483" t="s">
        <v>2541</v>
      </c>
      <c r="G1483" t="s">
        <v>33</v>
      </c>
      <c r="H1483" t="b">
        <v>1</v>
      </c>
      <c r="I1483" s="8">
        <v>45934.500092592592</v>
      </c>
      <c r="J1483" t="s">
        <v>2380</v>
      </c>
      <c r="K1483">
        <v>1200212</v>
      </c>
      <c r="L1483">
        <v>608626</v>
      </c>
      <c r="M1483" t="s">
        <v>2381</v>
      </c>
      <c r="P1483" t="s">
        <v>2427</v>
      </c>
      <c r="Q1483" t="s">
        <v>2383</v>
      </c>
      <c r="R1483">
        <v>1</v>
      </c>
      <c r="S1483" t="s">
        <v>2380</v>
      </c>
      <c r="T1483" t="s">
        <v>2383</v>
      </c>
      <c r="U1483" s="8">
        <v>45932.658252314817</v>
      </c>
      <c r="V1483" s="8">
        <v>45937.958333333336</v>
      </c>
      <c r="W1483">
        <v>1</v>
      </c>
      <c r="X1483">
        <v>1.8418402780000001</v>
      </c>
      <c r="Y1483" t="s">
        <v>2542</v>
      </c>
      <c r="Z1483" t="s">
        <v>5770</v>
      </c>
      <c r="AA1483" t="s">
        <v>2551</v>
      </c>
      <c r="AB1483" t="s">
        <v>1278</v>
      </c>
      <c r="AC1483" t="s">
        <v>5771</v>
      </c>
      <c r="AD1483" t="s">
        <v>2708</v>
      </c>
      <c r="AE1483">
        <v>1</v>
      </c>
      <c r="AO1483" t="s">
        <v>2547</v>
      </c>
      <c r="AP1483" t="s">
        <v>2401</v>
      </c>
    </row>
    <row r="1484" spans="1:42">
      <c r="A1484" t="s">
        <v>5772</v>
      </c>
      <c r="B1484" t="s">
        <v>2389</v>
      </c>
      <c r="C1484" t="s">
        <v>2415</v>
      </c>
      <c r="D1484" t="s">
        <v>2379</v>
      </c>
      <c r="E1484" t="s">
        <v>33</v>
      </c>
      <c r="F1484" t="s">
        <v>2541</v>
      </c>
      <c r="G1484" t="s">
        <v>33</v>
      </c>
      <c r="H1484" t="b">
        <v>1</v>
      </c>
      <c r="I1484" s="8">
        <v>45934.498749999999</v>
      </c>
      <c r="J1484" t="s">
        <v>2380</v>
      </c>
      <c r="K1484">
        <v>1200211</v>
      </c>
      <c r="L1484">
        <v>608626</v>
      </c>
      <c r="M1484" t="s">
        <v>2381</v>
      </c>
      <c r="P1484" t="s">
        <v>2427</v>
      </c>
      <c r="Q1484" t="s">
        <v>2383</v>
      </c>
      <c r="R1484">
        <v>1</v>
      </c>
      <c r="S1484" t="s">
        <v>2380</v>
      </c>
      <c r="T1484" t="s">
        <v>2383</v>
      </c>
      <c r="U1484" s="8">
        <v>45932.658310185187</v>
      </c>
      <c r="V1484" s="8">
        <v>45937.958333333336</v>
      </c>
      <c r="W1484">
        <v>1</v>
      </c>
      <c r="X1484">
        <v>1.8404398150000001</v>
      </c>
      <c r="Y1484" t="s">
        <v>2542</v>
      </c>
      <c r="Z1484" t="s">
        <v>5773</v>
      </c>
      <c r="AA1484" t="s">
        <v>2551</v>
      </c>
      <c r="AB1484" t="s">
        <v>1278</v>
      </c>
      <c r="AC1484" t="s">
        <v>5774</v>
      </c>
      <c r="AD1484" t="s">
        <v>2708</v>
      </c>
      <c r="AE1484">
        <v>1</v>
      </c>
      <c r="AO1484" t="s">
        <v>2547</v>
      </c>
      <c r="AP1484" t="s">
        <v>2401</v>
      </c>
    </row>
    <row r="1485" spans="1:42">
      <c r="A1485" t="s">
        <v>5778</v>
      </c>
      <c r="B1485" t="s">
        <v>2389</v>
      </c>
      <c r="C1485" t="s">
        <v>2415</v>
      </c>
      <c r="D1485" t="s">
        <v>2379</v>
      </c>
      <c r="E1485" t="s">
        <v>33</v>
      </c>
      <c r="F1485" t="s">
        <v>2541</v>
      </c>
      <c r="G1485" t="s">
        <v>33</v>
      </c>
      <c r="H1485" t="b">
        <v>1</v>
      </c>
      <c r="I1485" s="8">
        <v>45934.489699074074</v>
      </c>
      <c r="J1485" t="s">
        <v>2380</v>
      </c>
      <c r="K1485">
        <v>1200205</v>
      </c>
      <c r="L1485">
        <v>608626</v>
      </c>
      <c r="M1485" t="s">
        <v>2381</v>
      </c>
      <c r="P1485" t="s">
        <v>2427</v>
      </c>
      <c r="Q1485" t="s">
        <v>2383</v>
      </c>
      <c r="R1485">
        <v>1</v>
      </c>
      <c r="S1485" t="s">
        <v>2380</v>
      </c>
      <c r="T1485" t="s">
        <v>2383</v>
      </c>
      <c r="U1485" s="8">
        <v>45932.658958333333</v>
      </c>
      <c r="V1485" s="8">
        <v>45937.958333333336</v>
      </c>
      <c r="W1485">
        <v>1</v>
      </c>
      <c r="X1485">
        <v>1.8307407410000001</v>
      </c>
      <c r="Y1485" t="s">
        <v>2542</v>
      </c>
      <c r="Z1485" t="s">
        <v>5779</v>
      </c>
      <c r="AA1485" t="s">
        <v>2551</v>
      </c>
      <c r="AB1485" t="s">
        <v>1278</v>
      </c>
      <c r="AC1485" t="s">
        <v>5780</v>
      </c>
      <c r="AD1485" t="s">
        <v>2708</v>
      </c>
      <c r="AE1485">
        <v>1</v>
      </c>
      <c r="AO1485" t="s">
        <v>2547</v>
      </c>
      <c r="AP1485" t="s">
        <v>2401</v>
      </c>
    </row>
    <row r="1486" spans="1:42">
      <c r="A1486" t="s">
        <v>5775</v>
      </c>
      <c r="B1486" t="s">
        <v>2389</v>
      </c>
      <c r="C1486" t="s">
        <v>2415</v>
      </c>
      <c r="D1486" t="s">
        <v>2379</v>
      </c>
      <c r="E1486" t="s">
        <v>33</v>
      </c>
      <c r="F1486" t="s">
        <v>2541</v>
      </c>
      <c r="G1486" t="s">
        <v>33</v>
      </c>
      <c r="H1486" t="b">
        <v>1</v>
      </c>
      <c r="I1486" s="8">
        <v>45934.485300925924</v>
      </c>
      <c r="J1486" t="s">
        <v>2380</v>
      </c>
      <c r="K1486">
        <v>1200202</v>
      </c>
      <c r="L1486">
        <v>608626</v>
      </c>
      <c r="M1486" t="s">
        <v>2381</v>
      </c>
      <c r="P1486" t="s">
        <v>2427</v>
      </c>
      <c r="Q1486" t="s">
        <v>2383</v>
      </c>
      <c r="R1486">
        <v>1</v>
      </c>
      <c r="S1486" t="s">
        <v>2380</v>
      </c>
      <c r="T1486" t="s">
        <v>2383</v>
      </c>
      <c r="U1486" s="8">
        <v>45932.658958333333</v>
      </c>
      <c r="V1486" s="8">
        <v>45937.958333333336</v>
      </c>
      <c r="W1486">
        <v>1</v>
      </c>
      <c r="X1486">
        <v>1.8263425929999999</v>
      </c>
      <c r="Y1486" t="s">
        <v>2542</v>
      </c>
      <c r="Z1486" t="s">
        <v>5776</v>
      </c>
      <c r="AA1486" t="s">
        <v>2551</v>
      </c>
      <c r="AB1486" t="s">
        <v>1278</v>
      </c>
      <c r="AC1486" t="s">
        <v>5777</v>
      </c>
      <c r="AD1486" t="s">
        <v>2708</v>
      </c>
      <c r="AE1486">
        <v>1</v>
      </c>
      <c r="AO1486" t="s">
        <v>2547</v>
      </c>
      <c r="AP1486" t="s">
        <v>2401</v>
      </c>
    </row>
    <row r="1487" spans="1:42">
      <c r="A1487" t="s">
        <v>5989</v>
      </c>
      <c r="B1487" t="s">
        <v>2389</v>
      </c>
      <c r="C1487" t="s">
        <v>2438</v>
      </c>
      <c r="D1487" t="s">
        <v>2379</v>
      </c>
      <c r="E1487" t="s">
        <v>2601</v>
      </c>
      <c r="F1487" t="s">
        <v>2541</v>
      </c>
      <c r="G1487" t="s">
        <v>2601</v>
      </c>
      <c r="H1487" t="b">
        <v>1</v>
      </c>
      <c r="I1487" s="8">
        <v>45933.631168981483</v>
      </c>
      <c r="J1487" t="s">
        <v>2380</v>
      </c>
      <c r="K1487">
        <v>1200157</v>
      </c>
      <c r="L1487">
        <v>608626</v>
      </c>
      <c r="M1487" t="s">
        <v>2381</v>
      </c>
      <c r="P1487" t="s">
        <v>2427</v>
      </c>
      <c r="Q1487" t="s">
        <v>2383</v>
      </c>
      <c r="R1487">
        <v>1</v>
      </c>
      <c r="S1487" t="s">
        <v>2380</v>
      </c>
      <c r="T1487" t="s">
        <v>2383</v>
      </c>
      <c r="U1487" s="8">
        <v>45932.65896990741</v>
      </c>
      <c r="V1487" s="8">
        <v>45937.958333333336</v>
      </c>
      <c r="W1487">
        <v>1</v>
      </c>
      <c r="X1487">
        <v>0.97219907400000005</v>
      </c>
      <c r="Y1487" t="s">
        <v>2542</v>
      </c>
      <c r="Z1487" t="s">
        <v>5990</v>
      </c>
      <c r="AA1487" t="s">
        <v>2551</v>
      </c>
      <c r="AB1487" t="s">
        <v>1278</v>
      </c>
      <c r="AC1487" t="s">
        <v>5991</v>
      </c>
      <c r="AD1487" t="s">
        <v>2708</v>
      </c>
      <c r="AE1487">
        <v>1</v>
      </c>
      <c r="AO1487" t="s">
        <v>2547</v>
      </c>
      <c r="AP1487" t="s">
        <v>2401</v>
      </c>
    </row>
    <row r="1488" spans="1:42">
      <c r="A1488" t="s">
        <v>5992</v>
      </c>
      <c r="B1488" t="s">
        <v>2389</v>
      </c>
      <c r="C1488" t="s">
        <v>2438</v>
      </c>
      <c r="D1488" t="s">
        <v>2379</v>
      </c>
      <c r="E1488" t="s">
        <v>2601</v>
      </c>
      <c r="F1488" t="s">
        <v>2541</v>
      </c>
      <c r="G1488" t="s">
        <v>2601</v>
      </c>
      <c r="H1488" t="b">
        <v>1</v>
      </c>
      <c r="I1488" s="8">
        <v>45933.627511574072</v>
      </c>
      <c r="J1488" t="s">
        <v>2380</v>
      </c>
      <c r="K1488">
        <v>1200154</v>
      </c>
      <c r="L1488">
        <v>608626</v>
      </c>
      <c r="M1488" t="s">
        <v>2381</v>
      </c>
      <c r="P1488" t="s">
        <v>2427</v>
      </c>
      <c r="Q1488" t="s">
        <v>2383</v>
      </c>
      <c r="R1488">
        <v>1</v>
      </c>
      <c r="S1488" t="s">
        <v>2380</v>
      </c>
      <c r="T1488" t="s">
        <v>2383</v>
      </c>
      <c r="U1488" s="8">
        <v>45932.659687500003</v>
      </c>
      <c r="V1488" s="8">
        <v>45937.958333333336</v>
      </c>
      <c r="W1488">
        <v>1</v>
      </c>
      <c r="X1488">
        <v>0.96782407400000003</v>
      </c>
      <c r="Y1488" t="s">
        <v>2542</v>
      </c>
      <c r="Z1488" t="s">
        <v>5993</v>
      </c>
      <c r="AA1488" t="s">
        <v>2551</v>
      </c>
      <c r="AB1488" t="s">
        <v>1278</v>
      </c>
      <c r="AC1488" t="s">
        <v>5994</v>
      </c>
      <c r="AD1488" t="s">
        <v>2708</v>
      </c>
      <c r="AE1488">
        <v>1</v>
      </c>
      <c r="AO1488" t="s">
        <v>2547</v>
      </c>
      <c r="AP1488" t="s">
        <v>2401</v>
      </c>
    </row>
    <row r="1489" spans="1:42">
      <c r="A1489" t="s">
        <v>5995</v>
      </c>
      <c r="B1489" t="s">
        <v>2389</v>
      </c>
      <c r="C1489" t="s">
        <v>2438</v>
      </c>
      <c r="D1489" t="s">
        <v>2379</v>
      </c>
      <c r="E1489" t="s">
        <v>2601</v>
      </c>
      <c r="F1489" t="s">
        <v>2541</v>
      </c>
      <c r="G1489" t="s">
        <v>2601</v>
      </c>
      <c r="H1489" t="b">
        <v>1</v>
      </c>
      <c r="I1489" s="8">
        <v>45933.638287037036</v>
      </c>
      <c r="J1489" t="s">
        <v>2380</v>
      </c>
      <c r="K1489">
        <v>1200159</v>
      </c>
      <c r="L1489">
        <v>608626</v>
      </c>
      <c r="M1489" t="s">
        <v>2381</v>
      </c>
      <c r="P1489" t="s">
        <v>2427</v>
      </c>
      <c r="Q1489" t="s">
        <v>2383</v>
      </c>
      <c r="R1489">
        <v>1</v>
      </c>
      <c r="S1489" t="s">
        <v>2380</v>
      </c>
      <c r="T1489" t="s">
        <v>2383</v>
      </c>
      <c r="U1489" s="8">
        <v>45932.659699074073</v>
      </c>
      <c r="V1489" s="8">
        <v>45937.958333333336</v>
      </c>
      <c r="W1489">
        <v>1</v>
      </c>
      <c r="X1489">
        <v>0.97858796299999995</v>
      </c>
      <c r="Y1489" t="s">
        <v>2542</v>
      </c>
      <c r="Z1489" t="s">
        <v>5996</v>
      </c>
      <c r="AA1489" t="s">
        <v>2551</v>
      </c>
      <c r="AB1489" t="s">
        <v>1278</v>
      </c>
      <c r="AC1489" t="s">
        <v>5997</v>
      </c>
      <c r="AD1489" t="s">
        <v>2708</v>
      </c>
      <c r="AE1489">
        <v>1</v>
      </c>
      <c r="AO1489" t="s">
        <v>2547</v>
      </c>
      <c r="AP1489" t="s">
        <v>2401</v>
      </c>
    </row>
    <row r="1490" spans="1:42">
      <c r="A1490" t="s">
        <v>5998</v>
      </c>
      <c r="B1490" t="s">
        <v>2389</v>
      </c>
      <c r="C1490" t="s">
        <v>2438</v>
      </c>
      <c r="D1490" t="s">
        <v>2379</v>
      </c>
      <c r="E1490" t="s">
        <v>2601</v>
      </c>
      <c r="F1490" t="s">
        <v>2541</v>
      </c>
      <c r="G1490" t="s">
        <v>2601</v>
      </c>
      <c r="H1490" t="b">
        <v>1</v>
      </c>
      <c r="I1490" s="8">
        <v>45933.62400462963</v>
      </c>
      <c r="J1490" t="s">
        <v>2380</v>
      </c>
      <c r="K1490">
        <v>1200152</v>
      </c>
      <c r="L1490">
        <v>608626</v>
      </c>
      <c r="M1490" t="s">
        <v>2381</v>
      </c>
      <c r="P1490" t="s">
        <v>2427</v>
      </c>
      <c r="Q1490" t="s">
        <v>2383</v>
      </c>
      <c r="R1490">
        <v>1</v>
      </c>
      <c r="S1490" t="s">
        <v>2380</v>
      </c>
      <c r="T1490" t="s">
        <v>2383</v>
      </c>
      <c r="U1490" s="8">
        <v>45932.659756944442</v>
      </c>
      <c r="V1490" s="8">
        <v>45937.958333333336</v>
      </c>
      <c r="W1490">
        <v>1</v>
      </c>
      <c r="X1490">
        <v>0.96424768500000002</v>
      </c>
      <c r="Y1490" t="s">
        <v>2542</v>
      </c>
      <c r="Z1490" t="s">
        <v>5999</v>
      </c>
      <c r="AA1490" t="s">
        <v>2551</v>
      </c>
      <c r="AB1490" t="s">
        <v>1278</v>
      </c>
      <c r="AC1490" t="s">
        <v>6000</v>
      </c>
      <c r="AD1490" t="s">
        <v>2708</v>
      </c>
      <c r="AE1490">
        <v>1</v>
      </c>
      <c r="AO1490" t="s">
        <v>2547</v>
      </c>
      <c r="AP1490" t="s">
        <v>2401</v>
      </c>
    </row>
    <row r="1491" spans="1:42">
      <c r="A1491" t="s">
        <v>6001</v>
      </c>
      <c r="B1491" t="s">
        <v>2389</v>
      </c>
      <c r="C1491" t="s">
        <v>2438</v>
      </c>
      <c r="D1491" t="s">
        <v>2379</v>
      </c>
      <c r="E1491" t="s">
        <v>2601</v>
      </c>
      <c r="F1491" t="s">
        <v>2541</v>
      </c>
      <c r="G1491" t="s">
        <v>2601</v>
      </c>
      <c r="H1491" t="b">
        <v>1</v>
      </c>
      <c r="I1491" s="8">
        <v>45933.617905092593</v>
      </c>
      <c r="J1491" t="s">
        <v>2380</v>
      </c>
      <c r="K1491">
        <v>1200147</v>
      </c>
      <c r="L1491">
        <v>608626</v>
      </c>
      <c r="M1491" t="s">
        <v>2381</v>
      </c>
      <c r="P1491" t="s">
        <v>2427</v>
      </c>
      <c r="Q1491" t="s">
        <v>2383</v>
      </c>
      <c r="R1491">
        <v>1</v>
      </c>
      <c r="S1491" t="s">
        <v>2380</v>
      </c>
      <c r="T1491" t="s">
        <v>2383</v>
      </c>
      <c r="U1491" s="8">
        <v>45932.660405092596</v>
      </c>
      <c r="V1491" s="8">
        <v>45937.958333333336</v>
      </c>
      <c r="W1491">
        <v>1</v>
      </c>
      <c r="X1491">
        <v>0.95750000000000002</v>
      </c>
      <c r="Y1491" t="s">
        <v>2542</v>
      </c>
      <c r="Z1491" t="s">
        <v>6002</v>
      </c>
      <c r="AA1491" t="s">
        <v>2551</v>
      </c>
      <c r="AB1491" t="s">
        <v>1278</v>
      </c>
      <c r="AC1491" t="s">
        <v>6003</v>
      </c>
      <c r="AD1491" t="s">
        <v>2708</v>
      </c>
      <c r="AE1491">
        <v>1</v>
      </c>
      <c r="AO1491" t="s">
        <v>2547</v>
      </c>
      <c r="AP1491" t="s">
        <v>2401</v>
      </c>
    </row>
    <row r="1492" spans="1:42">
      <c r="A1492" t="s">
        <v>6004</v>
      </c>
      <c r="B1492" t="s">
        <v>2389</v>
      </c>
      <c r="C1492" t="s">
        <v>2438</v>
      </c>
      <c r="D1492" t="s">
        <v>2379</v>
      </c>
      <c r="E1492" t="s">
        <v>2601</v>
      </c>
      <c r="F1492" t="s">
        <v>2541</v>
      </c>
      <c r="G1492" t="s">
        <v>2601</v>
      </c>
      <c r="H1492" t="b">
        <v>1</v>
      </c>
      <c r="I1492" s="8">
        <v>45933.614953703705</v>
      </c>
      <c r="J1492" t="s">
        <v>2380</v>
      </c>
      <c r="K1492">
        <v>1200146</v>
      </c>
      <c r="L1492">
        <v>608626</v>
      </c>
      <c r="M1492" t="s">
        <v>2381</v>
      </c>
      <c r="P1492" t="s">
        <v>2427</v>
      </c>
      <c r="Q1492" t="s">
        <v>2383</v>
      </c>
      <c r="R1492">
        <v>1</v>
      </c>
      <c r="S1492" t="s">
        <v>2380</v>
      </c>
      <c r="T1492" t="s">
        <v>2383</v>
      </c>
      <c r="U1492" s="8">
        <v>45932.660405092596</v>
      </c>
      <c r="V1492" s="8">
        <v>45937.958333333336</v>
      </c>
      <c r="W1492">
        <v>1</v>
      </c>
      <c r="X1492">
        <v>0.95454861099999999</v>
      </c>
      <c r="Y1492" t="s">
        <v>2542</v>
      </c>
      <c r="Z1492" t="s">
        <v>6005</v>
      </c>
      <c r="AA1492" t="s">
        <v>2551</v>
      </c>
      <c r="AB1492" t="s">
        <v>1278</v>
      </c>
      <c r="AC1492" t="s">
        <v>6006</v>
      </c>
      <c r="AD1492" t="s">
        <v>2708</v>
      </c>
      <c r="AE1492">
        <v>1</v>
      </c>
      <c r="AO1492" t="s">
        <v>2547</v>
      </c>
      <c r="AP1492" t="s">
        <v>2401</v>
      </c>
    </row>
    <row r="1493" spans="1:42">
      <c r="A1493" t="s">
        <v>6007</v>
      </c>
      <c r="B1493" t="s">
        <v>2389</v>
      </c>
      <c r="C1493" t="s">
        <v>2438</v>
      </c>
      <c r="D1493" t="s">
        <v>2379</v>
      </c>
      <c r="E1493" t="s">
        <v>2601</v>
      </c>
      <c r="F1493" t="s">
        <v>2541</v>
      </c>
      <c r="G1493" t="s">
        <v>2601</v>
      </c>
      <c r="H1493" t="b">
        <v>1</v>
      </c>
      <c r="I1493" s="8">
        <v>45933.620949074073</v>
      </c>
      <c r="J1493" t="s">
        <v>2380</v>
      </c>
      <c r="K1493">
        <v>1200149</v>
      </c>
      <c r="L1493">
        <v>608626</v>
      </c>
      <c r="M1493" t="s">
        <v>2381</v>
      </c>
      <c r="P1493" t="s">
        <v>2427</v>
      </c>
      <c r="Q1493" t="s">
        <v>2383</v>
      </c>
      <c r="R1493">
        <v>1</v>
      </c>
      <c r="S1493" t="s">
        <v>2380</v>
      </c>
      <c r="T1493" t="s">
        <v>2383</v>
      </c>
      <c r="U1493" s="8">
        <v>45932.660405092596</v>
      </c>
      <c r="V1493" s="8">
        <v>45937.958333333336</v>
      </c>
      <c r="W1493">
        <v>1</v>
      </c>
      <c r="X1493">
        <v>0.96054398100000005</v>
      </c>
      <c r="Y1493" t="s">
        <v>2542</v>
      </c>
      <c r="Z1493" t="s">
        <v>6008</v>
      </c>
      <c r="AA1493" t="s">
        <v>2551</v>
      </c>
      <c r="AB1493" t="s">
        <v>1278</v>
      </c>
      <c r="AC1493" t="s">
        <v>6009</v>
      </c>
      <c r="AD1493" t="s">
        <v>2708</v>
      </c>
      <c r="AE1493">
        <v>1</v>
      </c>
      <c r="AO1493" t="s">
        <v>2547</v>
      </c>
      <c r="AP1493" t="s">
        <v>2401</v>
      </c>
    </row>
    <row r="1494" spans="1:42">
      <c r="A1494" t="s">
        <v>6010</v>
      </c>
      <c r="B1494" t="s">
        <v>2389</v>
      </c>
      <c r="C1494" t="s">
        <v>2438</v>
      </c>
      <c r="D1494" t="s">
        <v>2379</v>
      </c>
      <c r="E1494" t="s">
        <v>2601</v>
      </c>
      <c r="F1494" t="s">
        <v>2541</v>
      </c>
      <c r="G1494" t="s">
        <v>2601</v>
      </c>
      <c r="H1494" t="b">
        <v>1</v>
      </c>
      <c r="I1494" s="8">
        <v>45933.596006944441</v>
      </c>
      <c r="J1494" t="s">
        <v>2380</v>
      </c>
      <c r="K1494">
        <v>1200142</v>
      </c>
      <c r="L1494">
        <v>608626</v>
      </c>
      <c r="M1494" t="s">
        <v>2381</v>
      </c>
      <c r="P1494" t="s">
        <v>2427</v>
      </c>
      <c r="Q1494" t="s">
        <v>2383</v>
      </c>
      <c r="R1494">
        <v>1</v>
      </c>
      <c r="S1494" t="s">
        <v>2380</v>
      </c>
      <c r="T1494" t="s">
        <v>2383</v>
      </c>
      <c r="U1494" s="8">
        <v>45932.660474537035</v>
      </c>
      <c r="V1494" s="8">
        <v>45937.958333333336</v>
      </c>
      <c r="W1494">
        <v>1</v>
      </c>
      <c r="X1494">
        <v>0.93553240699999995</v>
      </c>
      <c r="Y1494" t="s">
        <v>2542</v>
      </c>
      <c r="Z1494" t="s">
        <v>6011</v>
      </c>
      <c r="AA1494" t="s">
        <v>2551</v>
      </c>
      <c r="AB1494" t="s">
        <v>1278</v>
      </c>
      <c r="AC1494" t="s">
        <v>6012</v>
      </c>
      <c r="AD1494" t="s">
        <v>2708</v>
      </c>
      <c r="AE1494">
        <v>1</v>
      </c>
      <c r="AO1494" t="s">
        <v>2547</v>
      </c>
      <c r="AP1494" t="s">
        <v>2401</v>
      </c>
    </row>
    <row r="1495" spans="1:42">
      <c r="A1495" t="s">
        <v>6013</v>
      </c>
      <c r="B1495" t="s">
        <v>2389</v>
      </c>
      <c r="C1495" t="s">
        <v>2438</v>
      </c>
      <c r="D1495" t="s">
        <v>2379</v>
      </c>
      <c r="E1495" t="s">
        <v>2601</v>
      </c>
      <c r="F1495" t="s">
        <v>2541</v>
      </c>
      <c r="G1495" t="s">
        <v>2601</v>
      </c>
      <c r="H1495" t="b">
        <v>1</v>
      </c>
      <c r="I1495" s="8">
        <v>45933.60728009259</v>
      </c>
      <c r="J1495" t="s">
        <v>2380</v>
      </c>
      <c r="K1495">
        <v>1200143</v>
      </c>
      <c r="L1495">
        <v>608626</v>
      </c>
      <c r="M1495" t="s">
        <v>2381</v>
      </c>
      <c r="P1495" t="s">
        <v>2427</v>
      </c>
      <c r="Q1495" t="s">
        <v>2383</v>
      </c>
      <c r="R1495">
        <v>1</v>
      </c>
      <c r="S1495" t="s">
        <v>2380</v>
      </c>
      <c r="T1495" t="s">
        <v>2383</v>
      </c>
      <c r="U1495" s="8">
        <v>45932.661145833335</v>
      </c>
      <c r="V1495" s="8">
        <v>45937.958333333336</v>
      </c>
      <c r="W1495">
        <v>1</v>
      </c>
      <c r="X1495">
        <v>0.94613425900000003</v>
      </c>
      <c r="Y1495" t="s">
        <v>2542</v>
      </c>
      <c r="Z1495" t="s">
        <v>6014</v>
      </c>
      <c r="AA1495" t="s">
        <v>2551</v>
      </c>
      <c r="AB1495" t="s">
        <v>1278</v>
      </c>
      <c r="AC1495" t="s">
        <v>6015</v>
      </c>
      <c r="AD1495" t="s">
        <v>2708</v>
      </c>
      <c r="AE1495">
        <v>1</v>
      </c>
      <c r="AO1495" t="s">
        <v>2547</v>
      </c>
      <c r="AP1495" t="s">
        <v>2401</v>
      </c>
    </row>
    <row r="1496" spans="1:42">
      <c r="A1496" t="s">
        <v>6016</v>
      </c>
      <c r="B1496" t="s">
        <v>2389</v>
      </c>
      <c r="C1496" t="s">
        <v>2438</v>
      </c>
      <c r="D1496" t="s">
        <v>2379</v>
      </c>
      <c r="E1496" t="s">
        <v>2601</v>
      </c>
      <c r="F1496" t="s">
        <v>2541</v>
      </c>
      <c r="G1496" t="s">
        <v>2601</v>
      </c>
      <c r="H1496" t="b">
        <v>1</v>
      </c>
      <c r="I1496" s="8">
        <v>45933.610671296294</v>
      </c>
      <c r="J1496" t="s">
        <v>2380</v>
      </c>
      <c r="K1496">
        <v>1200145</v>
      </c>
      <c r="L1496">
        <v>608626</v>
      </c>
      <c r="M1496" t="s">
        <v>2381</v>
      </c>
      <c r="P1496" t="s">
        <v>2427</v>
      </c>
      <c r="Q1496" t="s">
        <v>2383</v>
      </c>
      <c r="R1496">
        <v>1</v>
      </c>
      <c r="S1496" t="s">
        <v>2380</v>
      </c>
      <c r="T1496" t="s">
        <v>2383</v>
      </c>
      <c r="U1496" s="8">
        <v>45932.661157407405</v>
      </c>
      <c r="V1496" s="8">
        <v>45937.958333333336</v>
      </c>
      <c r="W1496">
        <v>1</v>
      </c>
      <c r="X1496">
        <v>0.949513889</v>
      </c>
      <c r="Y1496" t="s">
        <v>2542</v>
      </c>
      <c r="Z1496" t="s">
        <v>6017</v>
      </c>
      <c r="AA1496" t="s">
        <v>2551</v>
      </c>
      <c r="AB1496" t="s">
        <v>1278</v>
      </c>
      <c r="AC1496" t="s">
        <v>6018</v>
      </c>
      <c r="AD1496" t="s">
        <v>2708</v>
      </c>
      <c r="AE1496">
        <v>1</v>
      </c>
      <c r="AO1496" t="s">
        <v>2547</v>
      </c>
      <c r="AP1496" t="s">
        <v>2401</v>
      </c>
    </row>
    <row r="1497" spans="1:42">
      <c r="A1497" t="s">
        <v>6019</v>
      </c>
      <c r="B1497" t="s">
        <v>2389</v>
      </c>
      <c r="C1497" t="s">
        <v>2438</v>
      </c>
      <c r="D1497" t="s">
        <v>2379</v>
      </c>
      <c r="E1497" t="s">
        <v>2601</v>
      </c>
      <c r="F1497" t="s">
        <v>2541</v>
      </c>
      <c r="G1497" t="s">
        <v>2601</v>
      </c>
      <c r="H1497" t="b">
        <v>1</v>
      </c>
      <c r="I1497" s="8">
        <v>45933.592777777776</v>
      </c>
      <c r="J1497" t="s">
        <v>2380</v>
      </c>
      <c r="K1497">
        <v>1200139</v>
      </c>
      <c r="L1497">
        <v>608626</v>
      </c>
      <c r="M1497" t="s">
        <v>2381</v>
      </c>
      <c r="P1497" t="s">
        <v>2427</v>
      </c>
      <c r="Q1497" t="s">
        <v>2383</v>
      </c>
      <c r="R1497">
        <v>1</v>
      </c>
      <c r="S1497" t="s">
        <v>2380</v>
      </c>
      <c r="T1497" t="s">
        <v>2383</v>
      </c>
      <c r="U1497" s="8">
        <v>45932.661157407405</v>
      </c>
      <c r="V1497" s="8">
        <v>45937.958333333336</v>
      </c>
      <c r="W1497">
        <v>1</v>
      </c>
      <c r="X1497">
        <v>0.93162036999999998</v>
      </c>
      <c r="Y1497" t="s">
        <v>2542</v>
      </c>
      <c r="Z1497" t="s">
        <v>6020</v>
      </c>
      <c r="AA1497" t="s">
        <v>2551</v>
      </c>
      <c r="AB1497" t="s">
        <v>1278</v>
      </c>
      <c r="AC1497" t="s">
        <v>6021</v>
      </c>
      <c r="AD1497" t="s">
        <v>2708</v>
      </c>
      <c r="AE1497">
        <v>1</v>
      </c>
      <c r="AO1497" t="s">
        <v>2547</v>
      </c>
      <c r="AP1497" t="s">
        <v>2401</v>
      </c>
    </row>
    <row r="1498" spans="1:42">
      <c r="A1498" t="s">
        <v>6022</v>
      </c>
      <c r="B1498" t="s">
        <v>2389</v>
      </c>
      <c r="C1498" t="s">
        <v>2438</v>
      </c>
      <c r="D1498" t="s">
        <v>2379</v>
      </c>
      <c r="E1498" t="s">
        <v>2601</v>
      </c>
      <c r="F1498" t="s">
        <v>2541</v>
      </c>
      <c r="G1498" t="s">
        <v>2601</v>
      </c>
      <c r="H1498" t="b">
        <v>1</v>
      </c>
      <c r="I1498" s="8">
        <v>45933.583483796298</v>
      </c>
      <c r="J1498" t="s">
        <v>2380</v>
      </c>
      <c r="K1498">
        <v>1200134</v>
      </c>
      <c r="L1498">
        <v>608626</v>
      </c>
      <c r="M1498" t="s">
        <v>2381</v>
      </c>
      <c r="P1498" t="s">
        <v>2427</v>
      </c>
      <c r="Q1498" t="s">
        <v>2383</v>
      </c>
      <c r="R1498">
        <v>1</v>
      </c>
      <c r="S1498" t="s">
        <v>2380</v>
      </c>
      <c r="T1498" t="s">
        <v>2383</v>
      </c>
      <c r="U1498" s="8">
        <v>45932.661226851851</v>
      </c>
      <c r="V1498" s="8">
        <v>45937.958333333336</v>
      </c>
      <c r="W1498">
        <v>1</v>
      </c>
      <c r="X1498">
        <v>0.92225694400000002</v>
      </c>
      <c r="Y1498" t="s">
        <v>2542</v>
      </c>
      <c r="Z1498" t="s">
        <v>6023</v>
      </c>
      <c r="AA1498" t="s">
        <v>2551</v>
      </c>
      <c r="AB1498" t="s">
        <v>1278</v>
      </c>
      <c r="AC1498" t="s">
        <v>6024</v>
      </c>
      <c r="AD1498" t="s">
        <v>2708</v>
      </c>
      <c r="AE1498">
        <v>1</v>
      </c>
      <c r="AO1498" t="s">
        <v>2547</v>
      </c>
      <c r="AP1498" t="s">
        <v>2401</v>
      </c>
    </row>
    <row r="1499" spans="1:42">
      <c r="A1499" t="s">
        <v>6025</v>
      </c>
      <c r="B1499" t="s">
        <v>2389</v>
      </c>
      <c r="C1499" t="s">
        <v>2438</v>
      </c>
      <c r="D1499" t="s">
        <v>2379</v>
      </c>
      <c r="E1499" t="s">
        <v>2601</v>
      </c>
      <c r="F1499" t="s">
        <v>2541</v>
      </c>
      <c r="G1499" t="s">
        <v>2601</v>
      </c>
      <c r="H1499" t="b">
        <v>1</v>
      </c>
      <c r="I1499" s="8">
        <v>45933.576284722221</v>
      </c>
      <c r="J1499" t="s">
        <v>2380</v>
      </c>
      <c r="K1499">
        <v>1200130</v>
      </c>
      <c r="L1499">
        <v>608626</v>
      </c>
      <c r="M1499" t="s">
        <v>2381</v>
      </c>
      <c r="P1499" t="s">
        <v>2427</v>
      </c>
      <c r="Q1499" t="s">
        <v>2383</v>
      </c>
      <c r="R1499">
        <v>1</v>
      </c>
      <c r="S1499" t="s">
        <v>2380</v>
      </c>
      <c r="T1499" t="s">
        <v>2383</v>
      </c>
      <c r="U1499" s="8">
        <v>45932.66201388889</v>
      </c>
      <c r="V1499" s="8">
        <v>45937.958333333336</v>
      </c>
      <c r="W1499">
        <v>1</v>
      </c>
      <c r="X1499">
        <v>0.914270833</v>
      </c>
      <c r="Y1499" t="s">
        <v>2542</v>
      </c>
      <c r="Z1499" t="s">
        <v>6026</v>
      </c>
      <c r="AA1499" t="s">
        <v>2551</v>
      </c>
      <c r="AB1499" t="s">
        <v>1278</v>
      </c>
      <c r="AC1499" t="s">
        <v>6027</v>
      </c>
      <c r="AD1499" t="s">
        <v>2708</v>
      </c>
      <c r="AE1499">
        <v>1</v>
      </c>
      <c r="AO1499" t="s">
        <v>2547</v>
      </c>
      <c r="AP1499" t="s">
        <v>2401</v>
      </c>
    </row>
    <row r="1500" spans="1:42">
      <c r="A1500" t="s">
        <v>5781</v>
      </c>
      <c r="B1500" t="s">
        <v>2389</v>
      </c>
      <c r="C1500" t="s">
        <v>2415</v>
      </c>
      <c r="D1500" t="s">
        <v>2379</v>
      </c>
      <c r="E1500" t="s">
        <v>33</v>
      </c>
      <c r="F1500" t="s">
        <v>2541</v>
      </c>
      <c r="G1500" t="s">
        <v>33</v>
      </c>
      <c r="H1500" t="b">
        <v>1</v>
      </c>
      <c r="I1500" s="8">
        <v>45934.505555555559</v>
      </c>
      <c r="J1500" t="s">
        <v>2380</v>
      </c>
      <c r="K1500">
        <v>1200215</v>
      </c>
      <c r="L1500">
        <v>608630</v>
      </c>
      <c r="M1500" t="s">
        <v>2381</v>
      </c>
      <c r="P1500" t="s">
        <v>2427</v>
      </c>
      <c r="Q1500" t="s">
        <v>2383</v>
      </c>
      <c r="R1500">
        <v>1</v>
      </c>
      <c r="S1500" t="s">
        <v>2380</v>
      </c>
      <c r="T1500" t="s">
        <v>2383</v>
      </c>
      <c r="U1500" s="8">
        <v>45932.66201388889</v>
      </c>
      <c r="V1500" s="8">
        <v>45937.958333333336</v>
      </c>
      <c r="W1500">
        <v>1</v>
      </c>
      <c r="X1500">
        <v>1.843541667</v>
      </c>
      <c r="Y1500" t="s">
        <v>2542</v>
      </c>
      <c r="Z1500" t="s">
        <v>5782</v>
      </c>
      <c r="AA1500" t="s">
        <v>3107</v>
      </c>
      <c r="AB1500" t="s">
        <v>1278</v>
      </c>
      <c r="AC1500" t="s">
        <v>5783</v>
      </c>
      <c r="AD1500" t="s">
        <v>2708</v>
      </c>
      <c r="AE1500">
        <v>1</v>
      </c>
      <c r="AO1500" t="s">
        <v>2547</v>
      </c>
      <c r="AP1500" t="s">
        <v>2401</v>
      </c>
    </row>
    <row r="1501" spans="1:42">
      <c r="A1501" t="s">
        <v>5784</v>
      </c>
      <c r="B1501" t="s">
        <v>2389</v>
      </c>
      <c r="C1501" t="s">
        <v>2415</v>
      </c>
      <c r="D1501" t="s">
        <v>2379</v>
      </c>
      <c r="E1501" t="s">
        <v>33</v>
      </c>
      <c r="F1501" t="s">
        <v>2541</v>
      </c>
      <c r="G1501" t="s">
        <v>33</v>
      </c>
      <c r="H1501" t="b">
        <v>1</v>
      </c>
      <c r="I1501" s="8">
        <v>45934.490810185183</v>
      </c>
      <c r="J1501" t="s">
        <v>2380</v>
      </c>
      <c r="K1501">
        <v>1200206</v>
      </c>
      <c r="L1501">
        <v>608626</v>
      </c>
      <c r="M1501" t="s">
        <v>2381</v>
      </c>
      <c r="P1501" t="s">
        <v>2427</v>
      </c>
      <c r="Q1501" t="s">
        <v>2383</v>
      </c>
      <c r="R1501">
        <v>1</v>
      </c>
      <c r="S1501" t="s">
        <v>2380</v>
      </c>
      <c r="T1501" t="s">
        <v>2383</v>
      </c>
      <c r="U1501" s="8">
        <v>45932.662627314814</v>
      </c>
      <c r="V1501" s="8">
        <v>45937.958333333336</v>
      </c>
      <c r="W1501">
        <v>1</v>
      </c>
      <c r="X1501">
        <v>1.82818287</v>
      </c>
      <c r="Y1501" t="s">
        <v>2542</v>
      </c>
      <c r="Z1501" t="s">
        <v>5785</v>
      </c>
      <c r="AA1501" t="s">
        <v>2551</v>
      </c>
      <c r="AB1501" t="s">
        <v>1278</v>
      </c>
      <c r="AC1501" t="s">
        <v>5786</v>
      </c>
      <c r="AD1501" t="s">
        <v>2708</v>
      </c>
      <c r="AE1501">
        <v>1</v>
      </c>
      <c r="AO1501" t="s">
        <v>2547</v>
      </c>
      <c r="AP1501" t="s">
        <v>2401</v>
      </c>
    </row>
    <row r="1502" spans="1:42">
      <c r="A1502" t="s">
        <v>7757</v>
      </c>
      <c r="B1502" t="s">
        <v>2389</v>
      </c>
      <c r="C1502" t="s">
        <v>2390</v>
      </c>
      <c r="D1502" t="s">
        <v>2379</v>
      </c>
      <c r="E1502" t="s">
        <v>2452</v>
      </c>
      <c r="F1502" t="s">
        <v>3539</v>
      </c>
      <c r="G1502" t="s">
        <v>2452</v>
      </c>
      <c r="H1502" t="b">
        <v>1</v>
      </c>
      <c r="I1502" s="8">
        <v>45934.723935185182</v>
      </c>
      <c r="J1502" t="s">
        <v>2380</v>
      </c>
      <c r="K1502">
        <v>1200233</v>
      </c>
      <c r="L1502">
        <v>602110</v>
      </c>
      <c r="M1502" t="s">
        <v>2381</v>
      </c>
      <c r="P1502" t="s">
        <v>2394</v>
      </c>
      <c r="Q1502" t="s">
        <v>2383</v>
      </c>
      <c r="R1502">
        <v>1</v>
      </c>
      <c r="S1502" t="s">
        <v>2380</v>
      </c>
      <c r="T1502" t="s">
        <v>2383</v>
      </c>
      <c r="U1502" s="8">
        <v>45932.666585648149</v>
      </c>
      <c r="V1502" s="8">
        <v>45937.958333333336</v>
      </c>
      <c r="W1502">
        <v>1</v>
      </c>
      <c r="X1502">
        <v>2.0573495369999999</v>
      </c>
      <c r="Y1502" t="s">
        <v>3521</v>
      </c>
      <c r="Z1502" t="s">
        <v>7758</v>
      </c>
      <c r="AA1502" t="s">
        <v>7759</v>
      </c>
      <c r="AB1502" t="s">
        <v>1278</v>
      </c>
      <c r="AC1502" t="s">
        <v>7760</v>
      </c>
      <c r="AD1502" t="s">
        <v>2708</v>
      </c>
      <c r="AE1502">
        <v>1</v>
      </c>
      <c r="AO1502" t="s">
        <v>2957</v>
      </c>
      <c r="AP1502" t="s">
        <v>2401</v>
      </c>
    </row>
    <row r="1503" spans="1:42">
      <c r="A1503" t="s">
        <v>3384</v>
      </c>
      <c r="B1503" t="s">
        <v>2389</v>
      </c>
      <c r="C1503" t="s">
        <v>2390</v>
      </c>
      <c r="D1503" t="s">
        <v>2379</v>
      </c>
      <c r="E1503" t="s">
        <v>2452</v>
      </c>
      <c r="F1503">
        <v>4056</v>
      </c>
      <c r="G1503" t="s">
        <v>2452</v>
      </c>
      <c r="H1503" t="b">
        <v>1</v>
      </c>
      <c r="I1503" s="8">
        <v>45937.492719907408</v>
      </c>
      <c r="J1503" t="s">
        <v>2380</v>
      </c>
      <c r="L1503">
        <v>603655</v>
      </c>
      <c r="M1503" t="s">
        <v>2381</v>
      </c>
      <c r="P1503" t="s">
        <v>2394</v>
      </c>
      <c r="Q1503" t="s">
        <v>2383</v>
      </c>
      <c r="R1503">
        <v>1</v>
      </c>
      <c r="S1503" t="s">
        <v>2380</v>
      </c>
      <c r="T1503" t="s">
        <v>2383</v>
      </c>
      <c r="U1503" s="8">
        <v>45932.67150462963</v>
      </c>
      <c r="V1503" s="8">
        <v>45937.958333333336</v>
      </c>
      <c r="W1503">
        <v>1</v>
      </c>
      <c r="X1503">
        <v>2.8212152779999999</v>
      </c>
      <c r="Y1503" t="s">
        <v>3379</v>
      </c>
      <c r="Z1503" t="s">
        <v>3385</v>
      </c>
      <c r="AA1503" t="s">
        <v>3382</v>
      </c>
      <c r="AB1503" t="s">
        <v>1278</v>
      </c>
      <c r="AC1503" t="s">
        <v>3386</v>
      </c>
      <c r="AE1503">
        <v>1</v>
      </c>
      <c r="AO1503" t="s">
        <v>2388</v>
      </c>
      <c r="AP1503" t="s">
        <v>2401</v>
      </c>
    </row>
    <row r="1504" spans="1:42">
      <c r="A1504" t="s">
        <v>6865</v>
      </c>
      <c r="B1504" t="s">
        <v>2389</v>
      </c>
      <c r="C1504" t="s">
        <v>2390</v>
      </c>
      <c r="D1504" t="s">
        <v>2379</v>
      </c>
      <c r="E1504" t="s">
        <v>2452</v>
      </c>
      <c r="F1504" t="s">
        <v>3339</v>
      </c>
      <c r="G1504" t="s">
        <v>2452</v>
      </c>
      <c r="H1504" t="b">
        <v>1</v>
      </c>
      <c r="I1504" s="8">
        <v>45937.579872685186</v>
      </c>
      <c r="J1504" t="s">
        <v>2380</v>
      </c>
      <c r="K1504">
        <v>1200538</v>
      </c>
      <c r="L1504">
        <v>606902</v>
      </c>
      <c r="M1504" t="s">
        <v>2381</v>
      </c>
      <c r="P1504" t="s">
        <v>2394</v>
      </c>
      <c r="Q1504" t="s">
        <v>2383</v>
      </c>
      <c r="R1504">
        <v>1</v>
      </c>
      <c r="S1504" t="s">
        <v>2380</v>
      </c>
      <c r="T1504" t="s">
        <v>2383</v>
      </c>
      <c r="U1504" s="8">
        <v>45932.674976851849</v>
      </c>
      <c r="V1504" s="8">
        <v>45937.958333333336</v>
      </c>
      <c r="W1504">
        <v>1</v>
      </c>
      <c r="X1504">
        <v>2.9048958329999999</v>
      </c>
      <c r="Y1504" t="s">
        <v>3340</v>
      </c>
      <c r="Z1504" t="s">
        <v>6866</v>
      </c>
      <c r="AA1504" t="s">
        <v>6867</v>
      </c>
      <c r="AB1504" t="s">
        <v>1278</v>
      </c>
      <c r="AC1504" t="s">
        <v>6868</v>
      </c>
      <c r="AD1504" t="s">
        <v>2708</v>
      </c>
      <c r="AE1504">
        <v>1</v>
      </c>
      <c r="AO1504" t="s">
        <v>2388</v>
      </c>
      <c r="AP1504" t="s">
        <v>2401</v>
      </c>
    </row>
    <row r="1505" spans="1:42">
      <c r="A1505" t="s">
        <v>6974</v>
      </c>
      <c r="B1505" t="s">
        <v>2389</v>
      </c>
      <c r="C1505" t="s">
        <v>2415</v>
      </c>
      <c r="D1505" t="s">
        <v>2379</v>
      </c>
      <c r="E1505" t="s">
        <v>2452</v>
      </c>
      <c r="F1505">
        <v>4056</v>
      </c>
      <c r="G1505" t="s">
        <v>2452</v>
      </c>
      <c r="H1505" t="b">
        <v>1</v>
      </c>
      <c r="I1505" s="8">
        <v>45936.533229166664</v>
      </c>
      <c r="J1505" t="s">
        <v>2380</v>
      </c>
      <c r="K1505">
        <v>1200353</v>
      </c>
      <c r="L1505">
        <v>603655</v>
      </c>
      <c r="M1505" t="s">
        <v>2381</v>
      </c>
      <c r="P1505" t="s">
        <v>2394</v>
      </c>
      <c r="Q1505" t="s">
        <v>2383</v>
      </c>
      <c r="R1505">
        <v>1</v>
      </c>
      <c r="S1505" t="s">
        <v>2380</v>
      </c>
      <c r="T1505" t="s">
        <v>2383</v>
      </c>
      <c r="U1505" s="8">
        <v>45932.68482638889</v>
      </c>
      <c r="V1505" s="8">
        <v>45937.958333333336</v>
      </c>
      <c r="W1505">
        <v>1</v>
      </c>
      <c r="X1505">
        <v>1.8484027780000001</v>
      </c>
      <c r="Y1505" t="s">
        <v>3379</v>
      </c>
      <c r="Z1505" t="s">
        <v>6975</v>
      </c>
      <c r="AA1505" t="s">
        <v>3382</v>
      </c>
      <c r="AB1505" t="s">
        <v>1278</v>
      </c>
      <c r="AC1505" t="s">
        <v>6976</v>
      </c>
      <c r="AD1505" t="s">
        <v>2708</v>
      </c>
      <c r="AE1505">
        <v>1</v>
      </c>
      <c r="AO1505" t="s">
        <v>2388</v>
      </c>
      <c r="AP1505" t="s">
        <v>2401</v>
      </c>
    </row>
    <row r="1506" spans="1:42">
      <c r="A1506" t="s">
        <v>6904</v>
      </c>
      <c r="B1506" t="s">
        <v>2389</v>
      </c>
      <c r="C1506" t="s">
        <v>2390</v>
      </c>
      <c r="D1506" t="s">
        <v>2379</v>
      </c>
      <c r="E1506" t="s">
        <v>2452</v>
      </c>
      <c r="F1506" t="s">
        <v>2578</v>
      </c>
      <c r="G1506" t="s">
        <v>2452</v>
      </c>
      <c r="H1506" t="b">
        <v>1</v>
      </c>
      <c r="I1506" s="8">
        <v>45937.488981481481</v>
      </c>
      <c r="J1506" t="s">
        <v>2380</v>
      </c>
      <c r="K1506">
        <v>1200471</v>
      </c>
      <c r="L1506">
        <v>603289</v>
      </c>
      <c r="M1506" t="s">
        <v>2381</v>
      </c>
      <c r="P1506" t="s">
        <v>2394</v>
      </c>
      <c r="Q1506" t="s">
        <v>2383</v>
      </c>
      <c r="R1506">
        <v>1</v>
      </c>
      <c r="S1506" t="s">
        <v>2380</v>
      </c>
      <c r="T1506" t="s">
        <v>2383</v>
      </c>
      <c r="U1506" s="8">
        <v>45932.686898148146</v>
      </c>
      <c r="V1506" s="8">
        <v>45937.958333333336</v>
      </c>
      <c r="W1506">
        <v>1</v>
      </c>
      <c r="X1506">
        <v>2.8020833330000001</v>
      </c>
      <c r="Y1506" t="s">
        <v>2579</v>
      </c>
      <c r="Z1506" t="s">
        <v>6905</v>
      </c>
      <c r="AA1506" t="s">
        <v>6906</v>
      </c>
      <c r="AB1506" t="s">
        <v>1278</v>
      </c>
      <c r="AC1506" t="s">
        <v>6907</v>
      </c>
      <c r="AD1506" t="s">
        <v>2708</v>
      </c>
      <c r="AE1506">
        <v>1</v>
      </c>
      <c r="AO1506" t="s">
        <v>2388</v>
      </c>
      <c r="AP1506" t="s">
        <v>2401</v>
      </c>
    </row>
    <row r="1507" spans="1:42">
      <c r="A1507" t="s">
        <v>1250</v>
      </c>
      <c r="B1507" t="s">
        <v>2377</v>
      </c>
      <c r="C1507" t="s">
        <v>2390</v>
      </c>
      <c r="D1507" t="s">
        <v>2379</v>
      </c>
      <c r="E1507" t="s">
        <v>12</v>
      </c>
      <c r="F1507" t="s">
        <v>2588</v>
      </c>
      <c r="G1507" t="s">
        <v>12</v>
      </c>
      <c r="H1507" t="b">
        <v>1</v>
      </c>
      <c r="I1507" s="8">
        <v>45937.489444444444</v>
      </c>
      <c r="J1507" t="s">
        <v>2380</v>
      </c>
      <c r="L1507">
        <v>609704</v>
      </c>
      <c r="M1507" t="s">
        <v>2381</v>
      </c>
      <c r="P1507" t="s">
        <v>2394</v>
      </c>
      <c r="Q1507" t="s">
        <v>2383</v>
      </c>
      <c r="R1507">
        <v>1</v>
      </c>
      <c r="S1507" t="s">
        <v>2380</v>
      </c>
      <c r="T1507" t="s">
        <v>2383</v>
      </c>
      <c r="U1507" s="8">
        <v>45932.710092592592</v>
      </c>
      <c r="V1507" s="8">
        <v>45937.958333333336</v>
      </c>
      <c r="W1507">
        <v>1</v>
      </c>
      <c r="X1507">
        <v>2.779351852</v>
      </c>
      <c r="Y1507" t="s">
        <v>2579</v>
      </c>
      <c r="Z1507" t="s">
        <v>9754</v>
      </c>
      <c r="AA1507" t="s">
        <v>9755</v>
      </c>
      <c r="AB1507" t="s">
        <v>1278</v>
      </c>
      <c r="AC1507" t="s">
        <v>9756</v>
      </c>
      <c r="AD1507" t="s">
        <v>2708</v>
      </c>
      <c r="AE1507">
        <v>1</v>
      </c>
      <c r="AO1507" t="s">
        <v>3644</v>
      </c>
      <c r="AP1507" t="s">
        <v>2401</v>
      </c>
    </row>
    <row r="1508" spans="1:42">
      <c r="A1508" t="s">
        <v>3391</v>
      </c>
      <c r="B1508" t="s">
        <v>2389</v>
      </c>
      <c r="C1508" t="s">
        <v>2415</v>
      </c>
      <c r="D1508" t="s">
        <v>2379</v>
      </c>
      <c r="E1508" t="s">
        <v>2452</v>
      </c>
      <c r="F1508">
        <v>4780</v>
      </c>
      <c r="G1508" t="s">
        <v>2452</v>
      </c>
      <c r="H1508" t="b">
        <v>1</v>
      </c>
      <c r="I1508" s="8">
        <v>45936.353368055556</v>
      </c>
      <c r="J1508" t="s">
        <v>2380</v>
      </c>
      <c r="L1508">
        <v>603181</v>
      </c>
      <c r="M1508" t="s">
        <v>2381</v>
      </c>
      <c r="P1508" t="s">
        <v>2394</v>
      </c>
      <c r="Q1508" t="s">
        <v>2383</v>
      </c>
      <c r="R1508">
        <v>1</v>
      </c>
      <c r="S1508" t="s">
        <v>2380</v>
      </c>
      <c r="T1508" t="s">
        <v>2383</v>
      </c>
      <c r="U1508" s="8">
        <v>45932.72552083333</v>
      </c>
      <c r="V1508" s="8">
        <v>45937.958333333336</v>
      </c>
      <c r="W1508">
        <v>1</v>
      </c>
      <c r="X1508">
        <v>1.627847222</v>
      </c>
      <c r="Y1508" t="s">
        <v>3390</v>
      </c>
      <c r="Z1508" t="s">
        <v>3392</v>
      </c>
      <c r="AA1508" t="s">
        <v>3393</v>
      </c>
      <c r="AB1508" t="s">
        <v>1278</v>
      </c>
      <c r="AC1508" t="s">
        <v>3394</v>
      </c>
      <c r="AE1508">
        <v>1</v>
      </c>
      <c r="AO1508" t="s">
        <v>2388</v>
      </c>
      <c r="AP1508" t="s">
        <v>2401</v>
      </c>
    </row>
    <row r="1509" spans="1:42">
      <c r="A1509" t="s">
        <v>5873</v>
      </c>
      <c r="B1509" t="s">
        <v>2389</v>
      </c>
      <c r="C1509" t="s">
        <v>2415</v>
      </c>
      <c r="D1509" t="s">
        <v>2379</v>
      </c>
      <c r="E1509" t="s">
        <v>307</v>
      </c>
      <c r="F1509" t="s">
        <v>2541</v>
      </c>
      <c r="G1509" t="s">
        <v>307</v>
      </c>
      <c r="H1509" t="b">
        <v>1</v>
      </c>
      <c r="I1509" s="8">
        <v>45936.597349537034</v>
      </c>
      <c r="J1509" t="s">
        <v>2380</v>
      </c>
      <c r="K1509">
        <v>1200360</v>
      </c>
      <c r="L1509">
        <v>601096</v>
      </c>
      <c r="M1509" t="s">
        <v>2381</v>
      </c>
      <c r="P1509" t="s">
        <v>2548</v>
      </c>
      <c r="Q1509" t="s">
        <v>2383</v>
      </c>
      <c r="R1509">
        <v>1</v>
      </c>
      <c r="S1509" t="s">
        <v>2380</v>
      </c>
      <c r="T1509" t="s">
        <v>2383</v>
      </c>
      <c r="U1509" s="8">
        <v>45932.760717592595</v>
      </c>
      <c r="V1509" s="8">
        <v>45937.958333333336</v>
      </c>
      <c r="W1509">
        <v>1</v>
      </c>
      <c r="X1509">
        <v>1.8366319440000001</v>
      </c>
      <c r="Y1509" t="s">
        <v>2542</v>
      </c>
      <c r="Z1509" t="s">
        <v>5874</v>
      </c>
      <c r="AA1509" t="s">
        <v>2888</v>
      </c>
      <c r="AB1509" t="s">
        <v>1278</v>
      </c>
      <c r="AD1509" t="s">
        <v>2708</v>
      </c>
      <c r="AE1509">
        <v>1</v>
      </c>
      <c r="AO1509" t="s">
        <v>2547</v>
      </c>
      <c r="AP1509" t="s">
        <v>2401</v>
      </c>
    </row>
    <row r="1510" spans="1:42">
      <c r="A1510" t="s">
        <v>5151</v>
      </c>
      <c r="B1510" t="s">
        <v>2389</v>
      </c>
      <c r="C1510" t="s">
        <v>2390</v>
      </c>
      <c r="D1510" t="s">
        <v>2379</v>
      </c>
      <c r="E1510" t="s">
        <v>12</v>
      </c>
      <c r="F1510" t="s">
        <v>5085</v>
      </c>
      <c r="G1510" t="s">
        <v>12</v>
      </c>
      <c r="H1510" t="b">
        <v>1</v>
      </c>
      <c r="I1510" s="8">
        <v>45937.386064814818</v>
      </c>
      <c r="J1510" t="s">
        <v>2380</v>
      </c>
      <c r="K1510">
        <v>1200433</v>
      </c>
      <c r="L1510">
        <v>602945</v>
      </c>
      <c r="M1510" t="s">
        <v>2381</v>
      </c>
      <c r="P1510" t="s">
        <v>5107</v>
      </c>
      <c r="Q1510" t="s">
        <v>2383</v>
      </c>
      <c r="R1510">
        <v>1</v>
      </c>
      <c r="S1510" t="s">
        <v>2380</v>
      </c>
      <c r="T1510" t="s">
        <v>5117</v>
      </c>
      <c r="U1510" s="8">
        <v>45932.806342592594</v>
      </c>
      <c r="V1510" s="8">
        <v>45937.958333333336</v>
      </c>
      <c r="W1510">
        <v>1</v>
      </c>
      <c r="X1510">
        <v>2.579722222</v>
      </c>
      <c r="Y1510" t="s">
        <v>5087</v>
      </c>
      <c r="Z1510" t="s">
        <v>5152</v>
      </c>
      <c r="AA1510" t="s">
        <v>5090</v>
      </c>
      <c r="AB1510" t="s">
        <v>1278</v>
      </c>
      <c r="AC1510" t="s">
        <v>5153</v>
      </c>
      <c r="AD1510" t="s">
        <v>2708</v>
      </c>
      <c r="AE1510">
        <v>1</v>
      </c>
      <c r="AO1510" t="s">
        <v>2720</v>
      </c>
      <c r="AP1510" t="s">
        <v>2401</v>
      </c>
    </row>
    <row r="1511" spans="1:42">
      <c r="A1511" t="s">
        <v>7249</v>
      </c>
      <c r="B1511" t="s">
        <v>2389</v>
      </c>
      <c r="C1511" t="s">
        <v>2691</v>
      </c>
      <c r="D1511" t="s">
        <v>2379</v>
      </c>
      <c r="E1511" t="s">
        <v>28</v>
      </c>
      <c r="F1511">
        <v>4218</v>
      </c>
      <c r="G1511" t="s">
        <v>28</v>
      </c>
      <c r="H1511" t="b">
        <v>1</v>
      </c>
      <c r="I1511" s="8">
        <v>45944.681597222225</v>
      </c>
      <c r="J1511" t="s">
        <v>2380</v>
      </c>
      <c r="K1511">
        <v>1202403</v>
      </c>
      <c r="L1511">
        <v>603321</v>
      </c>
      <c r="M1511" t="s">
        <v>2381</v>
      </c>
      <c r="N1511">
        <v>15</v>
      </c>
      <c r="P1511" t="s">
        <v>2394</v>
      </c>
      <c r="Q1511" t="s">
        <v>2383</v>
      </c>
      <c r="R1511">
        <v>1</v>
      </c>
      <c r="S1511" t="s">
        <v>2380</v>
      </c>
      <c r="T1511" t="s">
        <v>2383</v>
      </c>
      <c r="U1511" s="8">
        <v>45932.837337962963</v>
      </c>
      <c r="V1511" s="8">
        <v>45944.958333333336</v>
      </c>
      <c r="W1511">
        <v>1</v>
      </c>
      <c r="X1511">
        <v>7.8442592590000002</v>
      </c>
      <c r="Y1511" t="s">
        <v>3428</v>
      </c>
      <c r="Z1511" t="s">
        <v>7250</v>
      </c>
      <c r="AA1511" t="s">
        <v>7251</v>
      </c>
      <c r="AB1511" t="s">
        <v>1278</v>
      </c>
      <c r="AC1511" t="s">
        <v>7252</v>
      </c>
      <c r="AD1511" t="s">
        <v>2708</v>
      </c>
      <c r="AE1511">
        <v>1</v>
      </c>
      <c r="AO1511" t="s">
        <v>2388</v>
      </c>
      <c r="AP1511" t="s">
        <v>2401</v>
      </c>
    </row>
    <row r="1512" spans="1:42">
      <c r="A1512" t="s">
        <v>5416</v>
      </c>
      <c r="B1512" t="s">
        <v>2389</v>
      </c>
      <c r="C1512" t="s">
        <v>2415</v>
      </c>
      <c r="D1512" t="s">
        <v>2379</v>
      </c>
      <c r="E1512" t="s">
        <v>2416</v>
      </c>
      <c r="F1512" t="s">
        <v>2402</v>
      </c>
      <c r="G1512" t="s">
        <v>2416</v>
      </c>
      <c r="H1512" t="b">
        <v>1</v>
      </c>
      <c r="I1512" s="8">
        <v>45936.73233796296</v>
      </c>
      <c r="J1512" t="s">
        <v>2380</v>
      </c>
      <c r="K1512">
        <v>1200425</v>
      </c>
      <c r="L1512">
        <v>602645</v>
      </c>
      <c r="M1512" t="s">
        <v>2381</v>
      </c>
      <c r="P1512" t="s">
        <v>2394</v>
      </c>
      <c r="Q1512" t="s">
        <v>2383</v>
      </c>
      <c r="R1512">
        <v>1</v>
      </c>
      <c r="S1512" t="s">
        <v>2380</v>
      </c>
      <c r="T1512" t="s">
        <v>2383</v>
      </c>
      <c r="U1512" s="8">
        <v>45932.870868055557</v>
      </c>
      <c r="V1512" s="8">
        <v>45937.958333333336</v>
      </c>
      <c r="W1512">
        <v>1</v>
      </c>
      <c r="X1512">
        <v>1.861469907</v>
      </c>
      <c r="Y1512" t="s">
        <v>2403</v>
      </c>
      <c r="Z1512" t="s">
        <v>5417</v>
      </c>
      <c r="AA1512" t="s">
        <v>2475</v>
      </c>
      <c r="AB1512" t="s">
        <v>1278</v>
      </c>
      <c r="AC1512" t="s">
        <v>5418</v>
      </c>
      <c r="AD1512" t="s">
        <v>2708</v>
      </c>
      <c r="AE1512">
        <v>1</v>
      </c>
      <c r="AO1512" t="s">
        <v>2408</v>
      </c>
      <c r="AP1512" t="s">
        <v>2401</v>
      </c>
    </row>
    <row r="1513" spans="1:42">
      <c r="A1513" t="s">
        <v>5419</v>
      </c>
      <c r="B1513" t="s">
        <v>2389</v>
      </c>
      <c r="C1513" t="s">
        <v>2390</v>
      </c>
      <c r="D1513" t="s">
        <v>2379</v>
      </c>
      <c r="E1513" t="s">
        <v>2416</v>
      </c>
      <c r="F1513" t="s">
        <v>2402</v>
      </c>
      <c r="G1513" t="s">
        <v>2416</v>
      </c>
      <c r="H1513" t="b">
        <v>1</v>
      </c>
      <c r="I1513" s="8">
        <v>45937.440104166664</v>
      </c>
      <c r="J1513" t="s">
        <v>2380</v>
      </c>
      <c r="K1513">
        <v>1200448</v>
      </c>
      <c r="L1513">
        <v>602645</v>
      </c>
      <c r="M1513" t="s">
        <v>2381</v>
      </c>
      <c r="P1513" t="s">
        <v>2394</v>
      </c>
      <c r="Q1513" t="s">
        <v>2383</v>
      </c>
      <c r="R1513">
        <v>1</v>
      </c>
      <c r="S1513" t="s">
        <v>2380</v>
      </c>
      <c r="T1513" t="s">
        <v>2383</v>
      </c>
      <c r="U1513" s="8">
        <v>45932.871562499997</v>
      </c>
      <c r="V1513" s="8">
        <v>45937.958333333336</v>
      </c>
      <c r="W1513">
        <v>1</v>
      </c>
      <c r="X1513">
        <v>2.5685416669999999</v>
      </c>
      <c r="Y1513" t="s">
        <v>2403</v>
      </c>
      <c r="Z1513" t="s">
        <v>5420</v>
      </c>
      <c r="AA1513" t="s">
        <v>2475</v>
      </c>
      <c r="AB1513" t="s">
        <v>1278</v>
      </c>
      <c r="AC1513" t="s">
        <v>5421</v>
      </c>
      <c r="AD1513" t="s">
        <v>2708</v>
      </c>
      <c r="AE1513">
        <v>1</v>
      </c>
      <c r="AO1513" t="s">
        <v>2408</v>
      </c>
      <c r="AP1513" t="s">
        <v>2401</v>
      </c>
    </row>
    <row r="1514" spans="1:42">
      <c r="A1514" t="s">
        <v>5422</v>
      </c>
      <c r="B1514" t="s">
        <v>2389</v>
      </c>
      <c r="C1514" t="s">
        <v>2390</v>
      </c>
      <c r="D1514" t="s">
        <v>2379</v>
      </c>
      <c r="E1514" t="s">
        <v>2416</v>
      </c>
      <c r="F1514" t="s">
        <v>2402</v>
      </c>
      <c r="G1514" t="s">
        <v>2416</v>
      </c>
      <c r="H1514" t="b">
        <v>1</v>
      </c>
      <c r="I1514" s="8">
        <v>45937.452650462961</v>
      </c>
      <c r="J1514" t="s">
        <v>2380</v>
      </c>
      <c r="K1514">
        <v>1200450</v>
      </c>
      <c r="L1514">
        <v>602645</v>
      </c>
      <c r="M1514" t="s">
        <v>2381</v>
      </c>
      <c r="P1514" t="s">
        <v>2394</v>
      </c>
      <c r="Q1514" t="s">
        <v>2383</v>
      </c>
      <c r="R1514">
        <v>1</v>
      </c>
      <c r="S1514" t="s">
        <v>2380</v>
      </c>
      <c r="T1514" t="s">
        <v>2383</v>
      </c>
      <c r="U1514" s="8">
        <v>45932.872893518521</v>
      </c>
      <c r="V1514" s="8">
        <v>45937.958333333336</v>
      </c>
      <c r="W1514">
        <v>1</v>
      </c>
      <c r="X1514">
        <v>2.5797569440000001</v>
      </c>
      <c r="Y1514" t="s">
        <v>2403</v>
      </c>
      <c r="Z1514" t="s">
        <v>5423</v>
      </c>
      <c r="AA1514" t="s">
        <v>2475</v>
      </c>
      <c r="AB1514" t="s">
        <v>1278</v>
      </c>
      <c r="AC1514" t="s">
        <v>5424</v>
      </c>
      <c r="AD1514" t="s">
        <v>2708</v>
      </c>
      <c r="AE1514">
        <v>1</v>
      </c>
      <c r="AO1514" t="s">
        <v>2408</v>
      </c>
      <c r="AP1514" t="s">
        <v>2401</v>
      </c>
    </row>
    <row r="1515" spans="1:42">
      <c r="A1515" t="s">
        <v>7638</v>
      </c>
      <c r="B1515" t="s">
        <v>2389</v>
      </c>
      <c r="C1515" t="s">
        <v>2415</v>
      </c>
      <c r="D1515" t="s">
        <v>2379</v>
      </c>
      <c r="E1515" t="s">
        <v>2452</v>
      </c>
      <c r="F1515" t="s">
        <v>7576</v>
      </c>
      <c r="G1515" t="s">
        <v>2452</v>
      </c>
      <c r="H1515" t="b">
        <v>1</v>
      </c>
      <c r="I1515" s="8">
        <v>45934.729629629626</v>
      </c>
      <c r="J1515" t="s">
        <v>2380</v>
      </c>
      <c r="K1515">
        <v>1200234</v>
      </c>
      <c r="L1515">
        <v>602665</v>
      </c>
      <c r="M1515" t="s">
        <v>2381</v>
      </c>
      <c r="P1515" t="s">
        <v>2394</v>
      </c>
      <c r="Q1515" t="s">
        <v>2383</v>
      </c>
      <c r="R1515">
        <v>1</v>
      </c>
      <c r="S1515" t="s">
        <v>2380</v>
      </c>
      <c r="T1515" t="s">
        <v>2383</v>
      </c>
      <c r="U1515" s="8">
        <v>45933.288576388892</v>
      </c>
      <c r="V1515" s="8">
        <v>45937.958333333336</v>
      </c>
      <c r="W1515">
        <v>1</v>
      </c>
      <c r="X1515">
        <v>1.4410532410000001</v>
      </c>
      <c r="Y1515" t="s">
        <v>7578</v>
      </c>
      <c r="Z1515" t="s">
        <v>7639</v>
      </c>
      <c r="AA1515" t="s">
        <v>7580</v>
      </c>
      <c r="AB1515" t="s">
        <v>1278</v>
      </c>
      <c r="AC1515" t="s">
        <v>7640</v>
      </c>
      <c r="AD1515" t="s">
        <v>2708</v>
      </c>
      <c r="AE1515">
        <v>1</v>
      </c>
      <c r="AO1515" t="s">
        <v>2957</v>
      </c>
      <c r="AP1515" t="s">
        <v>2401</v>
      </c>
    </row>
    <row r="1516" spans="1:42">
      <c r="A1516" t="s">
        <v>7641</v>
      </c>
      <c r="B1516" t="s">
        <v>2389</v>
      </c>
      <c r="C1516" t="s">
        <v>2415</v>
      </c>
      <c r="D1516" t="s">
        <v>2379</v>
      </c>
      <c r="E1516" t="s">
        <v>2452</v>
      </c>
      <c r="F1516" t="s">
        <v>7576</v>
      </c>
      <c r="G1516" t="s">
        <v>2452</v>
      </c>
      <c r="H1516" t="b">
        <v>1</v>
      </c>
      <c r="I1516" s="8">
        <v>45934.719050925924</v>
      </c>
      <c r="J1516" t="s">
        <v>2380</v>
      </c>
      <c r="K1516">
        <v>1200232</v>
      </c>
      <c r="L1516">
        <v>602665</v>
      </c>
      <c r="M1516" t="s">
        <v>2381</v>
      </c>
      <c r="P1516" t="s">
        <v>2394</v>
      </c>
      <c r="Q1516" t="s">
        <v>2383</v>
      </c>
      <c r="R1516">
        <v>1</v>
      </c>
      <c r="S1516" t="s">
        <v>2380</v>
      </c>
      <c r="T1516" t="s">
        <v>2383</v>
      </c>
      <c r="U1516" s="8">
        <v>45933.288587962961</v>
      </c>
      <c r="V1516" s="8">
        <v>45937.958333333336</v>
      </c>
      <c r="W1516">
        <v>1</v>
      </c>
      <c r="X1516">
        <v>1.4304629630000001</v>
      </c>
      <c r="Y1516" t="s">
        <v>7578</v>
      </c>
      <c r="Z1516" t="s">
        <v>7642</v>
      </c>
      <c r="AA1516" t="s">
        <v>7580</v>
      </c>
      <c r="AB1516" t="s">
        <v>1278</v>
      </c>
      <c r="AC1516" t="s">
        <v>7643</v>
      </c>
      <c r="AD1516" t="s">
        <v>2708</v>
      </c>
      <c r="AE1516">
        <v>1</v>
      </c>
      <c r="AO1516" t="s">
        <v>2957</v>
      </c>
      <c r="AP1516" t="s">
        <v>2401</v>
      </c>
    </row>
    <row r="1517" spans="1:42">
      <c r="A1517" t="s">
        <v>6661</v>
      </c>
      <c r="B1517" t="s">
        <v>2389</v>
      </c>
      <c r="C1517" t="s">
        <v>2415</v>
      </c>
      <c r="D1517" t="s">
        <v>2379</v>
      </c>
      <c r="E1517" t="s">
        <v>33</v>
      </c>
      <c r="F1517" t="s">
        <v>2588</v>
      </c>
      <c r="G1517" t="s">
        <v>33</v>
      </c>
      <c r="H1517" t="b">
        <v>1</v>
      </c>
      <c r="I1517" s="8">
        <v>45936.576018518521</v>
      </c>
      <c r="J1517" t="s">
        <v>2380</v>
      </c>
      <c r="K1517">
        <v>1200356</v>
      </c>
      <c r="L1517">
        <v>602590</v>
      </c>
      <c r="M1517" t="s">
        <v>2381</v>
      </c>
      <c r="P1517" t="s">
        <v>2394</v>
      </c>
      <c r="Q1517" t="s">
        <v>2383</v>
      </c>
      <c r="R1517">
        <v>1</v>
      </c>
      <c r="S1517" t="s">
        <v>2380</v>
      </c>
      <c r="T1517" t="s">
        <v>2383</v>
      </c>
      <c r="U1517" s="8">
        <v>45933.346574074072</v>
      </c>
      <c r="V1517" s="8">
        <v>45938.958333333336</v>
      </c>
      <c r="W1517">
        <v>1</v>
      </c>
      <c r="X1517">
        <v>1.2294444440000001</v>
      </c>
      <c r="Y1517" t="s">
        <v>2579</v>
      </c>
      <c r="Z1517" t="s">
        <v>6662</v>
      </c>
      <c r="AA1517" t="s">
        <v>3307</v>
      </c>
      <c r="AB1517" t="s">
        <v>1278</v>
      </c>
      <c r="AC1517" t="s">
        <v>6663</v>
      </c>
      <c r="AD1517" t="s">
        <v>2708</v>
      </c>
      <c r="AE1517">
        <v>1</v>
      </c>
      <c r="AO1517" t="s">
        <v>2388</v>
      </c>
      <c r="AP1517" t="s">
        <v>2401</v>
      </c>
    </row>
    <row r="1518" spans="1:42">
      <c r="A1518" t="s">
        <v>6664</v>
      </c>
      <c r="B1518" t="s">
        <v>2389</v>
      </c>
      <c r="C1518" t="s">
        <v>2415</v>
      </c>
      <c r="D1518" t="s">
        <v>2379</v>
      </c>
      <c r="E1518" t="s">
        <v>33</v>
      </c>
      <c r="F1518" t="s">
        <v>2588</v>
      </c>
      <c r="G1518" t="s">
        <v>33</v>
      </c>
      <c r="H1518" t="b">
        <v>1</v>
      </c>
      <c r="I1518" s="8">
        <v>45936.577662037038</v>
      </c>
      <c r="J1518" t="s">
        <v>2380</v>
      </c>
      <c r="K1518">
        <v>1200357</v>
      </c>
      <c r="L1518">
        <v>602590</v>
      </c>
      <c r="M1518" t="s">
        <v>2381</v>
      </c>
      <c r="P1518" t="s">
        <v>2394</v>
      </c>
      <c r="Q1518" t="s">
        <v>2383</v>
      </c>
      <c r="R1518">
        <v>1</v>
      </c>
      <c r="S1518" t="s">
        <v>2380</v>
      </c>
      <c r="T1518" t="s">
        <v>2383</v>
      </c>
      <c r="U1518" s="8">
        <v>45933.350115740737</v>
      </c>
      <c r="V1518" s="8">
        <v>45938.958333333336</v>
      </c>
      <c r="W1518">
        <v>1</v>
      </c>
      <c r="X1518">
        <v>1.2275462960000001</v>
      </c>
      <c r="Y1518" t="s">
        <v>2579</v>
      </c>
      <c r="Z1518" t="s">
        <v>6665</v>
      </c>
      <c r="AA1518" t="s">
        <v>3307</v>
      </c>
      <c r="AB1518" t="s">
        <v>1278</v>
      </c>
      <c r="AC1518" t="s">
        <v>6666</v>
      </c>
      <c r="AD1518" t="s">
        <v>2708</v>
      </c>
      <c r="AE1518">
        <v>1</v>
      </c>
      <c r="AO1518" t="s">
        <v>2388</v>
      </c>
      <c r="AP1518" t="s">
        <v>2401</v>
      </c>
    </row>
    <row r="1519" spans="1:42">
      <c r="A1519" t="s">
        <v>5875</v>
      </c>
      <c r="B1519" t="s">
        <v>2389</v>
      </c>
      <c r="C1519" t="s">
        <v>2438</v>
      </c>
      <c r="D1519" t="s">
        <v>2379</v>
      </c>
      <c r="E1519" t="s">
        <v>307</v>
      </c>
      <c r="F1519" t="s">
        <v>2541</v>
      </c>
      <c r="G1519" t="s">
        <v>307</v>
      </c>
      <c r="H1519" t="b">
        <v>1</v>
      </c>
      <c r="I1519" s="8">
        <v>45935.559340277781</v>
      </c>
      <c r="J1519" t="s">
        <v>2380</v>
      </c>
      <c r="K1519">
        <v>1200237</v>
      </c>
      <c r="L1519">
        <v>602299</v>
      </c>
      <c r="M1519" t="s">
        <v>2381</v>
      </c>
      <c r="P1519" t="s">
        <v>2548</v>
      </c>
      <c r="Q1519" t="s">
        <v>2383</v>
      </c>
      <c r="R1519">
        <v>1</v>
      </c>
      <c r="S1519" t="s">
        <v>2380</v>
      </c>
      <c r="T1519" t="s">
        <v>2383</v>
      </c>
      <c r="U1519" s="8">
        <v>45933.365416666667</v>
      </c>
      <c r="V1519" s="8">
        <v>45938.958333333336</v>
      </c>
      <c r="W1519">
        <v>1</v>
      </c>
      <c r="X1519">
        <v>0.193923611</v>
      </c>
      <c r="Y1519" t="s">
        <v>2542</v>
      </c>
      <c r="Z1519" t="s">
        <v>5876</v>
      </c>
      <c r="AA1519" t="s">
        <v>2927</v>
      </c>
      <c r="AB1519" t="s">
        <v>1278</v>
      </c>
      <c r="AD1519" t="s">
        <v>2708</v>
      </c>
      <c r="AE1519">
        <v>1</v>
      </c>
      <c r="AO1519" t="s">
        <v>2547</v>
      </c>
      <c r="AP1519" t="s">
        <v>2401</v>
      </c>
    </row>
    <row r="1520" spans="1:42">
      <c r="A1520" t="s">
        <v>1258</v>
      </c>
      <c r="B1520" t="s">
        <v>2377</v>
      </c>
      <c r="C1520" t="s">
        <v>2390</v>
      </c>
      <c r="D1520" t="s">
        <v>2379</v>
      </c>
      <c r="E1520" t="s">
        <v>12</v>
      </c>
      <c r="F1520" t="s">
        <v>3921</v>
      </c>
      <c r="G1520" t="s">
        <v>12</v>
      </c>
      <c r="H1520" t="b">
        <v>1</v>
      </c>
      <c r="I1520" s="8">
        <v>45937.583124999997</v>
      </c>
      <c r="J1520" t="s">
        <v>2380</v>
      </c>
      <c r="L1520">
        <v>608029</v>
      </c>
      <c r="M1520" t="s">
        <v>2381</v>
      </c>
      <c r="Q1520" t="s">
        <v>2383</v>
      </c>
      <c r="R1520">
        <v>1</v>
      </c>
      <c r="S1520" t="s">
        <v>2380</v>
      </c>
      <c r="T1520" t="s">
        <v>2383</v>
      </c>
      <c r="U1520" s="8">
        <v>45933.371851851851</v>
      </c>
      <c r="V1520" s="8">
        <v>45938.958333333336</v>
      </c>
      <c r="W1520">
        <v>1</v>
      </c>
      <c r="X1520">
        <v>2.2112731480000001</v>
      </c>
      <c r="Y1520" t="s">
        <v>1352</v>
      </c>
      <c r="Z1520" t="s">
        <v>3922</v>
      </c>
      <c r="AA1520" t="s">
        <v>3923</v>
      </c>
      <c r="AB1520" t="s">
        <v>1278</v>
      </c>
      <c r="AC1520" t="s">
        <v>3924</v>
      </c>
      <c r="AD1520" t="s">
        <v>2708</v>
      </c>
      <c r="AE1520">
        <v>1</v>
      </c>
      <c r="AO1520" t="s">
        <v>2720</v>
      </c>
      <c r="AP1520" t="s">
        <v>2401</v>
      </c>
    </row>
    <row r="1521" spans="1:42">
      <c r="A1521" t="s">
        <v>1259</v>
      </c>
      <c r="B1521" t="s">
        <v>2377</v>
      </c>
      <c r="C1521" t="s">
        <v>2390</v>
      </c>
      <c r="D1521" t="s">
        <v>2379</v>
      </c>
      <c r="E1521" t="s">
        <v>12</v>
      </c>
      <c r="F1521" t="s">
        <v>3921</v>
      </c>
      <c r="G1521" t="s">
        <v>12</v>
      </c>
      <c r="H1521" t="b">
        <v>1</v>
      </c>
      <c r="I1521" s="8">
        <v>45937.584409722222</v>
      </c>
      <c r="J1521" t="s">
        <v>2380</v>
      </c>
      <c r="L1521">
        <v>608029</v>
      </c>
      <c r="M1521" t="s">
        <v>2381</v>
      </c>
      <c r="Q1521" t="s">
        <v>2383</v>
      </c>
      <c r="R1521">
        <v>1</v>
      </c>
      <c r="S1521" t="s">
        <v>2380</v>
      </c>
      <c r="T1521" t="s">
        <v>2383</v>
      </c>
      <c r="U1521" s="8">
        <v>45933.372187499997</v>
      </c>
      <c r="V1521" s="8">
        <v>45938.958333333336</v>
      </c>
      <c r="W1521">
        <v>1</v>
      </c>
      <c r="X1521">
        <v>2.2122222219999998</v>
      </c>
      <c r="Y1521" t="s">
        <v>1352</v>
      </c>
      <c r="Z1521" t="s">
        <v>3925</v>
      </c>
      <c r="AA1521" t="s">
        <v>3923</v>
      </c>
      <c r="AB1521" t="s">
        <v>1278</v>
      </c>
      <c r="AC1521" t="s">
        <v>21</v>
      </c>
      <c r="AD1521" t="s">
        <v>2708</v>
      </c>
      <c r="AE1521">
        <v>1</v>
      </c>
      <c r="AO1521" t="s">
        <v>2720</v>
      </c>
      <c r="AP1521" t="s">
        <v>2401</v>
      </c>
    </row>
    <row r="1522" spans="1:42">
      <c r="A1522" t="s">
        <v>8181</v>
      </c>
      <c r="B1522" t="s">
        <v>2389</v>
      </c>
      <c r="C1522" t="s">
        <v>2390</v>
      </c>
      <c r="D1522" t="s">
        <v>2379</v>
      </c>
      <c r="E1522" t="s">
        <v>307</v>
      </c>
      <c r="F1522" t="s">
        <v>8109</v>
      </c>
      <c r="G1522" t="s">
        <v>307</v>
      </c>
      <c r="H1522" t="b">
        <v>1</v>
      </c>
      <c r="I1522" s="8">
        <v>45937.854826388888</v>
      </c>
      <c r="J1522" t="s">
        <v>2380</v>
      </c>
      <c r="K1522">
        <v>1200716</v>
      </c>
      <c r="L1522">
        <v>604185</v>
      </c>
      <c r="M1522" t="s">
        <v>2381</v>
      </c>
      <c r="P1522" t="s">
        <v>2394</v>
      </c>
      <c r="Q1522" t="s">
        <v>2395</v>
      </c>
      <c r="R1522">
        <v>1</v>
      </c>
      <c r="S1522" t="s">
        <v>2380</v>
      </c>
      <c r="T1522" t="s">
        <v>2383</v>
      </c>
      <c r="U1522" s="8">
        <v>45933.375891203701</v>
      </c>
      <c r="V1522" s="8">
        <v>45938.958333333336</v>
      </c>
      <c r="W1522">
        <v>1</v>
      </c>
      <c r="X1522">
        <v>2.4789351850000001</v>
      </c>
      <c r="Y1522" t="s">
        <v>8110</v>
      </c>
      <c r="Z1522" t="s">
        <v>8182</v>
      </c>
      <c r="AA1522" t="s">
        <v>8113</v>
      </c>
      <c r="AB1522" t="s">
        <v>1278</v>
      </c>
      <c r="AD1522" t="s">
        <v>2708</v>
      </c>
      <c r="AE1522">
        <v>1</v>
      </c>
      <c r="AO1522" t="s">
        <v>4137</v>
      </c>
      <c r="AP1522" t="s">
        <v>2401</v>
      </c>
    </row>
    <row r="1523" spans="1:42">
      <c r="A1523" t="s">
        <v>7731</v>
      </c>
      <c r="B1523" t="s">
        <v>2389</v>
      </c>
      <c r="C1523" t="s">
        <v>2378</v>
      </c>
      <c r="D1523" t="s">
        <v>2379</v>
      </c>
      <c r="E1523" t="s">
        <v>2452</v>
      </c>
      <c r="F1523" t="s">
        <v>4697</v>
      </c>
      <c r="G1523" t="s">
        <v>2452</v>
      </c>
      <c r="H1523" t="b">
        <v>1</v>
      </c>
      <c r="I1523" s="8">
        <v>45938.408518518518</v>
      </c>
      <c r="J1523" t="s">
        <v>2380</v>
      </c>
      <c r="K1523">
        <v>1200725</v>
      </c>
      <c r="L1523">
        <v>603948</v>
      </c>
      <c r="M1523" t="s">
        <v>2381</v>
      </c>
      <c r="P1523" t="s">
        <v>2394</v>
      </c>
      <c r="Q1523" t="s">
        <v>2383</v>
      </c>
      <c r="R1523">
        <v>1</v>
      </c>
      <c r="S1523" t="s">
        <v>2380</v>
      </c>
      <c r="T1523" t="s">
        <v>2383</v>
      </c>
      <c r="U1523" s="8">
        <v>45933.390752314815</v>
      </c>
      <c r="V1523" s="8">
        <v>45938.958333333336</v>
      </c>
      <c r="W1523">
        <v>1</v>
      </c>
      <c r="X1523">
        <v>3.017766204</v>
      </c>
      <c r="Y1523" t="s">
        <v>4698</v>
      </c>
      <c r="Z1523" t="s">
        <v>7732</v>
      </c>
      <c r="AA1523" t="s">
        <v>4701</v>
      </c>
      <c r="AB1523" t="s">
        <v>1278</v>
      </c>
      <c r="AC1523" t="s">
        <v>7733</v>
      </c>
      <c r="AD1523" t="s">
        <v>2708</v>
      </c>
      <c r="AE1523">
        <v>1</v>
      </c>
      <c r="AO1523" t="s">
        <v>2957</v>
      </c>
      <c r="AP1523" t="s">
        <v>2401</v>
      </c>
    </row>
    <row r="1524" spans="1:42">
      <c r="A1524" t="s">
        <v>7926</v>
      </c>
      <c r="B1524" t="s">
        <v>2389</v>
      </c>
      <c r="C1524" t="s">
        <v>2390</v>
      </c>
      <c r="D1524" t="s">
        <v>2379</v>
      </c>
      <c r="E1524" t="s">
        <v>28</v>
      </c>
      <c r="F1524" t="s">
        <v>4644</v>
      </c>
      <c r="G1524" t="s">
        <v>28</v>
      </c>
      <c r="H1524" t="b">
        <v>1</v>
      </c>
      <c r="I1524" s="8">
        <v>45937.639282407406</v>
      </c>
      <c r="J1524" t="s">
        <v>2380</v>
      </c>
      <c r="K1524">
        <v>1200555</v>
      </c>
      <c r="L1524">
        <v>603773</v>
      </c>
      <c r="M1524" t="s">
        <v>2381</v>
      </c>
      <c r="N1524">
        <v>15</v>
      </c>
      <c r="P1524" t="s">
        <v>2394</v>
      </c>
      <c r="Q1524" t="s">
        <v>2383</v>
      </c>
      <c r="R1524">
        <v>1</v>
      </c>
      <c r="S1524" t="s">
        <v>2380</v>
      </c>
      <c r="T1524" t="s">
        <v>2383</v>
      </c>
      <c r="U1524" s="8">
        <v>45933.397060185183</v>
      </c>
      <c r="V1524" s="8">
        <v>45938.958333333336</v>
      </c>
      <c r="W1524">
        <v>1</v>
      </c>
      <c r="X1524">
        <v>2.2422222220000001</v>
      </c>
      <c r="Y1524" t="s">
        <v>3578</v>
      </c>
      <c r="Z1524" t="s">
        <v>7927</v>
      </c>
      <c r="AA1524" t="s">
        <v>4647</v>
      </c>
      <c r="AB1524" t="s">
        <v>1278</v>
      </c>
      <c r="AC1524" t="s">
        <v>7928</v>
      </c>
      <c r="AD1524" t="s">
        <v>2708</v>
      </c>
      <c r="AE1524">
        <v>1</v>
      </c>
      <c r="AO1524" t="s">
        <v>2957</v>
      </c>
      <c r="AP1524" t="s">
        <v>2401</v>
      </c>
    </row>
    <row r="1525" spans="1:42">
      <c r="A1525" t="s">
        <v>10063</v>
      </c>
      <c r="B1525" t="s">
        <v>2389</v>
      </c>
      <c r="C1525" t="s">
        <v>2378</v>
      </c>
      <c r="D1525" t="s">
        <v>2379</v>
      </c>
      <c r="E1525" t="s">
        <v>2452</v>
      </c>
      <c r="F1525" t="s">
        <v>4644</v>
      </c>
      <c r="G1525" t="s">
        <v>2452</v>
      </c>
      <c r="H1525" t="b">
        <v>1</v>
      </c>
      <c r="I1525" s="8">
        <v>45938.467326388891</v>
      </c>
      <c r="J1525" t="s">
        <v>2380</v>
      </c>
      <c r="L1525">
        <v>603773</v>
      </c>
      <c r="M1525" t="s">
        <v>2381</v>
      </c>
      <c r="P1525" t="s">
        <v>2394</v>
      </c>
      <c r="Q1525" t="s">
        <v>2383</v>
      </c>
      <c r="R1525">
        <v>1</v>
      </c>
      <c r="S1525" t="s">
        <v>2380</v>
      </c>
      <c r="T1525" t="s">
        <v>2383</v>
      </c>
      <c r="U1525" s="8">
        <v>45933.397060185183</v>
      </c>
      <c r="V1525" s="8">
        <v>45938.958333333336</v>
      </c>
      <c r="W1525">
        <v>1</v>
      </c>
      <c r="X1525">
        <v>3.0702662040000002</v>
      </c>
      <c r="Y1525" t="s">
        <v>3578</v>
      </c>
      <c r="Z1525" t="s">
        <v>10064</v>
      </c>
      <c r="AA1525" t="s">
        <v>4647</v>
      </c>
      <c r="AB1525" t="s">
        <v>1278</v>
      </c>
      <c r="AC1525" t="s">
        <v>10065</v>
      </c>
      <c r="AE1525">
        <v>1</v>
      </c>
      <c r="AO1525" t="s">
        <v>2957</v>
      </c>
      <c r="AP1525" t="s">
        <v>2401</v>
      </c>
    </row>
    <row r="1526" spans="1:42">
      <c r="A1526" t="s">
        <v>10066</v>
      </c>
      <c r="B1526" t="s">
        <v>2389</v>
      </c>
      <c r="C1526" t="s">
        <v>2378</v>
      </c>
      <c r="D1526" t="s">
        <v>2379</v>
      </c>
      <c r="E1526" t="s">
        <v>2452</v>
      </c>
      <c r="F1526" t="s">
        <v>4644</v>
      </c>
      <c r="G1526" t="s">
        <v>2452</v>
      </c>
      <c r="H1526" t="b">
        <v>1</v>
      </c>
      <c r="I1526" s="8">
        <v>45938.46329861111</v>
      </c>
      <c r="J1526" t="s">
        <v>2380</v>
      </c>
      <c r="L1526">
        <v>603773</v>
      </c>
      <c r="M1526" t="s">
        <v>2381</v>
      </c>
      <c r="P1526" t="s">
        <v>2394</v>
      </c>
      <c r="Q1526" t="s">
        <v>2383</v>
      </c>
      <c r="R1526">
        <v>1</v>
      </c>
      <c r="S1526" t="s">
        <v>2380</v>
      </c>
      <c r="T1526" t="s">
        <v>2383</v>
      </c>
      <c r="U1526" s="8">
        <v>45933.397696759261</v>
      </c>
      <c r="V1526" s="8">
        <v>45938.958333333336</v>
      </c>
      <c r="W1526">
        <v>1</v>
      </c>
      <c r="X1526">
        <v>3.0656018519999999</v>
      </c>
      <c r="Y1526" t="s">
        <v>3578</v>
      </c>
      <c r="Z1526" t="s">
        <v>10067</v>
      </c>
      <c r="AA1526" t="s">
        <v>4647</v>
      </c>
      <c r="AB1526" t="s">
        <v>1278</v>
      </c>
      <c r="AC1526" t="s">
        <v>10068</v>
      </c>
      <c r="AE1526">
        <v>1</v>
      </c>
      <c r="AO1526" t="s">
        <v>2957</v>
      </c>
      <c r="AP1526" t="s">
        <v>2401</v>
      </c>
    </row>
    <row r="1527" spans="1:42">
      <c r="A1527" t="s">
        <v>10069</v>
      </c>
      <c r="B1527" t="s">
        <v>2389</v>
      </c>
      <c r="C1527" t="s">
        <v>2378</v>
      </c>
      <c r="D1527" t="s">
        <v>2379</v>
      </c>
      <c r="E1527" t="s">
        <v>2452</v>
      </c>
      <c r="F1527" t="s">
        <v>4644</v>
      </c>
      <c r="G1527" t="s">
        <v>2452</v>
      </c>
      <c r="H1527" t="b">
        <v>1</v>
      </c>
      <c r="I1527" s="8">
        <v>45938.465671296297</v>
      </c>
      <c r="J1527" t="s">
        <v>2380</v>
      </c>
      <c r="L1527">
        <v>603773</v>
      </c>
      <c r="M1527" t="s">
        <v>2381</v>
      </c>
      <c r="P1527" t="s">
        <v>2394</v>
      </c>
      <c r="Q1527" t="s">
        <v>2383</v>
      </c>
      <c r="R1527">
        <v>1</v>
      </c>
      <c r="S1527" t="s">
        <v>2380</v>
      </c>
      <c r="T1527" t="s">
        <v>2383</v>
      </c>
      <c r="U1527" s="8">
        <v>45933.397696759261</v>
      </c>
      <c r="V1527" s="8">
        <v>45938.958333333336</v>
      </c>
      <c r="W1527">
        <v>1</v>
      </c>
      <c r="X1527">
        <v>3.067974537</v>
      </c>
      <c r="Y1527" t="s">
        <v>3578</v>
      </c>
      <c r="Z1527" t="s">
        <v>10070</v>
      </c>
      <c r="AA1527" t="s">
        <v>4647</v>
      </c>
      <c r="AB1527" t="s">
        <v>1278</v>
      </c>
      <c r="AC1527" t="s">
        <v>10071</v>
      </c>
      <c r="AE1527">
        <v>1</v>
      </c>
      <c r="AO1527" t="s">
        <v>2957</v>
      </c>
      <c r="AP1527" t="s">
        <v>2401</v>
      </c>
    </row>
    <row r="1528" spans="1:42">
      <c r="A1528" t="s">
        <v>7655</v>
      </c>
      <c r="B1528" t="s">
        <v>2389</v>
      </c>
      <c r="C1528" t="s">
        <v>2378</v>
      </c>
      <c r="D1528" t="s">
        <v>2379</v>
      </c>
      <c r="E1528" t="s">
        <v>2452</v>
      </c>
      <c r="F1528" t="s">
        <v>4644</v>
      </c>
      <c r="G1528" t="s">
        <v>2452</v>
      </c>
      <c r="H1528" t="b">
        <v>1</v>
      </c>
      <c r="I1528" s="8">
        <v>45938.454710648148</v>
      </c>
      <c r="J1528" t="s">
        <v>2380</v>
      </c>
      <c r="K1528">
        <v>1200741</v>
      </c>
      <c r="L1528">
        <v>603773</v>
      </c>
      <c r="M1528" t="s">
        <v>2381</v>
      </c>
      <c r="P1528" t="s">
        <v>2394</v>
      </c>
      <c r="Q1528" t="s">
        <v>2383</v>
      </c>
      <c r="R1528">
        <v>1</v>
      </c>
      <c r="S1528" t="s">
        <v>2380</v>
      </c>
      <c r="T1528" t="s">
        <v>2383</v>
      </c>
      <c r="U1528" s="8">
        <v>45933.398460648146</v>
      </c>
      <c r="V1528" s="8">
        <v>45938.958333333336</v>
      </c>
      <c r="W1528">
        <v>1</v>
      </c>
      <c r="X1528">
        <v>3.0562499999999999</v>
      </c>
      <c r="Y1528" t="s">
        <v>3578</v>
      </c>
      <c r="Z1528" t="s">
        <v>7656</v>
      </c>
      <c r="AA1528" t="s">
        <v>4647</v>
      </c>
      <c r="AB1528" t="s">
        <v>1278</v>
      </c>
      <c r="AC1528" t="s">
        <v>7657</v>
      </c>
      <c r="AD1528" t="s">
        <v>2708</v>
      </c>
      <c r="AE1528">
        <v>1</v>
      </c>
      <c r="AO1528" t="s">
        <v>2957</v>
      </c>
      <c r="AP1528" t="s">
        <v>2401</v>
      </c>
    </row>
    <row r="1529" spans="1:42">
      <c r="A1529" t="s">
        <v>7658</v>
      </c>
      <c r="B1529" t="s">
        <v>2389</v>
      </c>
      <c r="C1529" t="s">
        <v>2378</v>
      </c>
      <c r="D1529" t="s">
        <v>2379</v>
      </c>
      <c r="E1529" t="s">
        <v>2452</v>
      </c>
      <c r="F1529" t="s">
        <v>4644</v>
      </c>
      <c r="G1529" t="s">
        <v>2452</v>
      </c>
      <c r="H1529" t="b">
        <v>1</v>
      </c>
      <c r="I1529" s="8">
        <v>45938.461875000001</v>
      </c>
      <c r="J1529" t="s">
        <v>2380</v>
      </c>
      <c r="K1529">
        <v>1200798</v>
      </c>
      <c r="L1529">
        <v>603773</v>
      </c>
      <c r="M1529" t="s">
        <v>2381</v>
      </c>
      <c r="P1529" t="s">
        <v>2394</v>
      </c>
      <c r="Q1529" t="s">
        <v>2383</v>
      </c>
      <c r="R1529">
        <v>1</v>
      </c>
      <c r="S1529" t="s">
        <v>2380</v>
      </c>
      <c r="T1529" t="s">
        <v>2383</v>
      </c>
      <c r="U1529" s="8">
        <v>45933.413923611108</v>
      </c>
      <c r="V1529" s="8">
        <v>45938.958333333336</v>
      </c>
      <c r="W1529">
        <v>1</v>
      </c>
      <c r="X1529">
        <v>3.0479513890000001</v>
      </c>
      <c r="Y1529" t="s">
        <v>3578</v>
      </c>
      <c r="Z1529" t="s">
        <v>7659</v>
      </c>
      <c r="AA1529" t="s">
        <v>4647</v>
      </c>
      <c r="AB1529" t="s">
        <v>1278</v>
      </c>
      <c r="AC1529" t="s">
        <v>7660</v>
      </c>
      <c r="AD1529" t="s">
        <v>2708</v>
      </c>
      <c r="AE1529">
        <v>1</v>
      </c>
      <c r="AO1529" t="s">
        <v>2957</v>
      </c>
      <c r="AP1529" t="s">
        <v>2401</v>
      </c>
    </row>
    <row r="1530" spans="1:42">
      <c r="A1530" t="s">
        <v>3345</v>
      </c>
      <c r="B1530" t="s">
        <v>2389</v>
      </c>
      <c r="C1530" t="s">
        <v>2378</v>
      </c>
      <c r="D1530" t="s">
        <v>2379</v>
      </c>
      <c r="E1530" t="s">
        <v>2452</v>
      </c>
      <c r="F1530" t="s">
        <v>2578</v>
      </c>
      <c r="G1530" t="s">
        <v>2452</v>
      </c>
      <c r="H1530" t="b">
        <v>1</v>
      </c>
      <c r="I1530" s="8">
        <v>45938.447025462963</v>
      </c>
      <c r="J1530" t="s">
        <v>2380</v>
      </c>
      <c r="K1530">
        <v>1186440</v>
      </c>
      <c r="L1530">
        <v>602831</v>
      </c>
      <c r="M1530" t="s">
        <v>2381</v>
      </c>
      <c r="P1530" t="s">
        <v>2394</v>
      </c>
      <c r="Q1530" t="s">
        <v>2383</v>
      </c>
      <c r="R1530">
        <v>1</v>
      </c>
      <c r="S1530" t="s">
        <v>2380</v>
      </c>
      <c r="T1530" t="s">
        <v>2383</v>
      </c>
      <c r="U1530" s="8">
        <v>45933.414710648147</v>
      </c>
      <c r="V1530" s="8">
        <v>45938.958333333336</v>
      </c>
      <c r="W1530">
        <v>1</v>
      </c>
      <c r="X1530">
        <v>3.0323148149999999</v>
      </c>
      <c r="Y1530" t="s">
        <v>2579</v>
      </c>
      <c r="Z1530" t="s">
        <v>3346</v>
      </c>
      <c r="AA1530" t="s">
        <v>2653</v>
      </c>
      <c r="AB1530" t="s">
        <v>1278</v>
      </c>
      <c r="AC1530" t="s">
        <v>3347</v>
      </c>
      <c r="AE1530">
        <v>1</v>
      </c>
      <c r="AO1530" t="s">
        <v>2388</v>
      </c>
      <c r="AP1530" t="s">
        <v>2401</v>
      </c>
    </row>
    <row r="1531" spans="1:42">
      <c r="A1531" t="s">
        <v>9272</v>
      </c>
      <c r="B1531" t="s">
        <v>2389</v>
      </c>
      <c r="C1531" t="s">
        <v>2390</v>
      </c>
      <c r="D1531" t="s">
        <v>2379</v>
      </c>
      <c r="E1531" t="s">
        <v>24</v>
      </c>
      <c r="F1531" t="s">
        <v>4897</v>
      </c>
      <c r="G1531" t="s">
        <v>24</v>
      </c>
      <c r="H1531" t="b">
        <v>1</v>
      </c>
      <c r="I1531" s="8">
        <v>45938.412951388891</v>
      </c>
      <c r="J1531" t="s">
        <v>2380</v>
      </c>
      <c r="K1531">
        <v>1200018</v>
      </c>
      <c r="L1531">
        <v>603929</v>
      </c>
      <c r="M1531" t="s">
        <v>2381</v>
      </c>
      <c r="Q1531" t="s">
        <v>2383</v>
      </c>
      <c r="R1531">
        <v>1</v>
      </c>
      <c r="S1531" t="s">
        <v>2380</v>
      </c>
      <c r="T1531" t="s">
        <v>2383</v>
      </c>
      <c r="U1531" s="8">
        <v>45933.41746527778</v>
      </c>
      <c r="V1531" s="8">
        <v>45938.958333333336</v>
      </c>
      <c r="W1531">
        <v>1</v>
      </c>
      <c r="X1531">
        <v>2.995486111</v>
      </c>
      <c r="Y1531" t="s">
        <v>4898</v>
      </c>
      <c r="Z1531" t="s">
        <v>9273</v>
      </c>
      <c r="AA1531" t="s">
        <v>5025</v>
      </c>
      <c r="AB1531" t="s">
        <v>1278</v>
      </c>
      <c r="AD1531" t="s">
        <v>2708</v>
      </c>
      <c r="AE1531">
        <v>1</v>
      </c>
      <c r="AH1531" t="s">
        <v>33</v>
      </c>
      <c r="AI1531" s="8">
        <v>45936.580208333333</v>
      </c>
      <c r="AK1531" t="s">
        <v>2719</v>
      </c>
      <c r="AL1531" t="s">
        <v>2719</v>
      </c>
      <c r="AO1531" t="s">
        <v>2715</v>
      </c>
      <c r="AP1531" t="s">
        <v>2401</v>
      </c>
    </row>
    <row r="1532" spans="1:42">
      <c r="A1532" t="s">
        <v>6908</v>
      </c>
      <c r="B1532" t="s">
        <v>2389</v>
      </c>
      <c r="C1532" t="s">
        <v>2390</v>
      </c>
      <c r="D1532" t="s">
        <v>2379</v>
      </c>
      <c r="E1532" t="s">
        <v>2452</v>
      </c>
      <c r="F1532" t="s">
        <v>2578</v>
      </c>
      <c r="G1532" t="s">
        <v>2452</v>
      </c>
      <c r="H1532" t="b">
        <v>1</v>
      </c>
      <c r="I1532" s="8">
        <v>45938.415891203702</v>
      </c>
      <c r="J1532" t="s">
        <v>2380</v>
      </c>
      <c r="K1532">
        <v>1200727</v>
      </c>
      <c r="L1532">
        <v>601730</v>
      </c>
      <c r="M1532" t="s">
        <v>2381</v>
      </c>
      <c r="P1532" t="s">
        <v>2394</v>
      </c>
      <c r="Q1532" t="s">
        <v>2383</v>
      </c>
      <c r="R1532">
        <v>1</v>
      </c>
      <c r="S1532" t="s">
        <v>2380</v>
      </c>
      <c r="T1532" t="s">
        <v>2383</v>
      </c>
      <c r="U1532" s="8">
        <v>45933.421585648146</v>
      </c>
      <c r="V1532" s="8">
        <v>45938.958333333336</v>
      </c>
      <c r="W1532">
        <v>1</v>
      </c>
      <c r="X1532">
        <v>2.994305556</v>
      </c>
      <c r="Y1532" t="s">
        <v>2579</v>
      </c>
      <c r="Z1532" t="s">
        <v>6909</v>
      </c>
      <c r="AA1532" t="s">
        <v>4426</v>
      </c>
      <c r="AB1532" t="s">
        <v>1278</v>
      </c>
      <c r="AC1532" t="s">
        <v>6910</v>
      </c>
      <c r="AD1532" t="s">
        <v>2708</v>
      </c>
      <c r="AE1532">
        <v>1</v>
      </c>
      <c r="AO1532" t="s">
        <v>2388</v>
      </c>
      <c r="AP1532" t="s">
        <v>2401</v>
      </c>
    </row>
    <row r="1533" spans="1:42">
      <c r="A1533" t="s">
        <v>7552</v>
      </c>
      <c r="B1533" t="s">
        <v>2389</v>
      </c>
      <c r="C1533" t="s">
        <v>2390</v>
      </c>
      <c r="D1533" t="s">
        <v>2379</v>
      </c>
      <c r="E1533" t="s">
        <v>307</v>
      </c>
      <c r="F1533" t="s">
        <v>4676</v>
      </c>
      <c r="G1533" t="s">
        <v>307</v>
      </c>
      <c r="H1533" t="b">
        <v>1</v>
      </c>
      <c r="I1533" s="8">
        <v>45937.990243055552</v>
      </c>
      <c r="J1533" t="s">
        <v>2380</v>
      </c>
      <c r="K1533">
        <v>1200719</v>
      </c>
      <c r="L1533">
        <v>602586</v>
      </c>
      <c r="M1533" t="s">
        <v>2381</v>
      </c>
      <c r="Q1533" t="s">
        <v>2383</v>
      </c>
      <c r="R1533">
        <v>1</v>
      </c>
      <c r="S1533" t="s">
        <v>2380</v>
      </c>
      <c r="T1533" t="s">
        <v>2383</v>
      </c>
      <c r="U1533" s="8">
        <v>45933.431145833332</v>
      </c>
      <c r="V1533" s="8">
        <v>45938.958333333336</v>
      </c>
      <c r="W1533">
        <v>1</v>
      </c>
      <c r="X1533">
        <v>2.5590972220000001</v>
      </c>
      <c r="Y1533" t="s">
        <v>4677</v>
      </c>
      <c r="Z1533" t="s">
        <v>7553</v>
      </c>
      <c r="AA1533" t="s">
        <v>4680</v>
      </c>
      <c r="AB1533" t="s">
        <v>1278</v>
      </c>
      <c r="AD1533" t="s">
        <v>2708</v>
      </c>
      <c r="AE1533">
        <v>1</v>
      </c>
      <c r="AO1533" t="s">
        <v>2957</v>
      </c>
      <c r="AP1533" t="s">
        <v>2401</v>
      </c>
    </row>
    <row r="1534" spans="1:42">
      <c r="A1534" t="s">
        <v>1263</v>
      </c>
      <c r="B1534" t="s">
        <v>2377</v>
      </c>
      <c r="C1534" t="s">
        <v>2378</v>
      </c>
      <c r="D1534" t="s">
        <v>2379</v>
      </c>
      <c r="E1534" t="s">
        <v>12</v>
      </c>
      <c r="F1534" t="s">
        <v>2588</v>
      </c>
      <c r="G1534" t="s">
        <v>12</v>
      </c>
      <c r="H1534" t="b">
        <v>1</v>
      </c>
      <c r="I1534" s="8">
        <v>45938.587696759256</v>
      </c>
      <c r="J1534" t="s">
        <v>2380</v>
      </c>
      <c r="L1534">
        <v>609709</v>
      </c>
      <c r="M1534" t="s">
        <v>2381</v>
      </c>
      <c r="Q1534" t="s">
        <v>2383</v>
      </c>
      <c r="R1534">
        <v>1</v>
      </c>
      <c r="S1534" t="s">
        <v>2380</v>
      </c>
      <c r="T1534" t="s">
        <v>2383</v>
      </c>
      <c r="U1534" s="8">
        <v>45933.433437500003</v>
      </c>
      <c r="V1534" s="8">
        <v>45938.958333333336</v>
      </c>
      <c r="W1534">
        <v>1</v>
      </c>
      <c r="X1534">
        <v>3.1542592589999998</v>
      </c>
      <c r="Y1534" t="s">
        <v>2579</v>
      </c>
      <c r="Z1534" t="s">
        <v>9743</v>
      </c>
      <c r="AA1534" t="s">
        <v>9744</v>
      </c>
      <c r="AB1534" t="s">
        <v>1278</v>
      </c>
      <c r="AC1534" t="s">
        <v>9745</v>
      </c>
      <c r="AD1534" t="s">
        <v>2708</v>
      </c>
      <c r="AE1534">
        <v>1</v>
      </c>
      <c r="AO1534" t="s">
        <v>3644</v>
      </c>
      <c r="AP1534" t="s">
        <v>2401</v>
      </c>
    </row>
    <row r="1535" spans="1:42">
      <c r="A1535" t="s">
        <v>2697</v>
      </c>
      <c r="B1535" t="s">
        <v>2377</v>
      </c>
      <c r="C1535" t="s">
        <v>2390</v>
      </c>
      <c r="D1535" t="s">
        <v>2379</v>
      </c>
      <c r="E1535" t="s">
        <v>12</v>
      </c>
      <c r="G1535" t="s">
        <v>12</v>
      </c>
      <c r="H1535" t="b">
        <v>1</v>
      </c>
      <c r="I1535" s="8">
        <v>45933.64162037037</v>
      </c>
      <c r="J1535" t="s">
        <v>2380</v>
      </c>
      <c r="L1535">
        <v>603525</v>
      </c>
      <c r="M1535" t="s">
        <v>2381</v>
      </c>
      <c r="Q1535" t="s">
        <v>2383</v>
      </c>
      <c r="R1535">
        <v>1</v>
      </c>
      <c r="S1535" t="s">
        <v>2380</v>
      </c>
      <c r="T1535" t="s">
        <v>2383</v>
      </c>
      <c r="U1535" s="8">
        <v>45930.918067129627</v>
      </c>
      <c r="V1535" s="8">
        <v>45933.958333333336</v>
      </c>
      <c r="W1535">
        <v>1</v>
      </c>
      <c r="X1535">
        <v>2.7235532409999998</v>
      </c>
      <c r="Z1535" t="s">
        <v>2698</v>
      </c>
      <c r="AA1535" t="s">
        <v>2699</v>
      </c>
      <c r="AB1535" t="s">
        <v>1278</v>
      </c>
      <c r="AC1535" t="s">
        <v>2700</v>
      </c>
      <c r="AE1535">
        <v>1</v>
      </c>
    </row>
    <row r="1536" spans="1:42">
      <c r="A1536" t="s">
        <v>3851</v>
      </c>
      <c r="B1536" t="s">
        <v>2389</v>
      </c>
      <c r="C1536" t="s">
        <v>2390</v>
      </c>
      <c r="D1536" t="s">
        <v>2379</v>
      </c>
      <c r="E1536" t="s">
        <v>2452</v>
      </c>
      <c r="F1536" t="s">
        <v>3747</v>
      </c>
      <c r="G1536" t="s">
        <v>2452</v>
      </c>
      <c r="H1536" t="b">
        <v>1</v>
      </c>
      <c r="I1536" s="8">
        <v>45937.587326388886</v>
      </c>
      <c r="J1536" t="s">
        <v>2380</v>
      </c>
      <c r="L1536">
        <v>603140</v>
      </c>
      <c r="M1536" t="s">
        <v>2381</v>
      </c>
      <c r="P1536" t="s">
        <v>2394</v>
      </c>
      <c r="Q1536" t="s">
        <v>2383</v>
      </c>
      <c r="R1536">
        <v>1</v>
      </c>
      <c r="S1536" t="s">
        <v>2380</v>
      </c>
      <c r="T1536" t="s">
        <v>2383</v>
      </c>
      <c r="U1536" s="8">
        <v>45933.46603009259</v>
      </c>
      <c r="V1536" s="8">
        <v>45938.958333333336</v>
      </c>
      <c r="W1536">
        <v>1</v>
      </c>
      <c r="X1536">
        <v>2.1212962960000001</v>
      </c>
      <c r="Y1536" t="s">
        <v>3748</v>
      </c>
      <c r="Z1536" t="s">
        <v>3852</v>
      </c>
      <c r="AA1536" t="s">
        <v>3853</v>
      </c>
      <c r="AB1536" t="s">
        <v>1278</v>
      </c>
      <c r="AC1536" t="s">
        <v>3854</v>
      </c>
      <c r="AE1536">
        <v>1</v>
      </c>
      <c r="AO1536" t="s">
        <v>2712</v>
      </c>
      <c r="AP1536" t="s">
        <v>2401</v>
      </c>
    </row>
    <row r="1537" spans="1:42">
      <c r="A1537" t="s">
        <v>4060</v>
      </c>
      <c r="B1537" t="s">
        <v>2389</v>
      </c>
      <c r="C1537" t="s">
        <v>2415</v>
      </c>
      <c r="D1537" t="s">
        <v>2379</v>
      </c>
      <c r="E1537" t="s">
        <v>2601</v>
      </c>
      <c r="F1537" t="s">
        <v>3747</v>
      </c>
      <c r="G1537" t="s">
        <v>2601</v>
      </c>
      <c r="H1537" t="b">
        <v>1</v>
      </c>
      <c r="I1537" s="8">
        <v>45936.640462962961</v>
      </c>
      <c r="J1537" t="s">
        <v>2380</v>
      </c>
      <c r="K1537">
        <v>1200380</v>
      </c>
      <c r="L1537">
        <v>602272</v>
      </c>
      <c r="M1537" t="s">
        <v>2381</v>
      </c>
      <c r="P1537" t="s">
        <v>2394</v>
      </c>
      <c r="Q1537" t="s">
        <v>2383</v>
      </c>
      <c r="R1537">
        <v>1</v>
      </c>
      <c r="S1537" t="s">
        <v>2380</v>
      </c>
      <c r="T1537" t="s">
        <v>2383</v>
      </c>
      <c r="U1537" s="8">
        <v>45933.46603009259</v>
      </c>
      <c r="V1537" s="8">
        <v>45938.958333333336</v>
      </c>
      <c r="W1537">
        <v>1</v>
      </c>
      <c r="X1537">
        <v>1.17443287</v>
      </c>
      <c r="Y1537" t="s">
        <v>3748</v>
      </c>
      <c r="Z1537" t="s">
        <v>4061</v>
      </c>
      <c r="AA1537" t="s">
        <v>3824</v>
      </c>
      <c r="AB1537" t="s">
        <v>1278</v>
      </c>
      <c r="AC1537" t="s">
        <v>4062</v>
      </c>
      <c r="AD1537" t="s">
        <v>2708</v>
      </c>
      <c r="AE1537">
        <v>1</v>
      </c>
      <c r="AO1537" t="s">
        <v>2712</v>
      </c>
      <c r="AP1537" t="s">
        <v>2401</v>
      </c>
    </row>
    <row r="1538" spans="1:42">
      <c r="A1538" t="s">
        <v>3855</v>
      </c>
      <c r="B1538" t="s">
        <v>2389</v>
      </c>
      <c r="C1538" t="s">
        <v>2390</v>
      </c>
      <c r="D1538" t="s">
        <v>2379</v>
      </c>
      <c r="E1538" t="s">
        <v>2452</v>
      </c>
      <c r="F1538" t="s">
        <v>3747</v>
      </c>
      <c r="G1538" t="s">
        <v>2452</v>
      </c>
      <c r="H1538" t="b">
        <v>1</v>
      </c>
      <c r="I1538" s="8">
        <v>45937.589675925927</v>
      </c>
      <c r="J1538" t="s">
        <v>2380</v>
      </c>
      <c r="L1538">
        <v>603140</v>
      </c>
      <c r="M1538" t="s">
        <v>2381</v>
      </c>
      <c r="P1538" t="s">
        <v>2394</v>
      </c>
      <c r="Q1538" t="s">
        <v>2383</v>
      </c>
      <c r="R1538">
        <v>1</v>
      </c>
      <c r="S1538" t="s">
        <v>2380</v>
      </c>
      <c r="T1538" t="s">
        <v>2383</v>
      </c>
      <c r="U1538" s="8">
        <v>45933.466886574075</v>
      </c>
      <c r="V1538" s="8">
        <v>45938.958333333336</v>
      </c>
      <c r="W1538">
        <v>1</v>
      </c>
      <c r="X1538">
        <v>2.1227893519999999</v>
      </c>
      <c r="Y1538" t="s">
        <v>3748</v>
      </c>
      <c r="Z1538" t="s">
        <v>3856</v>
      </c>
      <c r="AA1538" t="s">
        <v>3853</v>
      </c>
      <c r="AB1538" t="s">
        <v>1278</v>
      </c>
      <c r="AC1538" t="s">
        <v>3857</v>
      </c>
      <c r="AE1538">
        <v>1</v>
      </c>
      <c r="AO1538" t="s">
        <v>2712</v>
      </c>
      <c r="AP1538" t="s">
        <v>2401</v>
      </c>
    </row>
    <row r="1539" spans="1:42">
      <c r="A1539" t="s">
        <v>10126</v>
      </c>
      <c r="B1539" t="s">
        <v>2389</v>
      </c>
      <c r="C1539" t="s">
        <v>2378</v>
      </c>
      <c r="D1539" t="s">
        <v>2379</v>
      </c>
      <c r="E1539" t="s">
        <v>2416</v>
      </c>
      <c r="F1539" t="s">
        <v>3539</v>
      </c>
      <c r="G1539" t="s">
        <v>2416</v>
      </c>
      <c r="H1539" t="b">
        <v>1</v>
      </c>
      <c r="I1539" s="8">
        <v>45938.649062500001</v>
      </c>
      <c r="J1539" t="s">
        <v>2380</v>
      </c>
      <c r="L1539">
        <v>609968</v>
      </c>
      <c r="M1539" t="s">
        <v>2381</v>
      </c>
      <c r="P1539" t="s">
        <v>2394</v>
      </c>
      <c r="Q1539" t="s">
        <v>2383</v>
      </c>
      <c r="R1539">
        <v>1</v>
      </c>
      <c r="S1539" t="s">
        <v>2380</v>
      </c>
      <c r="T1539" t="s">
        <v>2383</v>
      </c>
      <c r="U1539" s="8">
        <v>45933.467418981483</v>
      </c>
      <c r="V1539" s="8">
        <v>45938.958333333336</v>
      </c>
      <c r="W1539">
        <v>1</v>
      </c>
      <c r="X1539">
        <v>3.1816435190000001</v>
      </c>
      <c r="Y1539" t="s">
        <v>3521</v>
      </c>
      <c r="Z1539" t="s">
        <v>10127</v>
      </c>
      <c r="AA1539" t="s">
        <v>10128</v>
      </c>
      <c r="AB1539" t="s">
        <v>1278</v>
      </c>
      <c r="AC1539" t="s">
        <v>10129</v>
      </c>
      <c r="AE1539">
        <v>1</v>
      </c>
      <c r="AO1539" t="s">
        <v>2957</v>
      </c>
      <c r="AP1539" t="s">
        <v>2401</v>
      </c>
    </row>
    <row r="1540" spans="1:42">
      <c r="A1540" t="s">
        <v>10009</v>
      </c>
      <c r="B1540" t="s">
        <v>2389</v>
      </c>
      <c r="C1540" t="s">
        <v>2390</v>
      </c>
      <c r="D1540" t="s">
        <v>2379</v>
      </c>
      <c r="E1540" t="s">
        <v>24</v>
      </c>
      <c r="F1540" t="s">
        <v>7432</v>
      </c>
      <c r="G1540" t="s">
        <v>24</v>
      </c>
      <c r="H1540" t="b">
        <v>1</v>
      </c>
      <c r="I1540" s="8">
        <v>45938.482638888891</v>
      </c>
      <c r="J1540" t="s">
        <v>2380</v>
      </c>
      <c r="K1540">
        <v>4817709</v>
      </c>
      <c r="L1540">
        <v>603783</v>
      </c>
      <c r="M1540" t="s">
        <v>2381</v>
      </c>
      <c r="P1540" t="s">
        <v>2394</v>
      </c>
      <c r="Q1540" t="s">
        <v>2383</v>
      </c>
      <c r="R1540">
        <v>1</v>
      </c>
      <c r="S1540" t="s">
        <v>2380</v>
      </c>
      <c r="T1540" t="s">
        <v>2383</v>
      </c>
      <c r="U1540" s="8">
        <v>45933.485844907409</v>
      </c>
      <c r="V1540" s="8">
        <v>45938.958333333336</v>
      </c>
      <c r="W1540">
        <v>1</v>
      </c>
      <c r="X1540">
        <v>2.9967939810000002</v>
      </c>
      <c r="Y1540" t="s">
        <v>7433</v>
      </c>
      <c r="Z1540" t="s">
        <v>10010</v>
      </c>
      <c r="AA1540" t="s">
        <v>7435</v>
      </c>
      <c r="AB1540" t="s">
        <v>1278</v>
      </c>
      <c r="AC1540" t="s">
        <v>10011</v>
      </c>
      <c r="AE1540">
        <v>1</v>
      </c>
      <c r="AO1540" t="s">
        <v>2957</v>
      </c>
      <c r="AP1540" t="s">
        <v>2401</v>
      </c>
    </row>
    <row r="1541" spans="1:42">
      <c r="A1541" t="s">
        <v>5236</v>
      </c>
      <c r="B1541" t="s">
        <v>2389</v>
      </c>
      <c r="C1541" t="s">
        <v>2390</v>
      </c>
      <c r="D1541" t="s">
        <v>2379</v>
      </c>
      <c r="E1541" t="s">
        <v>307</v>
      </c>
      <c r="F1541" t="s">
        <v>2402</v>
      </c>
      <c r="G1541" t="s">
        <v>307</v>
      </c>
      <c r="H1541" t="b">
        <v>1</v>
      </c>
      <c r="I1541" s="8">
        <v>45937.973032407404</v>
      </c>
      <c r="J1541" t="s">
        <v>2380</v>
      </c>
      <c r="K1541">
        <v>1200718</v>
      </c>
      <c r="L1541">
        <v>603917</v>
      </c>
      <c r="M1541" t="s">
        <v>2381</v>
      </c>
      <c r="Q1541" t="s">
        <v>2383</v>
      </c>
      <c r="R1541">
        <v>1</v>
      </c>
      <c r="S1541" t="s">
        <v>2380</v>
      </c>
      <c r="T1541" t="s">
        <v>2383</v>
      </c>
      <c r="U1541" s="8">
        <v>45933.495358796295</v>
      </c>
      <c r="V1541" s="8">
        <v>45938.958333333336</v>
      </c>
      <c r="W1541">
        <v>1</v>
      </c>
      <c r="X1541">
        <v>2.4776736110000002</v>
      </c>
      <c r="Y1541" t="s">
        <v>2403</v>
      </c>
      <c r="Z1541" t="s">
        <v>5237</v>
      </c>
      <c r="AA1541" t="s">
        <v>5238</v>
      </c>
      <c r="AB1541" t="s">
        <v>1278</v>
      </c>
      <c r="AD1541" t="s">
        <v>2708</v>
      </c>
      <c r="AE1541">
        <v>1</v>
      </c>
      <c r="AO1541" t="s">
        <v>2408</v>
      </c>
      <c r="AP1541" t="s">
        <v>2401</v>
      </c>
    </row>
    <row r="1542" spans="1:42">
      <c r="A1542" t="s">
        <v>8185</v>
      </c>
      <c r="B1542" t="s">
        <v>2389</v>
      </c>
      <c r="C1542" t="s">
        <v>2691</v>
      </c>
      <c r="D1542" t="s">
        <v>2379</v>
      </c>
      <c r="E1542" t="s">
        <v>307</v>
      </c>
      <c r="F1542" t="s">
        <v>2578</v>
      </c>
      <c r="G1542" t="s">
        <v>307</v>
      </c>
      <c r="H1542" t="b">
        <v>1</v>
      </c>
      <c r="I1542" s="8">
        <v>45940.522835648146</v>
      </c>
      <c r="J1542" t="s">
        <v>2380</v>
      </c>
      <c r="K1542">
        <v>1201627</v>
      </c>
      <c r="L1542">
        <v>604999</v>
      </c>
      <c r="M1542" t="s">
        <v>2381</v>
      </c>
      <c r="P1542" t="s">
        <v>2394</v>
      </c>
      <c r="Q1542" t="s">
        <v>2395</v>
      </c>
      <c r="R1542">
        <v>1</v>
      </c>
      <c r="S1542" t="s">
        <v>2380</v>
      </c>
      <c r="T1542" t="s">
        <v>2383</v>
      </c>
      <c r="U1542" s="8">
        <v>45933.508310185185</v>
      </c>
      <c r="V1542" s="8">
        <v>45943.958333333336</v>
      </c>
      <c r="W1542">
        <v>1</v>
      </c>
      <c r="X1542">
        <v>5.014525463</v>
      </c>
      <c r="Y1542" t="s">
        <v>2579</v>
      </c>
      <c r="Z1542" t="s">
        <v>8186</v>
      </c>
      <c r="AA1542" t="s">
        <v>8150</v>
      </c>
      <c r="AB1542" t="s">
        <v>1278</v>
      </c>
      <c r="AD1542" t="s">
        <v>2708</v>
      </c>
      <c r="AE1542">
        <v>1</v>
      </c>
      <c r="AO1542" t="s">
        <v>4137</v>
      </c>
      <c r="AP1542" t="s">
        <v>2401</v>
      </c>
    </row>
    <row r="1543" spans="1:42">
      <c r="A1543" t="s">
        <v>9704</v>
      </c>
      <c r="B1543" t="s">
        <v>2389</v>
      </c>
      <c r="C1543" t="s">
        <v>2390</v>
      </c>
      <c r="D1543" t="s">
        <v>2379</v>
      </c>
      <c r="E1543" t="s">
        <v>2416</v>
      </c>
      <c r="F1543" t="s">
        <v>2578</v>
      </c>
      <c r="G1543" t="s">
        <v>2416</v>
      </c>
      <c r="H1543" t="b">
        <v>1</v>
      </c>
      <c r="I1543" s="8">
        <v>45937.66673611111</v>
      </c>
      <c r="J1543" t="s">
        <v>2380</v>
      </c>
      <c r="K1543">
        <v>1200705</v>
      </c>
      <c r="L1543">
        <v>602429</v>
      </c>
      <c r="M1543" t="s">
        <v>2381</v>
      </c>
      <c r="Q1543" t="s">
        <v>2383</v>
      </c>
      <c r="R1543">
        <v>1</v>
      </c>
      <c r="S1543" t="s">
        <v>2380</v>
      </c>
      <c r="T1543" t="s">
        <v>2383</v>
      </c>
      <c r="U1543" s="8">
        <v>45933.511493055557</v>
      </c>
      <c r="V1543" s="8">
        <v>45938.958333333336</v>
      </c>
      <c r="W1543">
        <v>1</v>
      </c>
      <c r="X1543">
        <v>2.1552430560000002</v>
      </c>
      <c r="Y1543" t="s">
        <v>2579</v>
      </c>
      <c r="Z1543" t="s">
        <v>9705</v>
      </c>
      <c r="AA1543" t="s">
        <v>3606</v>
      </c>
      <c r="AB1543" t="s">
        <v>1278</v>
      </c>
      <c r="AC1543" t="s">
        <v>9706</v>
      </c>
      <c r="AD1543" t="s">
        <v>2708</v>
      </c>
      <c r="AE1543">
        <v>1</v>
      </c>
      <c r="AO1543" t="s">
        <v>3608</v>
      </c>
      <c r="AP1543" t="s">
        <v>2401</v>
      </c>
    </row>
    <row r="1544" spans="1:42">
      <c r="A1544" t="s">
        <v>5890</v>
      </c>
      <c r="B1544" t="s">
        <v>2389</v>
      </c>
      <c r="C1544" t="s">
        <v>2438</v>
      </c>
      <c r="D1544" t="s">
        <v>2379</v>
      </c>
      <c r="E1544" t="s">
        <v>307</v>
      </c>
      <c r="F1544" t="s">
        <v>2541</v>
      </c>
      <c r="G1544" t="s">
        <v>307</v>
      </c>
      <c r="H1544" t="b">
        <v>1</v>
      </c>
      <c r="I1544" s="8">
        <v>45935.806435185186</v>
      </c>
      <c r="J1544" t="s">
        <v>2380</v>
      </c>
      <c r="K1544">
        <v>1200242</v>
      </c>
      <c r="L1544">
        <v>608399</v>
      </c>
      <c r="M1544" t="s">
        <v>2381</v>
      </c>
      <c r="P1544" t="s">
        <v>2427</v>
      </c>
      <c r="Q1544" t="s">
        <v>2383</v>
      </c>
      <c r="R1544">
        <v>1</v>
      </c>
      <c r="S1544" t="s">
        <v>2380</v>
      </c>
      <c r="T1544" t="s">
        <v>2383</v>
      </c>
      <c r="U1544" s="8">
        <v>45933.514050925929</v>
      </c>
      <c r="V1544" s="8">
        <v>45938.958333333336</v>
      </c>
      <c r="W1544">
        <v>1</v>
      </c>
      <c r="X1544">
        <v>0.29238425899999998</v>
      </c>
      <c r="Y1544" t="s">
        <v>2542</v>
      </c>
      <c r="Z1544" t="s">
        <v>5891</v>
      </c>
      <c r="AA1544" t="s">
        <v>2576</v>
      </c>
      <c r="AB1544" t="s">
        <v>1278</v>
      </c>
      <c r="AC1544" t="s">
        <v>5892</v>
      </c>
      <c r="AD1544" t="s">
        <v>2708</v>
      </c>
      <c r="AE1544">
        <v>1</v>
      </c>
      <c r="AO1544" t="s">
        <v>2547</v>
      </c>
      <c r="AP1544" t="s">
        <v>2401</v>
      </c>
    </row>
    <row r="1545" spans="1:42">
      <c r="A1545" t="s">
        <v>3348</v>
      </c>
      <c r="B1545" t="s">
        <v>2389</v>
      </c>
      <c r="C1545" t="s">
        <v>2390</v>
      </c>
      <c r="D1545" t="s">
        <v>2379</v>
      </c>
      <c r="E1545" t="s">
        <v>2452</v>
      </c>
      <c r="F1545" t="s">
        <v>2578</v>
      </c>
      <c r="G1545" t="s">
        <v>2452</v>
      </c>
      <c r="H1545" t="b">
        <v>1</v>
      </c>
      <c r="I1545" s="8">
        <v>45937.597060185188</v>
      </c>
      <c r="J1545" t="s">
        <v>2380</v>
      </c>
      <c r="L1545">
        <v>606871</v>
      </c>
      <c r="M1545" t="s">
        <v>2381</v>
      </c>
      <c r="P1545" t="s">
        <v>2394</v>
      </c>
      <c r="Q1545" t="s">
        <v>2383</v>
      </c>
      <c r="R1545">
        <v>1</v>
      </c>
      <c r="S1545" t="s">
        <v>2380</v>
      </c>
      <c r="T1545" t="s">
        <v>2383</v>
      </c>
      <c r="U1545" s="8">
        <v>45933.518194444441</v>
      </c>
      <c r="V1545" s="8">
        <v>45938.958333333336</v>
      </c>
      <c r="W1545">
        <v>1</v>
      </c>
      <c r="X1545">
        <v>2.078865741</v>
      </c>
      <c r="Y1545" t="s">
        <v>2579</v>
      </c>
      <c r="Z1545" t="s">
        <v>3349</v>
      </c>
      <c r="AA1545" t="s">
        <v>3283</v>
      </c>
      <c r="AB1545" t="s">
        <v>1278</v>
      </c>
      <c r="AC1545" t="s">
        <v>3350</v>
      </c>
      <c r="AE1545">
        <v>1</v>
      </c>
      <c r="AO1545" t="s">
        <v>2388</v>
      </c>
      <c r="AP1545" t="s">
        <v>2401</v>
      </c>
    </row>
    <row r="1546" spans="1:42">
      <c r="A1546" t="s">
        <v>4279</v>
      </c>
      <c r="B1546" t="s">
        <v>2389</v>
      </c>
      <c r="C1546" t="s">
        <v>2438</v>
      </c>
      <c r="D1546" t="s">
        <v>2379</v>
      </c>
      <c r="E1546" t="s">
        <v>33</v>
      </c>
      <c r="F1546" t="s">
        <v>2402</v>
      </c>
      <c r="G1546" t="s">
        <v>33</v>
      </c>
      <c r="H1546" t="b">
        <v>1</v>
      </c>
      <c r="I1546" s="8">
        <v>45936.419131944444</v>
      </c>
      <c r="J1546" t="s">
        <v>2380</v>
      </c>
      <c r="K1546">
        <v>1200254</v>
      </c>
      <c r="L1546">
        <v>609839</v>
      </c>
      <c r="M1546" t="s">
        <v>2381</v>
      </c>
      <c r="P1546" t="s">
        <v>2394</v>
      </c>
      <c r="Q1546" t="s">
        <v>2383</v>
      </c>
      <c r="R1546">
        <v>1</v>
      </c>
      <c r="S1546" t="s">
        <v>2380</v>
      </c>
      <c r="T1546" t="s">
        <v>2383</v>
      </c>
      <c r="U1546" s="8">
        <v>45933.52171296296</v>
      </c>
      <c r="V1546" s="8">
        <v>45938.958333333336</v>
      </c>
      <c r="W1546">
        <v>1</v>
      </c>
      <c r="X1546">
        <v>0.89741898099999995</v>
      </c>
      <c r="Y1546" t="s">
        <v>2403</v>
      </c>
      <c r="Z1546" t="s">
        <v>4280</v>
      </c>
      <c r="AA1546" t="s">
        <v>2760</v>
      </c>
      <c r="AB1546" t="s">
        <v>1278</v>
      </c>
      <c r="AC1546" t="s">
        <v>4281</v>
      </c>
      <c r="AD1546" t="s">
        <v>2708</v>
      </c>
      <c r="AE1546">
        <v>1</v>
      </c>
      <c r="AO1546" t="s">
        <v>2408</v>
      </c>
      <c r="AP1546" t="s">
        <v>2401</v>
      </c>
    </row>
    <row r="1547" spans="1:42">
      <c r="A1547" t="s">
        <v>7761</v>
      </c>
      <c r="B1547" t="s">
        <v>2389</v>
      </c>
      <c r="C1547" t="s">
        <v>2390</v>
      </c>
      <c r="D1547" t="s">
        <v>2379</v>
      </c>
      <c r="E1547" t="s">
        <v>2452</v>
      </c>
      <c r="F1547" t="s">
        <v>3539</v>
      </c>
      <c r="G1547" t="s">
        <v>2452</v>
      </c>
      <c r="H1547" t="b">
        <v>1</v>
      </c>
      <c r="I1547" s="8">
        <v>45937.655995370369</v>
      </c>
      <c r="J1547" t="s">
        <v>2380</v>
      </c>
      <c r="K1547">
        <v>1200558</v>
      </c>
      <c r="L1547">
        <v>605105</v>
      </c>
      <c r="M1547" t="s">
        <v>2381</v>
      </c>
      <c r="P1547" t="s">
        <v>2394</v>
      </c>
      <c r="Q1547" t="s">
        <v>2383</v>
      </c>
      <c r="R1547">
        <v>1</v>
      </c>
      <c r="S1547" t="s">
        <v>2380</v>
      </c>
      <c r="T1547" t="s">
        <v>2383</v>
      </c>
      <c r="U1547" s="8">
        <v>45933.543495370373</v>
      </c>
      <c r="V1547" s="8">
        <v>45938.958333333336</v>
      </c>
      <c r="W1547">
        <v>1</v>
      </c>
      <c r="X1547">
        <v>2.1124999999999998</v>
      </c>
      <c r="Y1547" t="s">
        <v>3521</v>
      </c>
      <c r="Z1547" t="s">
        <v>7762</v>
      </c>
      <c r="AA1547" t="s">
        <v>7763</v>
      </c>
      <c r="AB1547" t="s">
        <v>1278</v>
      </c>
      <c r="AC1547" t="s">
        <v>7764</v>
      </c>
      <c r="AD1547" t="s">
        <v>2708</v>
      </c>
      <c r="AE1547">
        <v>1</v>
      </c>
      <c r="AO1547" t="s">
        <v>2957</v>
      </c>
      <c r="AP1547" t="s">
        <v>2401</v>
      </c>
    </row>
    <row r="1548" spans="1:42">
      <c r="A1548" t="s">
        <v>7766</v>
      </c>
      <c r="B1548" t="s">
        <v>2389</v>
      </c>
      <c r="C1548" t="s">
        <v>2390</v>
      </c>
      <c r="D1548" t="s">
        <v>2379</v>
      </c>
      <c r="E1548" t="s">
        <v>2452</v>
      </c>
      <c r="F1548" t="s">
        <v>7765</v>
      </c>
      <c r="G1548" t="s">
        <v>2452</v>
      </c>
      <c r="H1548" t="b">
        <v>1</v>
      </c>
      <c r="I1548" s="8">
        <v>45938.434629629628</v>
      </c>
      <c r="J1548" t="s">
        <v>2380</v>
      </c>
      <c r="K1548">
        <v>1200731</v>
      </c>
      <c r="L1548">
        <v>609772</v>
      </c>
      <c r="M1548" t="s">
        <v>2381</v>
      </c>
      <c r="P1548" t="s">
        <v>2394</v>
      </c>
      <c r="Q1548" t="s">
        <v>2383</v>
      </c>
      <c r="R1548">
        <v>1</v>
      </c>
      <c r="S1548" t="s">
        <v>2380</v>
      </c>
      <c r="T1548" t="s">
        <v>2383</v>
      </c>
      <c r="U1548" s="8">
        <v>45933.559675925928</v>
      </c>
      <c r="V1548" s="8">
        <v>45938.958333333336</v>
      </c>
      <c r="W1548">
        <v>1</v>
      </c>
      <c r="X1548">
        <v>2.8749537040000002</v>
      </c>
      <c r="Y1548" t="s">
        <v>3521</v>
      </c>
      <c r="Z1548" t="s">
        <v>7767</v>
      </c>
      <c r="AA1548" t="s">
        <v>7768</v>
      </c>
      <c r="AB1548" t="s">
        <v>1278</v>
      </c>
      <c r="AC1548" t="s">
        <v>7769</v>
      </c>
      <c r="AD1548" t="s">
        <v>2708</v>
      </c>
      <c r="AE1548">
        <v>1</v>
      </c>
      <c r="AO1548" t="s">
        <v>2957</v>
      </c>
      <c r="AP1548" t="s">
        <v>2401</v>
      </c>
    </row>
    <row r="1549" spans="1:42">
      <c r="A1549" t="s">
        <v>5877</v>
      </c>
      <c r="B1549" t="s">
        <v>2389</v>
      </c>
      <c r="C1549" t="s">
        <v>2438</v>
      </c>
      <c r="D1549" t="s">
        <v>2379</v>
      </c>
      <c r="E1549" t="s">
        <v>307</v>
      </c>
      <c r="F1549" t="s">
        <v>2541</v>
      </c>
      <c r="G1549" t="s">
        <v>307</v>
      </c>
      <c r="H1549" t="b">
        <v>1</v>
      </c>
      <c r="I1549" s="8">
        <v>45935.573287037034</v>
      </c>
      <c r="J1549" t="s">
        <v>2380</v>
      </c>
      <c r="K1549">
        <v>1200239</v>
      </c>
      <c r="L1549">
        <v>608816</v>
      </c>
      <c r="M1549" t="s">
        <v>2381</v>
      </c>
      <c r="P1549" t="s">
        <v>2548</v>
      </c>
      <c r="Q1549" t="s">
        <v>2383</v>
      </c>
      <c r="R1549">
        <v>1</v>
      </c>
      <c r="S1549" t="s">
        <v>2380</v>
      </c>
      <c r="T1549" t="s">
        <v>2383</v>
      </c>
      <c r="U1549" s="8">
        <v>45933.569988425923</v>
      </c>
      <c r="V1549" s="8">
        <v>45938.958333333336</v>
      </c>
      <c r="W1549">
        <v>1</v>
      </c>
      <c r="X1549">
        <v>3.2986109999999999E-3</v>
      </c>
      <c r="Y1549" t="s">
        <v>2542</v>
      </c>
      <c r="Z1549" t="s">
        <v>5878</v>
      </c>
      <c r="AA1549" t="s">
        <v>2568</v>
      </c>
      <c r="AB1549" t="s">
        <v>1278</v>
      </c>
      <c r="AD1549" t="s">
        <v>2708</v>
      </c>
      <c r="AE1549">
        <v>1</v>
      </c>
      <c r="AO1549" t="s">
        <v>2547</v>
      </c>
      <c r="AP1549" t="s">
        <v>2401</v>
      </c>
    </row>
    <row r="1550" spans="1:42">
      <c r="A1550" t="s">
        <v>4052</v>
      </c>
      <c r="B1550" t="s">
        <v>2389</v>
      </c>
      <c r="C1550" t="s">
        <v>2438</v>
      </c>
      <c r="D1550" t="s">
        <v>2379</v>
      </c>
      <c r="E1550" t="s">
        <v>307</v>
      </c>
      <c r="F1550" t="s">
        <v>3747</v>
      </c>
      <c r="G1550" t="s">
        <v>307</v>
      </c>
      <c r="H1550" t="b">
        <v>1</v>
      </c>
      <c r="I1550" s="8">
        <v>45935.822118055556</v>
      </c>
      <c r="J1550" t="s">
        <v>2380</v>
      </c>
      <c r="K1550">
        <v>1200243</v>
      </c>
      <c r="L1550">
        <v>602272</v>
      </c>
      <c r="M1550" t="s">
        <v>2381</v>
      </c>
      <c r="P1550" t="s">
        <v>2394</v>
      </c>
      <c r="Q1550" t="s">
        <v>2383</v>
      </c>
      <c r="R1550">
        <v>1</v>
      </c>
      <c r="S1550" t="s">
        <v>2380</v>
      </c>
      <c r="T1550" t="s">
        <v>2383</v>
      </c>
      <c r="U1550" s="8">
        <v>45933.580740740741</v>
      </c>
      <c r="V1550" s="8">
        <v>45938.958333333336</v>
      </c>
      <c r="W1550">
        <v>1</v>
      </c>
      <c r="X1550">
        <v>0.24137731500000001</v>
      </c>
      <c r="Y1550" t="s">
        <v>3748</v>
      </c>
      <c r="Z1550" t="s">
        <v>4053</v>
      </c>
      <c r="AA1550" t="s">
        <v>3824</v>
      </c>
      <c r="AB1550" t="s">
        <v>1278</v>
      </c>
      <c r="AD1550" t="s">
        <v>2708</v>
      </c>
      <c r="AE1550">
        <v>1</v>
      </c>
      <c r="AO1550" t="s">
        <v>2712</v>
      </c>
      <c r="AP1550" t="s">
        <v>2401</v>
      </c>
    </row>
    <row r="1551" spans="1:42">
      <c r="A1551" t="s">
        <v>3600</v>
      </c>
      <c r="B1551" t="s">
        <v>2389</v>
      </c>
      <c r="C1551" t="s">
        <v>2691</v>
      </c>
      <c r="D1551" t="s">
        <v>2379</v>
      </c>
      <c r="E1551" t="s">
        <v>33</v>
      </c>
      <c r="F1551" t="s">
        <v>2431</v>
      </c>
      <c r="G1551" t="s">
        <v>33</v>
      </c>
      <c r="H1551" t="b">
        <v>1</v>
      </c>
      <c r="I1551" s="8">
        <v>45944.467974537038</v>
      </c>
      <c r="J1551" t="s">
        <v>2380</v>
      </c>
      <c r="L1551">
        <v>602844</v>
      </c>
      <c r="M1551" t="s">
        <v>2381</v>
      </c>
      <c r="P1551" t="s">
        <v>2394</v>
      </c>
      <c r="Q1551" t="s">
        <v>2383</v>
      </c>
      <c r="R1551">
        <v>1</v>
      </c>
      <c r="S1551" t="s">
        <v>2380</v>
      </c>
      <c r="T1551" t="s">
        <v>2383</v>
      </c>
      <c r="U1551" s="8">
        <v>45933.587731481479</v>
      </c>
      <c r="V1551" s="8">
        <v>45945.958333333336</v>
      </c>
      <c r="W1551">
        <v>1</v>
      </c>
      <c r="X1551">
        <v>6.8802430560000003</v>
      </c>
      <c r="Y1551" t="s">
        <v>2433</v>
      </c>
      <c r="Z1551" t="s">
        <v>3601</v>
      </c>
      <c r="AA1551" t="s">
        <v>3602</v>
      </c>
      <c r="AB1551" t="s">
        <v>1278</v>
      </c>
      <c r="AC1551" t="s">
        <v>3603</v>
      </c>
      <c r="AE1551">
        <v>1</v>
      </c>
      <c r="AO1551" t="s">
        <v>3586</v>
      </c>
      <c r="AP1551" t="s">
        <v>2401</v>
      </c>
    </row>
    <row r="1552" spans="1:42">
      <c r="A1552" t="s">
        <v>10312</v>
      </c>
      <c r="B1552" t="s">
        <v>2377</v>
      </c>
      <c r="C1552" t="s">
        <v>2438</v>
      </c>
      <c r="D1552" t="s">
        <v>2379</v>
      </c>
      <c r="E1552" t="s">
        <v>307</v>
      </c>
      <c r="F1552" t="s">
        <v>4897</v>
      </c>
      <c r="G1552" t="s">
        <v>307</v>
      </c>
      <c r="H1552" t="b">
        <v>1</v>
      </c>
      <c r="I1552" s="8">
        <v>45935.578750000001</v>
      </c>
      <c r="J1552" t="s">
        <v>2380</v>
      </c>
      <c r="L1552">
        <v>603536</v>
      </c>
      <c r="M1552" t="s">
        <v>2381</v>
      </c>
      <c r="P1552" t="s">
        <v>2394</v>
      </c>
      <c r="Q1552" t="s">
        <v>2383</v>
      </c>
      <c r="R1552">
        <v>1</v>
      </c>
      <c r="S1552" t="s">
        <v>2380</v>
      </c>
      <c r="T1552" t="s">
        <v>2383</v>
      </c>
      <c r="U1552" s="8">
        <v>45933.596886574072</v>
      </c>
      <c r="V1552" s="8">
        <v>45938.958333333336</v>
      </c>
      <c r="W1552">
        <v>1</v>
      </c>
      <c r="X1552">
        <v>-1.8136573999999999E-2</v>
      </c>
      <c r="Y1552" t="s">
        <v>4898</v>
      </c>
      <c r="Z1552" t="s">
        <v>10313</v>
      </c>
      <c r="AA1552" t="s">
        <v>4963</v>
      </c>
      <c r="AB1552" t="s">
        <v>1278</v>
      </c>
      <c r="AC1552" t="s">
        <v>3787</v>
      </c>
      <c r="AE1552">
        <v>1</v>
      </c>
      <c r="AO1552" t="s">
        <v>2715</v>
      </c>
      <c r="AP1552" t="s">
        <v>2401</v>
      </c>
    </row>
    <row r="1553" spans="1:42">
      <c r="A1553" t="s">
        <v>4113</v>
      </c>
      <c r="B1553" t="s">
        <v>2377</v>
      </c>
      <c r="C1553" t="s">
        <v>2378</v>
      </c>
      <c r="D1553" t="s">
        <v>2379</v>
      </c>
      <c r="E1553" t="s">
        <v>2416</v>
      </c>
      <c r="F1553" t="s">
        <v>4112</v>
      </c>
      <c r="G1553" t="s">
        <v>2416</v>
      </c>
      <c r="H1553" t="b">
        <v>1</v>
      </c>
      <c r="I1553" s="8">
        <v>45938.701597222222</v>
      </c>
      <c r="J1553" t="s">
        <v>2380</v>
      </c>
      <c r="L1553">
        <v>603799</v>
      </c>
      <c r="M1553" t="s">
        <v>2381</v>
      </c>
      <c r="Q1553" t="s">
        <v>2383</v>
      </c>
      <c r="R1553">
        <v>1</v>
      </c>
      <c r="S1553" t="s">
        <v>2380</v>
      </c>
      <c r="T1553" t="s">
        <v>2383</v>
      </c>
      <c r="U1553" s="8">
        <v>45933.602905092594</v>
      </c>
      <c r="V1553" s="8">
        <v>45938.958333333336</v>
      </c>
      <c r="W1553">
        <v>1</v>
      </c>
      <c r="X1553">
        <v>3.0986921299999999</v>
      </c>
      <c r="Y1553" t="s">
        <v>3901</v>
      </c>
      <c r="Z1553" t="s">
        <v>4114</v>
      </c>
      <c r="AA1553" t="s">
        <v>4115</v>
      </c>
      <c r="AB1553" t="s">
        <v>1278</v>
      </c>
      <c r="AC1553" t="s">
        <v>4116</v>
      </c>
      <c r="AE1553">
        <v>1</v>
      </c>
      <c r="AH1553" t="s">
        <v>12</v>
      </c>
      <c r="AI1553" s="8">
        <v>45938.683194444442</v>
      </c>
      <c r="AK1553" t="s">
        <v>2719</v>
      </c>
      <c r="AL1553" t="s">
        <v>2719</v>
      </c>
      <c r="AO1553" t="s">
        <v>2715</v>
      </c>
      <c r="AP1553" t="s">
        <v>2401</v>
      </c>
    </row>
    <row r="1554" spans="1:42">
      <c r="A1554" t="s">
        <v>5239</v>
      </c>
      <c r="B1554" t="s">
        <v>2389</v>
      </c>
      <c r="C1554" t="s">
        <v>2390</v>
      </c>
      <c r="D1554" t="s">
        <v>2379</v>
      </c>
      <c r="E1554" t="s">
        <v>307</v>
      </c>
      <c r="F1554" t="s">
        <v>2402</v>
      </c>
      <c r="G1554" t="s">
        <v>307</v>
      </c>
      <c r="H1554" t="b">
        <v>1</v>
      </c>
      <c r="I1554" s="8">
        <v>45937.867928240739</v>
      </c>
      <c r="J1554" t="s">
        <v>2380</v>
      </c>
      <c r="K1554">
        <v>1200717</v>
      </c>
      <c r="L1554">
        <v>605277</v>
      </c>
      <c r="M1554" t="s">
        <v>2381</v>
      </c>
      <c r="P1554" t="s">
        <v>2394</v>
      </c>
      <c r="Q1554" t="s">
        <v>2383</v>
      </c>
      <c r="R1554">
        <v>1</v>
      </c>
      <c r="S1554" t="s">
        <v>2380</v>
      </c>
      <c r="T1554" t="s">
        <v>2383</v>
      </c>
      <c r="U1554" s="8">
        <v>45933.612303240741</v>
      </c>
      <c r="V1554" s="8">
        <v>45938.958333333336</v>
      </c>
      <c r="W1554">
        <v>1</v>
      </c>
      <c r="X1554">
        <v>2.2556250000000002</v>
      </c>
      <c r="Y1554" t="s">
        <v>2403</v>
      </c>
      <c r="Z1554" t="s">
        <v>5240</v>
      </c>
      <c r="AA1554" t="s">
        <v>4226</v>
      </c>
      <c r="AB1554" t="s">
        <v>1278</v>
      </c>
      <c r="AC1554" t="s">
        <v>5241</v>
      </c>
      <c r="AD1554" t="s">
        <v>2708</v>
      </c>
      <c r="AE1554">
        <v>1</v>
      </c>
      <c r="AO1554" t="s">
        <v>2408</v>
      </c>
      <c r="AP1554" t="s">
        <v>2401</v>
      </c>
    </row>
    <row r="1555" spans="1:42">
      <c r="A1555" t="s">
        <v>10030</v>
      </c>
      <c r="B1555" t="s">
        <v>2389</v>
      </c>
      <c r="C1555" t="s">
        <v>2390</v>
      </c>
      <c r="D1555" t="s">
        <v>2379</v>
      </c>
      <c r="E1555" t="s">
        <v>307</v>
      </c>
      <c r="F1555" t="s">
        <v>3261</v>
      </c>
      <c r="G1555" t="s">
        <v>307</v>
      </c>
      <c r="H1555" t="b">
        <v>1</v>
      </c>
      <c r="I1555" s="8">
        <v>45937.991990740738</v>
      </c>
      <c r="J1555" t="s">
        <v>2380</v>
      </c>
      <c r="L1555">
        <v>601636</v>
      </c>
      <c r="M1555" t="s">
        <v>2381</v>
      </c>
      <c r="P1555" t="s">
        <v>2427</v>
      </c>
      <c r="Q1555" t="s">
        <v>2383</v>
      </c>
      <c r="R1555">
        <v>1</v>
      </c>
      <c r="S1555" t="s">
        <v>2380</v>
      </c>
      <c r="T1555" t="s">
        <v>2383</v>
      </c>
      <c r="U1555" s="8">
        <v>45933.626250000001</v>
      </c>
      <c r="V1555" s="8">
        <v>45938.958333333336</v>
      </c>
      <c r="W1555">
        <v>1</v>
      </c>
      <c r="X1555">
        <v>2.3657407410000002</v>
      </c>
      <c r="Y1555" t="s">
        <v>3262</v>
      </c>
      <c r="Z1555" t="s">
        <v>10031</v>
      </c>
      <c r="AA1555" t="s">
        <v>2317</v>
      </c>
      <c r="AB1555" t="s">
        <v>1278</v>
      </c>
      <c r="AC1555" t="s">
        <v>10032</v>
      </c>
      <c r="AE1555">
        <v>1</v>
      </c>
      <c r="AO1555" t="s">
        <v>2957</v>
      </c>
      <c r="AP1555" t="s">
        <v>2401</v>
      </c>
    </row>
    <row r="1556" spans="1:42">
      <c r="A1556" t="s">
        <v>761</v>
      </c>
      <c r="B1556" t="s">
        <v>2377</v>
      </c>
      <c r="C1556" t="s">
        <v>2415</v>
      </c>
      <c r="D1556" t="s">
        <v>2379</v>
      </c>
      <c r="E1556" t="s">
        <v>12</v>
      </c>
      <c r="F1556" t="s">
        <v>2588</v>
      </c>
      <c r="G1556" t="s">
        <v>12</v>
      </c>
      <c r="H1556" t="b">
        <v>1</v>
      </c>
      <c r="I1556" s="8">
        <v>45936.684039351851</v>
      </c>
      <c r="J1556" t="s">
        <v>2380</v>
      </c>
      <c r="L1556">
        <v>603756</v>
      </c>
      <c r="M1556" t="s">
        <v>2381</v>
      </c>
      <c r="P1556" t="s">
        <v>2427</v>
      </c>
      <c r="Q1556" t="s">
        <v>2383</v>
      </c>
      <c r="R1556">
        <v>1</v>
      </c>
      <c r="S1556" t="s">
        <v>2380</v>
      </c>
      <c r="T1556" t="s">
        <v>2383</v>
      </c>
      <c r="U1556" s="8">
        <v>45933.628460648149</v>
      </c>
      <c r="V1556" s="8">
        <v>45938.958333333336</v>
      </c>
      <c r="W1556">
        <v>1</v>
      </c>
      <c r="X1556">
        <v>1.055578704</v>
      </c>
      <c r="Y1556" t="s">
        <v>2579</v>
      </c>
      <c r="Z1556" t="s">
        <v>9491</v>
      </c>
      <c r="AA1556" t="s">
        <v>1290</v>
      </c>
      <c r="AB1556" t="s">
        <v>1278</v>
      </c>
      <c r="AC1556" t="s">
        <v>9492</v>
      </c>
      <c r="AD1556" t="s">
        <v>2708</v>
      </c>
      <c r="AE1556">
        <v>1</v>
      </c>
      <c r="AO1556" t="s">
        <v>3644</v>
      </c>
      <c r="AP1556" t="s">
        <v>8931</v>
      </c>
    </row>
    <row r="1557" spans="1:42">
      <c r="A1557" t="s">
        <v>10349</v>
      </c>
      <c r="B1557" t="s">
        <v>2389</v>
      </c>
      <c r="C1557" t="s">
        <v>2415</v>
      </c>
      <c r="D1557" t="s">
        <v>2379</v>
      </c>
      <c r="E1557" t="s">
        <v>2452</v>
      </c>
      <c r="F1557" t="s">
        <v>3891</v>
      </c>
      <c r="G1557" t="s">
        <v>2452</v>
      </c>
      <c r="H1557" t="b">
        <v>1</v>
      </c>
      <c r="I1557" s="8">
        <v>45937.581018518518</v>
      </c>
      <c r="J1557" t="s">
        <v>2380</v>
      </c>
      <c r="L1557">
        <v>603596</v>
      </c>
      <c r="M1557" t="s">
        <v>2381</v>
      </c>
      <c r="P1557" t="s">
        <v>2394</v>
      </c>
      <c r="Q1557" t="s">
        <v>2383</v>
      </c>
      <c r="R1557">
        <v>1</v>
      </c>
      <c r="S1557" t="s">
        <v>2380</v>
      </c>
      <c r="T1557" t="s">
        <v>2383</v>
      </c>
      <c r="U1557" s="8">
        <v>45933.633368055554</v>
      </c>
      <c r="V1557" s="8">
        <v>45938.958333333336</v>
      </c>
      <c r="W1557">
        <v>1</v>
      </c>
      <c r="X1557">
        <v>1.947650463</v>
      </c>
      <c r="Y1557" t="s">
        <v>3892</v>
      </c>
      <c r="Z1557" t="s">
        <v>10350</v>
      </c>
      <c r="AA1557" t="s">
        <v>5001</v>
      </c>
      <c r="AB1557" t="s">
        <v>1278</v>
      </c>
      <c r="AC1557" t="s">
        <v>10351</v>
      </c>
      <c r="AE1557">
        <v>1</v>
      </c>
      <c r="AO1557" t="s">
        <v>2715</v>
      </c>
      <c r="AP1557" t="s">
        <v>2401</v>
      </c>
    </row>
    <row r="1558" spans="1:42">
      <c r="A1558" t="s">
        <v>5968</v>
      </c>
      <c r="B1558" t="s">
        <v>2389</v>
      </c>
      <c r="C1558" t="s">
        <v>2438</v>
      </c>
      <c r="D1558" t="s">
        <v>2379</v>
      </c>
      <c r="E1558" t="s">
        <v>2601</v>
      </c>
      <c r="F1558" t="s">
        <v>2541</v>
      </c>
      <c r="G1558" t="s">
        <v>2601</v>
      </c>
      <c r="H1558" t="b">
        <v>1</v>
      </c>
      <c r="I1558" s="8">
        <v>45936.563888888886</v>
      </c>
      <c r="J1558" t="s">
        <v>2380</v>
      </c>
      <c r="K1558">
        <v>1200355</v>
      </c>
      <c r="L1558">
        <v>602299</v>
      </c>
      <c r="M1558" t="s">
        <v>2381</v>
      </c>
      <c r="P1558" t="s">
        <v>2548</v>
      </c>
      <c r="Q1558" t="s">
        <v>2383</v>
      </c>
      <c r="R1558">
        <v>1</v>
      </c>
      <c r="S1558" t="s">
        <v>2380</v>
      </c>
      <c r="T1558" t="s">
        <v>2383</v>
      </c>
      <c r="U1558" s="8">
        <v>45933.63554398148</v>
      </c>
      <c r="V1558" s="8">
        <v>45938.958333333336</v>
      </c>
      <c r="W1558">
        <v>1</v>
      </c>
      <c r="X1558">
        <v>0.92834490700000005</v>
      </c>
      <c r="Y1558" t="s">
        <v>2542</v>
      </c>
      <c r="Z1558" t="s">
        <v>5969</v>
      </c>
      <c r="AA1558" t="s">
        <v>2927</v>
      </c>
      <c r="AB1558" t="s">
        <v>1278</v>
      </c>
      <c r="AC1558" t="s">
        <v>5970</v>
      </c>
      <c r="AD1558" t="s">
        <v>2708</v>
      </c>
      <c r="AE1558">
        <v>1</v>
      </c>
      <c r="AO1558" t="s">
        <v>2547</v>
      </c>
      <c r="AP1558" t="s">
        <v>2401</v>
      </c>
    </row>
    <row r="1559" spans="1:42">
      <c r="A1559" t="s">
        <v>9642</v>
      </c>
      <c r="B1559" t="s">
        <v>2389</v>
      </c>
      <c r="C1559" t="s">
        <v>2415</v>
      </c>
      <c r="D1559" t="s">
        <v>2379</v>
      </c>
      <c r="E1559" t="s">
        <v>307</v>
      </c>
      <c r="F1559" t="s">
        <v>3472</v>
      </c>
      <c r="G1559" t="s">
        <v>307</v>
      </c>
      <c r="H1559" t="b">
        <v>1</v>
      </c>
      <c r="I1559" s="8">
        <v>45936.816863425927</v>
      </c>
      <c r="J1559" t="s">
        <v>2380</v>
      </c>
      <c r="K1559">
        <v>1200428</v>
      </c>
      <c r="L1559">
        <v>603593</v>
      </c>
      <c r="M1559" t="s">
        <v>2381</v>
      </c>
      <c r="P1559" t="s">
        <v>2394</v>
      </c>
      <c r="Q1559" t="s">
        <v>2383</v>
      </c>
      <c r="R1559">
        <v>1</v>
      </c>
      <c r="S1559" t="s">
        <v>2380</v>
      </c>
      <c r="T1559" t="s">
        <v>2383</v>
      </c>
      <c r="U1559" s="8">
        <v>45933.640370370369</v>
      </c>
      <c r="V1559" s="8">
        <v>45938.958333333336</v>
      </c>
      <c r="W1559">
        <v>1</v>
      </c>
      <c r="X1559">
        <v>1.176493056</v>
      </c>
      <c r="Y1559" t="s">
        <v>3473</v>
      </c>
      <c r="Z1559" t="s">
        <v>9643</v>
      </c>
      <c r="AA1559" t="s">
        <v>8564</v>
      </c>
      <c r="AB1559" t="s">
        <v>1278</v>
      </c>
      <c r="AD1559" t="s">
        <v>2708</v>
      </c>
      <c r="AE1559">
        <v>1</v>
      </c>
      <c r="AO1559" t="s">
        <v>3608</v>
      </c>
      <c r="AP1559" t="s">
        <v>2401</v>
      </c>
    </row>
    <row r="1560" spans="1:42">
      <c r="A1560" t="s">
        <v>6851</v>
      </c>
      <c r="B1560" t="s">
        <v>2389</v>
      </c>
      <c r="C1560" t="s">
        <v>2438</v>
      </c>
      <c r="D1560" t="s">
        <v>2379</v>
      </c>
      <c r="E1560" t="s">
        <v>2452</v>
      </c>
      <c r="F1560">
        <v>6397</v>
      </c>
      <c r="G1560" t="s">
        <v>2452</v>
      </c>
      <c r="H1560" t="b">
        <v>1</v>
      </c>
      <c r="I1560" s="8">
        <v>45933.667858796296</v>
      </c>
      <c r="J1560" t="s">
        <v>2380</v>
      </c>
      <c r="K1560">
        <v>1200176</v>
      </c>
      <c r="L1560">
        <v>606290</v>
      </c>
      <c r="M1560" t="s">
        <v>2381</v>
      </c>
      <c r="Q1560" t="s">
        <v>2383</v>
      </c>
      <c r="R1560">
        <v>1</v>
      </c>
      <c r="S1560" t="s">
        <v>2380</v>
      </c>
      <c r="T1560" t="s">
        <v>2383</v>
      </c>
      <c r="U1560" s="8">
        <v>45933.659861111111</v>
      </c>
      <c r="V1560" s="8">
        <v>45938.958333333336</v>
      </c>
      <c r="W1560">
        <v>1</v>
      </c>
      <c r="X1560">
        <v>7.9976849999999992E-3</v>
      </c>
      <c r="Y1560" t="s">
        <v>2607</v>
      </c>
      <c r="Z1560" t="s">
        <v>6852</v>
      </c>
      <c r="AA1560" t="s">
        <v>6853</v>
      </c>
      <c r="AB1560" t="s">
        <v>1278</v>
      </c>
      <c r="AC1560" t="s">
        <v>6854</v>
      </c>
      <c r="AD1560" t="s">
        <v>2708</v>
      </c>
      <c r="AE1560">
        <v>1</v>
      </c>
      <c r="AO1560" t="s">
        <v>2388</v>
      </c>
      <c r="AP1560" t="s">
        <v>2401</v>
      </c>
    </row>
    <row r="1561" spans="1:42">
      <c r="A1561" t="s">
        <v>6633</v>
      </c>
      <c r="B1561" t="s">
        <v>2389</v>
      </c>
      <c r="C1561" t="s">
        <v>2390</v>
      </c>
      <c r="D1561" t="s">
        <v>2379</v>
      </c>
      <c r="E1561" t="s">
        <v>24</v>
      </c>
      <c r="F1561" t="s">
        <v>3249</v>
      </c>
      <c r="G1561" t="s">
        <v>24</v>
      </c>
      <c r="H1561" t="b">
        <v>1</v>
      </c>
      <c r="I1561" s="8">
        <v>45938.485671296294</v>
      </c>
      <c r="J1561" t="s">
        <v>2380</v>
      </c>
      <c r="K1561">
        <v>1200827</v>
      </c>
      <c r="L1561">
        <v>602303</v>
      </c>
      <c r="M1561" t="s">
        <v>2381</v>
      </c>
      <c r="P1561" t="s">
        <v>2427</v>
      </c>
      <c r="Q1561" t="s">
        <v>2383</v>
      </c>
      <c r="R1561">
        <v>1</v>
      </c>
      <c r="S1561" t="s">
        <v>2380</v>
      </c>
      <c r="T1561" t="s">
        <v>2383</v>
      </c>
      <c r="U1561" s="8">
        <v>45933.664803240739</v>
      </c>
      <c r="V1561" s="8">
        <v>45938.958333333336</v>
      </c>
      <c r="W1561">
        <v>1</v>
      </c>
      <c r="X1561">
        <v>2.8208680560000001</v>
      </c>
      <c r="Y1561" t="s">
        <v>3250</v>
      </c>
      <c r="Z1561" t="s">
        <v>6634</v>
      </c>
      <c r="AA1561" t="s">
        <v>3253</v>
      </c>
      <c r="AB1561" t="s">
        <v>1278</v>
      </c>
      <c r="AC1561" t="s">
        <v>6635</v>
      </c>
      <c r="AD1561" t="s">
        <v>2708</v>
      </c>
      <c r="AE1561">
        <v>1</v>
      </c>
      <c r="AO1561" t="s">
        <v>2388</v>
      </c>
      <c r="AP1561" t="s">
        <v>2401</v>
      </c>
    </row>
    <row r="1562" spans="1:42">
      <c r="A1562" t="s">
        <v>5717</v>
      </c>
      <c r="B1562" t="s">
        <v>2389</v>
      </c>
      <c r="C1562" t="s">
        <v>2691</v>
      </c>
      <c r="D1562" t="s">
        <v>2379</v>
      </c>
      <c r="E1562" t="s">
        <v>33</v>
      </c>
      <c r="F1562" t="s">
        <v>2541</v>
      </c>
      <c r="G1562" t="s">
        <v>33</v>
      </c>
      <c r="H1562" t="b">
        <v>1</v>
      </c>
      <c r="I1562" s="8">
        <v>45943.578773148147</v>
      </c>
      <c r="J1562" t="s">
        <v>2380</v>
      </c>
      <c r="K1562">
        <v>1201937</v>
      </c>
      <c r="L1562">
        <v>608236</v>
      </c>
      <c r="M1562" t="s">
        <v>2381</v>
      </c>
      <c r="P1562" t="s">
        <v>2548</v>
      </c>
      <c r="Q1562" t="s">
        <v>2383</v>
      </c>
      <c r="R1562">
        <v>1</v>
      </c>
      <c r="S1562" t="s">
        <v>2380</v>
      </c>
      <c r="T1562" t="s">
        <v>2383</v>
      </c>
      <c r="U1562" s="8">
        <v>45933.695648148147</v>
      </c>
      <c r="V1562" s="8">
        <v>45946.958333333336</v>
      </c>
      <c r="W1562">
        <v>1</v>
      </c>
      <c r="X1562">
        <v>5.8831249999999997</v>
      </c>
      <c r="Y1562" t="s">
        <v>2542</v>
      </c>
      <c r="Z1562" t="s">
        <v>5718</v>
      </c>
      <c r="AA1562" t="s">
        <v>2564</v>
      </c>
      <c r="AB1562" t="s">
        <v>1278</v>
      </c>
      <c r="AC1562" t="s">
        <v>5719</v>
      </c>
      <c r="AD1562" t="s">
        <v>2708</v>
      </c>
      <c r="AE1562">
        <v>1</v>
      </c>
      <c r="AO1562" t="s">
        <v>2547</v>
      </c>
      <c r="AP1562" t="s">
        <v>2401</v>
      </c>
    </row>
    <row r="1563" spans="1:42">
      <c r="A1563" t="s">
        <v>3185</v>
      </c>
      <c r="B1563" t="s">
        <v>2377</v>
      </c>
      <c r="C1563" t="s">
        <v>2390</v>
      </c>
      <c r="D1563" t="s">
        <v>2379</v>
      </c>
      <c r="E1563" t="s">
        <v>24</v>
      </c>
      <c r="F1563" t="s">
        <v>2578</v>
      </c>
      <c r="G1563" t="s">
        <v>24</v>
      </c>
      <c r="H1563" t="b">
        <v>1</v>
      </c>
      <c r="I1563" s="8">
        <v>45938.601620370369</v>
      </c>
      <c r="J1563" t="s">
        <v>2380</v>
      </c>
      <c r="L1563">
        <v>608020</v>
      </c>
      <c r="M1563" t="s">
        <v>2381</v>
      </c>
      <c r="Q1563" t="s">
        <v>2383</v>
      </c>
      <c r="R1563">
        <v>1</v>
      </c>
      <c r="S1563" t="s">
        <v>2380</v>
      </c>
      <c r="T1563" t="s">
        <v>2383</v>
      </c>
      <c r="U1563" s="8">
        <v>45933.711041666669</v>
      </c>
      <c r="V1563" s="8">
        <v>45938.958333333336</v>
      </c>
      <c r="W1563">
        <v>1</v>
      </c>
      <c r="X1563">
        <v>2.8905787040000002</v>
      </c>
      <c r="Y1563" t="s">
        <v>2579</v>
      </c>
      <c r="Z1563" t="s">
        <v>3186</v>
      </c>
      <c r="AA1563" t="s">
        <v>1293</v>
      </c>
      <c r="AB1563" t="s">
        <v>1278</v>
      </c>
      <c r="AC1563" t="s">
        <v>3187</v>
      </c>
      <c r="AE1563">
        <v>1</v>
      </c>
      <c r="AO1563" t="s">
        <v>2388</v>
      </c>
      <c r="AP1563" t="s">
        <v>2401</v>
      </c>
    </row>
    <row r="1564" spans="1:42">
      <c r="A1564" t="s">
        <v>7941</v>
      </c>
      <c r="B1564" t="s">
        <v>2389</v>
      </c>
      <c r="C1564" t="s">
        <v>2390</v>
      </c>
      <c r="D1564" t="s">
        <v>2379</v>
      </c>
      <c r="E1564" t="s">
        <v>28</v>
      </c>
      <c r="F1564" t="s">
        <v>7752</v>
      </c>
      <c r="G1564" t="s">
        <v>28</v>
      </c>
      <c r="H1564" t="b">
        <v>1</v>
      </c>
      <c r="I1564" s="8">
        <v>45938.550057870372</v>
      </c>
      <c r="J1564" t="s">
        <v>2380</v>
      </c>
      <c r="K1564">
        <v>1200867</v>
      </c>
      <c r="L1564">
        <v>609780</v>
      </c>
      <c r="M1564" t="s">
        <v>2381</v>
      </c>
      <c r="N1564">
        <v>15</v>
      </c>
      <c r="P1564" t="s">
        <v>2394</v>
      </c>
      <c r="Q1564" t="s">
        <v>2383</v>
      </c>
      <c r="R1564">
        <v>1</v>
      </c>
      <c r="S1564" t="s">
        <v>2380</v>
      </c>
      <c r="T1564" t="s">
        <v>2383</v>
      </c>
      <c r="U1564" s="8">
        <v>45933.724722222221</v>
      </c>
      <c r="V1564" s="8">
        <v>45938.958333333336</v>
      </c>
      <c r="W1564">
        <v>1</v>
      </c>
      <c r="X1564">
        <v>2.8253356479999998</v>
      </c>
      <c r="Y1564" t="s">
        <v>3521</v>
      </c>
      <c r="Z1564" t="s">
        <v>7942</v>
      </c>
      <c r="AA1564" t="s">
        <v>7755</v>
      </c>
      <c r="AB1564" t="s">
        <v>1278</v>
      </c>
      <c r="AC1564" t="s">
        <v>7943</v>
      </c>
      <c r="AD1564" t="s">
        <v>2708</v>
      </c>
      <c r="AE1564">
        <v>1</v>
      </c>
      <c r="AO1564" t="s">
        <v>2957</v>
      </c>
      <c r="AP1564" t="s">
        <v>2401</v>
      </c>
    </row>
    <row r="1565" spans="1:42">
      <c r="A1565" t="s">
        <v>5285</v>
      </c>
      <c r="B1565" t="s">
        <v>2389</v>
      </c>
      <c r="C1565" t="s">
        <v>2438</v>
      </c>
      <c r="D1565" t="s">
        <v>2379</v>
      </c>
      <c r="E1565" t="s">
        <v>2601</v>
      </c>
      <c r="F1565" t="s">
        <v>2417</v>
      </c>
      <c r="G1565" t="s">
        <v>2601</v>
      </c>
      <c r="H1565" t="b">
        <v>1</v>
      </c>
      <c r="I1565" s="8">
        <v>45936.608229166668</v>
      </c>
      <c r="J1565" t="s">
        <v>2380</v>
      </c>
      <c r="K1565">
        <v>1200362</v>
      </c>
      <c r="L1565">
        <v>603017</v>
      </c>
      <c r="M1565" t="s">
        <v>2381</v>
      </c>
      <c r="P1565" t="s">
        <v>2394</v>
      </c>
      <c r="Q1565" t="s">
        <v>2383</v>
      </c>
      <c r="R1565">
        <v>1</v>
      </c>
      <c r="S1565" t="s">
        <v>2380</v>
      </c>
      <c r="T1565" t="s">
        <v>2383</v>
      </c>
      <c r="U1565" s="8">
        <v>45933.775671296295</v>
      </c>
      <c r="V1565" s="8">
        <v>45938.958333333336</v>
      </c>
      <c r="W1565">
        <v>1</v>
      </c>
      <c r="X1565">
        <v>0.83255787000000003</v>
      </c>
      <c r="Y1565" t="s">
        <v>2418</v>
      </c>
      <c r="Z1565" t="s">
        <v>5286</v>
      </c>
      <c r="AA1565" t="s">
        <v>1812</v>
      </c>
      <c r="AB1565" t="s">
        <v>1278</v>
      </c>
      <c r="AC1565" t="s">
        <v>5287</v>
      </c>
      <c r="AD1565" t="s">
        <v>2708</v>
      </c>
      <c r="AE1565">
        <v>1</v>
      </c>
      <c r="AO1565" t="s">
        <v>2408</v>
      </c>
      <c r="AP1565" t="s">
        <v>2401</v>
      </c>
    </row>
    <row r="1566" spans="1:42">
      <c r="A1566" t="s">
        <v>6911</v>
      </c>
      <c r="B1566" t="s">
        <v>2389</v>
      </c>
      <c r="C1566" t="s">
        <v>2390</v>
      </c>
      <c r="D1566" t="s">
        <v>2379</v>
      </c>
      <c r="E1566" t="s">
        <v>2452</v>
      </c>
      <c r="F1566" t="s">
        <v>2578</v>
      </c>
      <c r="G1566" t="s">
        <v>2452</v>
      </c>
      <c r="H1566" t="b">
        <v>1</v>
      </c>
      <c r="I1566" s="8">
        <v>45938.515034722222</v>
      </c>
      <c r="J1566" t="s">
        <v>2380</v>
      </c>
      <c r="K1566">
        <v>1200862</v>
      </c>
      <c r="L1566">
        <v>606871</v>
      </c>
      <c r="M1566" t="s">
        <v>2381</v>
      </c>
      <c r="P1566" t="s">
        <v>2394</v>
      </c>
      <c r="Q1566" t="s">
        <v>2383</v>
      </c>
      <c r="R1566">
        <v>1</v>
      </c>
      <c r="S1566" t="s">
        <v>2380</v>
      </c>
      <c r="T1566" t="s">
        <v>2383</v>
      </c>
      <c r="U1566" s="8">
        <v>45934.288530092592</v>
      </c>
      <c r="V1566" s="8">
        <v>45943.958333333336</v>
      </c>
      <c r="W1566">
        <v>1</v>
      </c>
      <c r="X1566">
        <v>2.22650463</v>
      </c>
      <c r="Y1566" t="s">
        <v>2579</v>
      </c>
      <c r="Z1566" t="s">
        <v>6912</v>
      </c>
      <c r="AA1566" t="s">
        <v>3283</v>
      </c>
      <c r="AB1566" t="s">
        <v>1278</v>
      </c>
      <c r="AC1566" t="s">
        <v>6913</v>
      </c>
      <c r="AD1566" t="s">
        <v>2708</v>
      </c>
      <c r="AE1566">
        <v>1</v>
      </c>
      <c r="AO1566" t="s">
        <v>2388</v>
      </c>
      <c r="AP1566" t="s">
        <v>2401</v>
      </c>
    </row>
    <row r="1567" spans="1:42">
      <c r="A1567" t="s">
        <v>3609</v>
      </c>
      <c r="B1567" t="s">
        <v>2389</v>
      </c>
      <c r="C1567" t="s">
        <v>2390</v>
      </c>
      <c r="D1567" t="s">
        <v>2379</v>
      </c>
      <c r="E1567" t="s">
        <v>307</v>
      </c>
      <c r="F1567" t="s">
        <v>3213</v>
      </c>
      <c r="G1567" t="s">
        <v>307</v>
      </c>
      <c r="H1567" t="b">
        <v>1</v>
      </c>
      <c r="I1567" s="8">
        <v>45938.89644675926</v>
      </c>
      <c r="J1567" t="s">
        <v>2380</v>
      </c>
      <c r="K1567">
        <v>894696</v>
      </c>
      <c r="L1567">
        <v>603624</v>
      </c>
      <c r="M1567" t="s">
        <v>2381</v>
      </c>
      <c r="P1567" t="s">
        <v>2394</v>
      </c>
      <c r="Q1567" t="s">
        <v>2383</v>
      </c>
      <c r="R1567">
        <v>1</v>
      </c>
      <c r="S1567" t="s">
        <v>2380</v>
      </c>
      <c r="T1567" t="s">
        <v>2383</v>
      </c>
      <c r="U1567" s="8">
        <v>45934.421435185184</v>
      </c>
      <c r="V1567" s="8">
        <v>45938.958333333336</v>
      </c>
      <c r="W1567">
        <v>1</v>
      </c>
      <c r="X1567">
        <v>2.4750115739999998</v>
      </c>
      <c r="Y1567" t="s">
        <v>3214</v>
      </c>
      <c r="Z1567" t="s">
        <v>3610</v>
      </c>
      <c r="AA1567" t="s">
        <v>3611</v>
      </c>
      <c r="AB1567" t="s">
        <v>1278</v>
      </c>
      <c r="AC1567" t="s">
        <v>3612</v>
      </c>
      <c r="AE1567">
        <v>1</v>
      </c>
      <c r="AO1567" t="s">
        <v>3608</v>
      </c>
      <c r="AP1567" t="s">
        <v>2401</v>
      </c>
    </row>
    <row r="1568" spans="1:42">
      <c r="A1568" t="s">
        <v>3220</v>
      </c>
      <c r="B1568" t="s">
        <v>2377</v>
      </c>
      <c r="C1568" t="s">
        <v>2415</v>
      </c>
      <c r="D1568" t="s">
        <v>2379</v>
      </c>
      <c r="E1568" t="s">
        <v>2416</v>
      </c>
      <c r="F1568" t="s">
        <v>3218</v>
      </c>
      <c r="G1568" t="s">
        <v>2416</v>
      </c>
      <c r="H1568" t="b">
        <v>1</v>
      </c>
      <c r="I1568" s="8">
        <v>45938.590243055558</v>
      </c>
      <c r="J1568" t="s">
        <v>2380</v>
      </c>
      <c r="L1568">
        <v>603551</v>
      </c>
      <c r="M1568" t="s">
        <v>2381</v>
      </c>
      <c r="Q1568" t="s">
        <v>2383</v>
      </c>
      <c r="R1568">
        <v>1</v>
      </c>
      <c r="S1568" t="s">
        <v>2380</v>
      </c>
      <c r="T1568" t="s">
        <v>2383</v>
      </c>
      <c r="U1568" s="8">
        <v>45934.701122685183</v>
      </c>
      <c r="V1568" s="8">
        <v>45938.958333333336</v>
      </c>
      <c r="W1568">
        <v>1</v>
      </c>
      <c r="X1568">
        <v>1.8891203700000001</v>
      </c>
      <c r="Y1568" t="s">
        <v>3219</v>
      </c>
      <c r="Z1568" t="s">
        <v>3221</v>
      </c>
      <c r="AA1568" t="s">
        <v>3222</v>
      </c>
      <c r="AB1568" t="s">
        <v>1278</v>
      </c>
      <c r="AC1568" t="s">
        <v>3223</v>
      </c>
      <c r="AE1568">
        <v>1</v>
      </c>
      <c r="AO1568" t="s">
        <v>2388</v>
      </c>
      <c r="AP1568" t="s">
        <v>2401</v>
      </c>
    </row>
    <row r="1569" spans="1:42">
      <c r="A1569" t="s">
        <v>4138</v>
      </c>
      <c r="B1569" t="s">
        <v>2389</v>
      </c>
      <c r="C1569" t="s">
        <v>2443</v>
      </c>
      <c r="D1569" t="s">
        <v>2443</v>
      </c>
      <c r="E1569" t="s">
        <v>2601</v>
      </c>
      <c r="F1569" t="s">
        <v>3619</v>
      </c>
      <c r="G1569" t="s">
        <v>2601</v>
      </c>
      <c r="H1569" t="b">
        <v>1</v>
      </c>
      <c r="I1569" s="8">
        <v>45939.398645833331</v>
      </c>
      <c r="J1569" t="s">
        <v>2380</v>
      </c>
      <c r="K1569">
        <v>1200231</v>
      </c>
      <c r="L1569">
        <v>609244</v>
      </c>
      <c r="M1569" t="s">
        <v>2381</v>
      </c>
      <c r="P1569" t="s">
        <v>2394</v>
      </c>
      <c r="Q1569" t="s">
        <v>2383</v>
      </c>
      <c r="R1569">
        <v>1</v>
      </c>
      <c r="S1569" t="s">
        <v>2380</v>
      </c>
      <c r="T1569" t="s">
        <v>2383</v>
      </c>
      <c r="U1569" s="8">
        <v>45934.707766203705</v>
      </c>
      <c r="V1569" s="8">
        <v>45938.958333333336</v>
      </c>
      <c r="W1569">
        <v>1</v>
      </c>
      <c r="X1569">
        <v>2.69087963</v>
      </c>
      <c r="Y1569" t="s">
        <v>3620</v>
      </c>
      <c r="Z1569" t="s">
        <v>4139</v>
      </c>
      <c r="AA1569" t="s">
        <v>3623</v>
      </c>
      <c r="AB1569" t="s">
        <v>1278</v>
      </c>
      <c r="AC1569" t="s">
        <v>4140</v>
      </c>
      <c r="AE1569">
        <v>1</v>
      </c>
      <c r="AH1569" t="s">
        <v>12</v>
      </c>
      <c r="AI1569" s="8">
        <v>45938.682245370372</v>
      </c>
      <c r="AK1569" t="s">
        <v>2719</v>
      </c>
      <c r="AL1569" t="s">
        <v>18</v>
      </c>
      <c r="AO1569" t="s">
        <v>3608</v>
      </c>
      <c r="AP1569" t="s">
        <v>2401</v>
      </c>
    </row>
    <row r="1570" spans="1:42">
      <c r="A1570" t="s">
        <v>7012</v>
      </c>
      <c r="B1570" t="s">
        <v>2389</v>
      </c>
      <c r="C1570" t="s">
        <v>2691</v>
      </c>
      <c r="D1570" t="s">
        <v>2379</v>
      </c>
      <c r="E1570" t="s">
        <v>2452</v>
      </c>
      <c r="F1570">
        <v>6363</v>
      </c>
      <c r="G1570" t="s">
        <v>2452</v>
      </c>
      <c r="H1570" t="b">
        <v>1</v>
      </c>
      <c r="I1570" s="8">
        <v>45940.576249999998</v>
      </c>
      <c r="J1570" t="s">
        <v>2380</v>
      </c>
      <c r="K1570">
        <v>1201641</v>
      </c>
      <c r="L1570">
        <v>603569</v>
      </c>
      <c r="M1570" t="s">
        <v>2381</v>
      </c>
      <c r="P1570" t="s">
        <v>2394</v>
      </c>
      <c r="Q1570" t="s">
        <v>2383</v>
      </c>
      <c r="R1570">
        <v>1</v>
      </c>
      <c r="S1570" t="s">
        <v>2380</v>
      </c>
      <c r="T1570" t="s">
        <v>2383</v>
      </c>
      <c r="U1570" s="8">
        <v>45935.392592592594</v>
      </c>
      <c r="V1570" s="8">
        <v>45944.958333333336</v>
      </c>
      <c r="W1570">
        <v>1</v>
      </c>
      <c r="X1570">
        <v>5.1836574070000001</v>
      </c>
      <c r="Y1570" t="s">
        <v>4491</v>
      </c>
      <c r="Z1570" t="s">
        <v>7013</v>
      </c>
      <c r="AA1570" t="s">
        <v>4494</v>
      </c>
      <c r="AB1570" t="s">
        <v>1278</v>
      </c>
      <c r="AC1570" t="s">
        <v>7014</v>
      </c>
      <c r="AD1570" t="s">
        <v>2708</v>
      </c>
      <c r="AE1570">
        <v>1</v>
      </c>
      <c r="AO1570" t="s">
        <v>2388</v>
      </c>
      <c r="AP1570" t="s">
        <v>2401</v>
      </c>
    </row>
    <row r="1571" spans="1:42">
      <c r="A1571" t="s">
        <v>7582</v>
      </c>
      <c r="B1571" t="s">
        <v>2389</v>
      </c>
      <c r="C1571" t="s">
        <v>2438</v>
      </c>
      <c r="D1571" t="s">
        <v>2379</v>
      </c>
      <c r="E1571" t="s">
        <v>2601</v>
      </c>
      <c r="F1571" t="s">
        <v>7576</v>
      </c>
      <c r="G1571" t="s">
        <v>2601</v>
      </c>
      <c r="H1571" t="b">
        <v>1</v>
      </c>
      <c r="I1571" s="8">
        <v>45936.599166666667</v>
      </c>
      <c r="J1571" t="s">
        <v>2380</v>
      </c>
      <c r="K1571">
        <v>1200359</v>
      </c>
      <c r="L1571">
        <v>602665</v>
      </c>
      <c r="M1571" t="s">
        <v>2381</v>
      </c>
      <c r="P1571" t="s">
        <v>2394</v>
      </c>
      <c r="Q1571" t="s">
        <v>2383</v>
      </c>
      <c r="R1571">
        <v>1</v>
      </c>
      <c r="S1571" t="s">
        <v>2380</v>
      </c>
      <c r="T1571" t="s">
        <v>2383</v>
      </c>
      <c r="U1571" s="8">
        <v>45936.288611111115</v>
      </c>
      <c r="V1571" s="8">
        <v>45938.958333333336</v>
      </c>
      <c r="W1571">
        <v>1</v>
      </c>
      <c r="X1571">
        <v>0.31055555600000001</v>
      </c>
      <c r="Y1571" t="s">
        <v>7578</v>
      </c>
      <c r="Z1571" t="s">
        <v>7583</v>
      </c>
      <c r="AA1571" t="s">
        <v>7580</v>
      </c>
      <c r="AB1571" t="s">
        <v>1278</v>
      </c>
      <c r="AC1571" t="s">
        <v>7584</v>
      </c>
      <c r="AD1571" t="s">
        <v>2708</v>
      </c>
      <c r="AE1571">
        <v>1</v>
      </c>
      <c r="AO1571" t="s">
        <v>2957</v>
      </c>
      <c r="AP1571" t="s">
        <v>2401</v>
      </c>
    </row>
    <row r="1572" spans="1:42">
      <c r="A1572" t="s">
        <v>7644</v>
      </c>
      <c r="B1572" t="s">
        <v>2389</v>
      </c>
      <c r="C1572" t="s">
        <v>2390</v>
      </c>
      <c r="D1572" t="s">
        <v>2379</v>
      </c>
      <c r="E1572" t="s">
        <v>2452</v>
      </c>
      <c r="F1572" t="s">
        <v>7576</v>
      </c>
      <c r="G1572" t="s">
        <v>2452</v>
      </c>
      <c r="H1572" t="b">
        <v>1</v>
      </c>
      <c r="I1572" s="8">
        <v>45938.471342592595</v>
      </c>
      <c r="J1572" t="s">
        <v>2380</v>
      </c>
      <c r="K1572">
        <v>1200818</v>
      </c>
      <c r="L1572">
        <v>602665</v>
      </c>
      <c r="M1572" t="s">
        <v>2381</v>
      </c>
      <c r="P1572" t="s">
        <v>2394</v>
      </c>
      <c r="Q1572" t="s">
        <v>2383</v>
      </c>
      <c r="R1572">
        <v>1</v>
      </c>
      <c r="S1572" t="s">
        <v>2380</v>
      </c>
      <c r="T1572" t="s">
        <v>2383</v>
      </c>
      <c r="U1572" s="8">
        <v>45936.289317129631</v>
      </c>
      <c r="V1572" s="8">
        <v>45943.958333333336</v>
      </c>
      <c r="W1572">
        <v>1</v>
      </c>
      <c r="X1572">
        <v>2.182025463</v>
      </c>
      <c r="Y1572" t="s">
        <v>7578</v>
      </c>
      <c r="Z1572" t="s">
        <v>7645</v>
      </c>
      <c r="AA1572" t="s">
        <v>7580</v>
      </c>
      <c r="AB1572" t="s">
        <v>1278</v>
      </c>
      <c r="AC1572" t="s">
        <v>7646</v>
      </c>
      <c r="AD1572" t="s">
        <v>2708</v>
      </c>
      <c r="AE1572">
        <v>1</v>
      </c>
      <c r="AO1572" t="s">
        <v>2957</v>
      </c>
      <c r="AP1572" t="s">
        <v>2401</v>
      </c>
    </row>
    <row r="1573" spans="1:42">
      <c r="A1573" t="s">
        <v>3190</v>
      </c>
      <c r="B1573" t="s">
        <v>2377</v>
      </c>
      <c r="C1573" t="s">
        <v>2378</v>
      </c>
      <c r="D1573" t="s">
        <v>2379</v>
      </c>
      <c r="E1573" t="s">
        <v>24</v>
      </c>
      <c r="F1573" t="s">
        <v>2588</v>
      </c>
      <c r="G1573" t="s">
        <v>24</v>
      </c>
      <c r="H1573" t="b">
        <v>1</v>
      </c>
      <c r="I1573" s="8">
        <v>45939.615648148145</v>
      </c>
      <c r="J1573" t="s">
        <v>2380</v>
      </c>
      <c r="L1573">
        <v>603525</v>
      </c>
      <c r="M1573" t="s">
        <v>2381</v>
      </c>
      <c r="P1573" t="s">
        <v>2427</v>
      </c>
      <c r="Q1573" t="s">
        <v>2383</v>
      </c>
      <c r="R1573">
        <v>1</v>
      </c>
      <c r="S1573" t="s">
        <v>2380</v>
      </c>
      <c r="T1573" t="s">
        <v>2383</v>
      </c>
      <c r="U1573" s="8">
        <v>45936.344675925924</v>
      </c>
      <c r="V1573" s="8">
        <v>45939.958333333336</v>
      </c>
      <c r="W1573">
        <v>1</v>
      </c>
      <c r="X1573">
        <v>3.2709722220000002</v>
      </c>
      <c r="Y1573" t="s">
        <v>2579</v>
      </c>
      <c r="Z1573" t="s">
        <v>3191</v>
      </c>
      <c r="AA1573" t="s">
        <v>2699</v>
      </c>
      <c r="AB1573" t="s">
        <v>1278</v>
      </c>
      <c r="AC1573" t="s">
        <v>3187</v>
      </c>
      <c r="AE1573">
        <v>1</v>
      </c>
      <c r="AO1573" t="s">
        <v>2388</v>
      </c>
      <c r="AP1573" t="s">
        <v>2401</v>
      </c>
    </row>
    <row r="1574" spans="1:42">
      <c r="A1574" t="s">
        <v>7025</v>
      </c>
      <c r="B1574" t="s">
        <v>2389</v>
      </c>
      <c r="C1574" t="s">
        <v>2378</v>
      </c>
      <c r="D1574" t="s">
        <v>2379</v>
      </c>
      <c r="E1574" t="s">
        <v>2452</v>
      </c>
      <c r="F1574">
        <v>3842</v>
      </c>
      <c r="G1574" t="s">
        <v>2452</v>
      </c>
      <c r="H1574" t="b">
        <v>1</v>
      </c>
      <c r="I1574" s="8">
        <v>45939.667002314818</v>
      </c>
      <c r="J1574" t="s">
        <v>2380</v>
      </c>
      <c r="K1574">
        <v>1201369</v>
      </c>
      <c r="L1574">
        <v>603092</v>
      </c>
      <c r="M1574" t="s">
        <v>2381</v>
      </c>
      <c r="P1574" t="s">
        <v>2394</v>
      </c>
      <c r="Q1574" t="s">
        <v>2383</v>
      </c>
      <c r="R1574">
        <v>1</v>
      </c>
      <c r="S1574" t="s">
        <v>2380</v>
      </c>
      <c r="T1574" t="s">
        <v>2383</v>
      </c>
      <c r="U1574" s="8">
        <v>45936.347233796296</v>
      </c>
      <c r="V1574" s="8">
        <v>45939.958333333336</v>
      </c>
      <c r="W1574">
        <v>1</v>
      </c>
      <c r="X1574">
        <v>3.3197685190000001</v>
      </c>
      <c r="Y1574" t="s">
        <v>4453</v>
      </c>
      <c r="Z1574" t="s">
        <v>7026</v>
      </c>
      <c r="AA1574" t="s">
        <v>4456</v>
      </c>
      <c r="AB1574" t="s">
        <v>1278</v>
      </c>
      <c r="AC1574" t="s">
        <v>7027</v>
      </c>
      <c r="AD1574" t="s">
        <v>2708</v>
      </c>
      <c r="AE1574">
        <v>1</v>
      </c>
      <c r="AO1574" t="s">
        <v>2388</v>
      </c>
      <c r="AP1574" t="s">
        <v>2401</v>
      </c>
    </row>
    <row r="1575" spans="1:42">
      <c r="A1575" t="s">
        <v>3985</v>
      </c>
      <c r="B1575" t="s">
        <v>2389</v>
      </c>
      <c r="C1575" t="s">
        <v>2415</v>
      </c>
      <c r="D1575" t="s">
        <v>2379</v>
      </c>
      <c r="E1575" t="s">
        <v>3983</v>
      </c>
      <c r="F1575" t="s">
        <v>2588</v>
      </c>
      <c r="G1575" t="s">
        <v>3983</v>
      </c>
      <c r="H1575" t="b">
        <v>1</v>
      </c>
      <c r="I1575" s="8">
        <v>45937.619270833333</v>
      </c>
      <c r="J1575" t="s">
        <v>3984</v>
      </c>
      <c r="K1575">
        <v>1200545</v>
      </c>
      <c r="L1575">
        <v>603123</v>
      </c>
      <c r="M1575" t="s">
        <v>2381</v>
      </c>
      <c r="P1575" t="s">
        <v>2427</v>
      </c>
      <c r="Q1575" t="s">
        <v>2383</v>
      </c>
      <c r="R1575">
        <v>1</v>
      </c>
      <c r="S1575" t="s">
        <v>3984</v>
      </c>
      <c r="T1575" t="s">
        <v>2383</v>
      </c>
      <c r="U1575" s="8">
        <v>45936.366678240738</v>
      </c>
      <c r="V1575" s="8">
        <v>45939.958333333336</v>
      </c>
      <c r="W1575">
        <v>1</v>
      </c>
      <c r="X1575">
        <v>1.2525925929999999</v>
      </c>
      <c r="Y1575" t="s">
        <v>2579</v>
      </c>
      <c r="Z1575" t="s">
        <v>3986</v>
      </c>
      <c r="AA1575" t="s">
        <v>3729</v>
      </c>
      <c r="AB1575" t="s">
        <v>1278</v>
      </c>
      <c r="AC1575" t="s">
        <v>3987</v>
      </c>
      <c r="AD1575" t="s">
        <v>2708</v>
      </c>
      <c r="AE1575">
        <v>1</v>
      </c>
      <c r="AO1575" t="s">
        <v>2720</v>
      </c>
      <c r="AP1575" t="s">
        <v>2401</v>
      </c>
    </row>
    <row r="1576" spans="1:42">
      <c r="A1576" t="s">
        <v>1266</v>
      </c>
      <c r="B1576" t="s">
        <v>2377</v>
      </c>
      <c r="C1576" t="s">
        <v>2378</v>
      </c>
      <c r="D1576" t="s">
        <v>2379</v>
      </c>
      <c r="E1576" t="s">
        <v>12</v>
      </c>
      <c r="F1576" t="s">
        <v>2578</v>
      </c>
      <c r="G1576" t="s">
        <v>12</v>
      </c>
      <c r="H1576" t="b">
        <v>1</v>
      </c>
      <c r="I1576" s="8">
        <v>45939.612766203703</v>
      </c>
      <c r="J1576" t="s">
        <v>2380</v>
      </c>
      <c r="L1576">
        <v>609359</v>
      </c>
      <c r="M1576" t="s">
        <v>2381</v>
      </c>
      <c r="P1576" t="s">
        <v>2427</v>
      </c>
      <c r="Q1576" t="s">
        <v>2383</v>
      </c>
      <c r="R1576">
        <v>1</v>
      </c>
      <c r="S1576" t="s">
        <v>2380</v>
      </c>
      <c r="T1576" t="s">
        <v>2383</v>
      </c>
      <c r="U1576" s="8">
        <v>45936.367326388892</v>
      </c>
      <c r="V1576" s="8">
        <v>45939.958333333336</v>
      </c>
      <c r="W1576">
        <v>1</v>
      </c>
      <c r="X1576">
        <v>3.2454398150000001</v>
      </c>
      <c r="Y1576" t="s">
        <v>2579</v>
      </c>
      <c r="Z1576" t="s">
        <v>3930</v>
      </c>
      <c r="AA1576" t="s">
        <v>3931</v>
      </c>
      <c r="AB1576" t="s">
        <v>1278</v>
      </c>
      <c r="AC1576" t="s">
        <v>3932</v>
      </c>
      <c r="AD1576" t="s">
        <v>2708</v>
      </c>
      <c r="AE1576">
        <v>1</v>
      </c>
      <c r="AO1576" t="s">
        <v>2720</v>
      </c>
      <c r="AP1576" t="s">
        <v>2401</v>
      </c>
    </row>
    <row r="1577" spans="1:42">
      <c r="A1577" t="s">
        <v>593</v>
      </c>
      <c r="B1577" t="s">
        <v>2377</v>
      </c>
      <c r="C1577" t="s">
        <v>2378</v>
      </c>
      <c r="D1577" t="s">
        <v>2379</v>
      </c>
      <c r="E1577" t="s">
        <v>24</v>
      </c>
      <c r="F1577" t="s">
        <v>2402</v>
      </c>
      <c r="G1577" t="s">
        <v>24</v>
      </c>
      <c r="H1577" t="b">
        <v>1</v>
      </c>
      <c r="I1577" s="8">
        <v>45939.4137962963</v>
      </c>
      <c r="J1577" t="s">
        <v>2380</v>
      </c>
      <c r="L1577">
        <v>603524</v>
      </c>
      <c r="M1577" t="s">
        <v>2381</v>
      </c>
      <c r="P1577" t="s">
        <v>2394</v>
      </c>
      <c r="Q1577" t="s">
        <v>2383</v>
      </c>
      <c r="R1577">
        <v>1</v>
      </c>
      <c r="S1577" t="s">
        <v>2380</v>
      </c>
      <c r="T1577" t="s">
        <v>2383</v>
      </c>
      <c r="U1577" s="8">
        <v>45936.372546296298</v>
      </c>
      <c r="V1577" s="8">
        <v>45939.958333333336</v>
      </c>
      <c r="W1577">
        <v>1</v>
      </c>
      <c r="X1577">
        <v>3.0412499999999998</v>
      </c>
      <c r="Y1577" t="s">
        <v>2403</v>
      </c>
      <c r="Z1577" t="s">
        <v>8031</v>
      </c>
      <c r="AA1577" t="s">
        <v>8032</v>
      </c>
      <c r="AB1577" t="s">
        <v>1278</v>
      </c>
      <c r="AC1577" t="s">
        <v>8033</v>
      </c>
      <c r="AD1577" t="s">
        <v>2708</v>
      </c>
      <c r="AE1577">
        <v>1</v>
      </c>
      <c r="AO1577" t="s">
        <v>4121</v>
      </c>
      <c r="AP1577" t="s">
        <v>2401</v>
      </c>
    </row>
    <row r="1578" spans="1:42">
      <c r="A1578" t="s">
        <v>10314</v>
      </c>
      <c r="B1578" t="s">
        <v>2377</v>
      </c>
      <c r="C1578" t="s">
        <v>2415</v>
      </c>
      <c r="D1578" t="s">
        <v>2379</v>
      </c>
      <c r="E1578" t="s">
        <v>307</v>
      </c>
      <c r="F1578" t="s">
        <v>3891</v>
      </c>
      <c r="G1578" t="s">
        <v>307</v>
      </c>
      <c r="H1578" t="b">
        <v>1</v>
      </c>
      <c r="I1578" s="8">
        <v>45937.856296296297</v>
      </c>
      <c r="J1578" t="s">
        <v>2380</v>
      </c>
      <c r="L1578">
        <v>609791</v>
      </c>
      <c r="M1578" t="s">
        <v>2381</v>
      </c>
      <c r="P1578" t="s">
        <v>2427</v>
      </c>
      <c r="Q1578" t="s">
        <v>2383</v>
      </c>
      <c r="R1578">
        <v>1</v>
      </c>
      <c r="S1578" t="s">
        <v>2380</v>
      </c>
      <c r="T1578" t="s">
        <v>2383</v>
      </c>
      <c r="U1578" s="8">
        <v>45936.401759259257</v>
      </c>
      <c r="V1578" s="8">
        <v>45939.958333333336</v>
      </c>
      <c r="W1578">
        <v>1</v>
      </c>
      <c r="X1578">
        <v>1.4545370369999999</v>
      </c>
      <c r="Y1578" t="s">
        <v>3892</v>
      </c>
      <c r="Z1578" t="s">
        <v>10315</v>
      </c>
      <c r="AA1578" t="s">
        <v>5040</v>
      </c>
      <c r="AB1578" t="s">
        <v>1278</v>
      </c>
      <c r="AC1578" t="s">
        <v>10316</v>
      </c>
      <c r="AE1578">
        <v>1</v>
      </c>
      <c r="AO1578" t="s">
        <v>2715</v>
      </c>
      <c r="AP1578" t="s">
        <v>2401</v>
      </c>
    </row>
    <row r="1579" spans="1:42">
      <c r="A1579" t="s">
        <v>6829</v>
      </c>
      <c r="B1579" t="s">
        <v>2389</v>
      </c>
      <c r="C1579" t="s">
        <v>2438</v>
      </c>
      <c r="D1579" t="s">
        <v>2379</v>
      </c>
      <c r="E1579" t="s">
        <v>2601</v>
      </c>
      <c r="F1579">
        <v>6397</v>
      </c>
      <c r="G1579" t="s">
        <v>2601</v>
      </c>
      <c r="H1579" t="b">
        <v>1</v>
      </c>
      <c r="I1579" s="8">
        <v>45936.656400462962</v>
      </c>
      <c r="J1579" t="s">
        <v>2380</v>
      </c>
      <c r="K1579">
        <v>1200383</v>
      </c>
      <c r="L1579">
        <v>605127</v>
      </c>
      <c r="M1579" t="s">
        <v>2381</v>
      </c>
      <c r="P1579" t="s">
        <v>2394</v>
      </c>
      <c r="Q1579" t="s">
        <v>2383</v>
      </c>
      <c r="R1579">
        <v>1</v>
      </c>
      <c r="S1579" t="s">
        <v>2380</v>
      </c>
      <c r="T1579" t="s">
        <v>2383</v>
      </c>
      <c r="U1579" s="8">
        <v>45936.412106481483</v>
      </c>
      <c r="V1579" s="8">
        <v>45939.958333333336</v>
      </c>
      <c r="W1579">
        <v>1</v>
      </c>
      <c r="X1579">
        <v>0.24429398099999999</v>
      </c>
      <c r="Y1579" t="s">
        <v>2607</v>
      </c>
      <c r="Z1579" t="s">
        <v>6830</v>
      </c>
      <c r="AA1579" t="s">
        <v>6827</v>
      </c>
      <c r="AB1579" t="s">
        <v>1278</v>
      </c>
      <c r="AD1579" t="s">
        <v>2708</v>
      </c>
      <c r="AE1579">
        <v>1</v>
      </c>
      <c r="AO1579" t="s">
        <v>2388</v>
      </c>
      <c r="AP1579" t="s">
        <v>2401</v>
      </c>
    </row>
    <row r="1580" spans="1:42">
      <c r="A1580" t="s">
        <v>10155</v>
      </c>
      <c r="B1580" t="s">
        <v>2389</v>
      </c>
      <c r="C1580" t="s">
        <v>2378</v>
      </c>
      <c r="D1580" t="s">
        <v>2379</v>
      </c>
      <c r="E1580" t="s">
        <v>2601</v>
      </c>
      <c r="F1580" t="s">
        <v>2417</v>
      </c>
      <c r="G1580" t="s">
        <v>2601</v>
      </c>
      <c r="H1580" t="b">
        <v>1</v>
      </c>
      <c r="I1580" s="8">
        <v>45939.569907407407</v>
      </c>
      <c r="J1580" t="s">
        <v>2380</v>
      </c>
      <c r="L1580">
        <v>601657</v>
      </c>
      <c r="M1580" t="s">
        <v>2381</v>
      </c>
      <c r="P1580" t="s">
        <v>2394</v>
      </c>
      <c r="Q1580" t="s">
        <v>2383</v>
      </c>
      <c r="R1580">
        <v>1</v>
      </c>
      <c r="S1580" t="s">
        <v>2380</v>
      </c>
      <c r="T1580" t="s">
        <v>2383</v>
      </c>
      <c r="U1580" s="8">
        <v>45936.41333333333</v>
      </c>
      <c r="V1580" s="8">
        <v>45939.958333333336</v>
      </c>
      <c r="W1580">
        <v>1</v>
      </c>
      <c r="X1580">
        <v>3.1565740739999999</v>
      </c>
      <c r="Y1580" t="s">
        <v>2418</v>
      </c>
      <c r="Z1580" t="s">
        <v>10156</v>
      </c>
      <c r="AA1580" t="s">
        <v>8057</v>
      </c>
      <c r="AB1580" t="s">
        <v>1278</v>
      </c>
      <c r="AE1580">
        <v>1</v>
      </c>
      <c r="AO1580" t="s">
        <v>4121</v>
      </c>
      <c r="AP1580" t="s">
        <v>2401</v>
      </c>
    </row>
    <row r="1581" spans="1:42">
      <c r="A1581" t="s">
        <v>5226</v>
      </c>
      <c r="B1581" t="s">
        <v>2389</v>
      </c>
      <c r="C1581" t="s">
        <v>2378</v>
      </c>
      <c r="D1581" t="s">
        <v>2379</v>
      </c>
      <c r="E1581" t="s">
        <v>33</v>
      </c>
      <c r="F1581" t="s">
        <v>2402</v>
      </c>
      <c r="G1581" t="s">
        <v>33</v>
      </c>
      <c r="H1581" t="b">
        <v>1</v>
      </c>
      <c r="I1581" s="8">
        <v>45938.582083333335</v>
      </c>
      <c r="J1581" t="s">
        <v>2380</v>
      </c>
      <c r="K1581">
        <v>1200465</v>
      </c>
      <c r="L1581">
        <v>609839</v>
      </c>
      <c r="M1581" t="s">
        <v>2381</v>
      </c>
      <c r="Q1581" t="s">
        <v>2383</v>
      </c>
      <c r="R1581">
        <v>1</v>
      </c>
      <c r="S1581" t="s">
        <v>2380</v>
      </c>
      <c r="T1581" t="s">
        <v>2383</v>
      </c>
      <c r="U1581" s="8">
        <v>45933.52171296296</v>
      </c>
      <c r="V1581" s="8">
        <v>45940.958333333336</v>
      </c>
      <c r="W1581">
        <v>1</v>
      </c>
      <c r="X1581">
        <v>3.0603703699999998</v>
      </c>
      <c r="Y1581" t="s">
        <v>2403</v>
      </c>
      <c r="Z1581" t="s">
        <v>5227</v>
      </c>
      <c r="AA1581" t="s">
        <v>2760</v>
      </c>
      <c r="AB1581" t="s">
        <v>1278</v>
      </c>
      <c r="AC1581" t="s">
        <v>5228</v>
      </c>
      <c r="AD1581" t="s">
        <v>2708</v>
      </c>
      <c r="AE1581">
        <v>1</v>
      </c>
      <c r="AH1581" t="s">
        <v>4895</v>
      </c>
      <c r="AI1581" s="8">
        <v>45938.580081018517</v>
      </c>
      <c r="AK1581" t="s">
        <v>2719</v>
      </c>
      <c r="AL1581" t="s">
        <v>2719</v>
      </c>
      <c r="AO1581" t="s">
        <v>2408</v>
      </c>
      <c r="AP1581" t="s">
        <v>2401</v>
      </c>
    </row>
    <row r="1582" spans="1:42">
      <c r="A1582" t="s">
        <v>4228</v>
      </c>
      <c r="B1582" t="s">
        <v>2389</v>
      </c>
      <c r="C1582" t="s">
        <v>2438</v>
      </c>
      <c r="D1582" t="s">
        <v>2379</v>
      </c>
      <c r="E1582" t="s">
        <v>33</v>
      </c>
      <c r="F1582" t="s">
        <v>2402</v>
      </c>
      <c r="G1582" t="s">
        <v>33</v>
      </c>
      <c r="H1582" t="b">
        <v>1</v>
      </c>
      <c r="I1582" s="8">
        <v>45936.42496527778</v>
      </c>
      <c r="J1582" t="s">
        <v>2380</v>
      </c>
      <c r="K1582">
        <v>1200257</v>
      </c>
      <c r="L1582">
        <v>609839</v>
      </c>
      <c r="M1582" t="s">
        <v>2381</v>
      </c>
      <c r="Q1582" t="s">
        <v>2383</v>
      </c>
      <c r="R1582">
        <v>1</v>
      </c>
      <c r="S1582" t="s">
        <v>2380</v>
      </c>
      <c r="T1582" t="s">
        <v>2383</v>
      </c>
      <c r="U1582" s="8">
        <v>45933.52171296296</v>
      </c>
      <c r="V1582" s="8">
        <v>45938.958333333336</v>
      </c>
      <c r="W1582">
        <v>1</v>
      </c>
      <c r="X1582">
        <v>0.90325231500000003</v>
      </c>
      <c r="Y1582" t="s">
        <v>2403</v>
      </c>
      <c r="Z1582" t="s">
        <v>4229</v>
      </c>
      <c r="AA1582" t="s">
        <v>2760</v>
      </c>
      <c r="AB1582" t="s">
        <v>1278</v>
      </c>
      <c r="AC1582" t="s">
        <v>4230</v>
      </c>
      <c r="AD1582" t="s">
        <v>2708</v>
      </c>
      <c r="AE1582">
        <v>1</v>
      </c>
      <c r="AO1582" t="s">
        <v>2408</v>
      </c>
      <c r="AP1582" t="s">
        <v>2401</v>
      </c>
    </row>
    <row r="1583" spans="1:42">
      <c r="A1583" t="s">
        <v>4231</v>
      </c>
      <c r="B1583" t="s">
        <v>2389</v>
      </c>
      <c r="C1583" t="s">
        <v>2415</v>
      </c>
      <c r="D1583" t="s">
        <v>2379</v>
      </c>
      <c r="E1583" t="s">
        <v>33</v>
      </c>
      <c r="F1583" t="s">
        <v>2402</v>
      </c>
      <c r="G1583" t="s">
        <v>33</v>
      </c>
      <c r="H1583" t="b">
        <v>1</v>
      </c>
      <c r="I1583" s="8">
        <v>45936.643483796295</v>
      </c>
      <c r="J1583" t="s">
        <v>2380</v>
      </c>
      <c r="K1583">
        <v>1200381</v>
      </c>
      <c r="L1583">
        <v>609839</v>
      </c>
      <c r="M1583" t="s">
        <v>2381</v>
      </c>
      <c r="Q1583" t="s">
        <v>2383</v>
      </c>
      <c r="R1583">
        <v>1</v>
      </c>
      <c r="S1583" t="s">
        <v>2380</v>
      </c>
      <c r="T1583" t="s">
        <v>2383</v>
      </c>
      <c r="U1583" s="8">
        <v>45933.52171296296</v>
      </c>
      <c r="V1583" s="8">
        <v>45938.958333333336</v>
      </c>
      <c r="W1583">
        <v>1</v>
      </c>
      <c r="X1583">
        <v>1.121770833</v>
      </c>
      <c r="Y1583" t="s">
        <v>2403</v>
      </c>
      <c r="Z1583" t="s">
        <v>4232</v>
      </c>
      <c r="AA1583" t="s">
        <v>2760</v>
      </c>
      <c r="AB1583" t="s">
        <v>1278</v>
      </c>
      <c r="AC1583" t="s">
        <v>4233</v>
      </c>
      <c r="AD1583" t="s">
        <v>2708</v>
      </c>
      <c r="AE1583">
        <v>1</v>
      </c>
      <c r="AO1583" t="s">
        <v>2408</v>
      </c>
      <c r="AP1583" t="s">
        <v>2401</v>
      </c>
    </row>
    <row r="1584" spans="1:42">
      <c r="A1584" t="s">
        <v>6056</v>
      </c>
      <c r="B1584" t="s">
        <v>2389</v>
      </c>
      <c r="C1584" t="s">
        <v>2390</v>
      </c>
      <c r="D1584" t="s">
        <v>2379</v>
      </c>
      <c r="E1584" t="s">
        <v>2452</v>
      </c>
      <c r="F1584" t="s">
        <v>2541</v>
      </c>
      <c r="G1584" t="s">
        <v>2452</v>
      </c>
      <c r="H1584" t="b">
        <v>1</v>
      </c>
      <c r="I1584" s="8">
        <v>45938.539988425924</v>
      </c>
      <c r="J1584" t="s">
        <v>2380</v>
      </c>
      <c r="K1584">
        <v>1200864</v>
      </c>
      <c r="L1584">
        <v>601441</v>
      </c>
      <c r="M1584" t="s">
        <v>2381</v>
      </c>
      <c r="P1584" t="s">
        <v>2548</v>
      </c>
      <c r="Q1584" t="s">
        <v>2383</v>
      </c>
      <c r="R1584">
        <v>1</v>
      </c>
      <c r="S1584" t="s">
        <v>2380</v>
      </c>
      <c r="T1584" t="s">
        <v>2383</v>
      </c>
      <c r="U1584" s="8">
        <v>45936.425393518519</v>
      </c>
      <c r="V1584" s="8">
        <v>45939.958333333336</v>
      </c>
      <c r="W1584">
        <v>1</v>
      </c>
      <c r="X1584">
        <v>2.1145949069999999</v>
      </c>
      <c r="Y1584" t="s">
        <v>2542</v>
      </c>
      <c r="Z1584" t="s">
        <v>6057</v>
      </c>
      <c r="AA1584" t="s">
        <v>2884</v>
      </c>
      <c r="AB1584" t="s">
        <v>1278</v>
      </c>
      <c r="AC1584" t="s">
        <v>6058</v>
      </c>
      <c r="AD1584" t="s">
        <v>2708</v>
      </c>
      <c r="AE1584">
        <v>1</v>
      </c>
      <c r="AO1584" t="s">
        <v>2547</v>
      </c>
      <c r="AP1584" t="s">
        <v>2401</v>
      </c>
    </row>
    <row r="1585" spans="1:42">
      <c r="A1585" t="s">
        <v>7548</v>
      </c>
      <c r="B1585" t="s">
        <v>2389</v>
      </c>
      <c r="C1585" t="s">
        <v>2415</v>
      </c>
      <c r="D1585" t="s">
        <v>2379</v>
      </c>
      <c r="E1585" t="s">
        <v>33</v>
      </c>
      <c r="F1585" t="s">
        <v>7055</v>
      </c>
      <c r="G1585" t="s">
        <v>33</v>
      </c>
      <c r="H1585" t="b">
        <v>1</v>
      </c>
      <c r="I1585" s="8">
        <v>45937.620694444442</v>
      </c>
      <c r="J1585" t="s">
        <v>2380</v>
      </c>
      <c r="K1585">
        <v>1200546</v>
      </c>
      <c r="L1585">
        <v>608979</v>
      </c>
      <c r="M1585" t="s">
        <v>2381</v>
      </c>
      <c r="P1585" t="s">
        <v>2394</v>
      </c>
      <c r="Q1585" t="s">
        <v>2383</v>
      </c>
      <c r="R1585">
        <v>1</v>
      </c>
      <c r="S1585" t="s">
        <v>2380</v>
      </c>
      <c r="T1585" t="s">
        <v>2383</v>
      </c>
      <c r="U1585" s="8">
        <v>45936.425995370373</v>
      </c>
      <c r="V1585" s="8">
        <v>45939.958333333336</v>
      </c>
      <c r="W1585">
        <v>1</v>
      </c>
      <c r="X1585">
        <v>1.1946990740000001</v>
      </c>
      <c r="Y1585" t="s">
        <v>7056</v>
      </c>
      <c r="Z1585" t="s">
        <v>7549</v>
      </c>
      <c r="AA1585" t="s">
        <v>7516</v>
      </c>
      <c r="AB1585" t="s">
        <v>1278</v>
      </c>
      <c r="AD1585" t="s">
        <v>2708</v>
      </c>
      <c r="AE1585">
        <v>1</v>
      </c>
      <c r="AO1585" t="s">
        <v>2957</v>
      </c>
      <c r="AP1585" t="s">
        <v>2401</v>
      </c>
    </row>
    <row r="1586" spans="1:42">
      <c r="A1586" t="s">
        <v>2798</v>
      </c>
      <c r="B1586" t="s">
        <v>2389</v>
      </c>
      <c r="C1586" t="s">
        <v>2378</v>
      </c>
      <c r="D1586" t="s">
        <v>2379</v>
      </c>
      <c r="E1586" t="s">
        <v>307</v>
      </c>
      <c r="F1586" t="s">
        <v>2417</v>
      </c>
      <c r="G1586" t="s">
        <v>307</v>
      </c>
      <c r="H1586" t="b">
        <v>1</v>
      </c>
      <c r="I1586" s="8">
        <v>45939.834953703707</v>
      </c>
      <c r="J1586" t="s">
        <v>2380</v>
      </c>
      <c r="L1586">
        <v>608552</v>
      </c>
      <c r="M1586" t="s">
        <v>2381</v>
      </c>
      <c r="P1586" t="s">
        <v>2394</v>
      </c>
      <c r="Q1586" t="s">
        <v>2383</v>
      </c>
      <c r="R1586">
        <v>1</v>
      </c>
      <c r="S1586" t="s">
        <v>2380</v>
      </c>
      <c r="T1586" t="s">
        <v>2383</v>
      </c>
      <c r="U1586" s="8">
        <v>45936.440196759257</v>
      </c>
      <c r="V1586" s="8">
        <v>45939.958333333336</v>
      </c>
      <c r="W1586">
        <v>1</v>
      </c>
      <c r="X1586">
        <v>3.3947569440000001</v>
      </c>
      <c r="Y1586" t="s">
        <v>2418</v>
      </c>
      <c r="Z1586" t="s">
        <v>2799</v>
      </c>
      <c r="AA1586" t="s">
        <v>2425</v>
      </c>
      <c r="AB1586" t="s">
        <v>1278</v>
      </c>
      <c r="AC1586" t="s">
        <v>2800</v>
      </c>
      <c r="AE1586">
        <v>1</v>
      </c>
      <c r="AO1586" t="s">
        <v>2408</v>
      </c>
      <c r="AP1586" t="s">
        <v>2401</v>
      </c>
    </row>
    <row r="1587" spans="1:42">
      <c r="A1587" t="s">
        <v>3782</v>
      </c>
      <c r="B1587" t="s">
        <v>2377</v>
      </c>
      <c r="C1587" t="s">
        <v>2415</v>
      </c>
      <c r="D1587" t="s">
        <v>2379</v>
      </c>
      <c r="E1587" t="s">
        <v>307</v>
      </c>
      <c r="F1587" t="s">
        <v>3747</v>
      </c>
      <c r="G1587" t="s">
        <v>307</v>
      </c>
      <c r="H1587" t="b">
        <v>1</v>
      </c>
      <c r="I1587" s="8">
        <v>45937.858067129629</v>
      </c>
      <c r="J1587" t="s">
        <v>2380</v>
      </c>
      <c r="L1587">
        <v>601335</v>
      </c>
      <c r="M1587" t="s">
        <v>2381</v>
      </c>
      <c r="P1587" t="s">
        <v>2394</v>
      </c>
      <c r="Q1587" t="s">
        <v>2383</v>
      </c>
      <c r="R1587">
        <v>1</v>
      </c>
      <c r="S1587" t="s">
        <v>2380</v>
      </c>
      <c r="T1587" t="s">
        <v>2383</v>
      </c>
      <c r="U1587" s="8">
        <v>45936.458460648151</v>
      </c>
      <c r="V1587" s="8">
        <v>45939.958333333336</v>
      </c>
      <c r="W1587">
        <v>1</v>
      </c>
      <c r="X1587">
        <v>1.399606481</v>
      </c>
      <c r="Y1587" t="s">
        <v>3748</v>
      </c>
      <c r="Z1587" t="s">
        <v>3783</v>
      </c>
      <c r="AA1587" t="s">
        <v>3784</v>
      </c>
      <c r="AB1587" t="s">
        <v>1278</v>
      </c>
      <c r="AC1587" t="s">
        <v>2333</v>
      </c>
      <c r="AE1587">
        <v>1</v>
      </c>
      <c r="AO1587" t="s">
        <v>2712</v>
      </c>
      <c r="AP1587" t="s">
        <v>2401</v>
      </c>
    </row>
    <row r="1588" spans="1:42">
      <c r="A1588" t="s">
        <v>3594</v>
      </c>
      <c r="B1588" t="s">
        <v>2377</v>
      </c>
      <c r="C1588" t="s">
        <v>2390</v>
      </c>
      <c r="D1588" t="s">
        <v>2379</v>
      </c>
      <c r="E1588" t="s">
        <v>2416</v>
      </c>
      <c r="F1588" t="s">
        <v>2627</v>
      </c>
      <c r="G1588" t="s">
        <v>2416</v>
      </c>
      <c r="H1588" t="b">
        <v>1</v>
      </c>
      <c r="I1588" s="8">
        <v>45939.429618055554</v>
      </c>
      <c r="J1588" t="s">
        <v>2380</v>
      </c>
      <c r="L1588">
        <v>602686</v>
      </c>
      <c r="M1588" t="s">
        <v>2381</v>
      </c>
      <c r="Q1588" t="s">
        <v>2383</v>
      </c>
      <c r="R1588">
        <v>1</v>
      </c>
      <c r="S1588" t="s">
        <v>2380</v>
      </c>
      <c r="T1588" t="s">
        <v>2383</v>
      </c>
      <c r="U1588" s="8">
        <v>45936.461527777778</v>
      </c>
      <c r="V1588" s="8">
        <v>45939.958333333336</v>
      </c>
      <c r="W1588">
        <v>1</v>
      </c>
      <c r="X1588">
        <v>2.968090278</v>
      </c>
      <c r="Y1588" t="s">
        <v>2628</v>
      </c>
      <c r="Z1588" t="s">
        <v>3595</v>
      </c>
      <c r="AA1588" t="s">
        <v>3585</v>
      </c>
      <c r="AB1588" t="s">
        <v>1278</v>
      </c>
      <c r="AC1588" t="s">
        <v>3596</v>
      </c>
      <c r="AE1588">
        <v>1</v>
      </c>
      <c r="AO1588" t="s">
        <v>3586</v>
      </c>
      <c r="AP1588" t="s">
        <v>2401</v>
      </c>
    </row>
    <row r="1589" spans="1:42">
      <c r="A1589" t="s">
        <v>10372</v>
      </c>
      <c r="B1589" t="s">
        <v>2389</v>
      </c>
      <c r="C1589" t="s">
        <v>2390</v>
      </c>
      <c r="D1589" t="s">
        <v>2379</v>
      </c>
      <c r="E1589" t="s">
        <v>2452</v>
      </c>
      <c r="F1589" t="s">
        <v>2541</v>
      </c>
      <c r="G1589" t="s">
        <v>2452</v>
      </c>
      <c r="H1589" t="b">
        <v>1</v>
      </c>
      <c r="I1589" s="8">
        <v>45938.570208333331</v>
      </c>
      <c r="J1589" t="s">
        <v>2380</v>
      </c>
      <c r="L1589">
        <v>602299</v>
      </c>
      <c r="M1589" t="s">
        <v>2381</v>
      </c>
      <c r="P1589" t="s">
        <v>2548</v>
      </c>
      <c r="Q1589" t="s">
        <v>2383</v>
      </c>
      <c r="R1589">
        <v>1</v>
      </c>
      <c r="S1589" t="s">
        <v>2380</v>
      </c>
      <c r="T1589" t="s">
        <v>2383</v>
      </c>
      <c r="U1589" s="8">
        <v>45936.469988425924</v>
      </c>
      <c r="V1589" s="8">
        <v>45939.958333333336</v>
      </c>
      <c r="W1589">
        <v>1</v>
      </c>
      <c r="X1589">
        <v>2.1002199070000001</v>
      </c>
      <c r="Y1589" t="s">
        <v>2542</v>
      </c>
      <c r="Z1589" t="s">
        <v>10373</v>
      </c>
      <c r="AA1589" t="s">
        <v>2927</v>
      </c>
      <c r="AB1589" t="s">
        <v>1278</v>
      </c>
      <c r="AC1589" t="s">
        <v>10374</v>
      </c>
      <c r="AE1589">
        <v>1</v>
      </c>
      <c r="AO1589" t="s">
        <v>2547</v>
      </c>
      <c r="AP1589" t="s">
        <v>2401</v>
      </c>
    </row>
    <row r="1590" spans="1:42">
      <c r="A1590" t="s">
        <v>10366</v>
      </c>
      <c r="B1590" t="s">
        <v>2389</v>
      </c>
      <c r="C1590" t="s">
        <v>2378</v>
      </c>
      <c r="D1590" t="s">
        <v>2379</v>
      </c>
      <c r="E1590" t="s">
        <v>2452</v>
      </c>
      <c r="F1590" t="s">
        <v>2541</v>
      </c>
      <c r="G1590" t="s">
        <v>2452</v>
      </c>
      <c r="H1590" t="b">
        <v>1</v>
      </c>
      <c r="I1590" s="8">
        <v>45939.476817129631</v>
      </c>
      <c r="J1590" t="s">
        <v>2380</v>
      </c>
      <c r="L1590">
        <v>602299</v>
      </c>
      <c r="M1590" t="s">
        <v>2381</v>
      </c>
      <c r="P1590" t="s">
        <v>2394</v>
      </c>
      <c r="Q1590" t="s">
        <v>2383</v>
      </c>
      <c r="R1590">
        <v>1</v>
      </c>
      <c r="S1590" t="s">
        <v>2380</v>
      </c>
      <c r="T1590" t="s">
        <v>2383</v>
      </c>
      <c r="U1590" s="8">
        <v>45936.470497685186</v>
      </c>
      <c r="V1590" s="8">
        <v>45939.958333333336</v>
      </c>
      <c r="W1590">
        <v>1</v>
      </c>
      <c r="X1590">
        <v>3.0063194439999998</v>
      </c>
      <c r="Y1590" t="s">
        <v>2542</v>
      </c>
      <c r="Z1590" t="s">
        <v>10367</v>
      </c>
      <c r="AA1590" t="s">
        <v>2927</v>
      </c>
      <c r="AB1590" t="s">
        <v>1278</v>
      </c>
      <c r="AC1590" t="s">
        <v>10368</v>
      </c>
      <c r="AE1590">
        <v>1</v>
      </c>
      <c r="AO1590" t="s">
        <v>2547</v>
      </c>
      <c r="AP1590" t="s">
        <v>2401</v>
      </c>
    </row>
    <row r="1591" spans="1:42">
      <c r="A1591" t="s">
        <v>10033</v>
      </c>
      <c r="B1591" t="s">
        <v>2389</v>
      </c>
      <c r="C1591" t="s">
        <v>2438</v>
      </c>
      <c r="D1591" t="s">
        <v>2379</v>
      </c>
      <c r="E1591" t="s">
        <v>2601</v>
      </c>
      <c r="F1591">
        <v>4517</v>
      </c>
      <c r="G1591" t="s">
        <v>2601</v>
      </c>
      <c r="H1591" t="b">
        <v>1</v>
      </c>
      <c r="I1591" s="8">
        <v>45936.712094907409</v>
      </c>
      <c r="J1591" t="s">
        <v>2380</v>
      </c>
      <c r="L1591">
        <v>603698</v>
      </c>
      <c r="M1591" t="s">
        <v>2381</v>
      </c>
      <c r="P1591" t="s">
        <v>2394</v>
      </c>
      <c r="Q1591" t="s">
        <v>2383</v>
      </c>
      <c r="R1591">
        <v>1</v>
      </c>
      <c r="S1591" t="s">
        <v>2380</v>
      </c>
      <c r="T1591" t="s">
        <v>2383</v>
      </c>
      <c r="U1591" s="8">
        <v>45936.473935185182</v>
      </c>
      <c r="V1591" s="8">
        <v>45939.958333333336</v>
      </c>
      <c r="W1591">
        <v>1</v>
      </c>
      <c r="X1591">
        <v>0.23815972199999999</v>
      </c>
      <c r="Y1591" t="s">
        <v>3509</v>
      </c>
      <c r="Z1591" t="s">
        <v>10034</v>
      </c>
      <c r="AA1591" t="s">
        <v>10035</v>
      </c>
      <c r="AB1591" t="s">
        <v>1278</v>
      </c>
      <c r="AC1591" t="s">
        <v>10036</v>
      </c>
      <c r="AE1591">
        <v>1</v>
      </c>
      <c r="AO1591" t="s">
        <v>2957</v>
      </c>
      <c r="AP1591" t="s">
        <v>2401</v>
      </c>
    </row>
    <row r="1592" spans="1:42">
      <c r="A1592" t="s">
        <v>10337</v>
      </c>
      <c r="B1592" t="s">
        <v>2389</v>
      </c>
      <c r="C1592" t="s">
        <v>2390</v>
      </c>
      <c r="D1592" t="s">
        <v>2379</v>
      </c>
      <c r="E1592" t="s">
        <v>307</v>
      </c>
      <c r="F1592" t="s">
        <v>3891</v>
      </c>
      <c r="G1592" t="s">
        <v>307</v>
      </c>
      <c r="H1592" t="b">
        <v>1</v>
      </c>
      <c r="I1592" s="8">
        <v>45938.895624999997</v>
      </c>
      <c r="J1592" t="s">
        <v>2380</v>
      </c>
      <c r="L1592">
        <v>603596</v>
      </c>
      <c r="M1592" t="s">
        <v>2381</v>
      </c>
      <c r="P1592" t="s">
        <v>2394</v>
      </c>
      <c r="Q1592" t="s">
        <v>2383</v>
      </c>
      <c r="R1592">
        <v>1</v>
      </c>
      <c r="S1592" t="s">
        <v>2380</v>
      </c>
      <c r="T1592" t="s">
        <v>2383</v>
      </c>
      <c r="U1592" s="8">
        <v>45936.480312500003</v>
      </c>
      <c r="V1592" s="8">
        <v>45939.958333333336</v>
      </c>
      <c r="W1592">
        <v>1</v>
      </c>
      <c r="X1592">
        <v>2.4153125000000002</v>
      </c>
      <c r="Y1592" t="s">
        <v>3892</v>
      </c>
      <c r="Z1592" t="s">
        <v>10338</v>
      </c>
      <c r="AA1592" t="s">
        <v>5001</v>
      </c>
      <c r="AB1592" t="s">
        <v>1278</v>
      </c>
      <c r="AC1592" t="s">
        <v>10339</v>
      </c>
      <c r="AE1592">
        <v>1</v>
      </c>
      <c r="AO1592" t="s">
        <v>2715</v>
      </c>
      <c r="AP1592" t="s">
        <v>2401</v>
      </c>
    </row>
    <row r="1593" spans="1:42">
      <c r="A1593" t="s">
        <v>3351</v>
      </c>
      <c r="B1593" t="s">
        <v>2389</v>
      </c>
      <c r="C1593" t="s">
        <v>2443</v>
      </c>
      <c r="D1593" t="s">
        <v>2443</v>
      </c>
      <c r="E1593" t="s">
        <v>2452</v>
      </c>
      <c r="F1593" t="s">
        <v>2588</v>
      </c>
      <c r="G1593" t="s">
        <v>2452</v>
      </c>
      <c r="H1593" t="b">
        <v>1</v>
      </c>
      <c r="I1593" s="8">
        <v>45944.372511574074</v>
      </c>
      <c r="J1593" t="s">
        <v>2380</v>
      </c>
      <c r="L1593">
        <v>601152</v>
      </c>
      <c r="M1593" t="s">
        <v>2381</v>
      </c>
      <c r="P1593" t="s">
        <v>2394</v>
      </c>
      <c r="Q1593" t="s">
        <v>2383</v>
      </c>
      <c r="R1593">
        <v>1</v>
      </c>
      <c r="S1593" t="s">
        <v>2380</v>
      </c>
      <c r="T1593" t="s">
        <v>2383</v>
      </c>
      <c r="U1593" s="8">
        <v>45936.486631944441</v>
      </c>
      <c r="V1593" s="8">
        <v>45940.958333333336</v>
      </c>
      <c r="W1593">
        <v>1</v>
      </c>
      <c r="X1593">
        <v>5.8858796299999998</v>
      </c>
      <c r="Y1593" t="s">
        <v>2579</v>
      </c>
      <c r="Z1593" t="s">
        <v>3352</v>
      </c>
      <c r="AA1593" t="s">
        <v>3353</v>
      </c>
      <c r="AB1593" t="s">
        <v>1278</v>
      </c>
      <c r="AC1593" t="s">
        <v>3354</v>
      </c>
      <c r="AE1593">
        <v>1</v>
      </c>
      <c r="AO1593" t="s">
        <v>2388</v>
      </c>
      <c r="AP1593" t="s">
        <v>2401</v>
      </c>
    </row>
    <row r="1594" spans="1:42">
      <c r="A1594" t="s">
        <v>10024</v>
      </c>
      <c r="B1594" t="s">
        <v>2389</v>
      </c>
      <c r="C1594" t="s">
        <v>2447</v>
      </c>
      <c r="D1594" t="s">
        <v>2379</v>
      </c>
      <c r="E1594" t="s">
        <v>33</v>
      </c>
      <c r="F1594" t="s">
        <v>3491</v>
      </c>
      <c r="G1594" t="s">
        <v>33</v>
      </c>
      <c r="H1594" t="b">
        <v>1</v>
      </c>
      <c r="I1594" s="8">
        <v>45943.481261574074</v>
      </c>
      <c r="J1594" t="s">
        <v>2380</v>
      </c>
      <c r="L1594">
        <v>602666</v>
      </c>
      <c r="M1594" t="s">
        <v>2381</v>
      </c>
      <c r="Q1594" t="s">
        <v>2383</v>
      </c>
      <c r="R1594">
        <v>1</v>
      </c>
      <c r="S1594" t="s">
        <v>2380</v>
      </c>
      <c r="T1594" t="s">
        <v>2383</v>
      </c>
      <c r="U1594" s="8">
        <v>45936.494085648148</v>
      </c>
      <c r="V1594" s="8">
        <v>45943.958333333336</v>
      </c>
      <c r="W1594">
        <v>1</v>
      </c>
      <c r="X1594">
        <v>4.9871759259999999</v>
      </c>
      <c r="Y1594" t="s">
        <v>3492</v>
      </c>
      <c r="Z1594" t="s">
        <v>10025</v>
      </c>
      <c r="AA1594" t="s">
        <v>3495</v>
      </c>
      <c r="AB1594" t="s">
        <v>1278</v>
      </c>
      <c r="AC1594" t="s">
        <v>10026</v>
      </c>
      <c r="AE1594">
        <v>1</v>
      </c>
      <c r="AO1594" t="s">
        <v>2957</v>
      </c>
      <c r="AP1594" t="s">
        <v>2401</v>
      </c>
    </row>
    <row r="1595" spans="1:42">
      <c r="A1595" t="s">
        <v>3958</v>
      </c>
      <c r="B1595" t="s">
        <v>2389</v>
      </c>
      <c r="C1595" t="s">
        <v>2438</v>
      </c>
      <c r="D1595" t="s">
        <v>2379</v>
      </c>
      <c r="E1595" t="s">
        <v>33</v>
      </c>
      <c r="F1595" t="s">
        <v>3735</v>
      </c>
      <c r="G1595" t="s">
        <v>33</v>
      </c>
      <c r="H1595" t="b">
        <v>1</v>
      </c>
      <c r="I1595" s="8">
        <v>45936.512673611112</v>
      </c>
      <c r="J1595" t="s">
        <v>2380</v>
      </c>
      <c r="K1595">
        <v>1200350</v>
      </c>
      <c r="L1595">
        <v>601379</v>
      </c>
      <c r="M1595" t="s">
        <v>2381</v>
      </c>
      <c r="P1595" t="s">
        <v>2427</v>
      </c>
      <c r="Q1595" t="s">
        <v>2383</v>
      </c>
      <c r="R1595">
        <v>1</v>
      </c>
      <c r="S1595" t="s">
        <v>2380</v>
      </c>
      <c r="T1595" t="s">
        <v>2383</v>
      </c>
      <c r="U1595" s="8">
        <v>45936.509733796294</v>
      </c>
      <c r="V1595" s="8">
        <v>45939.958333333336</v>
      </c>
      <c r="W1595">
        <v>1</v>
      </c>
      <c r="X1595">
        <v>2.9398150000000001E-3</v>
      </c>
      <c r="Y1595" t="s">
        <v>1352</v>
      </c>
      <c r="Z1595" t="s">
        <v>3959</v>
      </c>
      <c r="AA1595" t="s">
        <v>3738</v>
      </c>
      <c r="AB1595" t="s">
        <v>1278</v>
      </c>
      <c r="AC1595" t="s">
        <v>3960</v>
      </c>
      <c r="AD1595" t="s">
        <v>2708</v>
      </c>
      <c r="AE1595">
        <v>1</v>
      </c>
      <c r="AO1595" t="s">
        <v>2720</v>
      </c>
      <c r="AP1595" t="s">
        <v>2401</v>
      </c>
    </row>
    <row r="1596" spans="1:42">
      <c r="A1596" t="s">
        <v>6667</v>
      </c>
      <c r="B1596" t="s">
        <v>2389</v>
      </c>
      <c r="C1596" t="s">
        <v>2415</v>
      </c>
      <c r="D1596" t="s">
        <v>2379</v>
      </c>
      <c r="E1596" t="s">
        <v>33</v>
      </c>
      <c r="F1596" t="s">
        <v>2578</v>
      </c>
      <c r="G1596" t="s">
        <v>33</v>
      </c>
      <c r="H1596" t="b">
        <v>1</v>
      </c>
      <c r="I1596" s="8">
        <v>45937.615914351853</v>
      </c>
      <c r="J1596" t="s">
        <v>2380</v>
      </c>
      <c r="K1596">
        <v>1200544</v>
      </c>
      <c r="L1596">
        <v>603233</v>
      </c>
      <c r="M1596" t="s">
        <v>2381</v>
      </c>
      <c r="P1596" t="s">
        <v>2394</v>
      </c>
      <c r="Q1596" t="s">
        <v>2383</v>
      </c>
      <c r="R1596">
        <v>1</v>
      </c>
      <c r="S1596" t="s">
        <v>2380</v>
      </c>
      <c r="T1596" t="s">
        <v>2383</v>
      </c>
      <c r="U1596" s="8">
        <v>45936.511331018519</v>
      </c>
      <c r="V1596" s="8">
        <v>45939.958333333336</v>
      </c>
      <c r="W1596">
        <v>1</v>
      </c>
      <c r="X1596">
        <v>1.1045833329999999</v>
      </c>
      <c r="Y1596" t="s">
        <v>2579</v>
      </c>
      <c r="Z1596" t="s">
        <v>6668</v>
      </c>
      <c r="AA1596" t="s">
        <v>6669</v>
      </c>
      <c r="AB1596" t="s">
        <v>1278</v>
      </c>
      <c r="AC1596" t="s">
        <v>6670</v>
      </c>
      <c r="AD1596" t="s">
        <v>2708</v>
      </c>
      <c r="AE1596">
        <v>1</v>
      </c>
      <c r="AO1596" t="s">
        <v>2388</v>
      </c>
      <c r="AP1596" t="s">
        <v>2401</v>
      </c>
    </row>
    <row r="1597" spans="1:42">
      <c r="A1597" t="s">
        <v>6800</v>
      </c>
      <c r="B1597" t="s">
        <v>2389</v>
      </c>
      <c r="C1597" t="s">
        <v>2438</v>
      </c>
      <c r="D1597" t="s">
        <v>2379</v>
      </c>
      <c r="E1597" t="s">
        <v>2601</v>
      </c>
      <c r="F1597">
        <v>4254</v>
      </c>
      <c r="G1597" t="s">
        <v>2601</v>
      </c>
      <c r="H1597" t="b">
        <v>1</v>
      </c>
      <c r="I1597" s="8">
        <v>45936.695104166669</v>
      </c>
      <c r="J1597" t="s">
        <v>2380</v>
      </c>
      <c r="K1597">
        <v>1200423</v>
      </c>
      <c r="L1597">
        <v>603708</v>
      </c>
      <c r="M1597" t="s">
        <v>2381</v>
      </c>
      <c r="P1597" t="s">
        <v>2394</v>
      </c>
      <c r="Q1597" t="s">
        <v>2383</v>
      </c>
      <c r="R1597">
        <v>1</v>
      </c>
      <c r="S1597" t="s">
        <v>2380</v>
      </c>
      <c r="T1597" t="s">
        <v>2383</v>
      </c>
      <c r="U1597" s="8">
        <v>45936.519074074073</v>
      </c>
      <c r="V1597" s="8">
        <v>45939.958333333336</v>
      </c>
      <c r="W1597">
        <v>1</v>
      </c>
      <c r="X1597">
        <v>0.176030093</v>
      </c>
      <c r="Y1597" t="s">
        <v>6799</v>
      </c>
      <c r="Z1597" t="s">
        <v>6801</v>
      </c>
      <c r="AA1597" t="s">
        <v>6802</v>
      </c>
      <c r="AB1597" t="s">
        <v>1278</v>
      </c>
      <c r="AC1597" t="s">
        <v>6803</v>
      </c>
      <c r="AD1597" t="s">
        <v>2708</v>
      </c>
      <c r="AE1597">
        <v>1</v>
      </c>
      <c r="AO1597" t="s">
        <v>2388</v>
      </c>
      <c r="AP1597" t="s">
        <v>2401</v>
      </c>
    </row>
    <row r="1598" spans="1:42">
      <c r="A1598" t="s">
        <v>10375</v>
      </c>
      <c r="B1598" t="s">
        <v>2389</v>
      </c>
      <c r="C1598" t="s">
        <v>2415</v>
      </c>
      <c r="D1598" t="s">
        <v>2379</v>
      </c>
      <c r="E1598" t="s">
        <v>2452</v>
      </c>
      <c r="F1598" t="s">
        <v>2541</v>
      </c>
      <c r="G1598" t="s">
        <v>2452</v>
      </c>
      <c r="H1598" t="b">
        <v>1</v>
      </c>
      <c r="I1598" s="8">
        <v>45938.518078703702</v>
      </c>
      <c r="J1598" t="s">
        <v>2380</v>
      </c>
      <c r="K1598">
        <v>1040470</v>
      </c>
      <c r="L1598">
        <v>601096</v>
      </c>
      <c r="M1598" t="s">
        <v>2381</v>
      </c>
      <c r="P1598" t="s">
        <v>2548</v>
      </c>
      <c r="Q1598" t="s">
        <v>2383</v>
      </c>
      <c r="R1598">
        <v>1</v>
      </c>
      <c r="S1598" t="s">
        <v>2380</v>
      </c>
      <c r="T1598" t="s">
        <v>2383</v>
      </c>
      <c r="U1598" s="8">
        <v>45936.523229166669</v>
      </c>
      <c r="V1598" s="8">
        <v>45939.958333333336</v>
      </c>
      <c r="W1598">
        <v>1</v>
      </c>
      <c r="X1598">
        <v>1.9948495369999999</v>
      </c>
      <c r="Y1598" t="s">
        <v>2542</v>
      </c>
      <c r="Z1598" t="s">
        <v>10376</v>
      </c>
      <c r="AA1598" t="s">
        <v>2888</v>
      </c>
      <c r="AB1598" t="s">
        <v>1278</v>
      </c>
      <c r="AC1598" t="s">
        <v>10377</v>
      </c>
      <c r="AE1598">
        <v>1</v>
      </c>
      <c r="AO1598" t="s">
        <v>2547</v>
      </c>
      <c r="AP1598" t="s">
        <v>2401</v>
      </c>
    </row>
    <row r="1599" spans="1:42">
      <c r="A1599" t="s">
        <v>8316</v>
      </c>
      <c r="B1599" t="s">
        <v>2389</v>
      </c>
      <c r="C1599" t="s">
        <v>2378</v>
      </c>
      <c r="D1599" t="s">
        <v>2379</v>
      </c>
      <c r="E1599" t="s">
        <v>25</v>
      </c>
      <c r="F1599">
        <v>6280</v>
      </c>
      <c r="G1599" t="s">
        <v>25</v>
      </c>
      <c r="H1599" t="b">
        <v>1</v>
      </c>
      <c r="I1599" s="8">
        <v>45939.678912037038</v>
      </c>
      <c r="J1599" t="s">
        <v>2380</v>
      </c>
      <c r="K1599">
        <v>1201436</v>
      </c>
      <c r="L1599">
        <v>604358</v>
      </c>
      <c r="M1599" t="s">
        <v>2381</v>
      </c>
      <c r="N1599">
        <v>5</v>
      </c>
      <c r="P1599" t="s">
        <v>2394</v>
      </c>
      <c r="Q1599" t="s">
        <v>2395</v>
      </c>
      <c r="R1599">
        <v>1</v>
      </c>
      <c r="S1599" t="s">
        <v>2380</v>
      </c>
      <c r="T1599" t="s">
        <v>2383</v>
      </c>
      <c r="U1599" s="8">
        <v>45936.562569444446</v>
      </c>
      <c r="V1599" s="8">
        <v>45939.958333333336</v>
      </c>
      <c r="W1599">
        <v>1</v>
      </c>
      <c r="X1599">
        <v>3.1163425930000002</v>
      </c>
      <c r="Y1599" t="s">
        <v>4555</v>
      </c>
      <c r="Z1599" t="s">
        <v>8317</v>
      </c>
      <c r="AA1599" t="s">
        <v>8318</v>
      </c>
      <c r="AB1599" t="s">
        <v>1278</v>
      </c>
      <c r="AC1599" t="s">
        <v>8319</v>
      </c>
      <c r="AD1599" t="s">
        <v>2708</v>
      </c>
      <c r="AE1599">
        <v>1</v>
      </c>
      <c r="AO1599" t="s">
        <v>4137</v>
      </c>
      <c r="AP1599" t="s">
        <v>2401</v>
      </c>
    </row>
    <row r="1600" spans="1:42">
      <c r="A1600" t="s">
        <v>6804</v>
      </c>
      <c r="B1600" t="s">
        <v>2389</v>
      </c>
      <c r="C1600" t="s">
        <v>2438</v>
      </c>
      <c r="D1600" t="s">
        <v>2379</v>
      </c>
      <c r="E1600" t="s">
        <v>2601</v>
      </c>
      <c r="F1600">
        <v>6280</v>
      </c>
      <c r="G1600" t="s">
        <v>2601</v>
      </c>
      <c r="H1600" t="b">
        <v>1</v>
      </c>
      <c r="I1600" s="8">
        <v>45936.683657407404</v>
      </c>
      <c r="J1600" t="s">
        <v>2380</v>
      </c>
      <c r="K1600">
        <v>1200422</v>
      </c>
      <c r="L1600">
        <v>602337</v>
      </c>
      <c r="M1600" t="s">
        <v>2381</v>
      </c>
      <c r="P1600" t="s">
        <v>2394</v>
      </c>
      <c r="Q1600" t="s">
        <v>2383</v>
      </c>
      <c r="R1600">
        <v>1</v>
      </c>
      <c r="S1600" t="s">
        <v>2380</v>
      </c>
      <c r="T1600" t="s">
        <v>2383</v>
      </c>
      <c r="U1600" s="8">
        <v>45936.565393518518</v>
      </c>
      <c r="V1600" s="8">
        <v>45939.958333333336</v>
      </c>
      <c r="W1600">
        <v>1</v>
      </c>
      <c r="X1600">
        <v>0.118263889</v>
      </c>
      <c r="Y1600" t="s">
        <v>4555</v>
      </c>
      <c r="Z1600" t="s">
        <v>6805</v>
      </c>
      <c r="AA1600" t="s">
        <v>6806</v>
      </c>
      <c r="AB1600" t="s">
        <v>1278</v>
      </c>
      <c r="AC1600" t="s">
        <v>6807</v>
      </c>
      <c r="AD1600" t="s">
        <v>2708</v>
      </c>
      <c r="AE1600">
        <v>1</v>
      </c>
      <c r="AO1600" t="s">
        <v>2388</v>
      </c>
      <c r="AP1600" t="s">
        <v>2401</v>
      </c>
    </row>
    <row r="1601" spans="1:42">
      <c r="A1601" t="s">
        <v>6968</v>
      </c>
      <c r="B1601" t="s">
        <v>2389</v>
      </c>
      <c r="C1601" t="s">
        <v>2390</v>
      </c>
      <c r="D1601" t="s">
        <v>2379</v>
      </c>
      <c r="E1601" t="s">
        <v>2452</v>
      </c>
      <c r="F1601">
        <v>6280</v>
      </c>
      <c r="G1601" t="s">
        <v>2452</v>
      </c>
      <c r="H1601" t="b">
        <v>1</v>
      </c>
      <c r="I1601" s="8">
        <v>45939.485555555555</v>
      </c>
      <c r="J1601" t="s">
        <v>2380</v>
      </c>
      <c r="K1601">
        <v>1201268</v>
      </c>
      <c r="L1601">
        <v>602337</v>
      </c>
      <c r="M1601" t="s">
        <v>2381</v>
      </c>
      <c r="P1601" t="s">
        <v>2394</v>
      </c>
      <c r="Q1601" t="s">
        <v>2383</v>
      </c>
      <c r="R1601">
        <v>1</v>
      </c>
      <c r="S1601" t="s">
        <v>2380</v>
      </c>
      <c r="T1601" t="s">
        <v>2383</v>
      </c>
      <c r="U1601" s="8">
        <v>45936.567048611112</v>
      </c>
      <c r="V1601" s="8">
        <v>45939.958333333336</v>
      </c>
      <c r="W1601">
        <v>1</v>
      </c>
      <c r="X1601">
        <v>2.9185069440000002</v>
      </c>
      <c r="Y1601" t="s">
        <v>4555</v>
      </c>
      <c r="Z1601" t="s">
        <v>6969</v>
      </c>
      <c r="AA1601" t="s">
        <v>6806</v>
      </c>
      <c r="AB1601" t="s">
        <v>1278</v>
      </c>
      <c r="AC1601" t="s">
        <v>6970</v>
      </c>
      <c r="AD1601" t="s">
        <v>2708</v>
      </c>
      <c r="AE1601">
        <v>1</v>
      </c>
      <c r="AO1601" t="s">
        <v>2388</v>
      </c>
      <c r="AP1601" t="s">
        <v>2401</v>
      </c>
    </row>
    <row r="1602" spans="1:42">
      <c r="A1602" t="s">
        <v>10378</v>
      </c>
      <c r="B1602" t="s">
        <v>2389</v>
      </c>
      <c r="C1602" t="s">
        <v>2415</v>
      </c>
      <c r="D1602" t="s">
        <v>2379</v>
      </c>
      <c r="E1602" t="s">
        <v>2452</v>
      </c>
      <c r="F1602" t="s">
        <v>2541</v>
      </c>
      <c r="G1602" t="s">
        <v>2452</v>
      </c>
      <c r="H1602" t="b">
        <v>1</v>
      </c>
      <c r="I1602" s="8">
        <v>45938.500451388885</v>
      </c>
      <c r="J1602" t="s">
        <v>2380</v>
      </c>
      <c r="L1602">
        <v>601353</v>
      </c>
      <c r="M1602" t="s">
        <v>2381</v>
      </c>
      <c r="P1602" t="s">
        <v>2548</v>
      </c>
      <c r="Q1602" t="s">
        <v>2383</v>
      </c>
      <c r="R1602">
        <v>1</v>
      </c>
      <c r="S1602" t="s">
        <v>2380</v>
      </c>
      <c r="T1602" t="s">
        <v>2383</v>
      </c>
      <c r="U1602" s="8">
        <v>45936.570648148147</v>
      </c>
      <c r="V1602" s="8">
        <v>45939.958333333336</v>
      </c>
      <c r="W1602">
        <v>1</v>
      </c>
      <c r="X1602">
        <v>1.9298032409999999</v>
      </c>
      <c r="Y1602" t="s">
        <v>2542</v>
      </c>
      <c r="Z1602" t="s">
        <v>10379</v>
      </c>
      <c r="AA1602" t="s">
        <v>2934</v>
      </c>
      <c r="AB1602" t="s">
        <v>1278</v>
      </c>
      <c r="AC1602" t="s">
        <v>10380</v>
      </c>
      <c r="AE1602">
        <v>1</v>
      </c>
      <c r="AO1602" t="s">
        <v>2547</v>
      </c>
      <c r="AP1602" t="s">
        <v>2401</v>
      </c>
    </row>
    <row r="1603" spans="1:42">
      <c r="A1603" t="s">
        <v>5251</v>
      </c>
      <c r="B1603" t="s">
        <v>2389</v>
      </c>
      <c r="C1603" t="s">
        <v>2378</v>
      </c>
      <c r="D1603" t="s">
        <v>2379</v>
      </c>
      <c r="E1603" t="s">
        <v>307</v>
      </c>
      <c r="F1603" t="s">
        <v>2779</v>
      </c>
      <c r="G1603" t="s">
        <v>307</v>
      </c>
      <c r="H1603" t="b">
        <v>1</v>
      </c>
      <c r="I1603" s="8">
        <v>45940.554780092592</v>
      </c>
      <c r="J1603" t="s">
        <v>2380</v>
      </c>
      <c r="K1603">
        <v>1201635</v>
      </c>
      <c r="L1603">
        <v>603817</v>
      </c>
      <c r="M1603" t="s">
        <v>2381</v>
      </c>
      <c r="P1603" t="s">
        <v>2394</v>
      </c>
      <c r="Q1603" t="s">
        <v>2383</v>
      </c>
      <c r="R1603">
        <v>1</v>
      </c>
      <c r="S1603" t="s">
        <v>2380</v>
      </c>
      <c r="T1603" t="s">
        <v>2383</v>
      </c>
      <c r="U1603" s="8">
        <v>45936.573819444442</v>
      </c>
      <c r="V1603" s="8">
        <v>45945.958333333336</v>
      </c>
      <c r="W1603">
        <v>1</v>
      </c>
      <c r="X1603">
        <v>3.9809606479999999</v>
      </c>
      <c r="Y1603" t="s">
        <v>1352</v>
      </c>
      <c r="Z1603" t="s">
        <v>5252</v>
      </c>
      <c r="AA1603" t="s">
        <v>2981</v>
      </c>
      <c r="AB1603" t="s">
        <v>1278</v>
      </c>
      <c r="AD1603" t="s">
        <v>2708</v>
      </c>
      <c r="AE1603">
        <v>1</v>
      </c>
      <c r="AO1603" t="s">
        <v>2408</v>
      </c>
      <c r="AP1603" t="s">
        <v>2401</v>
      </c>
    </row>
    <row r="1604" spans="1:42">
      <c r="A1604" t="s">
        <v>9013</v>
      </c>
      <c r="B1604" t="s">
        <v>2389</v>
      </c>
      <c r="C1604" t="s">
        <v>2378</v>
      </c>
      <c r="D1604" t="s">
        <v>2379</v>
      </c>
      <c r="E1604" t="s">
        <v>2452</v>
      </c>
      <c r="F1604" t="s">
        <v>2541</v>
      </c>
      <c r="G1604" t="s">
        <v>2452</v>
      </c>
      <c r="H1604" t="b">
        <v>1</v>
      </c>
      <c r="I1604" s="8">
        <v>45939.650358796294</v>
      </c>
      <c r="J1604" t="s">
        <v>2380</v>
      </c>
      <c r="K1604">
        <v>1200819</v>
      </c>
      <c r="L1604">
        <v>602299</v>
      </c>
      <c r="M1604" t="s">
        <v>2381</v>
      </c>
      <c r="P1604" t="s">
        <v>2548</v>
      </c>
      <c r="Q1604" t="s">
        <v>2383</v>
      </c>
      <c r="R1604">
        <v>1</v>
      </c>
      <c r="S1604" t="s">
        <v>2380</v>
      </c>
      <c r="T1604" t="s">
        <v>2383</v>
      </c>
      <c r="U1604" s="8">
        <v>45936.574791666666</v>
      </c>
      <c r="V1604" s="8">
        <v>45939.958333333336</v>
      </c>
      <c r="W1604">
        <v>1</v>
      </c>
      <c r="X1604">
        <v>3.07556713</v>
      </c>
      <c r="Y1604" t="s">
        <v>2542</v>
      </c>
      <c r="Z1604" t="s">
        <v>9014</v>
      </c>
      <c r="AA1604" t="s">
        <v>2927</v>
      </c>
      <c r="AB1604" t="s">
        <v>1278</v>
      </c>
      <c r="AC1604" t="s">
        <v>9015</v>
      </c>
      <c r="AD1604" t="s">
        <v>2708</v>
      </c>
      <c r="AE1604">
        <v>1</v>
      </c>
      <c r="AH1604" t="s">
        <v>33</v>
      </c>
      <c r="AI1604" s="8">
        <v>45939.647638888891</v>
      </c>
      <c r="AK1604" t="s">
        <v>2719</v>
      </c>
      <c r="AL1604" t="s">
        <v>2719</v>
      </c>
      <c r="AO1604" t="s">
        <v>2547</v>
      </c>
      <c r="AP1604" t="s">
        <v>2401</v>
      </c>
    </row>
    <row r="1605" spans="1:42">
      <c r="A1605" t="s">
        <v>9458</v>
      </c>
      <c r="B1605" t="s">
        <v>2389</v>
      </c>
      <c r="C1605" t="s">
        <v>2378</v>
      </c>
      <c r="D1605" t="s">
        <v>2379</v>
      </c>
      <c r="E1605" t="s">
        <v>2452</v>
      </c>
      <c r="F1605">
        <v>6397</v>
      </c>
      <c r="G1605" t="s">
        <v>2452</v>
      </c>
      <c r="H1605" t="b">
        <v>1</v>
      </c>
      <c r="I1605" s="8">
        <v>45939.586435185185</v>
      </c>
      <c r="J1605" t="s">
        <v>2380</v>
      </c>
      <c r="K1605">
        <v>1201338</v>
      </c>
      <c r="L1605">
        <v>605547</v>
      </c>
      <c r="M1605" t="s">
        <v>2381</v>
      </c>
      <c r="P1605" t="s">
        <v>2394</v>
      </c>
      <c r="Q1605" t="s">
        <v>2383</v>
      </c>
      <c r="R1605">
        <v>1</v>
      </c>
      <c r="S1605" t="s">
        <v>2380</v>
      </c>
      <c r="T1605" t="s">
        <v>2383</v>
      </c>
      <c r="U1605" s="8">
        <v>45936.584386574075</v>
      </c>
      <c r="V1605" s="8">
        <v>45939.958333333336</v>
      </c>
      <c r="W1605">
        <v>1</v>
      </c>
      <c r="X1605">
        <v>3.0020486110000002</v>
      </c>
      <c r="Y1605" t="s">
        <v>2607</v>
      </c>
      <c r="Z1605" t="s">
        <v>9459</v>
      </c>
      <c r="AA1605" t="s">
        <v>9454</v>
      </c>
      <c r="AB1605" t="s">
        <v>1278</v>
      </c>
      <c r="AC1605" t="s">
        <v>9460</v>
      </c>
      <c r="AD1605" t="s">
        <v>2708</v>
      </c>
      <c r="AE1605">
        <v>1</v>
      </c>
      <c r="AO1605" t="s">
        <v>2388</v>
      </c>
      <c r="AP1605" t="s">
        <v>8931</v>
      </c>
    </row>
    <row r="1606" spans="1:42">
      <c r="A1606" t="s">
        <v>4081</v>
      </c>
      <c r="B1606" t="s">
        <v>2389</v>
      </c>
      <c r="C1606" t="s">
        <v>2390</v>
      </c>
      <c r="D1606" t="s">
        <v>2379</v>
      </c>
      <c r="E1606" t="s">
        <v>2452</v>
      </c>
      <c r="F1606" t="s">
        <v>3747</v>
      </c>
      <c r="G1606" t="s">
        <v>2452</v>
      </c>
      <c r="H1606" t="b">
        <v>1</v>
      </c>
      <c r="I1606" s="8">
        <v>45939.578981481478</v>
      </c>
      <c r="J1606" t="s">
        <v>2380</v>
      </c>
      <c r="K1606">
        <v>1201337</v>
      </c>
      <c r="L1606">
        <v>601454</v>
      </c>
      <c r="M1606" t="s">
        <v>2381</v>
      </c>
      <c r="P1606" t="s">
        <v>2394</v>
      </c>
      <c r="Q1606" t="s">
        <v>2383</v>
      </c>
      <c r="R1606">
        <v>1</v>
      </c>
      <c r="S1606" t="s">
        <v>2380</v>
      </c>
      <c r="T1606" t="s">
        <v>2383</v>
      </c>
      <c r="U1606" s="8">
        <v>45936.585752314815</v>
      </c>
      <c r="V1606" s="8">
        <v>45944.958333333336</v>
      </c>
      <c r="W1606">
        <v>1</v>
      </c>
      <c r="X1606">
        <v>2.993229167</v>
      </c>
      <c r="Y1606" t="s">
        <v>3748</v>
      </c>
      <c r="Z1606" t="s">
        <v>4082</v>
      </c>
      <c r="AA1606" t="s">
        <v>4083</v>
      </c>
      <c r="AB1606" t="s">
        <v>1278</v>
      </c>
      <c r="AC1606" t="s">
        <v>4084</v>
      </c>
      <c r="AD1606" t="s">
        <v>2708</v>
      </c>
      <c r="AE1606">
        <v>1</v>
      </c>
      <c r="AO1606" t="s">
        <v>2712</v>
      </c>
      <c r="AP1606" t="s">
        <v>2401</v>
      </c>
    </row>
    <row r="1607" spans="1:42">
      <c r="A1607" t="s">
        <v>10334</v>
      </c>
      <c r="B1607" t="s">
        <v>2389</v>
      </c>
      <c r="C1607" t="s">
        <v>2415</v>
      </c>
      <c r="D1607" t="s">
        <v>2379</v>
      </c>
      <c r="E1607" t="s">
        <v>2452</v>
      </c>
      <c r="F1607" t="s">
        <v>3891</v>
      </c>
      <c r="G1607" t="s">
        <v>33</v>
      </c>
      <c r="H1607" t="b">
        <v>1</v>
      </c>
      <c r="I1607" s="8">
        <v>45937.605752314812</v>
      </c>
      <c r="J1607" t="s">
        <v>2380</v>
      </c>
      <c r="L1607">
        <v>603560</v>
      </c>
      <c r="M1607" t="s">
        <v>2381</v>
      </c>
      <c r="P1607" t="s">
        <v>2394</v>
      </c>
      <c r="Q1607" t="s">
        <v>2383</v>
      </c>
      <c r="R1607">
        <v>1</v>
      </c>
      <c r="S1607" t="s">
        <v>2380</v>
      </c>
      <c r="T1607" t="s">
        <v>2383</v>
      </c>
      <c r="U1607" s="8">
        <v>45936.594305555554</v>
      </c>
      <c r="V1607" s="8">
        <v>45939.958333333336</v>
      </c>
      <c r="W1607">
        <v>1</v>
      </c>
      <c r="X1607">
        <v>1.011446759</v>
      </c>
      <c r="Y1607" t="s">
        <v>3892</v>
      </c>
      <c r="Z1607" t="s">
        <v>10335</v>
      </c>
      <c r="AA1607" t="s">
        <v>3911</v>
      </c>
      <c r="AB1607" t="s">
        <v>1278</v>
      </c>
      <c r="AC1607" t="s">
        <v>10336</v>
      </c>
      <c r="AE1607">
        <v>1</v>
      </c>
      <c r="AO1607" t="s">
        <v>2715</v>
      </c>
      <c r="AP1607" t="s">
        <v>2401</v>
      </c>
    </row>
    <row r="1608" spans="1:42">
      <c r="A1608" t="s">
        <v>7018</v>
      </c>
      <c r="B1608" t="s">
        <v>2389</v>
      </c>
      <c r="C1608" t="s">
        <v>2390</v>
      </c>
      <c r="D1608" t="s">
        <v>2379</v>
      </c>
      <c r="E1608" t="s">
        <v>2452</v>
      </c>
      <c r="F1608" t="s">
        <v>3500</v>
      </c>
      <c r="G1608" t="s">
        <v>2452</v>
      </c>
      <c r="H1608" t="b">
        <v>1</v>
      </c>
      <c r="I1608" s="8">
        <v>45939.524236111109</v>
      </c>
      <c r="J1608" t="s">
        <v>2380</v>
      </c>
      <c r="K1608">
        <v>1201284</v>
      </c>
      <c r="L1608">
        <v>609890</v>
      </c>
      <c r="M1608" t="s">
        <v>2381</v>
      </c>
      <c r="P1608" t="s">
        <v>2394</v>
      </c>
      <c r="Q1608" t="s">
        <v>2383</v>
      </c>
      <c r="R1608">
        <v>1</v>
      </c>
      <c r="S1608" t="s">
        <v>2380</v>
      </c>
      <c r="T1608" t="s">
        <v>2383</v>
      </c>
      <c r="U1608" s="8">
        <v>45936.597071759257</v>
      </c>
      <c r="V1608" s="8">
        <v>45939.958333333336</v>
      </c>
      <c r="W1608">
        <v>1</v>
      </c>
      <c r="X1608">
        <v>2.9271643520000001</v>
      </c>
      <c r="Y1608" t="s">
        <v>3501</v>
      </c>
      <c r="Z1608" t="s">
        <v>7019</v>
      </c>
      <c r="AA1608" t="s">
        <v>7020</v>
      </c>
      <c r="AB1608" t="s">
        <v>1278</v>
      </c>
      <c r="AC1608" t="s">
        <v>7021</v>
      </c>
      <c r="AD1608" t="s">
        <v>2708</v>
      </c>
      <c r="AE1608">
        <v>1</v>
      </c>
      <c r="AO1608" t="s">
        <v>2388</v>
      </c>
      <c r="AP1608" t="s">
        <v>2401</v>
      </c>
    </row>
    <row r="1609" spans="1:42">
      <c r="A1609" t="s">
        <v>558</v>
      </c>
      <c r="B1609" t="s">
        <v>2377</v>
      </c>
      <c r="C1609" t="s">
        <v>2438</v>
      </c>
      <c r="D1609" t="s">
        <v>2379</v>
      </c>
      <c r="E1609" t="s">
        <v>12</v>
      </c>
      <c r="F1609" t="s">
        <v>2402</v>
      </c>
      <c r="G1609" t="s">
        <v>12</v>
      </c>
      <c r="H1609" t="b">
        <v>1</v>
      </c>
      <c r="I1609" s="8">
        <v>45936.609432870369</v>
      </c>
      <c r="J1609" t="s">
        <v>2380</v>
      </c>
      <c r="L1609">
        <v>605239</v>
      </c>
      <c r="M1609" t="s">
        <v>2381</v>
      </c>
      <c r="Q1609" t="s">
        <v>2383</v>
      </c>
      <c r="R1609">
        <v>1</v>
      </c>
      <c r="S1609" t="s">
        <v>2380</v>
      </c>
      <c r="T1609" t="s">
        <v>2383</v>
      </c>
      <c r="U1609" s="8">
        <v>45936.603263888886</v>
      </c>
      <c r="V1609" s="8">
        <v>45939.958333333336</v>
      </c>
      <c r="W1609">
        <v>1</v>
      </c>
      <c r="X1609">
        <v>6.1689809999999996E-3</v>
      </c>
      <c r="Y1609" t="s">
        <v>2403</v>
      </c>
      <c r="Z1609" t="s">
        <v>4198</v>
      </c>
      <c r="AA1609" t="s">
        <v>1616</v>
      </c>
      <c r="AB1609" t="s">
        <v>1278</v>
      </c>
      <c r="AC1609" t="s">
        <v>557</v>
      </c>
      <c r="AD1609" t="s">
        <v>2708</v>
      </c>
      <c r="AE1609">
        <v>1</v>
      </c>
      <c r="AO1609" t="s">
        <v>2408</v>
      </c>
      <c r="AP1609" t="s">
        <v>2401</v>
      </c>
    </row>
    <row r="1610" spans="1:42">
      <c r="A1610" t="s">
        <v>2813</v>
      </c>
      <c r="B1610" t="s">
        <v>2389</v>
      </c>
      <c r="C1610" t="s">
        <v>2390</v>
      </c>
      <c r="D1610" t="s">
        <v>2379</v>
      </c>
      <c r="E1610" t="s">
        <v>2452</v>
      </c>
      <c r="F1610" t="s">
        <v>2402</v>
      </c>
      <c r="G1610" t="s">
        <v>2452</v>
      </c>
      <c r="H1610" t="b">
        <v>1</v>
      </c>
      <c r="I1610" s="8">
        <v>45938.652222222219</v>
      </c>
      <c r="J1610" t="s">
        <v>2380</v>
      </c>
      <c r="L1610">
        <v>605244</v>
      </c>
      <c r="M1610" t="s">
        <v>2381</v>
      </c>
      <c r="P1610" t="s">
        <v>2394</v>
      </c>
      <c r="Q1610" t="s">
        <v>2383</v>
      </c>
      <c r="R1610">
        <v>1</v>
      </c>
      <c r="S1610" t="s">
        <v>2380</v>
      </c>
      <c r="T1610" t="s">
        <v>2383</v>
      </c>
      <c r="U1610" s="8">
        <v>45936.612881944442</v>
      </c>
      <c r="V1610" s="8">
        <v>45939.958333333336</v>
      </c>
      <c r="W1610">
        <v>1</v>
      </c>
      <c r="X1610">
        <v>2.0393402780000001</v>
      </c>
      <c r="Y1610" t="s">
        <v>2403</v>
      </c>
      <c r="Z1610" t="s">
        <v>2814</v>
      </c>
      <c r="AA1610" t="s">
        <v>2815</v>
      </c>
      <c r="AB1610" t="s">
        <v>1278</v>
      </c>
      <c r="AC1610" t="s">
        <v>2816</v>
      </c>
      <c r="AE1610">
        <v>1</v>
      </c>
      <c r="AO1610" t="s">
        <v>2408</v>
      </c>
      <c r="AP1610" t="s">
        <v>2401</v>
      </c>
    </row>
    <row r="1611" spans="1:42">
      <c r="A1611" t="s">
        <v>6043</v>
      </c>
      <c r="B1611" t="s">
        <v>2389</v>
      </c>
      <c r="C1611" t="s">
        <v>2378</v>
      </c>
      <c r="D1611" t="s">
        <v>2379</v>
      </c>
      <c r="E1611" t="s">
        <v>2452</v>
      </c>
      <c r="F1611" t="s">
        <v>2578</v>
      </c>
      <c r="G1611" t="s">
        <v>2452</v>
      </c>
      <c r="H1611" t="b">
        <v>1</v>
      </c>
      <c r="I1611" s="8">
        <v>45940.535219907404</v>
      </c>
      <c r="J1611" t="s">
        <v>2380</v>
      </c>
      <c r="K1611">
        <v>1201629</v>
      </c>
      <c r="L1611">
        <v>602857</v>
      </c>
      <c r="M1611" t="s">
        <v>2381</v>
      </c>
      <c r="P1611" t="s">
        <v>2394</v>
      </c>
      <c r="Q1611" t="s">
        <v>2383</v>
      </c>
      <c r="R1611">
        <v>1</v>
      </c>
      <c r="S1611" t="s">
        <v>2380</v>
      </c>
      <c r="T1611" t="s">
        <v>2383</v>
      </c>
      <c r="U1611" s="8">
        <v>45936.614641203705</v>
      </c>
      <c r="V1611" s="8">
        <v>45945.958333333336</v>
      </c>
      <c r="W1611">
        <v>1</v>
      </c>
      <c r="X1611">
        <v>3.920578704</v>
      </c>
      <c r="Y1611" t="s">
        <v>2579</v>
      </c>
      <c r="Z1611" t="s">
        <v>6044</v>
      </c>
      <c r="AA1611" t="s">
        <v>5975</v>
      </c>
      <c r="AB1611" t="s">
        <v>1278</v>
      </c>
      <c r="AC1611" t="s">
        <v>6045</v>
      </c>
      <c r="AD1611" t="s">
        <v>2708</v>
      </c>
      <c r="AE1611">
        <v>1</v>
      </c>
      <c r="AO1611" t="s">
        <v>2547</v>
      </c>
      <c r="AP1611" t="s">
        <v>2401</v>
      </c>
    </row>
    <row r="1612" spans="1:42">
      <c r="A1612" t="s">
        <v>9004</v>
      </c>
      <c r="B1612" t="s">
        <v>2389</v>
      </c>
      <c r="C1612" t="s">
        <v>2378</v>
      </c>
      <c r="D1612" t="s">
        <v>2379</v>
      </c>
      <c r="E1612" t="s">
        <v>2452</v>
      </c>
      <c r="F1612" t="s">
        <v>2578</v>
      </c>
      <c r="G1612" t="s">
        <v>2452</v>
      </c>
      <c r="H1612" t="b">
        <v>1</v>
      </c>
      <c r="I1612" s="8">
        <v>45939.650173611109</v>
      </c>
      <c r="J1612" t="s">
        <v>2380</v>
      </c>
      <c r="K1612">
        <v>1201256</v>
      </c>
      <c r="L1612">
        <v>602857</v>
      </c>
      <c r="M1612" t="s">
        <v>2381</v>
      </c>
      <c r="P1612" t="s">
        <v>2394</v>
      </c>
      <c r="Q1612" t="s">
        <v>2383</v>
      </c>
      <c r="R1612">
        <v>1</v>
      </c>
      <c r="S1612" t="s">
        <v>2380</v>
      </c>
      <c r="T1612" t="s">
        <v>2383</v>
      </c>
      <c r="U1612" s="8">
        <v>45936.616215277776</v>
      </c>
      <c r="V1612" s="8">
        <v>45939.958333333336</v>
      </c>
      <c r="W1612">
        <v>1</v>
      </c>
      <c r="X1612">
        <v>3.0339583330000002</v>
      </c>
      <c r="Y1612" t="s">
        <v>2579</v>
      </c>
      <c r="Z1612" t="s">
        <v>9005</v>
      </c>
      <c r="AA1612" t="s">
        <v>5975</v>
      </c>
      <c r="AB1612" t="s">
        <v>1278</v>
      </c>
      <c r="AC1612" t="s">
        <v>9006</v>
      </c>
      <c r="AD1612" t="s">
        <v>2708</v>
      </c>
      <c r="AE1612">
        <v>1</v>
      </c>
      <c r="AH1612" t="s">
        <v>33</v>
      </c>
      <c r="AI1612" s="8">
        <v>45939.647719907407</v>
      </c>
      <c r="AK1612" t="s">
        <v>2719</v>
      </c>
      <c r="AL1612" t="s">
        <v>2719</v>
      </c>
      <c r="AO1612" t="s">
        <v>2547</v>
      </c>
      <c r="AP1612" t="s">
        <v>2401</v>
      </c>
    </row>
    <row r="1613" spans="1:42">
      <c r="A1613" t="s">
        <v>3604</v>
      </c>
      <c r="B1613" t="s">
        <v>2377</v>
      </c>
      <c r="C1613" t="s">
        <v>2390</v>
      </c>
      <c r="D1613" t="s">
        <v>2379</v>
      </c>
      <c r="E1613" t="s">
        <v>2416</v>
      </c>
      <c r="F1613" t="s">
        <v>2578</v>
      </c>
      <c r="G1613" t="s">
        <v>2416</v>
      </c>
      <c r="H1613" t="b">
        <v>1</v>
      </c>
      <c r="I1613" s="8">
        <v>45939.415300925924</v>
      </c>
      <c r="J1613" t="s">
        <v>2380</v>
      </c>
      <c r="L1613">
        <v>602429</v>
      </c>
      <c r="M1613" t="s">
        <v>2381</v>
      </c>
      <c r="Q1613" t="s">
        <v>2383</v>
      </c>
      <c r="R1613">
        <v>1</v>
      </c>
      <c r="S1613" t="s">
        <v>2380</v>
      </c>
      <c r="T1613" t="s">
        <v>2383</v>
      </c>
      <c r="U1613" s="8">
        <v>45936.622210648151</v>
      </c>
      <c r="V1613" s="8">
        <v>45939.958333333336</v>
      </c>
      <c r="W1613">
        <v>1</v>
      </c>
      <c r="X1613">
        <v>2.7930902780000002</v>
      </c>
      <c r="Y1613" t="s">
        <v>2579</v>
      </c>
      <c r="Z1613" t="s">
        <v>3605</v>
      </c>
      <c r="AA1613" t="s">
        <v>3606</v>
      </c>
      <c r="AB1613" t="s">
        <v>1278</v>
      </c>
      <c r="AC1613" t="s">
        <v>3607</v>
      </c>
      <c r="AE1613">
        <v>1</v>
      </c>
      <c r="AO1613" t="s">
        <v>3608</v>
      </c>
      <c r="AP1613" t="s">
        <v>2401</v>
      </c>
    </row>
    <row r="1614" spans="1:42">
      <c r="A1614" t="s">
        <v>10381</v>
      </c>
      <c r="B1614" t="s">
        <v>2389</v>
      </c>
      <c r="C1614" t="s">
        <v>2415</v>
      </c>
      <c r="D1614" t="s">
        <v>2379</v>
      </c>
      <c r="E1614" t="s">
        <v>2452</v>
      </c>
      <c r="F1614" t="s">
        <v>2541</v>
      </c>
      <c r="G1614" t="s">
        <v>2452</v>
      </c>
      <c r="H1614" t="b">
        <v>1</v>
      </c>
      <c r="I1614" s="8">
        <v>45938.475173611114</v>
      </c>
      <c r="J1614" t="s">
        <v>2380</v>
      </c>
      <c r="L1614">
        <v>608236</v>
      </c>
      <c r="M1614" t="s">
        <v>2381</v>
      </c>
      <c r="P1614" t="s">
        <v>2548</v>
      </c>
      <c r="Q1614" t="s">
        <v>2383</v>
      </c>
      <c r="R1614">
        <v>1</v>
      </c>
      <c r="S1614" t="s">
        <v>2380</v>
      </c>
      <c r="T1614" t="s">
        <v>2383</v>
      </c>
      <c r="U1614" s="8">
        <v>45936.630787037036</v>
      </c>
      <c r="V1614" s="8">
        <v>45939.958333333336</v>
      </c>
      <c r="W1614">
        <v>1</v>
      </c>
      <c r="X1614">
        <v>1.8443865740000001</v>
      </c>
      <c r="Y1614" t="s">
        <v>2542</v>
      </c>
      <c r="Z1614" t="s">
        <v>10382</v>
      </c>
      <c r="AA1614" t="s">
        <v>2564</v>
      </c>
      <c r="AB1614" t="s">
        <v>1278</v>
      </c>
      <c r="AC1614" t="s">
        <v>10383</v>
      </c>
      <c r="AE1614">
        <v>1</v>
      </c>
      <c r="AO1614" t="s">
        <v>2547</v>
      </c>
      <c r="AP1614" t="s">
        <v>2401</v>
      </c>
    </row>
    <row r="1615" spans="1:42">
      <c r="A1615" t="s">
        <v>9384</v>
      </c>
      <c r="B1615" t="s">
        <v>2389</v>
      </c>
      <c r="C1615" t="s">
        <v>2378</v>
      </c>
      <c r="D1615" t="s">
        <v>2379</v>
      </c>
      <c r="E1615" t="s">
        <v>2452</v>
      </c>
      <c r="F1615" t="s">
        <v>2541</v>
      </c>
      <c r="G1615" t="s">
        <v>2452</v>
      </c>
      <c r="H1615" t="b">
        <v>1</v>
      </c>
      <c r="I1615" s="8">
        <v>45939.666180555556</v>
      </c>
      <c r="J1615" t="s">
        <v>2380</v>
      </c>
      <c r="K1615">
        <v>1200875</v>
      </c>
      <c r="L1615">
        <v>601096</v>
      </c>
      <c r="M1615" t="s">
        <v>2381</v>
      </c>
      <c r="Q1615" t="s">
        <v>2383</v>
      </c>
      <c r="R1615">
        <v>1</v>
      </c>
      <c r="S1615" t="s">
        <v>2380</v>
      </c>
      <c r="T1615" t="s">
        <v>2383</v>
      </c>
      <c r="U1615" s="8">
        <v>45936.650393518517</v>
      </c>
      <c r="V1615" s="8">
        <v>45939.958333333336</v>
      </c>
      <c r="W1615">
        <v>1</v>
      </c>
      <c r="X1615">
        <v>3.0157870369999999</v>
      </c>
      <c r="Y1615" t="s">
        <v>2542</v>
      </c>
      <c r="Z1615" t="s">
        <v>9385</v>
      </c>
      <c r="AA1615" t="s">
        <v>2888</v>
      </c>
      <c r="AB1615" t="s">
        <v>1278</v>
      </c>
      <c r="AC1615" t="s">
        <v>9386</v>
      </c>
      <c r="AD1615" t="s">
        <v>2708</v>
      </c>
      <c r="AE1615">
        <v>1</v>
      </c>
      <c r="AH1615" t="s">
        <v>33</v>
      </c>
      <c r="AI1615" s="8">
        <v>45939.659050925926</v>
      </c>
      <c r="AK1615" t="s">
        <v>2719</v>
      </c>
      <c r="AL1615" t="s">
        <v>18</v>
      </c>
      <c r="AO1615" t="s">
        <v>2547</v>
      </c>
      <c r="AP1615" t="s">
        <v>2401</v>
      </c>
    </row>
    <row r="1616" spans="1:42">
      <c r="A1616" t="s">
        <v>6065</v>
      </c>
      <c r="B1616" t="s">
        <v>2389</v>
      </c>
      <c r="C1616" t="s">
        <v>2390</v>
      </c>
      <c r="D1616" t="s">
        <v>2379</v>
      </c>
      <c r="E1616" t="s">
        <v>2452</v>
      </c>
      <c r="F1616" t="s">
        <v>2541</v>
      </c>
      <c r="G1616" t="s">
        <v>2452</v>
      </c>
      <c r="H1616" t="b">
        <v>1</v>
      </c>
      <c r="I1616" s="8">
        <v>45939.455578703702</v>
      </c>
      <c r="J1616" t="s">
        <v>2380</v>
      </c>
      <c r="K1616">
        <v>1201244</v>
      </c>
      <c r="L1616">
        <v>601096</v>
      </c>
      <c r="M1616" t="s">
        <v>2381</v>
      </c>
      <c r="P1616" t="s">
        <v>2427</v>
      </c>
      <c r="Q1616" t="s">
        <v>2383</v>
      </c>
      <c r="R1616">
        <v>1</v>
      </c>
      <c r="S1616" t="s">
        <v>2380</v>
      </c>
      <c r="T1616" t="s">
        <v>2383</v>
      </c>
      <c r="U1616" s="8">
        <v>45936.65184027778</v>
      </c>
      <c r="V1616" s="8">
        <v>45939.958333333336</v>
      </c>
      <c r="W1616">
        <v>1</v>
      </c>
      <c r="X1616">
        <v>2.8037384259999998</v>
      </c>
      <c r="Y1616" t="s">
        <v>2542</v>
      </c>
      <c r="Z1616" t="s">
        <v>6066</v>
      </c>
      <c r="AA1616" t="s">
        <v>2888</v>
      </c>
      <c r="AB1616" t="s">
        <v>1278</v>
      </c>
      <c r="AC1616" t="s">
        <v>6067</v>
      </c>
      <c r="AD1616" t="s">
        <v>2708</v>
      </c>
      <c r="AE1616">
        <v>1</v>
      </c>
      <c r="AO1616" t="s">
        <v>2547</v>
      </c>
      <c r="AP1616" t="s">
        <v>2401</v>
      </c>
    </row>
    <row r="1617" spans="1:42">
      <c r="A1617" t="s">
        <v>8964</v>
      </c>
      <c r="B1617" t="s">
        <v>2389</v>
      </c>
      <c r="C1617" t="s">
        <v>2390</v>
      </c>
      <c r="D1617" t="s">
        <v>2379</v>
      </c>
      <c r="E1617" t="s">
        <v>2452</v>
      </c>
      <c r="F1617" t="s">
        <v>2541</v>
      </c>
      <c r="G1617" t="s">
        <v>2452</v>
      </c>
      <c r="H1617" t="b">
        <v>1</v>
      </c>
      <c r="I1617" s="8">
        <v>45939.650104166663</v>
      </c>
      <c r="J1617" t="s">
        <v>2380</v>
      </c>
      <c r="K1617">
        <v>1201235</v>
      </c>
      <c r="L1617">
        <v>601096</v>
      </c>
      <c r="M1617" t="s">
        <v>2381</v>
      </c>
      <c r="P1617" t="s">
        <v>2427</v>
      </c>
      <c r="Q1617" t="s">
        <v>2383</v>
      </c>
      <c r="R1617">
        <v>1</v>
      </c>
      <c r="S1617" t="s">
        <v>2380</v>
      </c>
      <c r="T1617" t="s">
        <v>2383</v>
      </c>
      <c r="U1617" s="8">
        <v>45936.653356481482</v>
      </c>
      <c r="V1617" s="8">
        <v>45939.958333333336</v>
      </c>
      <c r="W1617">
        <v>1</v>
      </c>
      <c r="X1617">
        <v>2.9967476849999999</v>
      </c>
      <c r="Y1617" t="s">
        <v>2542</v>
      </c>
      <c r="Z1617" t="s">
        <v>8965</v>
      </c>
      <c r="AA1617" t="s">
        <v>2888</v>
      </c>
      <c r="AB1617" t="s">
        <v>1278</v>
      </c>
      <c r="AC1617" t="s">
        <v>8966</v>
      </c>
      <c r="AD1617" t="s">
        <v>2708</v>
      </c>
      <c r="AE1617">
        <v>1</v>
      </c>
      <c r="AH1617" t="s">
        <v>24</v>
      </c>
      <c r="AI1617" s="8">
        <v>45939.649502314816</v>
      </c>
      <c r="AK1617" t="s">
        <v>2719</v>
      </c>
      <c r="AL1617" t="s">
        <v>2719</v>
      </c>
      <c r="AO1617" t="s">
        <v>2547</v>
      </c>
      <c r="AP1617" t="s">
        <v>2401</v>
      </c>
    </row>
    <row r="1618" spans="1:42">
      <c r="A1618" t="s">
        <v>6068</v>
      </c>
      <c r="B1618" t="s">
        <v>2389</v>
      </c>
      <c r="C1618" t="s">
        <v>2390</v>
      </c>
      <c r="D1618" t="s">
        <v>2379</v>
      </c>
      <c r="E1618" t="s">
        <v>2452</v>
      </c>
      <c r="F1618" t="s">
        <v>2541</v>
      </c>
      <c r="G1618" t="s">
        <v>2452</v>
      </c>
      <c r="H1618" t="b">
        <v>1</v>
      </c>
      <c r="I1618" s="8">
        <v>45939.435520833336</v>
      </c>
      <c r="J1618" t="s">
        <v>2380</v>
      </c>
      <c r="K1618">
        <v>1201241</v>
      </c>
      <c r="L1618">
        <v>601096</v>
      </c>
      <c r="M1618" t="s">
        <v>2381</v>
      </c>
      <c r="P1618" t="s">
        <v>2427</v>
      </c>
      <c r="Q1618" t="s">
        <v>2383</v>
      </c>
      <c r="R1618">
        <v>1</v>
      </c>
      <c r="S1618" t="s">
        <v>2380</v>
      </c>
      <c r="T1618" t="s">
        <v>2383</v>
      </c>
      <c r="U1618" s="8">
        <v>45936.654722222222</v>
      </c>
      <c r="V1618" s="8">
        <v>45939.958333333336</v>
      </c>
      <c r="W1618">
        <v>1</v>
      </c>
      <c r="X1618">
        <v>2.7807986109999998</v>
      </c>
      <c r="Y1618" t="s">
        <v>2542</v>
      </c>
      <c r="Z1618" t="s">
        <v>6069</v>
      </c>
      <c r="AA1618" t="s">
        <v>2888</v>
      </c>
      <c r="AB1618" t="s">
        <v>1278</v>
      </c>
      <c r="AC1618" t="s">
        <v>6070</v>
      </c>
      <c r="AD1618" t="s">
        <v>2708</v>
      </c>
      <c r="AE1618">
        <v>1</v>
      </c>
      <c r="AO1618" t="s">
        <v>2547</v>
      </c>
      <c r="AP1618" t="s">
        <v>2401</v>
      </c>
    </row>
    <row r="1619" spans="1:42">
      <c r="A1619" t="s">
        <v>10393</v>
      </c>
      <c r="B1619" t="s">
        <v>2389</v>
      </c>
      <c r="C1619" t="s">
        <v>2390</v>
      </c>
      <c r="D1619" t="s">
        <v>2379</v>
      </c>
      <c r="E1619" t="s">
        <v>2452</v>
      </c>
      <c r="F1619" t="s">
        <v>2541</v>
      </c>
      <c r="G1619" t="s">
        <v>2452</v>
      </c>
      <c r="H1619" t="b">
        <v>1</v>
      </c>
      <c r="I1619" s="8">
        <v>45939.409363425926</v>
      </c>
      <c r="J1619" t="s">
        <v>2380</v>
      </c>
      <c r="L1619">
        <v>608236</v>
      </c>
      <c r="M1619" t="s">
        <v>2381</v>
      </c>
      <c r="P1619" t="s">
        <v>2427</v>
      </c>
      <c r="Q1619" t="s">
        <v>2383</v>
      </c>
      <c r="R1619">
        <v>1</v>
      </c>
      <c r="S1619" t="s">
        <v>2380</v>
      </c>
      <c r="T1619" t="s">
        <v>2383</v>
      </c>
      <c r="U1619" s="8">
        <v>45936.655486111114</v>
      </c>
      <c r="V1619" s="8">
        <v>45939.958333333336</v>
      </c>
      <c r="W1619">
        <v>1</v>
      </c>
      <c r="X1619">
        <v>2.753877315</v>
      </c>
      <c r="Y1619" t="s">
        <v>2542</v>
      </c>
      <c r="Z1619" t="s">
        <v>10394</v>
      </c>
      <c r="AA1619" t="s">
        <v>2564</v>
      </c>
      <c r="AB1619" t="s">
        <v>1278</v>
      </c>
      <c r="AC1619" t="s">
        <v>10395</v>
      </c>
      <c r="AE1619">
        <v>1</v>
      </c>
      <c r="AO1619" t="s">
        <v>2547</v>
      </c>
      <c r="AP1619" t="s">
        <v>2401</v>
      </c>
    </row>
    <row r="1620" spans="1:42">
      <c r="A1620" t="s">
        <v>10396</v>
      </c>
      <c r="B1620" t="s">
        <v>2389</v>
      </c>
      <c r="C1620" t="s">
        <v>2390</v>
      </c>
      <c r="D1620" t="s">
        <v>2379</v>
      </c>
      <c r="E1620" t="s">
        <v>2452</v>
      </c>
      <c r="F1620" t="s">
        <v>2541</v>
      </c>
      <c r="G1620" t="s">
        <v>2452</v>
      </c>
      <c r="H1620" t="b">
        <v>1</v>
      </c>
      <c r="I1620" s="8">
        <v>45939.406747685185</v>
      </c>
      <c r="J1620" t="s">
        <v>2380</v>
      </c>
      <c r="L1620">
        <v>608236</v>
      </c>
      <c r="M1620" t="s">
        <v>2381</v>
      </c>
      <c r="P1620" t="s">
        <v>2427</v>
      </c>
      <c r="Q1620" t="s">
        <v>2383</v>
      </c>
      <c r="R1620">
        <v>1</v>
      </c>
      <c r="S1620" t="s">
        <v>2380</v>
      </c>
      <c r="T1620" t="s">
        <v>2383</v>
      </c>
      <c r="U1620" s="8">
        <v>45936.656226851854</v>
      </c>
      <c r="V1620" s="8">
        <v>45939.958333333336</v>
      </c>
      <c r="W1620">
        <v>1</v>
      </c>
      <c r="X1620">
        <v>2.7505208329999999</v>
      </c>
      <c r="Y1620" t="s">
        <v>2542</v>
      </c>
      <c r="Z1620" t="s">
        <v>10397</v>
      </c>
      <c r="AA1620" t="s">
        <v>2564</v>
      </c>
      <c r="AB1620" t="s">
        <v>1278</v>
      </c>
      <c r="AC1620" t="s">
        <v>10398</v>
      </c>
      <c r="AE1620">
        <v>1</v>
      </c>
      <c r="AO1620" t="s">
        <v>2547</v>
      </c>
      <c r="AP1620" t="s">
        <v>2401</v>
      </c>
    </row>
    <row r="1621" spans="1:42">
      <c r="A1621" t="s">
        <v>6071</v>
      </c>
      <c r="B1621" t="s">
        <v>2389</v>
      </c>
      <c r="C1621" t="s">
        <v>2390</v>
      </c>
      <c r="D1621" t="s">
        <v>2379</v>
      </c>
      <c r="E1621" t="s">
        <v>2452</v>
      </c>
      <c r="F1621" t="s">
        <v>2541</v>
      </c>
      <c r="G1621" t="s">
        <v>2452</v>
      </c>
      <c r="H1621" t="b">
        <v>1</v>
      </c>
      <c r="I1621" s="8">
        <v>45939.401805555557</v>
      </c>
      <c r="J1621" t="s">
        <v>2380</v>
      </c>
      <c r="K1621">
        <v>1201223</v>
      </c>
      <c r="L1621">
        <v>608142</v>
      </c>
      <c r="M1621" t="s">
        <v>2381</v>
      </c>
      <c r="P1621" t="s">
        <v>2427</v>
      </c>
      <c r="Q1621" t="s">
        <v>2383</v>
      </c>
      <c r="R1621">
        <v>1</v>
      </c>
      <c r="S1621" t="s">
        <v>2380</v>
      </c>
      <c r="T1621" t="s">
        <v>2383</v>
      </c>
      <c r="U1621" s="8">
        <v>45936.656898148147</v>
      </c>
      <c r="V1621" s="8">
        <v>45939.958333333336</v>
      </c>
      <c r="W1621">
        <v>1</v>
      </c>
      <c r="X1621">
        <v>2.7449074069999999</v>
      </c>
      <c r="Y1621" t="s">
        <v>2542</v>
      </c>
      <c r="Z1621" t="s">
        <v>6072</v>
      </c>
      <c r="AA1621" t="s">
        <v>3115</v>
      </c>
      <c r="AB1621" t="s">
        <v>1278</v>
      </c>
      <c r="AC1621" t="s">
        <v>6073</v>
      </c>
      <c r="AD1621" t="s">
        <v>2708</v>
      </c>
      <c r="AE1621">
        <v>1</v>
      </c>
      <c r="AO1621" t="s">
        <v>2547</v>
      </c>
      <c r="AP1621" t="s">
        <v>2401</v>
      </c>
    </row>
    <row r="1622" spans="1:42">
      <c r="A1622" t="s">
        <v>6074</v>
      </c>
      <c r="B1622" t="s">
        <v>2389</v>
      </c>
      <c r="C1622" t="s">
        <v>2390</v>
      </c>
      <c r="D1622" t="s">
        <v>2379</v>
      </c>
      <c r="E1622" t="s">
        <v>2452</v>
      </c>
      <c r="F1622" t="s">
        <v>2541</v>
      </c>
      <c r="G1622" t="s">
        <v>2452</v>
      </c>
      <c r="H1622" t="b">
        <v>1</v>
      </c>
      <c r="I1622" s="8">
        <v>45939.395648148151</v>
      </c>
      <c r="J1622" t="s">
        <v>2380</v>
      </c>
      <c r="K1622">
        <v>1201212</v>
      </c>
      <c r="L1622">
        <v>601096</v>
      </c>
      <c r="M1622" t="s">
        <v>2381</v>
      </c>
      <c r="P1622" t="s">
        <v>2427</v>
      </c>
      <c r="Q1622" t="s">
        <v>2383</v>
      </c>
      <c r="R1622">
        <v>1</v>
      </c>
      <c r="S1622" t="s">
        <v>2380</v>
      </c>
      <c r="T1622" t="s">
        <v>2383</v>
      </c>
      <c r="U1622" s="8">
        <v>45936.657638888886</v>
      </c>
      <c r="V1622" s="8">
        <v>45939.958333333336</v>
      </c>
      <c r="W1622">
        <v>1</v>
      </c>
      <c r="X1622">
        <v>2.738009259</v>
      </c>
      <c r="Y1622" t="s">
        <v>2542</v>
      </c>
      <c r="Z1622" t="s">
        <v>6075</v>
      </c>
      <c r="AA1622" t="s">
        <v>2888</v>
      </c>
      <c r="AB1622" t="s">
        <v>1278</v>
      </c>
      <c r="AC1622" t="s">
        <v>6076</v>
      </c>
      <c r="AD1622" t="s">
        <v>2708</v>
      </c>
      <c r="AE1622">
        <v>1</v>
      </c>
      <c r="AO1622" t="s">
        <v>2547</v>
      </c>
      <c r="AP1622" t="s">
        <v>2401</v>
      </c>
    </row>
    <row r="1623" spans="1:42">
      <c r="A1623" t="s">
        <v>8967</v>
      </c>
      <c r="B1623" t="s">
        <v>2389</v>
      </c>
      <c r="C1623" t="s">
        <v>2390</v>
      </c>
      <c r="D1623" t="s">
        <v>2379</v>
      </c>
      <c r="E1623" t="s">
        <v>2452</v>
      </c>
      <c r="F1623" t="s">
        <v>2541</v>
      </c>
      <c r="G1623" t="s">
        <v>2452</v>
      </c>
      <c r="H1623" t="b">
        <v>1</v>
      </c>
      <c r="I1623" s="8">
        <v>45939.652719907404</v>
      </c>
      <c r="J1623" t="s">
        <v>2380</v>
      </c>
      <c r="K1623">
        <v>1201210</v>
      </c>
      <c r="L1623">
        <v>601096</v>
      </c>
      <c r="M1623" t="s">
        <v>2381</v>
      </c>
      <c r="P1623" t="s">
        <v>2427</v>
      </c>
      <c r="Q1623" t="s">
        <v>2383</v>
      </c>
      <c r="R1623">
        <v>1</v>
      </c>
      <c r="S1623" t="s">
        <v>2380</v>
      </c>
      <c r="T1623" t="s">
        <v>2383</v>
      </c>
      <c r="U1623" s="8">
        <v>45936.658263888887</v>
      </c>
      <c r="V1623" s="8">
        <v>45939.958333333336</v>
      </c>
      <c r="W1623">
        <v>1</v>
      </c>
      <c r="X1623">
        <v>2.9944560189999998</v>
      </c>
      <c r="Y1623" t="s">
        <v>2542</v>
      </c>
      <c r="Z1623" t="s">
        <v>8968</v>
      </c>
      <c r="AA1623" t="s">
        <v>2888</v>
      </c>
      <c r="AB1623" t="s">
        <v>1278</v>
      </c>
      <c r="AC1623" t="s">
        <v>8969</v>
      </c>
      <c r="AD1623" t="s">
        <v>2708</v>
      </c>
      <c r="AE1623">
        <v>1</v>
      </c>
      <c r="AH1623" t="s">
        <v>24</v>
      </c>
      <c r="AI1623" s="8">
        <v>45939.650358796294</v>
      </c>
      <c r="AK1623" t="s">
        <v>2719</v>
      </c>
      <c r="AL1623" t="s">
        <v>2719</v>
      </c>
      <c r="AO1623" t="s">
        <v>2547</v>
      </c>
      <c r="AP1623" t="s">
        <v>2401</v>
      </c>
    </row>
    <row r="1624" spans="1:42">
      <c r="A1624" t="s">
        <v>6077</v>
      </c>
      <c r="B1624" t="s">
        <v>2389</v>
      </c>
      <c r="C1624" t="s">
        <v>2390</v>
      </c>
      <c r="D1624" t="s">
        <v>2379</v>
      </c>
      <c r="E1624" t="s">
        <v>2452</v>
      </c>
      <c r="F1624" t="s">
        <v>2541</v>
      </c>
      <c r="G1624" t="s">
        <v>2452</v>
      </c>
      <c r="H1624" t="b">
        <v>1</v>
      </c>
      <c r="I1624" s="8">
        <v>45939.391400462962</v>
      </c>
      <c r="J1624" t="s">
        <v>2380</v>
      </c>
      <c r="K1624">
        <v>1201211</v>
      </c>
      <c r="L1624">
        <v>601096</v>
      </c>
      <c r="M1624" t="s">
        <v>2381</v>
      </c>
      <c r="P1624" t="s">
        <v>2427</v>
      </c>
      <c r="Q1624" t="s">
        <v>2383</v>
      </c>
      <c r="R1624">
        <v>1</v>
      </c>
      <c r="S1624" t="s">
        <v>2380</v>
      </c>
      <c r="T1624" t="s">
        <v>2383</v>
      </c>
      <c r="U1624" s="8">
        <v>45936.661122685182</v>
      </c>
      <c r="V1624" s="8">
        <v>45939.958333333336</v>
      </c>
      <c r="W1624">
        <v>1</v>
      </c>
      <c r="X1624">
        <v>2.730277778</v>
      </c>
      <c r="Y1624" t="s">
        <v>2542</v>
      </c>
      <c r="Z1624" t="s">
        <v>6078</v>
      </c>
      <c r="AA1624" t="s">
        <v>2888</v>
      </c>
      <c r="AB1624" t="s">
        <v>1278</v>
      </c>
      <c r="AC1624" t="s">
        <v>6079</v>
      </c>
      <c r="AD1624" t="s">
        <v>2708</v>
      </c>
      <c r="AE1624">
        <v>1</v>
      </c>
      <c r="AO1624" t="s">
        <v>2547</v>
      </c>
      <c r="AP1624" t="s">
        <v>2401</v>
      </c>
    </row>
    <row r="1625" spans="1:42">
      <c r="A1625" t="s">
        <v>9387</v>
      </c>
      <c r="B1625" t="s">
        <v>2389</v>
      </c>
      <c r="C1625" t="s">
        <v>2378</v>
      </c>
      <c r="D1625" t="s">
        <v>2379</v>
      </c>
      <c r="E1625" t="s">
        <v>2452</v>
      </c>
      <c r="F1625" t="s">
        <v>2541</v>
      </c>
      <c r="G1625" t="s">
        <v>2452</v>
      </c>
      <c r="H1625" t="b">
        <v>1</v>
      </c>
      <c r="I1625" s="8">
        <v>45939.666354166664</v>
      </c>
      <c r="J1625" t="s">
        <v>2380</v>
      </c>
      <c r="K1625">
        <v>1201209</v>
      </c>
      <c r="L1625">
        <v>601096</v>
      </c>
      <c r="M1625" t="s">
        <v>2381</v>
      </c>
      <c r="P1625" t="s">
        <v>2427</v>
      </c>
      <c r="Q1625" t="s">
        <v>2383</v>
      </c>
      <c r="R1625">
        <v>1</v>
      </c>
      <c r="S1625" t="s">
        <v>2380</v>
      </c>
      <c r="T1625" t="s">
        <v>2383</v>
      </c>
      <c r="U1625" s="8">
        <v>45936.661122685182</v>
      </c>
      <c r="V1625" s="8">
        <v>45939.958333333336</v>
      </c>
      <c r="W1625">
        <v>1</v>
      </c>
      <c r="X1625">
        <v>3.005231481</v>
      </c>
      <c r="Y1625" t="s">
        <v>2542</v>
      </c>
      <c r="Z1625" t="s">
        <v>9388</v>
      </c>
      <c r="AA1625" t="s">
        <v>2888</v>
      </c>
      <c r="AB1625" t="s">
        <v>1278</v>
      </c>
      <c r="AC1625" t="s">
        <v>9389</v>
      </c>
      <c r="AD1625" t="s">
        <v>2708</v>
      </c>
      <c r="AE1625">
        <v>1</v>
      </c>
      <c r="AH1625" t="s">
        <v>33</v>
      </c>
      <c r="AI1625" s="8">
        <v>45939.65898148148</v>
      </c>
      <c r="AK1625" t="s">
        <v>2719</v>
      </c>
      <c r="AL1625" t="s">
        <v>18</v>
      </c>
      <c r="AO1625" t="s">
        <v>2547</v>
      </c>
      <c r="AP1625" t="s">
        <v>2401</v>
      </c>
    </row>
    <row r="1626" spans="1:42">
      <c r="A1626" t="s">
        <v>10399</v>
      </c>
      <c r="B1626" t="s">
        <v>2389</v>
      </c>
      <c r="C1626" t="s">
        <v>2390</v>
      </c>
      <c r="D1626" t="s">
        <v>2379</v>
      </c>
      <c r="E1626" t="s">
        <v>2452</v>
      </c>
      <c r="F1626" t="s">
        <v>2541</v>
      </c>
      <c r="G1626" t="s">
        <v>2452</v>
      </c>
      <c r="H1626" t="b">
        <v>1</v>
      </c>
      <c r="I1626" s="8">
        <v>45939.358506944445</v>
      </c>
      <c r="J1626" t="s">
        <v>2380</v>
      </c>
      <c r="L1626">
        <v>608236</v>
      </c>
      <c r="M1626" t="s">
        <v>2381</v>
      </c>
      <c r="P1626" t="s">
        <v>2427</v>
      </c>
      <c r="Q1626" t="s">
        <v>2383</v>
      </c>
      <c r="R1626">
        <v>1</v>
      </c>
      <c r="S1626" t="s">
        <v>2380</v>
      </c>
      <c r="T1626" t="s">
        <v>2383</v>
      </c>
      <c r="U1626" s="8">
        <v>45936.661956018521</v>
      </c>
      <c r="V1626" s="8">
        <v>45939.958333333336</v>
      </c>
      <c r="W1626">
        <v>1</v>
      </c>
      <c r="X1626">
        <v>2.696550926</v>
      </c>
      <c r="Y1626" t="s">
        <v>2542</v>
      </c>
      <c r="Z1626" t="s">
        <v>10400</v>
      </c>
      <c r="AA1626" t="s">
        <v>2564</v>
      </c>
      <c r="AB1626" t="s">
        <v>1278</v>
      </c>
      <c r="AC1626" t="s">
        <v>10401</v>
      </c>
      <c r="AE1626">
        <v>1</v>
      </c>
      <c r="AO1626" t="s">
        <v>2547</v>
      </c>
      <c r="AP1626" t="s">
        <v>2401</v>
      </c>
    </row>
    <row r="1627" spans="1:42">
      <c r="A1627" t="s">
        <v>8970</v>
      </c>
      <c r="B1627" t="s">
        <v>2389</v>
      </c>
      <c r="C1627" t="s">
        <v>2378</v>
      </c>
      <c r="D1627" t="s">
        <v>2379</v>
      </c>
      <c r="E1627" t="s">
        <v>2452</v>
      </c>
      <c r="F1627" t="s">
        <v>2541</v>
      </c>
      <c r="G1627" t="s">
        <v>2452</v>
      </c>
      <c r="H1627" t="b">
        <v>1</v>
      </c>
      <c r="I1627" s="8">
        <v>45939.665324074071</v>
      </c>
      <c r="J1627" t="s">
        <v>2380</v>
      </c>
      <c r="K1627">
        <v>1201208</v>
      </c>
      <c r="L1627">
        <v>601096</v>
      </c>
      <c r="M1627" t="s">
        <v>2381</v>
      </c>
      <c r="P1627" t="s">
        <v>2427</v>
      </c>
      <c r="Q1627" t="s">
        <v>2383</v>
      </c>
      <c r="R1627">
        <v>1</v>
      </c>
      <c r="S1627" t="s">
        <v>2380</v>
      </c>
      <c r="T1627" t="s">
        <v>2383</v>
      </c>
      <c r="U1627" s="8">
        <v>45936.662731481483</v>
      </c>
      <c r="V1627" s="8">
        <v>45939.958333333336</v>
      </c>
      <c r="W1627">
        <v>1</v>
      </c>
      <c r="X1627">
        <v>3.0025925930000001</v>
      </c>
      <c r="Y1627" t="s">
        <v>2542</v>
      </c>
      <c r="Z1627" t="s">
        <v>8971</v>
      </c>
      <c r="AA1627" t="s">
        <v>2888</v>
      </c>
      <c r="AB1627" t="s">
        <v>1278</v>
      </c>
      <c r="AC1627" t="s">
        <v>8972</v>
      </c>
      <c r="AD1627" t="s">
        <v>2708</v>
      </c>
      <c r="AE1627">
        <v>1</v>
      </c>
      <c r="AH1627" t="s">
        <v>24</v>
      </c>
      <c r="AI1627" s="8">
        <v>45939.66064814815</v>
      </c>
      <c r="AK1627" t="s">
        <v>2719</v>
      </c>
      <c r="AL1627" t="s">
        <v>2719</v>
      </c>
      <c r="AO1627" t="s">
        <v>2547</v>
      </c>
      <c r="AP1627" t="s">
        <v>2401</v>
      </c>
    </row>
    <row r="1628" spans="1:42">
      <c r="A1628" t="s">
        <v>8973</v>
      </c>
      <c r="B1628" t="s">
        <v>2389</v>
      </c>
      <c r="C1628" t="s">
        <v>2390</v>
      </c>
      <c r="D1628" t="s">
        <v>2379</v>
      </c>
      <c r="E1628" t="s">
        <v>2452</v>
      </c>
      <c r="F1628" t="s">
        <v>2541</v>
      </c>
      <c r="G1628" t="s">
        <v>2452</v>
      </c>
      <c r="H1628" t="b">
        <v>1</v>
      </c>
      <c r="I1628" s="8">
        <v>45939.65253472222</v>
      </c>
      <c r="J1628" t="s">
        <v>2380</v>
      </c>
      <c r="K1628">
        <v>1201206</v>
      </c>
      <c r="L1628">
        <v>601096</v>
      </c>
      <c r="M1628" t="s">
        <v>2381</v>
      </c>
      <c r="P1628" t="s">
        <v>2427</v>
      </c>
      <c r="Q1628" t="s">
        <v>2383</v>
      </c>
      <c r="R1628">
        <v>1</v>
      </c>
      <c r="S1628" t="s">
        <v>2380</v>
      </c>
      <c r="T1628" t="s">
        <v>2383</v>
      </c>
      <c r="U1628" s="8">
        <v>45936.663391203707</v>
      </c>
      <c r="V1628" s="8">
        <v>45939.958333333336</v>
      </c>
      <c r="W1628">
        <v>1</v>
      </c>
      <c r="X1628">
        <v>2.9891435190000002</v>
      </c>
      <c r="Y1628" t="s">
        <v>2542</v>
      </c>
      <c r="Z1628" t="s">
        <v>8974</v>
      </c>
      <c r="AA1628" t="s">
        <v>2888</v>
      </c>
      <c r="AB1628" t="s">
        <v>1278</v>
      </c>
      <c r="AC1628" t="s">
        <v>8975</v>
      </c>
      <c r="AD1628" t="s">
        <v>2708</v>
      </c>
      <c r="AE1628">
        <v>1</v>
      </c>
      <c r="AH1628" t="s">
        <v>24</v>
      </c>
      <c r="AI1628" s="8">
        <v>45939.651574074072</v>
      </c>
      <c r="AK1628" t="s">
        <v>2719</v>
      </c>
      <c r="AL1628" t="s">
        <v>2719</v>
      </c>
      <c r="AO1628" t="s">
        <v>2547</v>
      </c>
      <c r="AP1628" t="s">
        <v>2401</v>
      </c>
    </row>
    <row r="1629" spans="1:42">
      <c r="A1629" t="s">
        <v>8976</v>
      </c>
      <c r="B1629" t="s">
        <v>2389</v>
      </c>
      <c r="C1629" t="s">
        <v>2390</v>
      </c>
      <c r="D1629" t="s">
        <v>2379</v>
      </c>
      <c r="E1629" t="s">
        <v>2452</v>
      </c>
      <c r="F1629" t="s">
        <v>2541</v>
      </c>
      <c r="G1629" t="s">
        <v>2452</v>
      </c>
      <c r="H1629" t="b">
        <v>1</v>
      </c>
      <c r="I1629" s="8">
        <v>45939.652650462966</v>
      </c>
      <c r="J1629" t="s">
        <v>2380</v>
      </c>
      <c r="K1629">
        <v>1201207</v>
      </c>
      <c r="L1629">
        <v>601096</v>
      </c>
      <c r="M1629" t="s">
        <v>2381</v>
      </c>
      <c r="P1629" t="s">
        <v>2427</v>
      </c>
      <c r="Q1629" t="s">
        <v>2383</v>
      </c>
      <c r="R1629">
        <v>1</v>
      </c>
      <c r="S1629" t="s">
        <v>2380</v>
      </c>
      <c r="T1629" t="s">
        <v>2383</v>
      </c>
      <c r="U1629" s="8">
        <v>45936.663391203707</v>
      </c>
      <c r="V1629" s="8">
        <v>45939.958333333336</v>
      </c>
      <c r="W1629">
        <v>1</v>
      </c>
      <c r="X1629">
        <v>2.9892592589999998</v>
      </c>
      <c r="Y1629" t="s">
        <v>2542</v>
      </c>
      <c r="Z1629" t="s">
        <v>8977</v>
      </c>
      <c r="AA1629" t="s">
        <v>2888</v>
      </c>
      <c r="AB1629" t="s">
        <v>1278</v>
      </c>
      <c r="AC1629" t="s">
        <v>8978</v>
      </c>
      <c r="AD1629" t="s">
        <v>2708</v>
      </c>
      <c r="AE1629">
        <v>1</v>
      </c>
      <c r="AH1629" t="s">
        <v>24</v>
      </c>
      <c r="AI1629" s="8">
        <v>45939.651064814818</v>
      </c>
      <c r="AK1629" t="s">
        <v>2719</v>
      </c>
      <c r="AL1629" t="s">
        <v>2719</v>
      </c>
      <c r="AO1629" t="s">
        <v>2547</v>
      </c>
      <c r="AP1629" t="s">
        <v>2401</v>
      </c>
    </row>
    <row r="1630" spans="1:42">
      <c r="A1630" t="s">
        <v>4840</v>
      </c>
      <c r="B1630" t="s">
        <v>2389</v>
      </c>
      <c r="C1630" t="s">
        <v>2415</v>
      </c>
      <c r="D1630" t="s">
        <v>2379</v>
      </c>
      <c r="E1630" t="s">
        <v>28</v>
      </c>
      <c r="F1630" t="s">
        <v>3747</v>
      </c>
      <c r="G1630" t="s">
        <v>28</v>
      </c>
      <c r="H1630" t="b">
        <v>1</v>
      </c>
      <c r="I1630" s="8">
        <v>45938.64503472222</v>
      </c>
      <c r="J1630" t="s">
        <v>2380</v>
      </c>
      <c r="K1630">
        <v>1200911</v>
      </c>
      <c r="L1630">
        <v>601861</v>
      </c>
      <c r="M1630" t="s">
        <v>2381</v>
      </c>
      <c r="N1630">
        <v>15</v>
      </c>
      <c r="Q1630" t="s">
        <v>2383</v>
      </c>
      <c r="R1630">
        <v>1</v>
      </c>
      <c r="S1630" t="s">
        <v>2380</v>
      </c>
      <c r="T1630" t="s">
        <v>2383</v>
      </c>
      <c r="U1630" s="8">
        <v>45936.663726851853</v>
      </c>
      <c r="V1630" s="8">
        <v>45939.958333333336</v>
      </c>
      <c r="W1630">
        <v>1</v>
      </c>
      <c r="X1630">
        <v>1.98130787</v>
      </c>
      <c r="Y1630" t="s">
        <v>3748</v>
      </c>
      <c r="Z1630" t="s">
        <v>4841</v>
      </c>
      <c r="AA1630" t="s">
        <v>3811</v>
      </c>
      <c r="AB1630" t="s">
        <v>1278</v>
      </c>
      <c r="AC1630" t="s">
        <v>4842</v>
      </c>
      <c r="AD1630" t="s">
        <v>2708</v>
      </c>
      <c r="AE1630">
        <v>1</v>
      </c>
      <c r="AO1630" t="s">
        <v>2712</v>
      </c>
      <c r="AP1630" t="s">
        <v>2401</v>
      </c>
    </row>
    <row r="1631" spans="1:42">
      <c r="A1631" t="s">
        <v>9390</v>
      </c>
      <c r="B1631" t="s">
        <v>2389</v>
      </c>
      <c r="C1631" t="s">
        <v>2378</v>
      </c>
      <c r="D1631" t="s">
        <v>2379</v>
      </c>
      <c r="E1631" t="s">
        <v>2452</v>
      </c>
      <c r="F1631" t="s">
        <v>2541</v>
      </c>
      <c r="G1631" t="s">
        <v>2452</v>
      </c>
      <c r="H1631" t="b">
        <v>1</v>
      </c>
      <c r="I1631" s="8">
        <v>45939.666284722225</v>
      </c>
      <c r="J1631" t="s">
        <v>2380</v>
      </c>
      <c r="K1631">
        <v>1201089</v>
      </c>
      <c r="L1631">
        <v>601096</v>
      </c>
      <c r="M1631" t="s">
        <v>2381</v>
      </c>
      <c r="P1631" t="s">
        <v>2427</v>
      </c>
      <c r="Q1631" t="s">
        <v>2383</v>
      </c>
      <c r="R1631">
        <v>1</v>
      </c>
      <c r="S1631" t="s">
        <v>2380</v>
      </c>
      <c r="T1631" t="s">
        <v>2383</v>
      </c>
      <c r="U1631" s="8">
        <v>45936.6640625</v>
      </c>
      <c r="V1631" s="8">
        <v>45939.958333333336</v>
      </c>
      <c r="W1631">
        <v>1</v>
      </c>
      <c r="X1631">
        <v>3.0022222219999999</v>
      </c>
      <c r="Y1631" t="s">
        <v>2542</v>
      </c>
      <c r="Z1631" t="s">
        <v>9391</v>
      </c>
      <c r="AA1631" t="s">
        <v>2888</v>
      </c>
      <c r="AB1631" t="s">
        <v>1278</v>
      </c>
      <c r="AC1631" t="s">
        <v>9392</v>
      </c>
      <c r="AD1631" t="s">
        <v>2708</v>
      </c>
      <c r="AE1631">
        <v>1</v>
      </c>
      <c r="AH1631" t="s">
        <v>33</v>
      </c>
      <c r="AI1631" s="8">
        <v>45939.658912037034</v>
      </c>
      <c r="AK1631" t="s">
        <v>2719</v>
      </c>
      <c r="AL1631" t="s">
        <v>18</v>
      </c>
      <c r="AO1631" t="s">
        <v>2547</v>
      </c>
      <c r="AP1631" t="s">
        <v>2401</v>
      </c>
    </row>
    <row r="1632" spans="1:42">
      <c r="A1632" t="s">
        <v>4843</v>
      </c>
      <c r="B1632" t="s">
        <v>2389</v>
      </c>
      <c r="C1632" t="s">
        <v>2415</v>
      </c>
      <c r="D1632" t="s">
        <v>2379</v>
      </c>
      <c r="E1632" t="s">
        <v>28</v>
      </c>
      <c r="F1632" t="s">
        <v>3747</v>
      </c>
      <c r="G1632" t="s">
        <v>28</v>
      </c>
      <c r="H1632" t="b">
        <v>1</v>
      </c>
      <c r="I1632" s="8">
        <v>45938.64980324074</v>
      </c>
      <c r="J1632" t="s">
        <v>2380</v>
      </c>
      <c r="K1632">
        <v>1200913</v>
      </c>
      <c r="L1632">
        <v>601861</v>
      </c>
      <c r="M1632" t="s">
        <v>2381</v>
      </c>
      <c r="N1632">
        <v>15</v>
      </c>
      <c r="Q1632" t="s">
        <v>2383</v>
      </c>
      <c r="R1632">
        <v>1</v>
      </c>
      <c r="S1632" t="s">
        <v>2380</v>
      </c>
      <c r="T1632" t="s">
        <v>2383</v>
      </c>
      <c r="U1632" s="8">
        <v>45936.664421296293</v>
      </c>
      <c r="V1632" s="8">
        <v>45939.958333333336</v>
      </c>
      <c r="W1632">
        <v>1</v>
      </c>
      <c r="X1632">
        <v>1.985381944</v>
      </c>
      <c r="Y1632" t="s">
        <v>3748</v>
      </c>
      <c r="Z1632" t="s">
        <v>4844</v>
      </c>
      <c r="AA1632" t="s">
        <v>3811</v>
      </c>
      <c r="AB1632" t="s">
        <v>1278</v>
      </c>
      <c r="AC1632" t="s">
        <v>4845</v>
      </c>
      <c r="AD1632" t="s">
        <v>2708</v>
      </c>
      <c r="AE1632">
        <v>1</v>
      </c>
      <c r="AO1632" t="s">
        <v>2712</v>
      </c>
      <c r="AP1632" t="s">
        <v>2401</v>
      </c>
    </row>
    <row r="1633" spans="1:42">
      <c r="A1633" t="s">
        <v>8979</v>
      </c>
      <c r="B1633" t="s">
        <v>2389</v>
      </c>
      <c r="C1633" t="s">
        <v>2378</v>
      </c>
      <c r="D1633" t="s">
        <v>2379</v>
      </c>
      <c r="E1633" t="s">
        <v>2452</v>
      </c>
      <c r="F1633" t="s">
        <v>2541</v>
      </c>
      <c r="G1633" t="s">
        <v>2452</v>
      </c>
      <c r="H1633" t="b">
        <v>1</v>
      </c>
      <c r="I1633" s="8">
        <v>45939.665717592594</v>
      </c>
      <c r="J1633" t="s">
        <v>2380</v>
      </c>
      <c r="K1633">
        <v>1200910</v>
      </c>
      <c r="L1633">
        <v>601096</v>
      </c>
      <c r="M1633" t="s">
        <v>2381</v>
      </c>
      <c r="P1633" t="s">
        <v>2427</v>
      </c>
      <c r="Q1633" t="s">
        <v>2383</v>
      </c>
      <c r="R1633">
        <v>1</v>
      </c>
      <c r="S1633" t="s">
        <v>2380</v>
      </c>
      <c r="T1633" t="s">
        <v>2383</v>
      </c>
      <c r="U1633" s="8">
        <v>45936.664756944447</v>
      </c>
      <c r="V1633" s="8">
        <v>45939.958333333336</v>
      </c>
      <c r="W1633">
        <v>1</v>
      </c>
      <c r="X1633">
        <v>3.000960648</v>
      </c>
      <c r="Y1633" t="s">
        <v>2542</v>
      </c>
      <c r="Z1633" t="s">
        <v>8980</v>
      </c>
      <c r="AA1633" t="s">
        <v>2888</v>
      </c>
      <c r="AB1633" t="s">
        <v>1278</v>
      </c>
      <c r="AC1633" t="s">
        <v>8981</v>
      </c>
      <c r="AD1633" t="s">
        <v>2708</v>
      </c>
      <c r="AE1633">
        <v>1</v>
      </c>
      <c r="AH1633" t="s">
        <v>24</v>
      </c>
      <c r="AI1633" s="8">
        <v>45939.659733796296</v>
      </c>
      <c r="AK1633" t="s">
        <v>2719</v>
      </c>
      <c r="AL1633" t="s">
        <v>2719</v>
      </c>
      <c r="AO1633" t="s">
        <v>2547</v>
      </c>
      <c r="AP1633" t="s">
        <v>2401</v>
      </c>
    </row>
    <row r="1634" spans="1:42">
      <c r="A1634" t="s">
        <v>4846</v>
      </c>
      <c r="B1634" t="s">
        <v>2389</v>
      </c>
      <c r="C1634" t="s">
        <v>2691</v>
      </c>
      <c r="D1634" t="s">
        <v>2379</v>
      </c>
      <c r="E1634" t="s">
        <v>28</v>
      </c>
      <c r="F1634" t="s">
        <v>3747</v>
      </c>
      <c r="G1634" t="s">
        <v>28</v>
      </c>
      <c r="H1634" t="b">
        <v>1</v>
      </c>
      <c r="I1634" s="8">
        <v>45944.617465277777</v>
      </c>
      <c r="J1634" t="s">
        <v>2380</v>
      </c>
      <c r="K1634">
        <v>1202395</v>
      </c>
      <c r="L1634">
        <v>601861</v>
      </c>
      <c r="M1634" t="s">
        <v>2381</v>
      </c>
      <c r="N1634">
        <v>15</v>
      </c>
      <c r="Q1634" t="s">
        <v>2383</v>
      </c>
      <c r="R1634">
        <v>1</v>
      </c>
      <c r="S1634" t="s">
        <v>2380</v>
      </c>
      <c r="T1634" t="s">
        <v>2383</v>
      </c>
      <c r="U1634" s="8">
        <v>45936.664872685185</v>
      </c>
      <c r="V1634" s="8">
        <v>45944.958333333336</v>
      </c>
      <c r="W1634">
        <v>1</v>
      </c>
      <c r="X1634">
        <v>5.9525925930000003</v>
      </c>
      <c r="Y1634" t="s">
        <v>3748</v>
      </c>
      <c r="Z1634" t="s">
        <v>4847</v>
      </c>
      <c r="AA1634" t="s">
        <v>3811</v>
      </c>
      <c r="AB1634" t="s">
        <v>1278</v>
      </c>
      <c r="AC1634" t="s">
        <v>4848</v>
      </c>
      <c r="AD1634" t="s">
        <v>2708</v>
      </c>
      <c r="AE1634">
        <v>1</v>
      </c>
      <c r="AO1634" t="s">
        <v>2712</v>
      </c>
      <c r="AP1634" t="s">
        <v>2401</v>
      </c>
    </row>
    <row r="1635" spans="1:42">
      <c r="A1635" t="s">
        <v>4849</v>
      </c>
      <c r="B1635" t="s">
        <v>2389</v>
      </c>
      <c r="C1635" t="s">
        <v>2415</v>
      </c>
      <c r="D1635" t="s">
        <v>2379</v>
      </c>
      <c r="E1635" t="s">
        <v>28</v>
      </c>
      <c r="F1635" t="s">
        <v>3747</v>
      </c>
      <c r="G1635" t="s">
        <v>28</v>
      </c>
      <c r="H1635" t="b">
        <v>1</v>
      </c>
      <c r="I1635" s="8">
        <v>45938.655324074076</v>
      </c>
      <c r="J1635" t="s">
        <v>2380</v>
      </c>
      <c r="K1635">
        <v>1200980</v>
      </c>
      <c r="L1635">
        <v>601861</v>
      </c>
      <c r="M1635" t="s">
        <v>2381</v>
      </c>
      <c r="N1635">
        <v>15</v>
      </c>
      <c r="Q1635" t="s">
        <v>2383</v>
      </c>
      <c r="R1635">
        <v>1</v>
      </c>
      <c r="S1635" t="s">
        <v>2380</v>
      </c>
      <c r="T1635" t="s">
        <v>2383</v>
      </c>
      <c r="U1635" s="8">
        <v>45936.665312500001</v>
      </c>
      <c r="V1635" s="8">
        <v>45939.958333333336</v>
      </c>
      <c r="W1635">
        <v>1</v>
      </c>
      <c r="X1635">
        <v>1.9900115739999999</v>
      </c>
      <c r="Y1635" t="s">
        <v>3748</v>
      </c>
      <c r="Z1635" t="s">
        <v>4850</v>
      </c>
      <c r="AA1635" t="s">
        <v>3811</v>
      </c>
      <c r="AB1635" t="s">
        <v>1278</v>
      </c>
      <c r="AC1635" t="s">
        <v>4851</v>
      </c>
      <c r="AD1635" t="s">
        <v>2708</v>
      </c>
      <c r="AE1635">
        <v>1</v>
      </c>
      <c r="AO1635" t="s">
        <v>2712</v>
      </c>
      <c r="AP1635" t="s">
        <v>2401</v>
      </c>
    </row>
    <row r="1636" spans="1:42">
      <c r="A1636" t="s">
        <v>4852</v>
      </c>
      <c r="B1636" t="s">
        <v>2389</v>
      </c>
      <c r="C1636" t="s">
        <v>2691</v>
      </c>
      <c r="D1636" t="s">
        <v>2379</v>
      </c>
      <c r="E1636" t="s">
        <v>28</v>
      </c>
      <c r="F1636" t="s">
        <v>3747</v>
      </c>
      <c r="G1636" t="s">
        <v>28</v>
      </c>
      <c r="H1636" t="b">
        <v>1</v>
      </c>
      <c r="I1636" s="8">
        <v>45944.622164351851</v>
      </c>
      <c r="J1636" t="s">
        <v>2380</v>
      </c>
      <c r="K1636">
        <v>1202398</v>
      </c>
      <c r="L1636">
        <v>601861</v>
      </c>
      <c r="M1636" t="s">
        <v>2381</v>
      </c>
      <c r="N1636">
        <v>15</v>
      </c>
      <c r="Q1636" t="s">
        <v>2383</v>
      </c>
      <c r="R1636">
        <v>1</v>
      </c>
      <c r="S1636" t="s">
        <v>2380</v>
      </c>
      <c r="T1636" t="s">
        <v>2383</v>
      </c>
      <c r="U1636" s="8">
        <v>45936.665833333333</v>
      </c>
      <c r="V1636" s="8">
        <v>45944.958333333336</v>
      </c>
      <c r="W1636">
        <v>1</v>
      </c>
      <c r="X1636">
        <v>5.9563310190000003</v>
      </c>
      <c r="Y1636" t="s">
        <v>3748</v>
      </c>
      <c r="Z1636" t="s">
        <v>4853</v>
      </c>
      <c r="AA1636" t="s">
        <v>3811</v>
      </c>
      <c r="AB1636" t="s">
        <v>1278</v>
      </c>
      <c r="AC1636" t="s">
        <v>4854</v>
      </c>
      <c r="AD1636" t="s">
        <v>2708</v>
      </c>
      <c r="AE1636">
        <v>1</v>
      </c>
      <c r="AO1636" t="s">
        <v>2712</v>
      </c>
      <c r="AP1636" t="s">
        <v>2401</v>
      </c>
    </row>
    <row r="1637" spans="1:42">
      <c r="A1637" t="s">
        <v>4855</v>
      </c>
      <c r="B1637" t="s">
        <v>2389</v>
      </c>
      <c r="C1637" t="s">
        <v>2415</v>
      </c>
      <c r="D1637" t="s">
        <v>2379</v>
      </c>
      <c r="E1637" t="s">
        <v>28</v>
      </c>
      <c r="F1637" t="s">
        <v>3747</v>
      </c>
      <c r="G1637" t="s">
        <v>28</v>
      </c>
      <c r="H1637" t="b">
        <v>1</v>
      </c>
      <c r="I1637" s="8">
        <v>45938.659224537034</v>
      </c>
      <c r="J1637" t="s">
        <v>2380</v>
      </c>
      <c r="K1637">
        <v>1201062</v>
      </c>
      <c r="L1637">
        <v>601861</v>
      </c>
      <c r="M1637" t="s">
        <v>2381</v>
      </c>
      <c r="N1637">
        <v>15</v>
      </c>
      <c r="Q1637" t="s">
        <v>2383</v>
      </c>
      <c r="R1637">
        <v>1</v>
      </c>
      <c r="S1637" t="s">
        <v>2380</v>
      </c>
      <c r="T1637" t="s">
        <v>2383</v>
      </c>
      <c r="U1637" s="8">
        <v>45936.666354166664</v>
      </c>
      <c r="V1637" s="8">
        <v>45939.958333333336</v>
      </c>
      <c r="W1637">
        <v>1</v>
      </c>
      <c r="X1637">
        <v>1.9928703699999999</v>
      </c>
      <c r="Y1637" t="s">
        <v>3748</v>
      </c>
      <c r="Z1637" t="s">
        <v>4856</v>
      </c>
      <c r="AA1637" t="s">
        <v>3811</v>
      </c>
      <c r="AB1637" t="s">
        <v>1278</v>
      </c>
      <c r="AC1637" t="s">
        <v>4857</v>
      </c>
      <c r="AD1637" t="s">
        <v>2708</v>
      </c>
      <c r="AE1637">
        <v>1</v>
      </c>
      <c r="AO1637" t="s">
        <v>2712</v>
      </c>
      <c r="AP1637" t="s">
        <v>2401</v>
      </c>
    </row>
    <row r="1638" spans="1:42">
      <c r="A1638" t="s">
        <v>4858</v>
      </c>
      <c r="B1638" t="s">
        <v>2389</v>
      </c>
      <c r="C1638" t="s">
        <v>2443</v>
      </c>
      <c r="D1638" t="s">
        <v>2443</v>
      </c>
      <c r="E1638" t="s">
        <v>28</v>
      </c>
      <c r="F1638" t="s">
        <v>3747</v>
      </c>
      <c r="G1638" t="s">
        <v>28</v>
      </c>
      <c r="H1638" t="b">
        <v>1</v>
      </c>
      <c r="I1638" s="8">
        <v>45947.645092592589</v>
      </c>
      <c r="J1638" t="s">
        <v>2380</v>
      </c>
      <c r="K1638">
        <v>1203286</v>
      </c>
      <c r="L1638">
        <v>601861</v>
      </c>
      <c r="M1638" t="s">
        <v>2381</v>
      </c>
      <c r="N1638">
        <v>15</v>
      </c>
      <c r="Q1638" t="s">
        <v>2383</v>
      </c>
      <c r="R1638">
        <v>1</v>
      </c>
      <c r="S1638" t="s">
        <v>2380</v>
      </c>
      <c r="T1638" t="s">
        <v>2383</v>
      </c>
      <c r="U1638" s="8">
        <v>45936.666747685187</v>
      </c>
      <c r="V1638" s="8">
        <v>45946.958333333336</v>
      </c>
      <c r="W1638">
        <v>1</v>
      </c>
      <c r="X1638">
        <v>8.9783449070000003</v>
      </c>
      <c r="Y1638" t="s">
        <v>3748</v>
      </c>
      <c r="Z1638" t="s">
        <v>4859</v>
      </c>
      <c r="AA1638" t="s">
        <v>3811</v>
      </c>
      <c r="AB1638" t="s">
        <v>1278</v>
      </c>
      <c r="AC1638" t="s">
        <v>4860</v>
      </c>
      <c r="AD1638" t="s">
        <v>2708</v>
      </c>
      <c r="AE1638">
        <v>1</v>
      </c>
      <c r="AO1638" t="s">
        <v>2712</v>
      </c>
      <c r="AP1638" t="s">
        <v>2401</v>
      </c>
    </row>
    <row r="1639" spans="1:42">
      <c r="A1639" t="s">
        <v>4861</v>
      </c>
      <c r="B1639" t="s">
        <v>2389</v>
      </c>
      <c r="C1639" t="s">
        <v>2390</v>
      </c>
      <c r="D1639" t="s">
        <v>2379</v>
      </c>
      <c r="E1639" t="s">
        <v>28</v>
      </c>
      <c r="F1639" t="s">
        <v>3747</v>
      </c>
      <c r="G1639" t="s">
        <v>28</v>
      </c>
      <c r="H1639" t="b">
        <v>1</v>
      </c>
      <c r="I1639" s="8">
        <v>45939.519861111112</v>
      </c>
      <c r="J1639" t="s">
        <v>2380</v>
      </c>
      <c r="K1639">
        <v>1201283</v>
      </c>
      <c r="L1639">
        <v>601861</v>
      </c>
      <c r="M1639" t="s">
        <v>2381</v>
      </c>
      <c r="N1639">
        <v>15</v>
      </c>
      <c r="Q1639" t="s">
        <v>2383</v>
      </c>
      <c r="R1639">
        <v>1</v>
      </c>
      <c r="S1639" t="s">
        <v>2380</v>
      </c>
      <c r="T1639" t="s">
        <v>2383</v>
      </c>
      <c r="U1639" s="8">
        <v>45936.667337962965</v>
      </c>
      <c r="V1639" s="8">
        <v>45939.958333333336</v>
      </c>
      <c r="W1639">
        <v>1</v>
      </c>
      <c r="X1639">
        <v>2.852523148</v>
      </c>
      <c r="Y1639" t="s">
        <v>3748</v>
      </c>
      <c r="Z1639" t="s">
        <v>4862</v>
      </c>
      <c r="AA1639" t="s">
        <v>3811</v>
      </c>
      <c r="AB1639" t="s">
        <v>1278</v>
      </c>
      <c r="AC1639" t="s">
        <v>4863</v>
      </c>
      <c r="AD1639" t="s">
        <v>2708</v>
      </c>
      <c r="AE1639">
        <v>1</v>
      </c>
      <c r="AO1639" t="s">
        <v>2712</v>
      </c>
      <c r="AP1639" t="s">
        <v>2401</v>
      </c>
    </row>
    <row r="1640" spans="1:42">
      <c r="A1640" t="s">
        <v>3429</v>
      </c>
      <c r="B1640" t="s">
        <v>2389</v>
      </c>
      <c r="C1640" t="s">
        <v>2390</v>
      </c>
      <c r="D1640" t="s">
        <v>2379</v>
      </c>
      <c r="E1640" t="s">
        <v>2416</v>
      </c>
      <c r="F1640">
        <v>4390</v>
      </c>
      <c r="G1640" t="s">
        <v>2416</v>
      </c>
      <c r="H1640" t="b">
        <v>1</v>
      </c>
      <c r="I1640" s="8">
        <v>45939.610821759263</v>
      </c>
      <c r="J1640" t="s">
        <v>2380</v>
      </c>
      <c r="L1640">
        <v>609743</v>
      </c>
      <c r="M1640" t="s">
        <v>2381</v>
      </c>
      <c r="Q1640" t="s">
        <v>2383</v>
      </c>
      <c r="R1640">
        <v>1</v>
      </c>
      <c r="S1640" t="s">
        <v>2380</v>
      </c>
      <c r="T1640" t="s">
        <v>2383</v>
      </c>
      <c r="U1640" s="8">
        <v>45936.675127314818</v>
      </c>
      <c r="V1640" s="8">
        <v>45939.958333333336</v>
      </c>
      <c r="W1640">
        <v>1</v>
      </c>
      <c r="X1640">
        <v>2.9356944440000001</v>
      </c>
      <c r="Y1640" t="s">
        <v>3428</v>
      </c>
      <c r="Z1640" t="s">
        <v>3430</v>
      </c>
      <c r="AA1640" t="s">
        <v>3431</v>
      </c>
      <c r="AB1640" t="s">
        <v>1278</v>
      </c>
      <c r="AC1640" t="s">
        <v>3432</v>
      </c>
      <c r="AE1640">
        <v>1</v>
      </c>
      <c r="AO1640" t="s">
        <v>2388</v>
      </c>
      <c r="AP1640" t="s">
        <v>2401</v>
      </c>
    </row>
    <row r="1641" spans="1:42">
      <c r="A1641" t="s">
        <v>10402</v>
      </c>
      <c r="B1641" t="s">
        <v>2389</v>
      </c>
      <c r="C1641" t="s">
        <v>2415</v>
      </c>
      <c r="D1641" t="s">
        <v>2379</v>
      </c>
      <c r="E1641" t="s">
        <v>2452</v>
      </c>
      <c r="F1641" t="s">
        <v>2541</v>
      </c>
      <c r="G1641" t="s">
        <v>2452</v>
      </c>
      <c r="H1641" t="b">
        <v>1</v>
      </c>
      <c r="I1641" s="8">
        <v>45938.622997685183</v>
      </c>
      <c r="J1641" t="s">
        <v>2380</v>
      </c>
      <c r="L1641">
        <v>601353</v>
      </c>
      <c r="M1641" t="s">
        <v>2381</v>
      </c>
      <c r="P1641" t="s">
        <v>2427</v>
      </c>
      <c r="Q1641" t="s">
        <v>2383</v>
      </c>
      <c r="R1641">
        <v>1</v>
      </c>
      <c r="S1641" t="s">
        <v>2380</v>
      </c>
      <c r="T1641" t="s">
        <v>2383</v>
      </c>
      <c r="U1641" s="8">
        <v>45936.703506944446</v>
      </c>
      <c r="V1641" s="8">
        <v>45939.958333333336</v>
      </c>
      <c r="W1641">
        <v>1</v>
      </c>
      <c r="X1641">
        <v>1.9194907409999999</v>
      </c>
      <c r="Y1641" t="s">
        <v>2542</v>
      </c>
      <c r="Z1641" t="s">
        <v>10403</v>
      </c>
      <c r="AA1641" t="s">
        <v>2934</v>
      </c>
      <c r="AB1641" t="s">
        <v>1278</v>
      </c>
      <c r="AC1641" t="s">
        <v>10404</v>
      </c>
      <c r="AE1641">
        <v>1</v>
      </c>
      <c r="AO1641" t="s">
        <v>2547</v>
      </c>
      <c r="AP1641" t="s">
        <v>2401</v>
      </c>
    </row>
    <row r="1642" spans="1:42">
      <c r="A1642" t="s">
        <v>8982</v>
      </c>
      <c r="B1642" t="s">
        <v>2389</v>
      </c>
      <c r="C1642" t="s">
        <v>2390</v>
      </c>
      <c r="D1642" t="s">
        <v>2379</v>
      </c>
      <c r="E1642" t="s">
        <v>2452</v>
      </c>
      <c r="F1642" t="s">
        <v>2541</v>
      </c>
      <c r="G1642" t="s">
        <v>2452</v>
      </c>
      <c r="H1642" t="b">
        <v>1</v>
      </c>
      <c r="I1642" s="8">
        <v>45939.665532407409</v>
      </c>
      <c r="J1642" t="s">
        <v>2380</v>
      </c>
      <c r="K1642">
        <v>1200878</v>
      </c>
      <c r="L1642">
        <v>608236</v>
      </c>
      <c r="M1642" t="s">
        <v>2381</v>
      </c>
      <c r="P1642" t="s">
        <v>2427</v>
      </c>
      <c r="Q1642" t="s">
        <v>2383</v>
      </c>
      <c r="R1642">
        <v>1</v>
      </c>
      <c r="S1642" t="s">
        <v>2380</v>
      </c>
      <c r="T1642" t="s">
        <v>2383</v>
      </c>
      <c r="U1642" s="8">
        <v>45936.704270833332</v>
      </c>
      <c r="V1642" s="8">
        <v>45939.958333333336</v>
      </c>
      <c r="W1642">
        <v>1</v>
      </c>
      <c r="X1642">
        <v>2.9612615739999999</v>
      </c>
      <c r="Y1642" t="s">
        <v>2542</v>
      </c>
      <c r="Z1642" t="s">
        <v>8983</v>
      </c>
      <c r="AA1642" t="s">
        <v>2564</v>
      </c>
      <c r="AB1642" t="s">
        <v>1278</v>
      </c>
      <c r="AC1642" t="s">
        <v>8984</v>
      </c>
      <c r="AD1642" t="s">
        <v>2708</v>
      </c>
      <c r="AE1642">
        <v>1</v>
      </c>
      <c r="AH1642" t="s">
        <v>24</v>
      </c>
      <c r="AI1642" s="8">
        <v>45939.661215277774</v>
      </c>
      <c r="AK1642" t="s">
        <v>2719</v>
      </c>
      <c r="AL1642" t="s">
        <v>2719</v>
      </c>
      <c r="AO1642" t="s">
        <v>2547</v>
      </c>
      <c r="AP1642" t="s">
        <v>2401</v>
      </c>
    </row>
    <row r="1643" spans="1:42">
      <c r="A1643" t="s">
        <v>8958</v>
      </c>
      <c r="B1643" t="s">
        <v>2389</v>
      </c>
      <c r="C1643" t="s">
        <v>2415</v>
      </c>
      <c r="D1643" t="s">
        <v>2379</v>
      </c>
      <c r="E1643" t="s">
        <v>33</v>
      </c>
      <c r="F1643" t="s">
        <v>2541</v>
      </c>
      <c r="G1643" t="s">
        <v>33</v>
      </c>
      <c r="H1643" t="b">
        <v>1</v>
      </c>
      <c r="I1643" s="8">
        <v>45938.580266203702</v>
      </c>
      <c r="J1643" t="s">
        <v>2380</v>
      </c>
      <c r="K1643">
        <v>1200863</v>
      </c>
      <c r="L1643">
        <v>604441</v>
      </c>
      <c r="M1643" t="s">
        <v>2381</v>
      </c>
      <c r="P1643" t="s">
        <v>2427</v>
      </c>
      <c r="Q1643" t="s">
        <v>2395</v>
      </c>
      <c r="R1643">
        <v>1</v>
      </c>
      <c r="S1643" t="s">
        <v>2380</v>
      </c>
      <c r="T1643" t="s">
        <v>2383</v>
      </c>
      <c r="U1643" s="8">
        <v>45936.704918981479</v>
      </c>
      <c r="V1643" s="8">
        <v>45939.958333333336</v>
      </c>
      <c r="W1643">
        <v>1</v>
      </c>
      <c r="X1643">
        <v>1.875347222</v>
      </c>
      <c r="Y1643" t="s">
        <v>2542</v>
      </c>
      <c r="Z1643" t="s">
        <v>8959</v>
      </c>
      <c r="AA1643" t="s">
        <v>3167</v>
      </c>
      <c r="AB1643" t="s">
        <v>1278</v>
      </c>
      <c r="AC1643" t="s">
        <v>8960</v>
      </c>
      <c r="AD1643" t="s">
        <v>2708</v>
      </c>
      <c r="AE1643">
        <v>1</v>
      </c>
      <c r="AH1643" t="s">
        <v>4895</v>
      </c>
      <c r="AI1643" s="8">
        <v>45938.57607638889</v>
      </c>
      <c r="AK1643" t="s">
        <v>2719</v>
      </c>
      <c r="AL1643" t="s">
        <v>2719</v>
      </c>
      <c r="AO1643" t="s">
        <v>2547</v>
      </c>
      <c r="AP1643" t="s">
        <v>2401</v>
      </c>
    </row>
    <row r="1644" spans="1:42">
      <c r="A1644" t="s">
        <v>10405</v>
      </c>
      <c r="B1644" t="s">
        <v>2389</v>
      </c>
      <c r="C1644" t="s">
        <v>2390</v>
      </c>
      <c r="D1644" t="s">
        <v>2379</v>
      </c>
      <c r="E1644" t="s">
        <v>2452</v>
      </c>
      <c r="F1644" t="s">
        <v>2541</v>
      </c>
      <c r="G1644" t="s">
        <v>2452</v>
      </c>
      <c r="H1644" t="b">
        <v>1</v>
      </c>
      <c r="I1644" s="8">
        <v>45939.641840277778</v>
      </c>
      <c r="J1644" t="s">
        <v>2380</v>
      </c>
      <c r="L1644">
        <v>602299</v>
      </c>
      <c r="M1644" t="s">
        <v>2381</v>
      </c>
      <c r="P1644" t="s">
        <v>2427</v>
      </c>
      <c r="Q1644" t="s">
        <v>2383</v>
      </c>
      <c r="R1644">
        <v>1</v>
      </c>
      <c r="S1644" t="s">
        <v>2380</v>
      </c>
      <c r="T1644" t="s">
        <v>2383</v>
      </c>
      <c r="U1644" s="8">
        <v>45936.706342592595</v>
      </c>
      <c r="V1644" s="8">
        <v>45939.958333333336</v>
      </c>
      <c r="W1644">
        <v>1</v>
      </c>
      <c r="X1644">
        <v>2.9354976850000001</v>
      </c>
      <c r="Y1644" t="s">
        <v>2542</v>
      </c>
      <c r="Z1644" t="s">
        <v>10406</v>
      </c>
      <c r="AA1644" t="s">
        <v>2927</v>
      </c>
      <c r="AB1644" t="s">
        <v>1278</v>
      </c>
      <c r="AC1644" t="s">
        <v>10407</v>
      </c>
      <c r="AE1644">
        <v>1</v>
      </c>
      <c r="AO1644" t="s">
        <v>2547</v>
      </c>
      <c r="AP1644" t="s">
        <v>2401</v>
      </c>
    </row>
    <row r="1645" spans="1:42">
      <c r="A1645" t="s">
        <v>10408</v>
      </c>
      <c r="B1645" t="s">
        <v>2389</v>
      </c>
      <c r="C1645" t="s">
        <v>2415</v>
      </c>
      <c r="D1645" t="s">
        <v>2379</v>
      </c>
      <c r="E1645" t="s">
        <v>2452</v>
      </c>
      <c r="F1645" t="s">
        <v>2541</v>
      </c>
      <c r="G1645" t="s">
        <v>2452</v>
      </c>
      <c r="H1645" t="b">
        <v>1</v>
      </c>
      <c r="I1645" s="8">
        <v>45938.592164351852</v>
      </c>
      <c r="J1645" t="s">
        <v>2380</v>
      </c>
      <c r="L1645">
        <v>608399</v>
      </c>
      <c r="M1645" t="s">
        <v>2381</v>
      </c>
      <c r="P1645" t="s">
        <v>2427</v>
      </c>
      <c r="Q1645" t="s">
        <v>2383</v>
      </c>
      <c r="R1645">
        <v>1</v>
      </c>
      <c r="S1645" t="s">
        <v>2380</v>
      </c>
      <c r="T1645" t="s">
        <v>2383</v>
      </c>
      <c r="U1645" s="8">
        <v>45936.70721064815</v>
      </c>
      <c r="V1645" s="8">
        <v>45939.958333333336</v>
      </c>
      <c r="W1645">
        <v>1</v>
      </c>
      <c r="X1645">
        <v>1.884953704</v>
      </c>
      <c r="Y1645" t="s">
        <v>2542</v>
      </c>
      <c r="Z1645" t="s">
        <v>10409</v>
      </c>
      <c r="AA1645" t="s">
        <v>2576</v>
      </c>
      <c r="AB1645" t="s">
        <v>1278</v>
      </c>
      <c r="AC1645" t="s">
        <v>10410</v>
      </c>
      <c r="AE1645">
        <v>1</v>
      </c>
      <c r="AO1645" t="s">
        <v>2547</v>
      </c>
      <c r="AP1645" t="s">
        <v>2401</v>
      </c>
    </row>
    <row r="1646" spans="1:42">
      <c r="A1646" t="s">
        <v>6914</v>
      </c>
      <c r="B1646" t="s">
        <v>2389</v>
      </c>
      <c r="C1646" t="s">
        <v>2390</v>
      </c>
      <c r="D1646" t="s">
        <v>2379</v>
      </c>
      <c r="E1646" t="s">
        <v>2452</v>
      </c>
      <c r="F1646" t="s">
        <v>2588</v>
      </c>
      <c r="G1646" t="s">
        <v>2452</v>
      </c>
      <c r="H1646" t="b">
        <v>1</v>
      </c>
      <c r="I1646" s="8">
        <v>45938.713518518518</v>
      </c>
      <c r="J1646" t="s">
        <v>2380</v>
      </c>
      <c r="K1646">
        <v>1201174</v>
      </c>
      <c r="L1646">
        <v>602590</v>
      </c>
      <c r="M1646" t="s">
        <v>2381</v>
      </c>
      <c r="P1646" t="s">
        <v>2394</v>
      </c>
      <c r="Q1646" t="s">
        <v>2383</v>
      </c>
      <c r="R1646">
        <v>1</v>
      </c>
      <c r="S1646" t="s">
        <v>2380</v>
      </c>
      <c r="T1646" t="s">
        <v>2383</v>
      </c>
      <c r="U1646" s="8">
        <v>45936.708287037036</v>
      </c>
      <c r="V1646" s="8">
        <v>45943.958333333336</v>
      </c>
      <c r="W1646">
        <v>1</v>
      </c>
      <c r="X1646">
        <v>2.005231481</v>
      </c>
      <c r="Y1646" t="s">
        <v>2579</v>
      </c>
      <c r="Z1646" t="s">
        <v>6915</v>
      </c>
      <c r="AA1646" t="s">
        <v>3307</v>
      </c>
      <c r="AB1646" t="s">
        <v>1278</v>
      </c>
      <c r="AC1646" t="s">
        <v>6916</v>
      </c>
      <c r="AD1646" t="s">
        <v>2708</v>
      </c>
      <c r="AE1646">
        <v>1</v>
      </c>
      <c r="AO1646" t="s">
        <v>2388</v>
      </c>
      <c r="AP1646" t="s">
        <v>2401</v>
      </c>
    </row>
    <row r="1647" spans="1:42">
      <c r="A1647" t="s">
        <v>5345</v>
      </c>
      <c r="B1647" t="s">
        <v>2389</v>
      </c>
      <c r="C1647" t="s">
        <v>2378</v>
      </c>
      <c r="D1647" t="s">
        <v>2379</v>
      </c>
      <c r="E1647" t="s">
        <v>2452</v>
      </c>
      <c r="F1647" t="s">
        <v>2402</v>
      </c>
      <c r="G1647" t="s">
        <v>2452</v>
      </c>
      <c r="H1647" t="b">
        <v>1</v>
      </c>
      <c r="I1647" s="8">
        <v>45940.342187499999</v>
      </c>
      <c r="J1647" t="s">
        <v>2380</v>
      </c>
      <c r="K1647">
        <v>1201454</v>
      </c>
      <c r="L1647">
        <v>606801</v>
      </c>
      <c r="M1647" t="s">
        <v>2381</v>
      </c>
      <c r="P1647" t="s">
        <v>2394</v>
      </c>
      <c r="Q1647" t="s">
        <v>2383</v>
      </c>
      <c r="R1647">
        <v>1</v>
      </c>
      <c r="S1647" t="s">
        <v>2380</v>
      </c>
      <c r="T1647" t="s">
        <v>2383</v>
      </c>
      <c r="U1647" s="8">
        <v>45936.799212962964</v>
      </c>
      <c r="V1647" s="8">
        <v>45945.958333333336</v>
      </c>
      <c r="W1647">
        <v>1</v>
      </c>
      <c r="X1647">
        <v>3.5429745370000001</v>
      </c>
      <c r="Y1647" t="s">
        <v>2403</v>
      </c>
      <c r="Z1647" t="s">
        <v>5346</v>
      </c>
      <c r="AA1647" t="s">
        <v>5347</v>
      </c>
      <c r="AB1647" t="s">
        <v>1278</v>
      </c>
      <c r="AC1647" t="s">
        <v>5348</v>
      </c>
      <c r="AD1647" t="s">
        <v>2708</v>
      </c>
      <c r="AE1647">
        <v>1</v>
      </c>
      <c r="AO1647" t="s">
        <v>2408</v>
      </c>
      <c r="AP1647" t="s">
        <v>2401</v>
      </c>
    </row>
    <row r="1648" spans="1:42">
      <c r="A1648" t="s">
        <v>7858</v>
      </c>
      <c r="B1648" t="s">
        <v>2389</v>
      </c>
      <c r="C1648" t="s">
        <v>2390</v>
      </c>
      <c r="D1648" t="s">
        <v>2379</v>
      </c>
      <c r="E1648" t="s">
        <v>2416</v>
      </c>
      <c r="F1648" t="s">
        <v>7686</v>
      </c>
      <c r="G1648" t="s">
        <v>2416</v>
      </c>
      <c r="H1648" t="b">
        <v>1</v>
      </c>
      <c r="I1648" s="8">
        <v>45939.680393518516</v>
      </c>
      <c r="J1648" t="s">
        <v>2380</v>
      </c>
      <c r="K1648">
        <v>1201437</v>
      </c>
      <c r="L1648">
        <v>602469</v>
      </c>
      <c r="M1648" t="s">
        <v>2381</v>
      </c>
      <c r="P1648" t="s">
        <v>2394</v>
      </c>
      <c r="Q1648" t="s">
        <v>2383</v>
      </c>
      <c r="R1648">
        <v>1</v>
      </c>
      <c r="S1648" t="s">
        <v>2380</v>
      </c>
      <c r="T1648" t="s">
        <v>2383</v>
      </c>
      <c r="U1648" s="8">
        <v>45937.336076388892</v>
      </c>
      <c r="V1648" s="8">
        <v>45940.958333333336</v>
      </c>
      <c r="W1648">
        <v>1</v>
      </c>
      <c r="X1648">
        <v>2.3443171299999999</v>
      </c>
      <c r="Y1648" t="s">
        <v>7687</v>
      </c>
      <c r="Z1648" t="s">
        <v>7859</v>
      </c>
      <c r="AA1648" t="s">
        <v>7690</v>
      </c>
      <c r="AB1648" t="s">
        <v>1278</v>
      </c>
      <c r="AC1648" t="s">
        <v>7860</v>
      </c>
      <c r="AD1648" t="s">
        <v>2708</v>
      </c>
      <c r="AE1648">
        <v>1</v>
      </c>
      <c r="AO1648" t="s">
        <v>2957</v>
      </c>
      <c r="AP1648" t="s">
        <v>2401</v>
      </c>
    </row>
    <row r="1649" spans="1:42">
      <c r="A1649" t="s">
        <v>10360</v>
      </c>
      <c r="B1649" t="s">
        <v>2389</v>
      </c>
      <c r="C1649" t="s">
        <v>2378</v>
      </c>
      <c r="D1649" t="s">
        <v>2379</v>
      </c>
      <c r="E1649" t="s">
        <v>2416</v>
      </c>
      <c r="F1649" t="s">
        <v>3891</v>
      </c>
      <c r="G1649" t="s">
        <v>2416</v>
      </c>
      <c r="H1649" t="b">
        <v>1</v>
      </c>
      <c r="I1649" s="8">
        <v>45940.425671296296</v>
      </c>
      <c r="J1649" t="s">
        <v>2380</v>
      </c>
      <c r="L1649">
        <v>603333</v>
      </c>
      <c r="M1649" t="s">
        <v>2381</v>
      </c>
      <c r="Q1649" t="s">
        <v>2383</v>
      </c>
      <c r="R1649">
        <v>1</v>
      </c>
      <c r="S1649" t="s">
        <v>2380</v>
      </c>
      <c r="T1649" t="s">
        <v>2383</v>
      </c>
      <c r="U1649" s="8">
        <v>45937.337106481478</v>
      </c>
      <c r="V1649" s="8">
        <v>45940.958333333336</v>
      </c>
      <c r="W1649">
        <v>1</v>
      </c>
      <c r="X1649">
        <v>3.0885648149999998</v>
      </c>
      <c r="Y1649" t="s">
        <v>3892</v>
      </c>
      <c r="Z1649" t="s">
        <v>10361</v>
      </c>
      <c r="AA1649" t="s">
        <v>8682</v>
      </c>
      <c r="AB1649" t="s">
        <v>1278</v>
      </c>
      <c r="AC1649" t="s">
        <v>10362</v>
      </c>
      <c r="AE1649">
        <v>1</v>
      </c>
      <c r="AO1649" t="s">
        <v>2715</v>
      </c>
      <c r="AP1649" t="s">
        <v>2401</v>
      </c>
    </row>
    <row r="1650" spans="1:42">
      <c r="A1650" t="s">
        <v>10072</v>
      </c>
      <c r="B1650" t="s">
        <v>2389</v>
      </c>
      <c r="C1650" t="s">
        <v>2378</v>
      </c>
      <c r="D1650" t="s">
        <v>2379</v>
      </c>
      <c r="E1650" t="s">
        <v>2452</v>
      </c>
      <c r="F1650" t="s">
        <v>3577</v>
      </c>
      <c r="G1650" t="s">
        <v>2452</v>
      </c>
      <c r="H1650" t="b">
        <v>1</v>
      </c>
      <c r="I1650" s="8">
        <v>45940.471932870372</v>
      </c>
      <c r="J1650" t="s">
        <v>2380</v>
      </c>
      <c r="K1650">
        <v>1200430</v>
      </c>
      <c r="L1650">
        <v>606952</v>
      </c>
      <c r="M1650" t="s">
        <v>2381</v>
      </c>
      <c r="P1650" t="s">
        <v>2394</v>
      </c>
      <c r="Q1650" t="s">
        <v>2383</v>
      </c>
      <c r="R1650">
        <v>1</v>
      </c>
      <c r="S1650" t="s">
        <v>2380</v>
      </c>
      <c r="T1650" t="s">
        <v>2383</v>
      </c>
      <c r="U1650" s="8">
        <v>45937.343113425923</v>
      </c>
      <c r="V1650" s="8">
        <v>45940.958333333336</v>
      </c>
      <c r="W1650">
        <v>1</v>
      </c>
      <c r="X1650">
        <v>3.1288194439999999</v>
      </c>
      <c r="Y1650" t="s">
        <v>3578</v>
      </c>
      <c r="Z1650" t="s">
        <v>10073</v>
      </c>
      <c r="AA1650" t="s">
        <v>7649</v>
      </c>
      <c r="AB1650" t="s">
        <v>1278</v>
      </c>
      <c r="AC1650" t="s">
        <v>10074</v>
      </c>
      <c r="AE1650">
        <v>1</v>
      </c>
      <c r="AO1650" t="s">
        <v>2957</v>
      </c>
      <c r="AP1650" t="s">
        <v>2401</v>
      </c>
    </row>
    <row r="1651" spans="1:42">
      <c r="A1651" t="s">
        <v>7867</v>
      </c>
      <c r="B1651" t="s">
        <v>2389</v>
      </c>
      <c r="C1651" t="s">
        <v>2390</v>
      </c>
      <c r="D1651" t="s">
        <v>2379</v>
      </c>
      <c r="E1651" t="s">
        <v>2416</v>
      </c>
      <c r="F1651" t="s">
        <v>3526</v>
      </c>
      <c r="G1651" t="s">
        <v>2416</v>
      </c>
      <c r="H1651" t="b">
        <v>1</v>
      </c>
      <c r="I1651" s="8">
        <v>45939.706585648149</v>
      </c>
      <c r="J1651" t="s">
        <v>2380</v>
      </c>
      <c r="K1651">
        <v>1201439</v>
      </c>
      <c r="L1651">
        <v>602189</v>
      </c>
      <c r="M1651" t="s">
        <v>2381</v>
      </c>
      <c r="P1651" t="s">
        <v>2394</v>
      </c>
      <c r="Q1651" t="s">
        <v>2383</v>
      </c>
      <c r="R1651">
        <v>1</v>
      </c>
      <c r="S1651" t="s">
        <v>2380</v>
      </c>
      <c r="T1651" t="s">
        <v>2383</v>
      </c>
      <c r="U1651" s="8">
        <v>45937.366238425922</v>
      </c>
      <c r="V1651" s="8">
        <v>45940.958333333336</v>
      </c>
      <c r="W1651">
        <v>1</v>
      </c>
      <c r="X1651">
        <v>2.3403472220000001</v>
      </c>
      <c r="Y1651" t="s">
        <v>3527</v>
      </c>
      <c r="Z1651" t="s">
        <v>7868</v>
      </c>
      <c r="AA1651" t="s">
        <v>3530</v>
      </c>
      <c r="AB1651" t="s">
        <v>1278</v>
      </c>
      <c r="AC1651" t="s">
        <v>7869</v>
      </c>
      <c r="AD1651" t="s">
        <v>2708</v>
      </c>
      <c r="AE1651">
        <v>1</v>
      </c>
      <c r="AO1651" t="s">
        <v>2957</v>
      </c>
      <c r="AP1651" t="s">
        <v>2401</v>
      </c>
    </row>
    <row r="1652" spans="1:42">
      <c r="A1652" t="s">
        <v>7134</v>
      </c>
      <c r="B1652" t="s">
        <v>2389</v>
      </c>
      <c r="C1652" t="s">
        <v>2390</v>
      </c>
      <c r="D1652" t="s">
        <v>2379</v>
      </c>
      <c r="E1652" t="s">
        <v>2416</v>
      </c>
      <c r="F1652" t="s">
        <v>2588</v>
      </c>
      <c r="G1652" t="s">
        <v>2416</v>
      </c>
      <c r="H1652" t="b">
        <v>1</v>
      </c>
      <c r="I1652" s="8">
        <v>45939.64875</v>
      </c>
      <c r="J1652" t="s">
        <v>2380</v>
      </c>
      <c r="K1652">
        <v>1201366</v>
      </c>
      <c r="L1652">
        <v>603533</v>
      </c>
      <c r="M1652" t="s">
        <v>2381</v>
      </c>
      <c r="P1652" t="s">
        <v>5429</v>
      </c>
      <c r="Q1652" t="s">
        <v>2383</v>
      </c>
      <c r="R1652">
        <v>1</v>
      </c>
      <c r="S1652" t="s">
        <v>2380</v>
      </c>
      <c r="T1652" t="s">
        <v>2383</v>
      </c>
      <c r="U1652" s="8">
        <v>45937.370775462965</v>
      </c>
      <c r="V1652" s="8">
        <v>45940.958333333336</v>
      </c>
      <c r="W1652">
        <v>1</v>
      </c>
      <c r="X1652">
        <v>2.277974537</v>
      </c>
      <c r="Y1652" t="s">
        <v>2579</v>
      </c>
      <c r="Z1652" t="s">
        <v>7135</v>
      </c>
      <c r="AA1652" t="s">
        <v>7136</v>
      </c>
      <c r="AB1652" t="s">
        <v>1278</v>
      </c>
      <c r="AC1652" t="s">
        <v>7137</v>
      </c>
      <c r="AD1652" t="s">
        <v>2708</v>
      </c>
      <c r="AE1652">
        <v>1</v>
      </c>
      <c r="AO1652" t="s">
        <v>2388</v>
      </c>
      <c r="AP1652" t="s">
        <v>2401</v>
      </c>
    </row>
    <row r="1653" spans="1:42">
      <c r="A1653" t="s">
        <v>7353</v>
      </c>
      <c r="B1653" t="s">
        <v>2389</v>
      </c>
      <c r="C1653" t="s">
        <v>2443</v>
      </c>
      <c r="D1653" t="s">
        <v>2443</v>
      </c>
      <c r="E1653" t="s">
        <v>25</v>
      </c>
      <c r="F1653" t="s">
        <v>2637</v>
      </c>
      <c r="G1653" t="s">
        <v>25</v>
      </c>
      <c r="H1653" t="b">
        <v>1</v>
      </c>
      <c r="I1653" s="8">
        <v>45943.496319444443</v>
      </c>
      <c r="J1653" t="s">
        <v>2380</v>
      </c>
      <c r="K1653">
        <v>1201850</v>
      </c>
      <c r="L1653">
        <v>603986</v>
      </c>
      <c r="M1653" t="s">
        <v>2381</v>
      </c>
      <c r="N1653">
        <v>5</v>
      </c>
      <c r="P1653" t="s">
        <v>2394</v>
      </c>
      <c r="Q1653" t="s">
        <v>2383</v>
      </c>
      <c r="R1653">
        <v>1</v>
      </c>
      <c r="S1653" t="s">
        <v>2380</v>
      </c>
      <c r="T1653" t="s">
        <v>2383</v>
      </c>
      <c r="U1653" s="8">
        <v>45937.375300925924</v>
      </c>
      <c r="V1653" s="8">
        <v>45940.958333333336</v>
      </c>
      <c r="W1653">
        <v>1</v>
      </c>
      <c r="X1653">
        <v>4.1210185189999997</v>
      </c>
      <c r="Y1653" t="s">
        <v>2638</v>
      </c>
      <c r="Z1653" t="s">
        <v>7354</v>
      </c>
      <c r="AA1653" t="s">
        <v>2641</v>
      </c>
      <c r="AB1653" t="s">
        <v>1278</v>
      </c>
      <c r="AC1653" t="s">
        <v>7355</v>
      </c>
      <c r="AD1653" t="s">
        <v>2708</v>
      </c>
      <c r="AE1653">
        <v>1</v>
      </c>
      <c r="AO1653" t="s">
        <v>2388</v>
      </c>
      <c r="AP1653" t="s">
        <v>2401</v>
      </c>
    </row>
    <row r="1654" spans="1:42">
      <c r="A1654" t="s">
        <v>8264</v>
      </c>
      <c r="B1654" t="s">
        <v>2389</v>
      </c>
      <c r="C1654" t="s">
        <v>2390</v>
      </c>
      <c r="D1654" t="s">
        <v>2379</v>
      </c>
      <c r="E1654" t="s">
        <v>25</v>
      </c>
      <c r="F1654" t="s">
        <v>2578</v>
      </c>
      <c r="G1654" t="s">
        <v>25</v>
      </c>
      <c r="H1654" t="b">
        <v>1</v>
      </c>
      <c r="I1654" s="8">
        <v>45939.415914351855</v>
      </c>
      <c r="J1654" t="s">
        <v>2380</v>
      </c>
      <c r="K1654">
        <v>1201234</v>
      </c>
      <c r="L1654">
        <v>604067</v>
      </c>
      <c r="M1654" t="s">
        <v>2381</v>
      </c>
      <c r="N1654">
        <v>5</v>
      </c>
      <c r="P1654" t="s">
        <v>2394</v>
      </c>
      <c r="Q1654" t="s">
        <v>2395</v>
      </c>
      <c r="R1654">
        <v>1</v>
      </c>
      <c r="S1654" t="s">
        <v>2380</v>
      </c>
      <c r="T1654" t="s">
        <v>2383</v>
      </c>
      <c r="U1654" s="8">
        <v>45937.382326388892</v>
      </c>
      <c r="V1654" s="8">
        <v>45940.958333333336</v>
      </c>
      <c r="W1654">
        <v>1</v>
      </c>
      <c r="X1654">
        <v>2.033587963</v>
      </c>
      <c r="Y1654" t="s">
        <v>2579</v>
      </c>
      <c r="Z1654" t="s">
        <v>8265</v>
      </c>
      <c r="AA1654" t="s">
        <v>8266</v>
      </c>
      <c r="AB1654" t="s">
        <v>1278</v>
      </c>
      <c r="AC1654" t="s">
        <v>8267</v>
      </c>
      <c r="AD1654" t="s">
        <v>2708</v>
      </c>
      <c r="AE1654">
        <v>1</v>
      </c>
      <c r="AO1654" t="s">
        <v>4137</v>
      </c>
      <c r="AP1654" t="s">
        <v>2401</v>
      </c>
    </row>
    <row r="1655" spans="1:42">
      <c r="A1655" t="s">
        <v>6230</v>
      </c>
      <c r="B1655" t="s">
        <v>2389</v>
      </c>
      <c r="C1655" t="s">
        <v>2390</v>
      </c>
      <c r="D1655" t="s">
        <v>2379</v>
      </c>
      <c r="E1655" t="s">
        <v>25</v>
      </c>
      <c r="F1655" t="s">
        <v>2541</v>
      </c>
      <c r="G1655" t="s">
        <v>25</v>
      </c>
      <c r="H1655" t="b">
        <v>1</v>
      </c>
      <c r="I1655" s="8">
        <v>45939.407268518517</v>
      </c>
      <c r="J1655" t="s">
        <v>2380</v>
      </c>
      <c r="K1655">
        <v>1201226</v>
      </c>
      <c r="L1655">
        <v>601096</v>
      </c>
      <c r="M1655" t="s">
        <v>2381</v>
      </c>
      <c r="N1655">
        <v>5</v>
      </c>
      <c r="P1655" t="s">
        <v>2548</v>
      </c>
      <c r="Q1655" t="s">
        <v>2383</v>
      </c>
      <c r="R1655">
        <v>1</v>
      </c>
      <c r="S1655" t="s">
        <v>2380</v>
      </c>
      <c r="T1655" t="s">
        <v>2383</v>
      </c>
      <c r="U1655" s="8">
        <v>45937.383506944447</v>
      </c>
      <c r="V1655" s="8">
        <v>45940.958333333336</v>
      </c>
      <c r="W1655">
        <v>1</v>
      </c>
      <c r="X1655">
        <v>2.0237615739999999</v>
      </c>
      <c r="Y1655" t="s">
        <v>2542</v>
      </c>
      <c r="Z1655" t="s">
        <v>6231</v>
      </c>
      <c r="AA1655" t="s">
        <v>2888</v>
      </c>
      <c r="AB1655" t="s">
        <v>1278</v>
      </c>
      <c r="AC1655" t="s">
        <v>6232</v>
      </c>
      <c r="AD1655" t="s">
        <v>2708</v>
      </c>
      <c r="AE1655">
        <v>1</v>
      </c>
      <c r="AO1655" t="s">
        <v>2547</v>
      </c>
      <c r="AP1655" t="s">
        <v>2401</v>
      </c>
    </row>
    <row r="1656" spans="1:42">
      <c r="A1656" t="s">
        <v>10429</v>
      </c>
      <c r="B1656" t="s">
        <v>2389</v>
      </c>
      <c r="C1656" t="s">
        <v>2390</v>
      </c>
      <c r="D1656" t="s">
        <v>2379</v>
      </c>
      <c r="E1656" t="s">
        <v>25</v>
      </c>
      <c r="F1656" t="s">
        <v>2541</v>
      </c>
      <c r="G1656" t="s">
        <v>25</v>
      </c>
      <c r="H1656" t="b">
        <v>1</v>
      </c>
      <c r="I1656" s="8">
        <v>45939.409953703704</v>
      </c>
      <c r="J1656" t="s">
        <v>2380</v>
      </c>
      <c r="L1656">
        <v>601353</v>
      </c>
      <c r="M1656" t="s">
        <v>2381</v>
      </c>
      <c r="N1656">
        <v>5</v>
      </c>
      <c r="P1656" t="s">
        <v>2548</v>
      </c>
      <c r="Q1656" t="s">
        <v>2383</v>
      </c>
      <c r="R1656">
        <v>1</v>
      </c>
      <c r="S1656" t="s">
        <v>2380</v>
      </c>
      <c r="T1656" t="s">
        <v>2383</v>
      </c>
      <c r="U1656" s="8">
        <v>45937.391851851855</v>
      </c>
      <c r="V1656" s="8">
        <v>45940.958333333336</v>
      </c>
      <c r="W1656">
        <v>1</v>
      </c>
      <c r="X1656">
        <v>2.018101852</v>
      </c>
      <c r="Y1656" t="s">
        <v>2542</v>
      </c>
      <c r="Z1656" t="s">
        <v>10430</v>
      </c>
      <c r="AA1656" t="s">
        <v>2934</v>
      </c>
      <c r="AB1656" t="s">
        <v>1278</v>
      </c>
      <c r="AC1656" t="s">
        <v>10431</v>
      </c>
      <c r="AE1656">
        <v>1</v>
      </c>
      <c r="AO1656" t="s">
        <v>2547</v>
      </c>
      <c r="AP1656" t="s">
        <v>2401</v>
      </c>
    </row>
    <row r="1657" spans="1:42">
      <c r="A1657" t="s">
        <v>6169</v>
      </c>
      <c r="B1657" t="s">
        <v>2389</v>
      </c>
      <c r="C1657" t="s">
        <v>2390</v>
      </c>
      <c r="D1657" t="s">
        <v>2379</v>
      </c>
      <c r="E1657" t="s">
        <v>25</v>
      </c>
      <c r="F1657" t="s">
        <v>2541</v>
      </c>
      <c r="G1657" t="s">
        <v>25</v>
      </c>
      <c r="H1657" t="b">
        <v>1</v>
      </c>
      <c r="I1657" s="8">
        <v>45939.430648148147</v>
      </c>
      <c r="J1657" t="s">
        <v>2380</v>
      </c>
      <c r="K1657">
        <v>1201240</v>
      </c>
      <c r="L1657">
        <v>602299</v>
      </c>
      <c r="M1657" t="s">
        <v>2381</v>
      </c>
      <c r="N1657">
        <v>5</v>
      </c>
      <c r="Q1657" t="s">
        <v>2383</v>
      </c>
      <c r="R1657">
        <v>1</v>
      </c>
      <c r="S1657" t="s">
        <v>2380</v>
      </c>
      <c r="T1657" t="s">
        <v>2383</v>
      </c>
      <c r="U1657" s="8">
        <v>45937.399108796293</v>
      </c>
      <c r="V1657" s="8">
        <v>45940.958333333336</v>
      </c>
      <c r="W1657">
        <v>1</v>
      </c>
      <c r="X1657">
        <v>2.0315393519999998</v>
      </c>
      <c r="Y1657" t="s">
        <v>2542</v>
      </c>
      <c r="Z1657" t="s">
        <v>6170</v>
      </c>
      <c r="AA1657" t="s">
        <v>2927</v>
      </c>
      <c r="AB1657" t="s">
        <v>1278</v>
      </c>
      <c r="AC1657" t="s">
        <v>6171</v>
      </c>
      <c r="AD1657" t="s">
        <v>2708</v>
      </c>
      <c r="AE1657">
        <v>1</v>
      </c>
      <c r="AO1657" t="s">
        <v>2547</v>
      </c>
      <c r="AP1657" t="s">
        <v>2401</v>
      </c>
    </row>
    <row r="1658" spans="1:42">
      <c r="A1658" t="s">
        <v>6233</v>
      </c>
      <c r="B1658" t="s">
        <v>2389</v>
      </c>
      <c r="C1658" t="s">
        <v>2390</v>
      </c>
      <c r="D1658" t="s">
        <v>2379</v>
      </c>
      <c r="E1658" t="s">
        <v>25</v>
      </c>
      <c r="F1658" t="s">
        <v>2541</v>
      </c>
      <c r="G1658" t="s">
        <v>25</v>
      </c>
      <c r="H1658" t="b">
        <v>1</v>
      </c>
      <c r="I1658" s="8">
        <v>45939.550266203703</v>
      </c>
      <c r="J1658" t="s">
        <v>2380</v>
      </c>
      <c r="K1658">
        <v>1201332</v>
      </c>
      <c r="L1658">
        <v>601096</v>
      </c>
      <c r="M1658" t="s">
        <v>2381</v>
      </c>
      <c r="N1658">
        <v>5</v>
      </c>
      <c r="P1658" t="s">
        <v>2548</v>
      </c>
      <c r="Q1658" t="s">
        <v>2383</v>
      </c>
      <c r="R1658">
        <v>1</v>
      </c>
      <c r="S1658" t="s">
        <v>2380</v>
      </c>
      <c r="T1658" t="s">
        <v>2383</v>
      </c>
      <c r="U1658" s="8">
        <v>45937.405104166668</v>
      </c>
      <c r="V1658" s="8">
        <v>45940.958333333336</v>
      </c>
      <c r="W1658">
        <v>1</v>
      </c>
      <c r="X1658">
        <v>2.145162037</v>
      </c>
      <c r="Y1658" t="s">
        <v>2542</v>
      </c>
      <c r="Z1658" t="s">
        <v>6234</v>
      </c>
      <c r="AA1658" t="s">
        <v>2888</v>
      </c>
      <c r="AB1658" t="s">
        <v>1278</v>
      </c>
      <c r="AC1658" t="s">
        <v>6235</v>
      </c>
      <c r="AD1658" t="s">
        <v>2708</v>
      </c>
      <c r="AE1658">
        <v>1</v>
      </c>
      <c r="AO1658" t="s">
        <v>2547</v>
      </c>
      <c r="AP1658" t="s">
        <v>2401</v>
      </c>
    </row>
    <row r="1659" spans="1:42">
      <c r="A1659" t="s">
        <v>5862</v>
      </c>
      <c r="B1659" t="s">
        <v>2389</v>
      </c>
      <c r="C1659" t="s">
        <v>2415</v>
      </c>
      <c r="D1659" t="s">
        <v>2379</v>
      </c>
      <c r="E1659" t="s">
        <v>307</v>
      </c>
      <c r="F1659" t="s">
        <v>2541</v>
      </c>
      <c r="G1659" t="s">
        <v>307</v>
      </c>
      <c r="H1659" t="b">
        <v>1</v>
      </c>
      <c r="I1659" s="8">
        <v>45938.927673611113</v>
      </c>
      <c r="J1659" t="s">
        <v>2380</v>
      </c>
      <c r="K1659">
        <v>1201199</v>
      </c>
      <c r="L1659">
        <v>601441</v>
      </c>
      <c r="M1659" t="s">
        <v>2381</v>
      </c>
      <c r="P1659" t="s">
        <v>3117</v>
      </c>
      <c r="Q1659" t="s">
        <v>2383</v>
      </c>
      <c r="R1659">
        <v>1</v>
      </c>
      <c r="S1659" t="s">
        <v>2380</v>
      </c>
      <c r="T1659" t="s">
        <v>2383</v>
      </c>
      <c r="U1659" s="8">
        <v>45937.410717592589</v>
      </c>
      <c r="V1659" s="8">
        <v>45940.958333333336</v>
      </c>
      <c r="W1659">
        <v>1</v>
      </c>
      <c r="X1659">
        <v>1.516956019</v>
      </c>
      <c r="Y1659" t="s">
        <v>2542</v>
      </c>
      <c r="Z1659" t="s">
        <v>5863</v>
      </c>
      <c r="AA1659" t="s">
        <v>2884</v>
      </c>
      <c r="AB1659" t="s">
        <v>1278</v>
      </c>
      <c r="AC1659" t="s">
        <v>5864</v>
      </c>
      <c r="AD1659" t="s">
        <v>2708</v>
      </c>
      <c r="AE1659">
        <v>1</v>
      </c>
      <c r="AO1659" t="s">
        <v>2547</v>
      </c>
      <c r="AP1659" t="s">
        <v>2401</v>
      </c>
    </row>
    <row r="1660" spans="1:42">
      <c r="A1660" t="s">
        <v>5860</v>
      </c>
      <c r="B1660" t="s">
        <v>2389</v>
      </c>
      <c r="C1660" t="s">
        <v>2415</v>
      </c>
      <c r="D1660" t="s">
        <v>2379</v>
      </c>
      <c r="E1660" t="s">
        <v>307</v>
      </c>
      <c r="F1660" t="s">
        <v>2541</v>
      </c>
      <c r="G1660" t="s">
        <v>307</v>
      </c>
      <c r="H1660" t="b">
        <v>1</v>
      </c>
      <c r="I1660" s="8">
        <v>45938.949502314812</v>
      </c>
      <c r="J1660" t="s">
        <v>2380</v>
      </c>
      <c r="K1660">
        <v>1201200</v>
      </c>
      <c r="L1660">
        <v>602299</v>
      </c>
      <c r="M1660" t="s">
        <v>2381</v>
      </c>
      <c r="P1660" t="s">
        <v>3117</v>
      </c>
      <c r="Q1660" t="s">
        <v>2383</v>
      </c>
      <c r="R1660">
        <v>1</v>
      </c>
      <c r="S1660" t="s">
        <v>2380</v>
      </c>
      <c r="T1660" t="s">
        <v>2383</v>
      </c>
      <c r="U1660" s="8">
        <v>45937.410729166666</v>
      </c>
      <c r="V1660" s="8">
        <v>45940.958333333336</v>
      </c>
      <c r="W1660">
        <v>1</v>
      </c>
      <c r="X1660">
        <v>1.538773148</v>
      </c>
      <c r="Y1660" t="s">
        <v>2542</v>
      </c>
      <c r="Z1660" t="s">
        <v>5861</v>
      </c>
      <c r="AA1660" t="s">
        <v>2927</v>
      </c>
      <c r="AB1660" t="s">
        <v>1278</v>
      </c>
      <c r="AC1660">
        <v>23000</v>
      </c>
      <c r="AD1660" t="s">
        <v>2708</v>
      </c>
      <c r="AE1660">
        <v>1</v>
      </c>
      <c r="AO1660" t="s">
        <v>2547</v>
      </c>
      <c r="AP1660" t="s">
        <v>2401</v>
      </c>
    </row>
    <row r="1661" spans="1:42">
      <c r="A1661" t="s">
        <v>7253</v>
      </c>
      <c r="B1661" t="s">
        <v>2389</v>
      </c>
      <c r="C1661" t="s">
        <v>2378</v>
      </c>
      <c r="D1661" t="s">
        <v>2379</v>
      </c>
      <c r="E1661" t="s">
        <v>28</v>
      </c>
      <c r="F1661" t="s">
        <v>2578</v>
      </c>
      <c r="G1661" t="s">
        <v>28</v>
      </c>
      <c r="H1661" t="b">
        <v>1</v>
      </c>
      <c r="I1661" s="8">
        <v>45940.64439814815</v>
      </c>
      <c r="J1661" t="s">
        <v>2380</v>
      </c>
      <c r="K1661">
        <v>1201666</v>
      </c>
      <c r="L1661">
        <v>603617</v>
      </c>
      <c r="M1661" t="s">
        <v>2381</v>
      </c>
      <c r="N1661">
        <v>15</v>
      </c>
      <c r="P1661" t="s">
        <v>2394</v>
      </c>
      <c r="Q1661" t="s">
        <v>2383</v>
      </c>
      <c r="R1661">
        <v>1</v>
      </c>
      <c r="S1661" t="s">
        <v>2380</v>
      </c>
      <c r="T1661" t="s">
        <v>2383</v>
      </c>
      <c r="U1661" s="8">
        <v>45937.411215277774</v>
      </c>
      <c r="V1661" s="8">
        <v>45940.958333333336</v>
      </c>
      <c r="W1661">
        <v>1</v>
      </c>
      <c r="X1661">
        <v>3.2331828699999998</v>
      </c>
      <c r="Y1661" t="s">
        <v>2579</v>
      </c>
      <c r="Z1661" t="s">
        <v>7254</v>
      </c>
      <c r="AA1661" t="s">
        <v>2660</v>
      </c>
      <c r="AB1661" t="s">
        <v>1278</v>
      </c>
      <c r="AC1661" t="s">
        <v>7255</v>
      </c>
      <c r="AD1661" t="s">
        <v>2708</v>
      </c>
      <c r="AE1661">
        <v>1</v>
      </c>
      <c r="AO1661" t="s">
        <v>2388</v>
      </c>
      <c r="AP1661" t="s">
        <v>2401</v>
      </c>
    </row>
    <row r="1662" spans="1:42">
      <c r="A1662" t="s">
        <v>4873</v>
      </c>
      <c r="B1662" t="s">
        <v>2389</v>
      </c>
      <c r="C1662" t="s">
        <v>2378</v>
      </c>
      <c r="D1662" t="s">
        <v>2379</v>
      </c>
      <c r="E1662" t="s">
        <v>25</v>
      </c>
      <c r="F1662" t="s">
        <v>3747</v>
      </c>
      <c r="G1662" t="s">
        <v>25</v>
      </c>
      <c r="H1662" t="b">
        <v>1</v>
      </c>
      <c r="I1662" s="8">
        <v>45940.455416666664</v>
      </c>
      <c r="J1662" t="s">
        <v>2380</v>
      </c>
      <c r="K1662">
        <v>1201498</v>
      </c>
      <c r="L1662">
        <v>606836</v>
      </c>
      <c r="M1662" t="s">
        <v>2381</v>
      </c>
      <c r="N1662">
        <v>5</v>
      </c>
      <c r="Q1662" t="s">
        <v>2383</v>
      </c>
      <c r="R1662">
        <v>1</v>
      </c>
      <c r="S1662" t="s">
        <v>2380</v>
      </c>
      <c r="T1662" t="s">
        <v>2383</v>
      </c>
      <c r="U1662" s="8">
        <v>45937.418252314812</v>
      </c>
      <c r="V1662" s="8">
        <v>45940.958333333336</v>
      </c>
      <c r="W1662">
        <v>1</v>
      </c>
      <c r="X1662">
        <v>3.037164352</v>
      </c>
      <c r="Y1662" t="s">
        <v>3748</v>
      </c>
      <c r="Z1662" t="s">
        <v>4874</v>
      </c>
      <c r="AA1662" t="s">
        <v>4069</v>
      </c>
      <c r="AB1662" t="s">
        <v>1278</v>
      </c>
      <c r="AC1662" t="s">
        <v>4875</v>
      </c>
      <c r="AD1662" t="s">
        <v>2708</v>
      </c>
      <c r="AE1662">
        <v>1</v>
      </c>
      <c r="AO1662" t="s">
        <v>2712</v>
      </c>
      <c r="AP1662" t="s">
        <v>2401</v>
      </c>
    </row>
    <row r="1663" spans="1:42">
      <c r="A1663" t="s">
        <v>4067</v>
      </c>
      <c r="B1663" t="s">
        <v>2389</v>
      </c>
      <c r="C1663" t="s">
        <v>2390</v>
      </c>
      <c r="D1663" t="s">
        <v>2379</v>
      </c>
      <c r="E1663" t="s">
        <v>2452</v>
      </c>
      <c r="F1663" t="s">
        <v>3747</v>
      </c>
      <c r="G1663" t="s">
        <v>2452</v>
      </c>
      <c r="H1663" t="b">
        <v>1</v>
      </c>
      <c r="I1663" s="8">
        <v>45940.395243055558</v>
      </c>
      <c r="J1663" t="s">
        <v>2380</v>
      </c>
      <c r="K1663">
        <v>1201461</v>
      </c>
      <c r="L1663">
        <v>606836</v>
      </c>
      <c r="M1663" t="s">
        <v>2381</v>
      </c>
      <c r="Q1663" t="s">
        <v>2383</v>
      </c>
      <c r="R1663">
        <v>1</v>
      </c>
      <c r="S1663" t="s">
        <v>2380</v>
      </c>
      <c r="T1663" t="s">
        <v>2383</v>
      </c>
      <c r="U1663" s="8">
        <v>45937.418564814812</v>
      </c>
      <c r="V1663" s="8">
        <v>45945.958333333336</v>
      </c>
      <c r="W1663">
        <v>1</v>
      </c>
      <c r="X1663">
        <v>2.9766782410000001</v>
      </c>
      <c r="Y1663" t="s">
        <v>3748</v>
      </c>
      <c r="Z1663" t="s">
        <v>4068</v>
      </c>
      <c r="AA1663" t="s">
        <v>4069</v>
      </c>
      <c r="AB1663" t="s">
        <v>1278</v>
      </c>
      <c r="AC1663" t="s">
        <v>4070</v>
      </c>
      <c r="AD1663" t="s">
        <v>2708</v>
      </c>
      <c r="AE1663">
        <v>1</v>
      </c>
      <c r="AO1663" t="s">
        <v>2712</v>
      </c>
      <c r="AP1663" t="s">
        <v>2401</v>
      </c>
    </row>
    <row r="1664" spans="1:42">
      <c r="A1664" t="s">
        <v>9256</v>
      </c>
      <c r="B1664" t="s">
        <v>2389</v>
      </c>
      <c r="C1664" t="s">
        <v>2691</v>
      </c>
      <c r="D1664" t="s">
        <v>2379</v>
      </c>
      <c r="E1664" t="s">
        <v>25</v>
      </c>
      <c r="F1664" t="s">
        <v>3747</v>
      </c>
      <c r="G1664" t="s">
        <v>25</v>
      </c>
      <c r="H1664" t="b">
        <v>1</v>
      </c>
      <c r="I1664" s="8">
        <v>45952.688368055555</v>
      </c>
      <c r="J1664" t="s">
        <v>2380</v>
      </c>
      <c r="K1664">
        <v>1204047</v>
      </c>
      <c r="L1664">
        <v>606836</v>
      </c>
      <c r="M1664" t="s">
        <v>2381</v>
      </c>
      <c r="N1664">
        <v>5</v>
      </c>
      <c r="Q1664" t="s">
        <v>2383</v>
      </c>
      <c r="R1664">
        <v>1</v>
      </c>
      <c r="S1664" t="s">
        <v>2380</v>
      </c>
      <c r="T1664" t="s">
        <v>2383</v>
      </c>
      <c r="U1664" s="8">
        <v>45937.418807870374</v>
      </c>
      <c r="V1664" s="8">
        <v>45958.958333333336</v>
      </c>
      <c r="W1664">
        <v>1</v>
      </c>
      <c r="X1664">
        <v>11.269560185</v>
      </c>
      <c r="Y1664" t="s">
        <v>3748</v>
      </c>
      <c r="Z1664" t="s">
        <v>9257</v>
      </c>
      <c r="AA1664" t="s">
        <v>4069</v>
      </c>
      <c r="AB1664" t="s">
        <v>1278</v>
      </c>
      <c r="AC1664" t="s">
        <v>9258</v>
      </c>
      <c r="AD1664" t="s">
        <v>2708</v>
      </c>
      <c r="AE1664">
        <v>1</v>
      </c>
      <c r="AH1664" t="s">
        <v>24</v>
      </c>
      <c r="AI1664" s="8">
        <v>45952.676678240743</v>
      </c>
      <c r="AK1664" t="s">
        <v>2719</v>
      </c>
      <c r="AL1664" t="s">
        <v>2719</v>
      </c>
      <c r="AO1664" t="s">
        <v>2712</v>
      </c>
      <c r="AP1664" t="s">
        <v>2401</v>
      </c>
    </row>
    <row r="1665" spans="1:42">
      <c r="A1665" t="s">
        <v>9423</v>
      </c>
      <c r="B1665" t="s">
        <v>2389</v>
      </c>
      <c r="C1665" t="s">
        <v>2390</v>
      </c>
      <c r="D1665" t="s">
        <v>2379</v>
      </c>
      <c r="E1665" t="s">
        <v>33</v>
      </c>
      <c r="F1665" t="s">
        <v>9421</v>
      </c>
      <c r="G1665" t="s">
        <v>33</v>
      </c>
      <c r="H1665" t="b">
        <v>1</v>
      </c>
      <c r="I1665" s="8">
        <v>45940.408078703702</v>
      </c>
      <c r="J1665" t="s">
        <v>2380</v>
      </c>
      <c r="L1665">
        <v>605704</v>
      </c>
      <c r="M1665" t="s">
        <v>2381</v>
      </c>
      <c r="P1665" t="s">
        <v>2394</v>
      </c>
      <c r="Q1665" t="s">
        <v>2383</v>
      </c>
      <c r="R1665">
        <v>1</v>
      </c>
      <c r="S1665" t="s">
        <v>2380</v>
      </c>
      <c r="T1665" t="s">
        <v>2383</v>
      </c>
      <c r="U1665" s="8">
        <v>45937.419699074075</v>
      </c>
      <c r="V1665" s="8">
        <v>45940.958333333336</v>
      </c>
      <c r="W1665">
        <v>1</v>
      </c>
      <c r="X1665">
        <v>2.9883796299999998</v>
      </c>
      <c r="Y1665" t="s">
        <v>9422</v>
      </c>
      <c r="Z1665" t="s">
        <v>9424</v>
      </c>
      <c r="AA1665" t="s">
        <v>9425</v>
      </c>
      <c r="AB1665" t="s">
        <v>1278</v>
      </c>
      <c r="AC1665" t="s">
        <v>9426</v>
      </c>
      <c r="AE1665">
        <v>1</v>
      </c>
      <c r="AO1665" t="s">
        <v>2957</v>
      </c>
      <c r="AP1665" t="s">
        <v>8931</v>
      </c>
    </row>
    <row r="1666" spans="1:42">
      <c r="A1666" t="s">
        <v>7518</v>
      </c>
      <c r="B1666" t="s">
        <v>2389</v>
      </c>
      <c r="C1666" t="s">
        <v>2415</v>
      </c>
      <c r="D1666" t="s">
        <v>2379</v>
      </c>
      <c r="E1666" t="s">
        <v>33</v>
      </c>
      <c r="F1666" t="s">
        <v>4644</v>
      </c>
      <c r="G1666" t="s">
        <v>33</v>
      </c>
      <c r="H1666" t="b">
        <v>1</v>
      </c>
      <c r="I1666" s="8">
        <v>45938.605879629627</v>
      </c>
      <c r="J1666" t="s">
        <v>2380</v>
      </c>
      <c r="K1666">
        <v>1200877</v>
      </c>
      <c r="L1666">
        <v>603773</v>
      </c>
      <c r="M1666" t="s">
        <v>2381</v>
      </c>
      <c r="P1666" t="s">
        <v>2394</v>
      </c>
      <c r="Q1666" t="s">
        <v>2383</v>
      </c>
      <c r="R1666">
        <v>1</v>
      </c>
      <c r="S1666" t="s">
        <v>2380</v>
      </c>
      <c r="T1666" t="s">
        <v>2383</v>
      </c>
      <c r="U1666" s="8">
        <v>45937.442442129628</v>
      </c>
      <c r="V1666" s="8">
        <v>45940.958333333336</v>
      </c>
      <c r="W1666">
        <v>1</v>
      </c>
      <c r="X1666">
        <v>1.1634374999999999</v>
      </c>
      <c r="Y1666" t="s">
        <v>3578</v>
      </c>
      <c r="Z1666" t="s">
        <v>7519</v>
      </c>
      <c r="AA1666" t="s">
        <v>4647</v>
      </c>
      <c r="AB1666" t="s">
        <v>1278</v>
      </c>
      <c r="AC1666" t="s">
        <v>7520</v>
      </c>
      <c r="AD1666" t="s">
        <v>2708</v>
      </c>
      <c r="AE1666">
        <v>1</v>
      </c>
      <c r="AO1666" t="s">
        <v>2957</v>
      </c>
      <c r="AP1666" t="s">
        <v>2401</v>
      </c>
    </row>
    <row r="1667" spans="1:42">
      <c r="A1667" t="s">
        <v>7521</v>
      </c>
      <c r="B1667" t="s">
        <v>2389</v>
      </c>
      <c r="C1667" t="s">
        <v>2415</v>
      </c>
      <c r="D1667" t="s">
        <v>2379</v>
      </c>
      <c r="E1667" t="s">
        <v>33</v>
      </c>
      <c r="F1667" t="s">
        <v>4644</v>
      </c>
      <c r="G1667" t="s">
        <v>33</v>
      </c>
      <c r="H1667" t="b">
        <v>1</v>
      </c>
      <c r="I1667" s="8">
        <v>45938.60255787037</v>
      </c>
      <c r="J1667" t="s">
        <v>2380</v>
      </c>
      <c r="K1667">
        <v>1200874</v>
      </c>
      <c r="L1667">
        <v>603773</v>
      </c>
      <c r="M1667" t="s">
        <v>2381</v>
      </c>
      <c r="P1667" t="s">
        <v>2394</v>
      </c>
      <c r="Q1667" t="s">
        <v>2383</v>
      </c>
      <c r="R1667">
        <v>1</v>
      </c>
      <c r="S1667" t="s">
        <v>2380</v>
      </c>
      <c r="T1667" t="s">
        <v>2383</v>
      </c>
      <c r="U1667" s="8">
        <v>45937.443692129629</v>
      </c>
      <c r="V1667" s="8">
        <v>45940.958333333336</v>
      </c>
      <c r="W1667">
        <v>1</v>
      </c>
      <c r="X1667">
        <v>1.1588657410000001</v>
      </c>
      <c r="Y1667" t="s">
        <v>3578</v>
      </c>
      <c r="Z1667" t="s">
        <v>7522</v>
      </c>
      <c r="AA1667" t="s">
        <v>4647</v>
      </c>
      <c r="AB1667" t="s">
        <v>1278</v>
      </c>
      <c r="AC1667" t="s">
        <v>7523</v>
      </c>
      <c r="AD1667" t="s">
        <v>2708</v>
      </c>
      <c r="AE1667">
        <v>1</v>
      </c>
      <c r="AO1667" t="s">
        <v>2957</v>
      </c>
      <c r="AP1667" t="s">
        <v>2401</v>
      </c>
    </row>
    <row r="1668" spans="1:42">
      <c r="A1668" t="s">
        <v>7524</v>
      </c>
      <c r="B1668" t="s">
        <v>2389</v>
      </c>
      <c r="C1668" t="s">
        <v>2415</v>
      </c>
      <c r="D1668" t="s">
        <v>2379</v>
      </c>
      <c r="E1668" t="s">
        <v>33</v>
      </c>
      <c r="F1668" t="s">
        <v>4644</v>
      </c>
      <c r="G1668" t="s">
        <v>33</v>
      </c>
      <c r="H1668" t="b">
        <v>1</v>
      </c>
      <c r="I1668" s="8">
        <v>45938.600243055553</v>
      </c>
      <c r="J1668" t="s">
        <v>2380</v>
      </c>
      <c r="K1668">
        <v>1200872</v>
      </c>
      <c r="L1668">
        <v>603773</v>
      </c>
      <c r="M1668" t="s">
        <v>2381</v>
      </c>
      <c r="P1668" t="s">
        <v>2394</v>
      </c>
      <c r="Q1668" t="s">
        <v>2383</v>
      </c>
      <c r="R1668">
        <v>1</v>
      </c>
      <c r="S1668" t="s">
        <v>2380</v>
      </c>
      <c r="T1668" t="s">
        <v>2383</v>
      </c>
      <c r="U1668" s="8">
        <v>45937.444710648146</v>
      </c>
      <c r="V1668" s="8">
        <v>45940.958333333336</v>
      </c>
      <c r="W1668">
        <v>1</v>
      </c>
      <c r="X1668">
        <v>1.1555324069999999</v>
      </c>
      <c r="Y1668" t="s">
        <v>3578</v>
      </c>
      <c r="Z1668" t="s">
        <v>7525</v>
      </c>
      <c r="AA1668" t="s">
        <v>4647</v>
      </c>
      <c r="AB1668" t="s">
        <v>1278</v>
      </c>
      <c r="AC1668" t="s">
        <v>7526</v>
      </c>
      <c r="AD1668" t="s">
        <v>2708</v>
      </c>
      <c r="AE1668">
        <v>1</v>
      </c>
      <c r="AO1668" t="s">
        <v>2957</v>
      </c>
      <c r="AP1668" t="s">
        <v>2401</v>
      </c>
    </row>
    <row r="1669" spans="1:42">
      <c r="A1669" t="s">
        <v>7121</v>
      </c>
      <c r="B1669" t="s">
        <v>2389</v>
      </c>
      <c r="C1669" t="s">
        <v>2390</v>
      </c>
      <c r="D1669" t="s">
        <v>2379</v>
      </c>
      <c r="E1669" t="s">
        <v>2416</v>
      </c>
      <c r="F1669" t="s">
        <v>2578</v>
      </c>
      <c r="G1669" t="s">
        <v>2416</v>
      </c>
      <c r="H1669" t="b">
        <v>1</v>
      </c>
      <c r="I1669" s="8">
        <v>45939.69189814815</v>
      </c>
      <c r="J1669" t="s">
        <v>2380</v>
      </c>
      <c r="K1669">
        <v>1201438</v>
      </c>
      <c r="L1669">
        <v>603233</v>
      </c>
      <c r="M1669" t="s">
        <v>2381</v>
      </c>
      <c r="P1669" t="s">
        <v>2394</v>
      </c>
      <c r="Q1669" t="s">
        <v>2383</v>
      </c>
      <c r="R1669">
        <v>1</v>
      </c>
      <c r="S1669" t="s">
        <v>2380</v>
      </c>
      <c r="T1669" t="s">
        <v>2383</v>
      </c>
      <c r="U1669" s="8">
        <v>45937.450729166667</v>
      </c>
      <c r="V1669" s="8">
        <v>45940.958333333336</v>
      </c>
      <c r="W1669">
        <v>1</v>
      </c>
      <c r="X1669">
        <v>2.2411689809999999</v>
      </c>
      <c r="Y1669" t="s">
        <v>2579</v>
      </c>
      <c r="Z1669" t="s">
        <v>7122</v>
      </c>
      <c r="AA1669" t="s">
        <v>6669</v>
      </c>
      <c r="AB1669" t="s">
        <v>1278</v>
      </c>
      <c r="AC1669" t="s">
        <v>7123</v>
      </c>
      <c r="AD1669" t="s">
        <v>2708</v>
      </c>
      <c r="AE1669">
        <v>1</v>
      </c>
      <c r="AO1669" t="s">
        <v>2388</v>
      </c>
      <c r="AP1669" t="s">
        <v>2401</v>
      </c>
    </row>
    <row r="1670" spans="1:42">
      <c r="A1670" t="s">
        <v>9484</v>
      </c>
      <c r="B1670" t="s">
        <v>2389</v>
      </c>
      <c r="C1670" t="s">
        <v>2378</v>
      </c>
      <c r="D1670" t="s">
        <v>2379</v>
      </c>
      <c r="E1670" t="s">
        <v>28</v>
      </c>
      <c r="F1670" t="s">
        <v>4676</v>
      </c>
      <c r="G1670" t="s">
        <v>28</v>
      </c>
      <c r="H1670" t="b">
        <v>1</v>
      </c>
      <c r="I1670" s="8">
        <v>45940.659155092595</v>
      </c>
      <c r="J1670" t="s">
        <v>2380</v>
      </c>
      <c r="K1670">
        <v>1201682</v>
      </c>
      <c r="L1670">
        <v>605685</v>
      </c>
      <c r="M1670" t="s">
        <v>2381</v>
      </c>
      <c r="N1670">
        <v>15</v>
      </c>
      <c r="P1670" t="s">
        <v>2427</v>
      </c>
      <c r="Q1670" t="s">
        <v>2383</v>
      </c>
      <c r="R1670">
        <v>1</v>
      </c>
      <c r="S1670" t="s">
        <v>2380</v>
      </c>
      <c r="T1670" t="s">
        <v>2383</v>
      </c>
      <c r="U1670" s="8">
        <v>45937.458692129629</v>
      </c>
      <c r="V1670" s="8">
        <v>45940.958333333336</v>
      </c>
      <c r="W1670">
        <v>1</v>
      </c>
      <c r="X1670">
        <v>3.2004629630000001</v>
      </c>
      <c r="Y1670" t="s">
        <v>4677</v>
      </c>
      <c r="Z1670" t="s">
        <v>9485</v>
      </c>
      <c r="AA1670" t="s">
        <v>9482</v>
      </c>
      <c r="AB1670" t="s">
        <v>1278</v>
      </c>
      <c r="AC1670" t="s">
        <v>9486</v>
      </c>
      <c r="AD1670" t="s">
        <v>2708</v>
      </c>
      <c r="AE1670">
        <v>1</v>
      </c>
      <c r="AO1670" t="s">
        <v>2957</v>
      </c>
      <c r="AP1670" t="s">
        <v>8931</v>
      </c>
    </row>
    <row r="1671" spans="1:42">
      <c r="A1671" t="s">
        <v>4020</v>
      </c>
      <c r="B1671" t="s">
        <v>2389</v>
      </c>
      <c r="C1671" t="s">
        <v>2438</v>
      </c>
      <c r="D1671" t="s">
        <v>2379</v>
      </c>
      <c r="E1671" t="s">
        <v>33</v>
      </c>
      <c r="F1671" t="s">
        <v>3747</v>
      </c>
      <c r="G1671" t="s">
        <v>33</v>
      </c>
      <c r="H1671" t="b">
        <v>1</v>
      </c>
      <c r="I1671" s="8">
        <v>45938.408645833333</v>
      </c>
      <c r="J1671" t="s">
        <v>2380</v>
      </c>
      <c r="K1671">
        <v>1200726</v>
      </c>
      <c r="L1671">
        <v>601299</v>
      </c>
      <c r="M1671" t="s">
        <v>2381</v>
      </c>
      <c r="P1671" t="s">
        <v>2394</v>
      </c>
      <c r="Q1671" t="s">
        <v>2383</v>
      </c>
      <c r="R1671">
        <v>1</v>
      </c>
      <c r="S1671" t="s">
        <v>2380</v>
      </c>
      <c r="T1671" t="s">
        <v>2383</v>
      </c>
      <c r="U1671" s="8">
        <v>45937.462743055556</v>
      </c>
      <c r="V1671" s="8">
        <v>45940.958333333336</v>
      </c>
      <c r="W1671">
        <v>1</v>
      </c>
      <c r="X1671">
        <v>0.945902778</v>
      </c>
      <c r="Y1671" t="s">
        <v>3748</v>
      </c>
      <c r="Z1671" t="s">
        <v>4021</v>
      </c>
      <c r="AA1671" t="s">
        <v>3758</v>
      </c>
      <c r="AB1671" t="s">
        <v>1278</v>
      </c>
      <c r="AC1671" t="s">
        <v>4022</v>
      </c>
      <c r="AD1671" t="s">
        <v>2708</v>
      </c>
      <c r="AE1671">
        <v>1</v>
      </c>
      <c r="AO1671" t="s">
        <v>2712</v>
      </c>
      <c r="AP1671" t="s">
        <v>2401</v>
      </c>
    </row>
    <row r="1672" spans="1:42">
      <c r="A1672" t="s">
        <v>597</v>
      </c>
      <c r="B1672" t="s">
        <v>2377</v>
      </c>
      <c r="C1672" t="s">
        <v>2390</v>
      </c>
      <c r="D1672" t="s">
        <v>2379</v>
      </c>
      <c r="E1672" t="s">
        <v>33</v>
      </c>
      <c r="F1672">
        <v>4390</v>
      </c>
      <c r="G1672" t="s">
        <v>33</v>
      </c>
      <c r="H1672" t="b">
        <v>1</v>
      </c>
      <c r="I1672" s="8">
        <v>45939.607777777775</v>
      </c>
      <c r="J1672" t="s">
        <v>2380</v>
      </c>
      <c r="L1672">
        <v>609743</v>
      </c>
      <c r="M1672" t="s">
        <v>2381</v>
      </c>
      <c r="Q1672" t="s">
        <v>2383</v>
      </c>
      <c r="R1672">
        <v>1</v>
      </c>
      <c r="S1672" t="s">
        <v>2380</v>
      </c>
      <c r="T1672" t="s">
        <v>2383</v>
      </c>
      <c r="U1672" s="8">
        <v>45937</v>
      </c>
      <c r="V1672" s="8">
        <v>45939.958333333336</v>
      </c>
      <c r="W1672">
        <v>1</v>
      </c>
      <c r="X1672">
        <v>2.607777778</v>
      </c>
      <c r="Y1672" t="s">
        <v>3428</v>
      </c>
      <c r="Z1672" t="s">
        <v>9041</v>
      </c>
      <c r="AA1672" t="s">
        <v>3431</v>
      </c>
      <c r="AB1672" t="s">
        <v>1278</v>
      </c>
      <c r="AC1672" t="s">
        <v>9042</v>
      </c>
      <c r="AD1672" t="s">
        <v>2708</v>
      </c>
      <c r="AE1672">
        <v>1</v>
      </c>
      <c r="AH1672" t="s">
        <v>4895</v>
      </c>
      <c r="AI1672" s="8">
        <v>45939.584583333337</v>
      </c>
      <c r="AK1672" t="s">
        <v>2719</v>
      </c>
      <c r="AL1672" t="s">
        <v>2719</v>
      </c>
      <c r="AO1672" t="s">
        <v>2388</v>
      </c>
      <c r="AP1672" t="s">
        <v>2401</v>
      </c>
    </row>
    <row r="1673" spans="1:42">
      <c r="A1673" t="s">
        <v>5365</v>
      </c>
      <c r="B1673" t="s">
        <v>2389</v>
      </c>
      <c r="C1673" t="s">
        <v>2390</v>
      </c>
      <c r="D1673" t="s">
        <v>2379</v>
      </c>
      <c r="E1673" t="s">
        <v>2452</v>
      </c>
      <c r="F1673" t="s">
        <v>2431</v>
      </c>
      <c r="G1673" t="s">
        <v>2452</v>
      </c>
      <c r="H1673" t="b">
        <v>1</v>
      </c>
      <c r="I1673" s="8">
        <v>45940.465289351851</v>
      </c>
      <c r="J1673" t="s">
        <v>2380</v>
      </c>
      <c r="K1673">
        <v>1201500</v>
      </c>
      <c r="L1673">
        <v>602925</v>
      </c>
      <c r="M1673" t="s">
        <v>2381</v>
      </c>
      <c r="P1673" t="s">
        <v>2394</v>
      </c>
      <c r="Q1673" t="s">
        <v>2383</v>
      </c>
      <c r="R1673">
        <v>1</v>
      </c>
      <c r="S1673" t="s">
        <v>2380</v>
      </c>
      <c r="T1673" t="s">
        <v>2383</v>
      </c>
      <c r="U1673" s="8">
        <v>45937.471956018519</v>
      </c>
      <c r="V1673" s="8">
        <v>45940.958333333336</v>
      </c>
      <c r="W1673">
        <v>1</v>
      </c>
      <c r="X1673">
        <v>2.9933333329999998</v>
      </c>
      <c r="Y1673" t="s">
        <v>2433</v>
      </c>
      <c r="Z1673" t="s">
        <v>5366</v>
      </c>
      <c r="AA1673" t="s">
        <v>5367</v>
      </c>
      <c r="AB1673" t="s">
        <v>1278</v>
      </c>
      <c r="AC1673" t="s">
        <v>5368</v>
      </c>
      <c r="AD1673" t="s">
        <v>2708</v>
      </c>
      <c r="AE1673">
        <v>1</v>
      </c>
      <c r="AO1673" t="s">
        <v>2408</v>
      </c>
      <c r="AP1673" t="s">
        <v>2401</v>
      </c>
    </row>
    <row r="1674" spans="1:42">
      <c r="A1674" t="s">
        <v>4023</v>
      </c>
      <c r="B1674" t="s">
        <v>2389</v>
      </c>
      <c r="C1674" t="s">
        <v>2438</v>
      </c>
      <c r="D1674" t="s">
        <v>2379</v>
      </c>
      <c r="E1674" t="s">
        <v>33</v>
      </c>
      <c r="F1674" t="s">
        <v>3747</v>
      </c>
      <c r="G1674" t="s">
        <v>33</v>
      </c>
      <c r="H1674" t="b">
        <v>1</v>
      </c>
      <c r="I1674" s="8">
        <v>45937.661851851852</v>
      </c>
      <c r="J1674" t="s">
        <v>2380</v>
      </c>
      <c r="K1674">
        <v>1200675</v>
      </c>
      <c r="L1674">
        <v>601299</v>
      </c>
      <c r="M1674" t="s">
        <v>2381</v>
      </c>
      <c r="P1674" t="s">
        <v>2394</v>
      </c>
      <c r="Q1674" t="s">
        <v>2383</v>
      </c>
      <c r="R1674">
        <v>1</v>
      </c>
      <c r="S1674" t="s">
        <v>2380</v>
      </c>
      <c r="T1674" t="s">
        <v>2383</v>
      </c>
      <c r="U1674" s="8">
        <v>45937.478368055556</v>
      </c>
      <c r="V1674" s="8">
        <v>45940.958333333336</v>
      </c>
      <c r="W1674">
        <v>1</v>
      </c>
      <c r="X1674">
        <v>0.183483796</v>
      </c>
      <c r="Y1674" t="s">
        <v>3748</v>
      </c>
      <c r="Z1674" t="s">
        <v>4024</v>
      </c>
      <c r="AA1674" t="s">
        <v>3758</v>
      </c>
      <c r="AB1674" t="s">
        <v>1278</v>
      </c>
      <c r="AC1674" t="s">
        <v>4025</v>
      </c>
      <c r="AD1674" t="s">
        <v>2708</v>
      </c>
      <c r="AE1674">
        <v>1</v>
      </c>
      <c r="AO1674" t="s">
        <v>2712</v>
      </c>
      <c r="AP1674" t="s">
        <v>2401</v>
      </c>
    </row>
    <row r="1675" spans="1:42">
      <c r="A1675" t="s">
        <v>7673</v>
      </c>
      <c r="B1675" t="s">
        <v>2389</v>
      </c>
      <c r="C1675" t="s">
        <v>2390</v>
      </c>
      <c r="D1675" t="s">
        <v>2379</v>
      </c>
      <c r="E1675" t="s">
        <v>2452</v>
      </c>
      <c r="F1675" t="s">
        <v>3570</v>
      </c>
      <c r="G1675" t="s">
        <v>2452</v>
      </c>
      <c r="H1675" t="b">
        <v>1</v>
      </c>
      <c r="I1675" s="8">
        <v>45940.436307870368</v>
      </c>
      <c r="J1675" t="s">
        <v>2380</v>
      </c>
      <c r="K1675">
        <v>1201488</v>
      </c>
      <c r="L1675">
        <v>608353</v>
      </c>
      <c r="M1675" t="s">
        <v>2381</v>
      </c>
      <c r="P1675" t="s">
        <v>2394</v>
      </c>
      <c r="Q1675" t="s">
        <v>2383</v>
      </c>
      <c r="R1675">
        <v>1</v>
      </c>
      <c r="S1675" t="s">
        <v>2380</v>
      </c>
      <c r="T1675" t="s">
        <v>2383</v>
      </c>
      <c r="U1675" s="8">
        <v>45937.514467592591</v>
      </c>
      <c r="V1675" s="8">
        <v>45945.958333333336</v>
      </c>
      <c r="W1675">
        <v>1</v>
      </c>
      <c r="X1675">
        <v>2.9218402779999999</v>
      </c>
      <c r="Y1675" t="s">
        <v>3572</v>
      </c>
      <c r="Z1675" t="s">
        <v>7674</v>
      </c>
      <c r="AA1675" t="s">
        <v>7675</v>
      </c>
      <c r="AB1675" t="s">
        <v>1278</v>
      </c>
      <c r="AC1675" t="s">
        <v>7676</v>
      </c>
      <c r="AD1675" t="s">
        <v>2708</v>
      </c>
      <c r="AE1675">
        <v>1</v>
      </c>
      <c r="AO1675" t="s">
        <v>2957</v>
      </c>
      <c r="AP1675" t="s">
        <v>2401</v>
      </c>
    </row>
    <row r="1676" spans="1:42">
      <c r="A1676" t="s">
        <v>6855</v>
      </c>
      <c r="B1676" t="s">
        <v>2389</v>
      </c>
      <c r="C1676" t="s">
        <v>2390</v>
      </c>
      <c r="D1676" t="s">
        <v>2379</v>
      </c>
      <c r="E1676" t="s">
        <v>2452</v>
      </c>
      <c r="F1676">
        <v>6397</v>
      </c>
      <c r="G1676" t="s">
        <v>2452</v>
      </c>
      <c r="H1676" t="b">
        <v>1</v>
      </c>
      <c r="I1676" s="8">
        <v>45940.457372685189</v>
      </c>
      <c r="J1676" t="s">
        <v>2380</v>
      </c>
      <c r="K1676">
        <v>1201499</v>
      </c>
      <c r="L1676">
        <v>606290</v>
      </c>
      <c r="M1676" t="s">
        <v>2381</v>
      </c>
      <c r="Q1676" t="s">
        <v>2383</v>
      </c>
      <c r="R1676">
        <v>1</v>
      </c>
      <c r="S1676" t="s">
        <v>2380</v>
      </c>
      <c r="T1676" t="s">
        <v>2383</v>
      </c>
      <c r="U1676" s="8">
        <v>45937.51840277778</v>
      </c>
      <c r="V1676" s="8">
        <v>45940.958333333336</v>
      </c>
      <c r="W1676">
        <v>1</v>
      </c>
      <c r="X1676">
        <v>2.9389699070000002</v>
      </c>
      <c r="Y1676" t="s">
        <v>2607</v>
      </c>
      <c r="Z1676" t="s">
        <v>6856</v>
      </c>
      <c r="AA1676" t="s">
        <v>6853</v>
      </c>
      <c r="AB1676" t="s">
        <v>1278</v>
      </c>
      <c r="AC1676" t="s">
        <v>6857</v>
      </c>
      <c r="AD1676" t="s">
        <v>2708</v>
      </c>
      <c r="AE1676">
        <v>1</v>
      </c>
      <c r="AO1676" t="s">
        <v>2388</v>
      </c>
      <c r="AP1676" t="s">
        <v>2401</v>
      </c>
    </row>
    <row r="1677" spans="1:42">
      <c r="A1677" t="s">
        <v>6858</v>
      </c>
      <c r="B1677" t="s">
        <v>2389</v>
      </c>
      <c r="C1677" t="s">
        <v>2390</v>
      </c>
      <c r="D1677" t="s">
        <v>2379</v>
      </c>
      <c r="E1677" t="s">
        <v>2452</v>
      </c>
      <c r="F1677">
        <v>6397</v>
      </c>
      <c r="G1677" t="s">
        <v>2452</v>
      </c>
      <c r="H1677" t="b">
        <v>1</v>
      </c>
      <c r="I1677" s="8">
        <v>45940.453958333332</v>
      </c>
      <c r="J1677" t="s">
        <v>2380</v>
      </c>
      <c r="K1677">
        <v>1201496</v>
      </c>
      <c r="L1677">
        <v>606290</v>
      </c>
      <c r="M1677" t="s">
        <v>2381</v>
      </c>
      <c r="Q1677" t="s">
        <v>2383</v>
      </c>
      <c r="R1677">
        <v>1</v>
      </c>
      <c r="S1677" t="s">
        <v>2380</v>
      </c>
      <c r="T1677" t="s">
        <v>2383</v>
      </c>
      <c r="U1677" s="8">
        <v>45937.51871527778</v>
      </c>
      <c r="V1677" s="8">
        <v>45940.958333333336</v>
      </c>
      <c r="W1677">
        <v>1</v>
      </c>
      <c r="X1677">
        <v>2.935243056</v>
      </c>
      <c r="Y1677" t="s">
        <v>2607</v>
      </c>
      <c r="Z1677" t="s">
        <v>6859</v>
      </c>
      <c r="AA1677" t="s">
        <v>6853</v>
      </c>
      <c r="AB1677" t="s">
        <v>1278</v>
      </c>
      <c r="AC1677" t="s">
        <v>6860</v>
      </c>
      <c r="AD1677" t="s">
        <v>2708</v>
      </c>
      <c r="AE1677">
        <v>1</v>
      </c>
      <c r="AO1677" t="s">
        <v>2388</v>
      </c>
      <c r="AP1677" t="s">
        <v>2401</v>
      </c>
    </row>
    <row r="1678" spans="1:42">
      <c r="A1678" t="s">
        <v>7260</v>
      </c>
      <c r="B1678" t="s">
        <v>2389</v>
      </c>
      <c r="C1678" t="s">
        <v>2378</v>
      </c>
      <c r="D1678" t="s">
        <v>2379</v>
      </c>
      <c r="E1678" t="s">
        <v>28</v>
      </c>
      <c r="F1678" t="s">
        <v>4604</v>
      </c>
      <c r="G1678" t="s">
        <v>28</v>
      </c>
      <c r="H1678" t="b">
        <v>1</v>
      </c>
      <c r="I1678" s="8">
        <v>45940.689375000002</v>
      </c>
      <c r="J1678" t="s">
        <v>2380</v>
      </c>
      <c r="K1678">
        <v>1201689</v>
      </c>
      <c r="L1678">
        <v>601741</v>
      </c>
      <c r="M1678" t="s">
        <v>2381</v>
      </c>
      <c r="N1678">
        <v>15</v>
      </c>
      <c r="P1678" t="s">
        <v>2394</v>
      </c>
      <c r="Q1678" t="s">
        <v>2383</v>
      </c>
      <c r="R1678">
        <v>1</v>
      </c>
      <c r="S1678" t="s">
        <v>2380</v>
      </c>
      <c r="T1678" t="s">
        <v>2383</v>
      </c>
      <c r="U1678" s="8">
        <v>45937.522118055553</v>
      </c>
      <c r="V1678" s="8">
        <v>45940.958333333336</v>
      </c>
      <c r="W1678">
        <v>1</v>
      </c>
      <c r="X1678">
        <v>3.167256944</v>
      </c>
      <c r="Y1678" t="s">
        <v>4605</v>
      </c>
      <c r="Z1678" t="s">
        <v>7261</v>
      </c>
      <c r="AA1678" t="s">
        <v>4608</v>
      </c>
      <c r="AB1678" t="s">
        <v>1278</v>
      </c>
      <c r="AC1678" t="s">
        <v>7262</v>
      </c>
      <c r="AD1678" t="s">
        <v>2708</v>
      </c>
      <c r="AE1678">
        <v>1</v>
      </c>
      <c r="AO1678" t="s">
        <v>2388</v>
      </c>
      <c r="AP1678" t="s">
        <v>2401</v>
      </c>
    </row>
    <row r="1679" spans="1:42">
      <c r="A1679" t="s">
        <v>9716</v>
      </c>
      <c r="B1679" t="s">
        <v>2389</v>
      </c>
      <c r="C1679" t="s">
        <v>2378</v>
      </c>
      <c r="D1679" t="s">
        <v>2379</v>
      </c>
      <c r="E1679" t="s">
        <v>28</v>
      </c>
      <c r="F1679" t="s">
        <v>3619</v>
      </c>
      <c r="G1679" t="s">
        <v>28</v>
      </c>
      <c r="H1679" t="b">
        <v>1</v>
      </c>
      <c r="I1679" s="8">
        <v>45940.709282407406</v>
      </c>
      <c r="J1679" t="s">
        <v>2380</v>
      </c>
      <c r="K1679">
        <v>1201691</v>
      </c>
      <c r="L1679">
        <v>609244</v>
      </c>
      <c r="M1679" t="s">
        <v>2381</v>
      </c>
      <c r="N1679">
        <v>15</v>
      </c>
      <c r="P1679" t="s">
        <v>2394</v>
      </c>
      <c r="Q1679" t="s">
        <v>2383</v>
      </c>
      <c r="R1679">
        <v>1</v>
      </c>
      <c r="S1679" t="s">
        <v>2380</v>
      </c>
      <c r="T1679" t="s">
        <v>2383</v>
      </c>
      <c r="U1679" s="8">
        <v>45937.542500000003</v>
      </c>
      <c r="V1679" s="8">
        <v>45940.958333333336</v>
      </c>
      <c r="W1679">
        <v>1</v>
      </c>
      <c r="X1679">
        <v>3.1667824069999999</v>
      </c>
      <c r="Y1679" t="s">
        <v>3620</v>
      </c>
      <c r="Z1679" t="s">
        <v>9717</v>
      </c>
      <c r="AA1679" t="s">
        <v>3623</v>
      </c>
      <c r="AB1679" t="s">
        <v>1278</v>
      </c>
      <c r="AC1679" t="s">
        <v>9718</v>
      </c>
      <c r="AD1679" t="s">
        <v>2708</v>
      </c>
      <c r="AE1679">
        <v>1</v>
      </c>
      <c r="AO1679" t="s">
        <v>3608</v>
      </c>
      <c r="AP1679" t="s">
        <v>2401</v>
      </c>
    </row>
    <row r="1680" spans="1:42">
      <c r="A1680" t="s">
        <v>7864</v>
      </c>
      <c r="B1680" t="s">
        <v>2389</v>
      </c>
      <c r="C1680" t="s">
        <v>2390</v>
      </c>
      <c r="D1680" t="s">
        <v>2379</v>
      </c>
      <c r="E1680" t="s">
        <v>2416</v>
      </c>
      <c r="F1680" t="s">
        <v>7752</v>
      </c>
      <c r="G1680" t="s">
        <v>2416</v>
      </c>
      <c r="H1680" t="b">
        <v>1</v>
      </c>
      <c r="I1680" s="8">
        <v>45940.464224537034</v>
      </c>
      <c r="J1680" t="s">
        <v>2380</v>
      </c>
      <c r="K1680">
        <v>1201501</v>
      </c>
      <c r="L1680">
        <v>609780</v>
      </c>
      <c r="M1680" t="s">
        <v>2381</v>
      </c>
      <c r="P1680" t="s">
        <v>2394</v>
      </c>
      <c r="Q1680" t="s">
        <v>2383</v>
      </c>
      <c r="R1680">
        <v>1</v>
      </c>
      <c r="S1680" t="s">
        <v>2380</v>
      </c>
      <c r="T1680" t="s">
        <v>2383</v>
      </c>
      <c r="U1680" s="8">
        <v>45937.553136574075</v>
      </c>
      <c r="V1680" s="8">
        <v>45940.958333333336</v>
      </c>
      <c r="W1680">
        <v>1</v>
      </c>
      <c r="X1680">
        <v>2.9110879629999999</v>
      </c>
      <c r="Y1680" t="s">
        <v>3521</v>
      </c>
      <c r="Z1680" t="s">
        <v>7865</v>
      </c>
      <c r="AA1680" t="s">
        <v>7755</v>
      </c>
      <c r="AB1680" t="s">
        <v>1278</v>
      </c>
      <c r="AC1680" t="s">
        <v>7866</v>
      </c>
      <c r="AD1680" t="s">
        <v>2708</v>
      </c>
      <c r="AE1680">
        <v>1</v>
      </c>
      <c r="AO1680" t="s">
        <v>2957</v>
      </c>
      <c r="AP1680" t="s">
        <v>2401</v>
      </c>
    </row>
    <row r="1681" spans="1:42">
      <c r="A1681" t="s">
        <v>6674</v>
      </c>
      <c r="B1681" t="s">
        <v>2389</v>
      </c>
      <c r="C1681" t="s">
        <v>2438</v>
      </c>
      <c r="D1681" t="s">
        <v>2379</v>
      </c>
      <c r="E1681" t="s">
        <v>33</v>
      </c>
      <c r="F1681">
        <v>4056</v>
      </c>
      <c r="G1681" t="s">
        <v>33</v>
      </c>
      <c r="H1681" t="b">
        <v>1</v>
      </c>
      <c r="I1681" s="8">
        <v>45938.442037037035</v>
      </c>
      <c r="J1681" t="s">
        <v>2380</v>
      </c>
      <c r="K1681">
        <v>1200738</v>
      </c>
      <c r="L1681">
        <v>603296</v>
      </c>
      <c r="M1681" t="s">
        <v>2381</v>
      </c>
      <c r="P1681" t="s">
        <v>2394</v>
      </c>
      <c r="Q1681" t="s">
        <v>2383</v>
      </c>
      <c r="R1681">
        <v>1</v>
      </c>
      <c r="S1681" t="s">
        <v>2380</v>
      </c>
      <c r="T1681" t="s">
        <v>2383</v>
      </c>
      <c r="U1681" s="8">
        <v>45937.596076388887</v>
      </c>
      <c r="V1681" s="8">
        <v>45940.958333333336</v>
      </c>
      <c r="W1681">
        <v>1</v>
      </c>
      <c r="X1681">
        <v>0.84596064800000004</v>
      </c>
      <c r="Y1681" t="s">
        <v>3379</v>
      </c>
      <c r="Z1681" t="s">
        <v>6675</v>
      </c>
      <c r="AA1681" t="s">
        <v>6568</v>
      </c>
      <c r="AB1681" t="s">
        <v>1278</v>
      </c>
      <c r="AC1681" t="s">
        <v>6676</v>
      </c>
      <c r="AD1681" t="s">
        <v>2708</v>
      </c>
      <c r="AE1681">
        <v>1</v>
      </c>
      <c r="AO1681" t="s">
        <v>2388</v>
      </c>
      <c r="AP1681" t="s">
        <v>2401</v>
      </c>
    </row>
    <row r="1682" spans="1:42">
      <c r="A1682" t="s">
        <v>6677</v>
      </c>
      <c r="B1682" t="s">
        <v>2389</v>
      </c>
      <c r="C1682" t="s">
        <v>2438</v>
      </c>
      <c r="D1682" t="s">
        <v>2379</v>
      </c>
      <c r="E1682" t="s">
        <v>33</v>
      </c>
      <c r="F1682">
        <v>4056</v>
      </c>
      <c r="G1682" t="s">
        <v>33</v>
      </c>
      <c r="H1682" t="b">
        <v>1</v>
      </c>
      <c r="I1682" s="8">
        <v>45938.440520833334</v>
      </c>
      <c r="J1682" t="s">
        <v>2380</v>
      </c>
      <c r="K1682">
        <v>1200737</v>
      </c>
      <c r="L1682">
        <v>603296</v>
      </c>
      <c r="M1682" t="s">
        <v>2381</v>
      </c>
      <c r="P1682" t="s">
        <v>2394</v>
      </c>
      <c r="Q1682" t="s">
        <v>2383</v>
      </c>
      <c r="R1682">
        <v>1</v>
      </c>
      <c r="S1682" t="s">
        <v>2380</v>
      </c>
      <c r="T1682" t="s">
        <v>2383</v>
      </c>
      <c r="U1682" s="8">
        <v>45937.600254629629</v>
      </c>
      <c r="V1682" s="8">
        <v>45940.958333333336</v>
      </c>
      <c r="W1682">
        <v>1</v>
      </c>
      <c r="X1682">
        <v>0.84026620399999996</v>
      </c>
      <c r="Y1682" t="s">
        <v>3379</v>
      </c>
      <c r="Z1682" t="s">
        <v>6678</v>
      </c>
      <c r="AA1682" t="s">
        <v>6568</v>
      </c>
      <c r="AB1682" t="s">
        <v>1278</v>
      </c>
      <c r="AC1682" t="s">
        <v>6679</v>
      </c>
      <c r="AD1682" t="s">
        <v>2708</v>
      </c>
      <c r="AE1682">
        <v>1</v>
      </c>
      <c r="AO1682" t="s">
        <v>2388</v>
      </c>
      <c r="AP1682" t="s">
        <v>2401</v>
      </c>
    </row>
    <row r="1683" spans="1:42">
      <c r="A1683" t="s">
        <v>7216</v>
      </c>
      <c r="B1683" t="s">
        <v>2389</v>
      </c>
      <c r="C1683" t="s">
        <v>2443</v>
      </c>
      <c r="D1683" t="s">
        <v>2443</v>
      </c>
      <c r="E1683" t="s">
        <v>28</v>
      </c>
      <c r="F1683" t="s">
        <v>3193</v>
      </c>
      <c r="G1683" t="s">
        <v>28</v>
      </c>
      <c r="H1683" t="b">
        <v>1</v>
      </c>
      <c r="I1683" s="8">
        <v>45946.468310185184</v>
      </c>
      <c r="J1683" t="s">
        <v>2380</v>
      </c>
      <c r="K1683">
        <v>1202725</v>
      </c>
      <c r="L1683">
        <v>603772</v>
      </c>
      <c r="M1683" t="s">
        <v>2381</v>
      </c>
      <c r="N1683">
        <v>15</v>
      </c>
      <c r="Q1683" t="s">
        <v>2383</v>
      </c>
      <c r="R1683">
        <v>1</v>
      </c>
      <c r="S1683" t="s">
        <v>2380</v>
      </c>
      <c r="T1683" t="s">
        <v>2383</v>
      </c>
      <c r="U1683" s="8">
        <v>45937.613078703704</v>
      </c>
      <c r="V1683" s="8">
        <v>45945.958333333336</v>
      </c>
      <c r="W1683">
        <v>1</v>
      </c>
      <c r="X1683">
        <v>6.8552314809999997</v>
      </c>
      <c r="Y1683" t="s">
        <v>3194</v>
      </c>
      <c r="Z1683" t="s">
        <v>7217</v>
      </c>
      <c r="AA1683" t="s">
        <v>3197</v>
      </c>
      <c r="AB1683" t="s">
        <v>1278</v>
      </c>
      <c r="AC1683" t="s">
        <v>7218</v>
      </c>
      <c r="AD1683" t="s">
        <v>2708</v>
      </c>
      <c r="AE1683">
        <v>1</v>
      </c>
      <c r="AO1683" t="s">
        <v>2388</v>
      </c>
      <c r="AP1683" t="s">
        <v>2401</v>
      </c>
    </row>
    <row r="1684" spans="1:42">
      <c r="A1684" t="s">
        <v>8219</v>
      </c>
      <c r="B1684" t="s">
        <v>2389</v>
      </c>
      <c r="C1684" t="s">
        <v>2378</v>
      </c>
      <c r="D1684" t="s">
        <v>2379</v>
      </c>
      <c r="E1684" t="s">
        <v>2601</v>
      </c>
      <c r="F1684" t="s">
        <v>8218</v>
      </c>
      <c r="G1684" t="s">
        <v>2601</v>
      </c>
      <c r="H1684" t="b">
        <v>1</v>
      </c>
      <c r="I1684" s="8">
        <v>45940.649236111109</v>
      </c>
      <c r="J1684" t="s">
        <v>2380</v>
      </c>
      <c r="K1684">
        <v>1201680</v>
      </c>
      <c r="L1684">
        <v>604303</v>
      </c>
      <c r="M1684" t="s">
        <v>2381</v>
      </c>
      <c r="P1684" t="s">
        <v>2394</v>
      </c>
      <c r="Q1684" t="s">
        <v>2395</v>
      </c>
      <c r="R1684">
        <v>1</v>
      </c>
      <c r="S1684" t="s">
        <v>2380</v>
      </c>
      <c r="T1684" t="s">
        <v>2383</v>
      </c>
      <c r="U1684" s="8">
        <v>45937.613622685189</v>
      </c>
      <c r="V1684" s="8">
        <v>45940.958333333336</v>
      </c>
      <c r="W1684">
        <v>1</v>
      </c>
      <c r="X1684">
        <v>3.0356134259999998</v>
      </c>
      <c r="Y1684" t="s">
        <v>3262</v>
      </c>
      <c r="Z1684" t="s">
        <v>8220</v>
      </c>
      <c r="AA1684" t="s">
        <v>8221</v>
      </c>
      <c r="AB1684" t="s">
        <v>1278</v>
      </c>
      <c r="AC1684" t="s">
        <v>8222</v>
      </c>
      <c r="AD1684" t="s">
        <v>2708</v>
      </c>
      <c r="AE1684">
        <v>1</v>
      </c>
      <c r="AO1684" t="s">
        <v>4137</v>
      </c>
      <c r="AP1684" t="s">
        <v>2401</v>
      </c>
    </row>
    <row r="1685" spans="1:42">
      <c r="A1685" t="s">
        <v>7219</v>
      </c>
      <c r="B1685" t="s">
        <v>2389</v>
      </c>
      <c r="C1685" t="s">
        <v>2415</v>
      </c>
      <c r="D1685" t="s">
        <v>2379</v>
      </c>
      <c r="E1685" t="s">
        <v>28</v>
      </c>
      <c r="F1685" t="s">
        <v>3193</v>
      </c>
      <c r="G1685" t="s">
        <v>28</v>
      </c>
      <c r="H1685" t="b">
        <v>1</v>
      </c>
      <c r="I1685" s="8">
        <v>45939.606956018521</v>
      </c>
      <c r="J1685" t="s">
        <v>2380</v>
      </c>
      <c r="K1685">
        <v>1201349</v>
      </c>
      <c r="L1685">
        <v>603772</v>
      </c>
      <c r="M1685" t="s">
        <v>2381</v>
      </c>
      <c r="N1685">
        <v>15</v>
      </c>
      <c r="Q1685" t="s">
        <v>2383</v>
      </c>
      <c r="R1685">
        <v>1</v>
      </c>
      <c r="S1685" t="s">
        <v>2380</v>
      </c>
      <c r="T1685" t="s">
        <v>2383</v>
      </c>
      <c r="U1685" s="8">
        <v>45937.613645833335</v>
      </c>
      <c r="V1685" s="8">
        <v>45940.958333333336</v>
      </c>
      <c r="W1685">
        <v>1</v>
      </c>
      <c r="X1685">
        <v>1.9933101849999999</v>
      </c>
      <c r="Y1685" t="s">
        <v>3194</v>
      </c>
      <c r="Z1685" t="s">
        <v>7220</v>
      </c>
      <c r="AA1685" t="s">
        <v>3197</v>
      </c>
      <c r="AB1685" t="s">
        <v>1278</v>
      </c>
      <c r="AC1685" t="s">
        <v>7221</v>
      </c>
      <c r="AD1685" t="s">
        <v>2708</v>
      </c>
      <c r="AE1685">
        <v>1</v>
      </c>
      <c r="AO1685" t="s">
        <v>2388</v>
      </c>
      <c r="AP1685" t="s">
        <v>2401</v>
      </c>
    </row>
    <row r="1686" spans="1:42">
      <c r="A1686" t="s">
        <v>7222</v>
      </c>
      <c r="B1686" t="s">
        <v>2389</v>
      </c>
      <c r="C1686" t="s">
        <v>2390</v>
      </c>
      <c r="D1686" t="s">
        <v>2379</v>
      </c>
      <c r="E1686" t="s">
        <v>28</v>
      </c>
      <c r="F1686" t="s">
        <v>3193</v>
      </c>
      <c r="G1686" t="s">
        <v>28</v>
      </c>
      <c r="H1686" t="b">
        <v>1</v>
      </c>
      <c r="I1686" s="8">
        <v>45940.544953703706</v>
      </c>
      <c r="J1686" t="s">
        <v>2380</v>
      </c>
      <c r="K1686">
        <v>1201632</v>
      </c>
      <c r="L1686">
        <v>603772</v>
      </c>
      <c r="M1686" t="s">
        <v>2381</v>
      </c>
      <c r="N1686">
        <v>15</v>
      </c>
      <c r="Q1686" t="s">
        <v>2383</v>
      </c>
      <c r="R1686">
        <v>1</v>
      </c>
      <c r="S1686" t="s">
        <v>2380</v>
      </c>
      <c r="T1686" t="s">
        <v>2383</v>
      </c>
      <c r="U1686" s="8">
        <v>45937.614421296297</v>
      </c>
      <c r="V1686" s="8">
        <v>45940.958333333336</v>
      </c>
      <c r="W1686">
        <v>1</v>
      </c>
      <c r="X1686">
        <v>2.9305324069999998</v>
      </c>
      <c r="Y1686" t="s">
        <v>3194</v>
      </c>
      <c r="Z1686" t="s">
        <v>7223</v>
      </c>
      <c r="AA1686" t="s">
        <v>3197</v>
      </c>
      <c r="AB1686" t="s">
        <v>1278</v>
      </c>
      <c r="AC1686" t="s">
        <v>7224</v>
      </c>
      <c r="AD1686" t="s">
        <v>2708</v>
      </c>
      <c r="AE1686">
        <v>1</v>
      </c>
      <c r="AO1686" t="s">
        <v>2388</v>
      </c>
      <c r="AP1686" t="s">
        <v>2401</v>
      </c>
    </row>
    <row r="1687" spans="1:42">
      <c r="A1687" t="s">
        <v>7225</v>
      </c>
      <c r="B1687" t="s">
        <v>2389</v>
      </c>
      <c r="C1687" t="s">
        <v>2378</v>
      </c>
      <c r="D1687" t="s">
        <v>2379</v>
      </c>
      <c r="E1687" t="s">
        <v>28</v>
      </c>
      <c r="F1687" t="s">
        <v>3193</v>
      </c>
      <c r="G1687" t="s">
        <v>28</v>
      </c>
      <c r="H1687" t="b">
        <v>1</v>
      </c>
      <c r="I1687" s="8">
        <v>45940.616203703707</v>
      </c>
      <c r="J1687" t="s">
        <v>2380</v>
      </c>
      <c r="K1687">
        <v>1201654</v>
      </c>
      <c r="L1687">
        <v>603772</v>
      </c>
      <c r="M1687" t="s">
        <v>2381</v>
      </c>
      <c r="N1687">
        <v>15</v>
      </c>
      <c r="Q1687" t="s">
        <v>2383</v>
      </c>
      <c r="R1687">
        <v>1</v>
      </c>
      <c r="S1687" t="s">
        <v>2380</v>
      </c>
      <c r="T1687" t="s">
        <v>2383</v>
      </c>
      <c r="U1687" s="8">
        <v>45937.614814814813</v>
      </c>
      <c r="V1687" s="8">
        <v>45940.958333333336</v>
      </c>
      <c r="W1687">
        <v>1</v>
      </c>
      <c r="X1687">
        <v>3.0013888889999998</v>
      </c>
      <c r="Y1687" t="s">
        <v>3194</v>
      </c>
      <c r="Z1687" t="s">
        <v>7226</v>
      </c>
      <c r="AA1687" t="s">
        <v>3197</v>
      </c>
      <c r="AB1687" t="s">
        <v>1278</v>
      </c>
      <c r="AC1687" t="s">
        <v>7227</v>
      </c>
      <c r="AD1687" t="s">
        <v>2708</v>
      </c>
      <c r="AE1687">
        <v>1</v>
      </c>
      <c r="AO1687" t="s">
        <v>2388</v>
      </c>
      <c r="AP1687" t="s">
        <v>2401</v>
      </c>
    </row>
    <row r="1688" spans="1:42">
      <c r="A1688" t="s">
        <v>2882</v>
      </c>
      <c r="B1688" t="s">
        <v>2389</v>
      </c>
      <c r="C1688" t="s">
        <v>2390</v>
      </c>
      <c r="D1688" t="s">
        <v>2379</v>
      </c>
      <c r="E1688" t="s">
        <v>33</v>
      </c>
      <c r="F1688" t="s">
        <v>2541</v>
      </c>
      <c r="G1688" t="s">
        <v>33</v>
      </c>
      <c r="H1688" t="b">
        <v>1</v>
      </c>
      <c r="I1688" s="8">
        <v>45940.606666666667</v>
      </c>
      <c r="J1688" t="s">
        <v>2380</v>
      </c>
      <c r="L1688">
        <v>601441</v>
      </c>
      <c r="M1688" t="s">
        <v>2381</v>
      </c>
      <c r="P1688" t="s">
        <v>2394</v>
      </c>
      <c r="Q1688" t="s">
        <v>2383</v>
      </c>
      <c r="R1688">
        <v>1</v>
      </c>
      <c r="S1688" t="s">
        <v>2380</v>
      </c>
      <c r="T1688" t="s">
        <v>2383</v>
      </c>
      <c r="U1688" s="8">
        <v>45937.615104166667</v>
      </c>
      <c r="V1688" s="8">
        <v>45940.958333333336</v>
      </c>
      <c r="W1688">
        <v>1</v>
      </c>
      <c r="X1688">
        <v>2.9915625000000001</v>
      </c>
      <c r="Y1688" t="s">
        <v>2542</v>
      </c>
      <c r="Z1688" t="s">
        <v>2883</v>
      </c>
      <c r="AA1688" t="s">
        <v>2884</v>
      </c>
      <c r="AB1688" t="s">
        <v>1278</v>
      </c>
      <c r="AC1688" t="s">
        <v>2885</v>
      </c>
      <c r="AE1688">
        <v>1</v>
      </c>
      <c r="AO1688" t="s">
        <v>2547</v>
      </c>
      <c r="AP1688" t="s">
        <v>2401</v>
      </c>
    </row>
    <row r="1689" spans="1:42">
      <c r="A1689" t="s">
        <v>7228</v>
      </c>
      <c r="B1689" t="s">
        <v>2389</v>
      </c>
      <c r="C1689" t="s">
        <v>2378</v>
      </c>
      <c r="D1689" t="s">
        <v>2379</v>
      </c>
      <c r="E1689" t="s">
        <v>28</v>
      </c>
      <c r="F1689" t="s">
        <v>3193</v>
      </c>
      <c r="G1689" t="s">
        <v>28</v>
      </c>
      <c r="H1689" t="b">
        <v>1</v>
      </c>
      <c r="I1689" s="8">
        <v>45940.620763888888</v>
      </c>
      <c r="J1689" t="s">
        <v>2380</v>
      </c>
      <c r="K1689">
        <v>1201657</v>
      </c>
      <c r="L1689">
        <v>603772</v>
      </c>
      <c r="M1689" t="s">
        <v>2381</v>
      </c>
      <c r="N1689">
        <v>15</v>
      </c>
      <c r="Q1689" t="s">
        <v>2383</v>
      </c>
      <c r="R1689">
        <v>1</v>
      </c>
      <c r="S1689" t="s">
        <v>2380</v>
      </c>
      <c r="T1689" t="s">
        <v>2383</v>
      </c>
      <c r="U1689" s="8">
        <v>45937.615243055552</v>
      </c>
      <c r="V1689" s="8">
        <v>45940.958333333336</v>
      </c>
      <c r="W1689">
        <v>1</v>
      </c>
      <c r="X1689">
        <v>3.0055208329999998</v>
      </c>
      <c r="Y1689" t="s">
        <v>3194</v>
      </c>
      <c r="Z1689" t="s">
        <v>7229</v>
      </c>
      <c r="AA1689" t="s">
        <v>3197</v>
      </c>
      <c r="AB1689" t="s">
        <v>1278</v>
      </c>
      <c r="AC1689" t="s">
        <v>7230</v>
      </c>
      <c r="AD1689" t="s">
        <v>2708</v>
      </c>
      <c r="AE1689">
        <v>1</v>
      </c>
      <c r="AO1689" t="s">
        <v>2388</v>
      </c>
      <c r="AP1689" t="s">
        <v>2401</v>
      </c>
    </row>
    <row r="1690" spans="1:42">
      <c r="A1690" t="s">
        <v>7231</v>
      </c>
      <c r="B1690" t="s">
        <v>2389</v>
      </c>
      <c r="C1690" t="s">
        <v>2378</v>
      </c>
      <c r="D1690" t="s">
        <v>2379</v>
      </c>
      <c r="E1690" t="s">
        <v>28</v>
      </c>
      <c r="F1690" t="s">
        <v>3193</v>
      </c>
      <c r="G1690" t="s">
        <v>28</v>
      </c>
      <c r="H1690" t="b">
        <v>1</v>
      </c>
      <c r="I1690" s="8">
        <v>45940.63003472222</v>
      </c>
      <c r="J1690" t="s">
        <v>2380</v>
      </c>
      <c r="K1690">
        <v>1201659</v>
      </c>
      <c r="L1690">
        <v>603772</v>
      </c>
      <c r="M1690" t="s">
        <v>2381</v>
      </c>
      <c r="N1690">
        <v>15</v>
      </c>
      <c r="Q1690" t="s">
        <v>2383</v>
      </c>
      <c r="R1690">
        <v>1</v>
      </c>
      <c r="S1690" t="s">
        <v>2380</v>
      </c>
      <c r="T1690" t="s">
        <v>2383</v>
      </c>
      <c r="U1690" s="8">
        <v>45937.615682870368</v>
      </c>
      <c r="V1690" s="8">
        <v>45940.958333333336</v>
      </c>
      <c r="W1690">
        <v>1</v>
      </c>
      <c r="X1690">
        <v>3.0143518519999999</v>
      </c>
      <c r="Y1690" t="s">
        <v>3194</v>
      </c>
      <c r="Z1690" t="s">
        <v>7232</v>
      </c>
      <c r="AA1690" t="s">
        <v>3197</v>
      </c>
      <c r="AB1690" t="s">
        <v>1278</v>
      </c>
      <c r="AC1690" t="s">
        <v>7233</v>
      </c>
      <c r="AD1690" t="s">
        <v>2708</v>
      </c>
      <c r="AE1690">
        <v>1</v>
      </c>
      <c r="AO1690" t="s">
        <v>2388</v>
      </c>
      <c r="AP1690" t="s">
        <v>2401</v>
      </c>
    </row>
    <row r="1691" spans="1:42">
      <c r="A1691" t="s">
        <v>7234</v>
      </c>
      <c r="B1691" t="s">
        <v>2389</v>
      </c>
      <c r="C1691" t="s">
        <v>2378</v>
      </c>
      <c r="D1691" t="s">
        <v>2379</v>
      </c>
      <c r="E1691" t="s">
        <v>28</v>
      </c>
      <c r="F1691" t="s">
        <v>3193</v>
      </c>
      <c r="G1691" t="s">
        <v>28</v>
      </c>
      <c r="H1691" t="b">
        <v>1</v>
      </c>
      <c r="I1691" s="8">
        <v>45940.63380787037</v>
      </c>
      <c r="J1691" t="s">
        <v>2380</v>
      </c>
      <c r="K1691">
        <v>1201661</v>
      </c>
      <c r="L1691">
        <v>603772</v>
      </c>
      <c r="M1691" t="s">
        <v>2381</v>
      </c>
      <c r="N1691">
        <v>15</v>
      </c>
      <c r="Q1691" t="s">
        <v>2383</v>
      </c>
      <c r="R1691">
        <v>1</v>
      </c>
      <c r="S1691" t="s">
        <v>2380</v>
      </c>
      <c r="T1691" t="s">
        <v>2383</v>
      </c>
      <c r="U1691" s="8">
        <v>45937.616053240738</v>
      </c>
      <c r="V1691" s="8">
        <v>45940.958333333336</v>
      </c>
      <c r="W1691">
        <v>1</v>
      </c>
      <c r="X1691">
        <v>3.0177546300000002</v>
      </c>
      <c r="Y1691" t="s">
        <v>3194</v>
      </c>
      <c r="Z1691" t="s">
        <v>7235</v>
      </c>
      <c r="AA1691" t="s">
        <v>3197</v>
      </c>
      <c r="AB1691" t="s">
        <v>1278</v>
      </c>
      <c r="AC1691" t="s">
        <v>7236</v>
      </c>
      <c r="AD1691" t="s">
        <v>2708</v>
      </c>
      <c r="AE1691">
        <v>1</v>
      </c>
      <c r="AO1691" t="s">
        <v>2388</v>
      </c>
      <c r="AP1691" t="s">
        <v>2401</v>
      </c>
    </row>
    <row r="1692" spans="1:42">
      <c r="A1692" t="s">
        <v>6808</v>
      </c>
      <c r="B1692" t="s">
        <v>2389</v>
      </c>
      <c r="C1692" t="s">
        <v>2415</v>
      </c>
      <c r="D1692" t="s">
        <v>2379</v>
      </c>
      <c r="E1692" t="s">
        <v>2601</v>
      </c>
      <c r="F1692">
        <v>4056</v>
      </c>
      <c r="G1692" t="s">
        <v>2601</v>
      </c>
      <c r="H1692" t="b">
        <v>1</v>
      </c>
      <c r="I1692" s="8">
        <v>45939.546041666668</v>
      </c>
      <c r="J1692" t="s">
        <v>2380</v>
      </c>
      <c r="K1692">
        <v>1201327</v>
      </c>
      <c r="L1692">
        <v>603296</v>
      </c>
      <c r="M1692" t="s">
        <v>2381</v>
      </c>
      <c r="P1692" t="s">
        <v>2394</v>
      </c>
      <c r="Q1692" t="s">
        <v>2383</v>
      </c>
      <c r="R1692">
        <v>1</v>
      </c>
      <c r="S1692" t="s">
        <v>2380</v>
      </c>
      <c r="T1692" t="s">
        <v>2383</v>
      </c>
      <c r="U1692" s="8">
        <v>45937.616493055553</v>
      </c>
      <c r="V1692" s="8">
        <v>45940.958333333336</v>
      </c>
      <c r="W1692">
        <v>1</v>
      </c>
      <c r="X1692">
        <v>1.929548611</v>
      </c>
      <c r="Y1692" t="s">
        <v>3379</v>
      </c>
      <c r="Z1692" t="s">
        <v>6809</v>
      </c>
      <c r="AA1692" t="s">
        <v>6568</v>
      </c>
      <c r="AB1692" t="s">
        <v>1278</v>
      </c>
      <c r="AC1692" t="s">
        <v>6810</v>
      </c>
      <c r="AD1692" t="s">
        <v>2708</v>
      </c>
      <c r="AE1692">
        <v>1</v>
      </c>
      <c r="AO1692" t="s">
        <v>2388</v>
      </c>
      <c r="AP1692" t="s">
        <v>2401</v>
      </c>
    </row>
    <row r="1693" spans="1:42">
      <c r="A1693" t="s">
        <v>7237</v>
      </c>
      <c r="B1693" t="s">
        <v>2389</v>
      </c>
      <c r="C1693" t="s">
        <v>2378</v>
      </c>
      <c r="D1693" t="s">
        <v>2379</v>
      </c>
      <c r="E1693" t="s">
        <v>28</v>
      </c>
      <c r="F1693" t="s">
        <v>3193</v>
      </c>
      <c r="G1693" t="s">
        <v>28</v>
      </c>
      <c r="H1693" t="b">
        <v>1</v>
      </c>
      <c r="I1693" s="8">
        <v>45940.704016203701</v>
      </c>
      <c r="J1693" t="s">
        <v>2380</v>
      </c>
      <c r="K1693">
        <v>1201690</v>
      </c>
      <c r="L1693">
        <v>603772</v>
      </c>
      <c r="M1693" t="s">
        <v>2381</v>
      </c>
      <c r="N1693">
        <v>15</v>
      </c>
      <c r="Q1693" t="s">
        <v>2383</v>
      </c>
      <c r="R1693">
        <v>1</v>
      </c>
      <c r="S1693" t="s">
        <v>2380</v>
      </c>
      <c r="T1693" t="s">
        <v>2383</v>
      </c>
      <c r="U1693" s="8">
        <v>45937.616875</v>
      </c>
      <c r="V1693" s="8">
        <v>45940.958333333336</v>
      </c>
      <c r="W1693">
        <v>1</v>
      </c>
      <c r="X1693">
        <v>3.0871412039999999</v>
      </c>
      <c r="Y1693" t="s">
        <v>3194</v>
      </c>
      <c r="Z1693" t="s">
        <v>7238</v>
      </c>
      <c r="AA1693" t="s">
        <v>3197</v>
      </c>
      <c r="AB1693" t="s">
        <v>1278</v>
      </c>
      <c r="AC1693" t="s">
        <v>7239</v>
      </c>
      <c r="AD1693" t="s">
        <v>2708</v>
      </c>
      <c r="AE1693">
        <v>1</v>
      </c>
      <c r="AO1693" t="s">
        <v>2388</v>
      </c>
      <c r="AP1693" t="s">
        <v>2401</v>
      </c>
    </row>
    <row r="1694" spans="1:42">
      <c r="A1694" t="s">
        <v>7514</v>
      </c>
      <c r="B1694" t="s">
        <v>2389</v>
      </c>
      <c r="C1694" t="s">
        <v>2438</v>
      </c>
      <c r="D1694" t="s">
        <v>2379</v>
      </c>
      <c r="E1694" t="s">
        <v>33</v>
      </c>
      <c r="F1694" t="s">
        <v>7055</v>
      </c>
      <c r="G1694" t="s">
        <v>33</v>
      </c>
      <c r="H1694" t="b">
        <v>1</v>
      </c>
      <c r="I1694" s="8">
        <v>45937.622349537036</v>
      </c>
      <c r="J1694" t="s">
        <v>2380</v>
      </c>
      <c r="K1694">
        <v>1200547</v>
      </c>
      <c r="L1694">
        <v>608979</v>
      </c>
      <c r="M1694" t="s">
        <v>2381</v>
      </c>
      <c r="Q1694" t="s">
        <v>2383</v>
      </c>
      <c r="R1694">
        <v>1</v>
      </c>
      <c r="S1694" t="s">
        <v>2380</v>
      </c>
      <c r="T1694" t="s">
        <v>2383</v>
      </c>
      <c r="U1694" s="8">
        <v>45937.618055555555</v>
      </c>
      <c r="V1694" s="8">
        <v>45940.958333333336</v>
      </c>
      <c r="W1694">
        <v>1</v>
      </c>
      <c r="X1694">
        <v>4.2939809999999997E-3</v>
      </c>
      <c r="Y1694" t="s">
        <v>7056</v>
      </c>
      <c r="Z1694" t="s">
        <v>7515</v>
      </c>
      <c r="AA1694" t="s">
        <v>7516</v>
      </c>
      <c r="AB1694" t="s">
        <v>1278</v>
      </c>
      <c r="AC1694" t="s">
        <v>7517</v>
      </c>
      <c r="AD1694" t="s">
        <v>2708</v>
      </c>
      <c r="AE1694">
        <v>1</v>
      </c>
      <c r="AO1694" t="s">
        <v>2957</v>
      </c>
      <c r="AP1694" t="s">
        <v>2401</v>
      </c>
    </row>
    <row r="1695" spans="1:42">
      <c r="A1695" t="s">
        <v>8069</v>
      </c>
      <c r="B1695" t="s">
        <v>2389</v>
      </c>
      <c r="C1695" t="s">
        <v>2438</v>
      </c>
      <c r="D1695" t="s">
        <v>2379</v>
      </c>
      <c r="E1695" t="s">
        <v>2452</v>
      </c>
      <c r="F1695" t="s">
        <v>2417</v>
      </c>
      <c r="G1695" t="s">
        <v>2452</v>
      </c>
      <c r="H1695" t="b">
        <v>1</v>
      </c>
      <c r="I1695" s="8">
        <v>45938.363657407404</v>
      </c>
      <c r="J1695" t="s">
        <v>2380</v>
      </c>
      <c r="K1695">
        <v>1200722</v>
      </c>
      <c r="L1695">
        <v>603085</v>
      </c>
      <c r="M1695" t="s">
        <v>2381</v>
      </c>
      <c r="Q1695" t="s">
        <v>2383</v>
      </c>
      <c r="R1695">
        <v>1</v>
      </c>
      <c r="S1695" t="s">
        <v>2380</v>
      </c>
      <c r="T1695" t="s">
        <v>2383</v>
      </c>
      <c r="U1695" s="8">
        <v>45937.618287037039</v>
      </c>
      <c r="V1695" s="8">
        <v>45940.958333333336</v>
      </c>
      <c r="W1695">
        <v>1</v>
      </c>
      <c r="X1695">
        <v>0.74537036999999995</v>
      </c>
      <c r="Y1695" t="s">
        <v>2418</v>
      </c>
      <c r="Z1695" t="s">
        <v>8070</v>
      </c>
      <c r="AA1695" t="s">
        <v>2089</v>
      </c>
      <c r="AB1695" t="s">
        <v>1278</v>
      </c>
      <c r="AC1695" t="s">
        <v>8071</v>
      </c>
      <c r="AD1695" t="s">
        <v>2708</v>
      </c>
      <c r="AE1695">
        <v>1</v>
      </c>
      <c r="AO1695" t="s">
        <v>4121</v>
      </c>
      <c r="AP1695" t="s">
        <v>2401</v>
      </c>
    </row>
    <row r="1696" spans="1:42">
      <c r="A1696" t="s">
        <v>5973</v>
      </c>
      <c r="B1696" t="s">
        <v>2389</v>
      </c>
      <c r="C1696" t="s">
        <v>2415</v>
      </c>
      <c r="D1696" t="s">
        <v>2379</v>
      </c>
      <c r="E1696" t="s">
        <v>2601</v>
      </c>
      <c r="F1696" t="s">
        <v>2578</v>
      </c>
      <c r="G1696" t="s">
        <v>2601</v>
      </c>
      <c r="H1696" t="b">
        <v>1</v>
      </c>
      <c r="I1696" s="8">
        <v>45939.504259259258</v>
      </c>
      <c r="J1696" t="s">
        <v>2380</v>
      </c>
      <c r="K1696">
        <v>1201279</v>
      </c>
      <c r="L1696">
        <v>602857</v>
      </c>
      <c r="M1696" t="s">
        <v>2381</v>
      </c>
      <c r="P1696" t="s">
        <v>2548</v>
      </c>
      <c r="Q1696" t="s">
        <v>2383</v>
      </c>
      <c r="R1696">
        <v>1</v>
      </c>
      <c r="S1696" t="s">
        <v>2380</v>
      </c>
      <c r="T1696" t="s">
        <v>2383</v>
      </c>
      <c r="U1696" s="8">
        <v>45937.621041666665</v>
      </c>
      <c r="V1696" s="8">
        <v>45940.958333333336</v>
      </c>
      <c r="W1696">
        <v>1</v>
      </c>
      <c r="X1696">
        <v>1.8832175929999999</v>
      </c>
      <c r="Y1696" t="s">
        <v>2579</v>
      </c>
      <c r="Z1696" t="s">
        <v>5974</v>
      </c>
      <c r="AA1696" t="s">
        <v>5975</v>
      </c>
      <c r="AB1696" t="s">
        <v>1278</v>
      </c>
      <c r="AC1696" t="s">
        <v>5976</v>
      </c>
      <c r="AD1696" t="s">
        <v>2708</v>
      </c>
      <c r="AE1696">
        <v>1</v>
      </c>
      <c r="AO1696" t="s">
        <v>2547</v>
      </c>
      <c r="AP1696" t="s">
        <v>2401</v>
      </c>
    </row>
    <row r="1697" spans="1:42">
      <c r="A1697" t="s">
        <v>3858</v>
      </c>
      <c r="B1697" t="s">
        <v>2389</v>
      </c>
      <c r="C1697" t="s">
        <v>2447</v>
      </c>
      <c r="D1697" t="s">
        <v>2379</v>
      </c>
      <c r="E1697" t="s">
        <v>2452</v>
      </c>
      <c r="F1697" t="s">
        <v>3747</v>
      </c>
      <c r="G1697" t="s">
        <v>2452</v>
      </c>
      <c r="H1697" t="b">
        <v>1</v>
      </c>
      <c r="I1697" s="8">
        <v>45944.430694444447</v>
      </c>
      <c r="J1697" t="s">
        <v>2380</v>
      </c>
      <c r="L1697">
        <v>606813</v>
      </c>
      <c r="M1697" t="s">
        <v>2381</v>
      </c>
      <c r="P1697" t="s">
        <v>2394</v>
      </c>
      <c r="Q1697" t="s">
        <v>2383</v>
      </c>
      <c r="R1697">
        <v>1</v>
      </c>
      <c r="S1697" t="s">
        <v>2380</v>
      </c>
      <c r="T1697" t="s">
        <v>2383</v>
      </c>
      <c r="U1697" s="8">
        <v>45937.622002314813</v>
      </c>
      <c r="V1697" s="8">
        <v>45944.958333333336</v>
      </c>
      <c r="W1697">
        <v>1</v>
      </c>
      <c r="X1697">
        <v>4.8086921299999998</v>
      </c>
      <c r="Y1697" t="s">
        <v>3748</v>
      </c>
      <c r="Z1697" t="s">
        <v>3859</v>
      </c>
      <c r="AA1697" t="s">
        <v>3834</v>
      </c>
      <c r="AB1697" t="s">
        <v>1278</v>
      </c>
      <c r="AC1697" t="s">
        <v>3860</v>
      </c>
      <c r="AE1697">
        <v>1</v>
      </c>
      <c r="AO1697" t="s">
        <v>2712</v>
      </c>
      <c r="AP1697" t="s">
        <v>2401</v>
      </c>
    </row>
    <row r="1698" spans="1:42">
      <c r="A1698" t="s">
        <v>830</v>
      </c>
      <c r="B1698" t="s">
        <v>2377</v>
      </c>
      <c r="C1698" t="s">
        <v>2438</v>
      </c>
      <c r="D1698" t="s">
        <v>2379</v>
      </c>
      <c r="E1698" t="s">
        <v>33</v>
      </c>
      <c r="F1698" t="s">
        <v>3891</v>
      </c>
      <c r="G1698" t="s">
        <v>33</v>
      </c>
      <c r="H1698" t="b">
        <v>1</v>
      </c>
      <c r="I1698" s="8">
        <v>45938.585717592592</v>
      </c>
      <c r="J1698" t="s">
        <v>2380</v>
      </c>
      <c r="L1698">
        <v>603560</v>
      </c>
      <c r="M1698" t="s">
        <v>2381</v>
      </c>
      <c r="Q1698" t="s">
        <v>2383</v>
      </c>
      <c r="R1698">
        <v>1</v>
      </c>
      <c r="S1698" t="s">
        <v>2380</v>
      </c>
      <c r="T1698" t="s">
        <v>2383</v>
      </c>
      <c r="U1698" s="8">
        <v>45937.626296296294</v>
      </c>
      <c r="V1698" s="8">
        <v>45940.958333333336</v>
      </c>
      <c r="W1698">
        <v>1</v>
      </c>
      <c r="X1698">
        <v>0.95942129600000003</v>
      </c>
      <c r="Y1698" t="s">
        <v>3892</v>
      </c>
      <c r="Z1698" t="s">
        <v>9261</v>
      </c>
      <c r="AA1698" t="s">
        <v>3911</v>
      </c>
      <c r="AB1698" t="s">
        <v>1278</v>
      </c>
      <c r="AC1698" t="s">
        <v>9262</v>
      </c>
      <c r="AD1698" t="s">
        <v>2708</v>
      </c>
      <c r="AE1698">
        <v>1</v>
      </c>
      <c r="AH1698" t="s">
        <v>4895</v>
      </c>
      <c r="AI1698" s="8">
        <v>45938.582199074073</v>
      </c>
      <c r="AK1698" t="s">
        <v>2719</v>
      </c>
      <c r="AL1698" t="s">
        <v>2719</v>
      </c>
      <c r="AO1698" t="s">
        <v>2715</v>
      </c>
      <c r="AP1698" t="s">
        <v>2401</v>
      </c>
    </row>
    <row r="1699" spans="1:42">
      <c r="A1699" t="s">
        <v>2726</v>
      </c>
      <c r="B1699" t="s">
        <v>2389</v>
      </c>
      <c r="C1699" t="s">
        <v>2378</v>
      </c>
      <c r="D1699" t="s">
        <v>2379</v>
      </c>
      <c r="E1699" t="s">
        <v>15</v>
      </c>
      <c r="F1699" t="s">
        <v>2725</v>
      </c>
      <c r="G1699" t="s">
        <v>15</v>
      </c>
      <c r="H1699" t="b">
        <v>1</v>
      </c>
      <c r="I1699" s="8">
        <v>45943.375983796293</v>
      </c>
      <c r="J1699" t="s">
        <v>2393</v>
      </c>
      <c r="L1699">
        <v>605422</v>
      </c>
      <c r="M1699" t="s">
        <v>2381</v>
      </c>
      <c r="P1699" t="s">
        <v>2394</v>
      </c>
      <c r="Q1699" t="s">
        <v>2383</v>
      </c>
      <c r="R1699">
        <v>1</v>
      </c>
      <c r="S1699" t="s">
        <v>2393</v>
      </c>
      <c r="T1699" t="s">
        <v>2383</v>
      </c>
      <c r="U1699" s="8">
        <v>45937.634027777778</v>
      </c>
      <c r="V1699" s="8">
        <v>45945.958333333336</v>
      </c>
      <c r="W1699">
        <v>1</v>
      </c>
      <c r="X1699">
        <v>3.7419560189999999</v>
      </c>
      <c r="Y1699" t="s">
        <v>1352</v>
      </c>
      <c r="Z1699" t="s">
        <v>2727</v>
      </c>
      <c r="AA1699" t="s">
        <v>2728</v>
      </c>
      <c r="AB1699" t="s">
        <v>1278</v>
      </c>
      <c r="AC1699" t="s">
        <v>2729</v>
      </c>
      <c r="AE1699">
        <v>1</v>
      </c>
      <c r="AO1699" t="s">
        <v>2400</v>
      </c>
      <c r="AP1699" t="s">
        <v>2401</v>
      </c>
    </row>
    <row r="1700" spans="1:42">
      <c r="A1700" t="s">
        <v>2870</v>
      </c>
      <c r="B1700" t="s">
        <v>2389</v>
      </c>
      <c r="C1700" t="s">
        <v>2390</v>
      </c>
      <c r="D1700" t="s">
        <v>2379</v>
      </c>
      <c r="E1700" t="s">
        <v>2416</v>
      </c>
      <c r="F1700" t="s">
        <v>2779</v>
      </c>
      <c r="G1700" t="s">
        <v>2416</v>
      </c>
      <c r="H1700" t="b">
        <v>1</v>
      </c>
      <c r="I1700" s="8">
        <v>45940.614814814813</v>
      </c>
      <c r="J1700" t="s">
        <v>2380</v>
      </c>
      <c r="L1700">
        <v>601523</v>
      </c>
      <c r="M1700" t="s">
        <v>2381</v>
      </c>
      <c r="P1700" t="s">
        <v>2394</v>
      </c>
      <c r="Q1700" t="s">
        <v>2383</v>
      </c>
      <c r="R1700">
        <v>1</v>
      </c>
      <c r="S1700" t="s">
        <v>2380</v>
      </c>
      <c r="T1700" t="s">
        <v>2383</v>
      </c>
      <c r="U1700" s="8">
        <v>45937.646736111114</v>
      </c>
      <c r="V1700" s="8">
        <v>45940.958333333336</v>
      </c>
      <c r="W1700">
        <v>1</v>
      </c>
      <c r="X1700">
        <v>2.9680787039999998</v>
      </c>
      <c r="Y1700" t="s">
        <v>1352</v>
      </c>
      <c r="Z1700" t="s">
        <v>2871</v>
      </c>
      <c r="AA1700" t="s">
        <v>1748</v>
      </c>
      <c r="AB1700" t="s">
        <v>1278</v>
      </c>
      <c r="AC1700" t="s">
        <v>2872</v>
      </c>
      <c r="AE1700">
        <v>1</v>
      </c>
      <c r="AO1700" t="s">
        <v>2408</v>
      </c>
      <c r="AP1700" t="s">
        <v>2401</v>
      </c>
    </row>
    <row r="1701" spans="1:42">
      <c r="A1701" t="s">
        <v>5430</v>
      </c>
      <c r="B1701" t="s">
        <v>2389</v>
      </c>
      <c r="C1701" t="s">
        <v>2390</v>
      </c>
      <c r="D1701" t="s">
        <v>2379</v>
      </c>
      <c r="E1701" t="s">
        <v>2416</v>
      </c>
      <c r="F1701" t="s">
        <v>2779</v>
      </c>
      <c r="G1701" t="s">
        <v>2416</v>
      </c>
      <c r="H1701" t="b">
        <v>1</v>
      </c>
      <c r="I1701" s="8">
        <v>45940.602037037039</v>
      </c>
      <c r="J1701" t="s">
        <v>2380</v>
      </c>
      <c r="K1701">
        <v>1201651</v>
      </c>
      <c r="L1701">
        <v>601523</v>
      </c>
      <c r="M1701" t="s">
        <v>2381</v>
      </c>
      <c r="P1701" t="s">
        <v>5429</v>
      </c>
      <c r="Q1701" t="s">
        <v>2383</v>
      </c>
      <c r="R1701">
        <v>1</v>
      </c>
      <c r="S1701" t="s">
        <v>2380</v>
      </c>
      <c r="T1701" t="s">
        <v>2383</v>
      </c>
      <c r="U1701" s="8">
        <v>45937.651435185187</v>
      </c>
      <c r="V1701" s="8">
        <v>45940.958333333336</v>
      </c>
      <c r="W1701">
        <v>1</v>
      </c>
      <c r="X1701">
        <v>2.9506018520000001</v>
      </c>
      <c r="Y1701" t="s">
        <v>1352</v>
      </c>
      <c r="Z1701" t="s">
        <v>5431</v>
      </c>
      <c r="AA1701" t="s">
        <v>1748</v>
      </c>
      <c r="AB1701" t="s">
        <v>1278</v>
      </c>
      <c r="AC1701" t="s">
        <v>5432</v>
      </c>
      <c r="AD1701" t="s">
        <v>2708</v>
      </c>
      <c r="AE1701">
        <v>1</v>
      </c>
      <c r="AO1701" t="s">
        <v>2408</v>
      </c>
      <c r="AP1701" t="s">
        <v>2401</v>
      </c>
    </row>
    <row r="1702" spans="1:42">
      <c r="A1702" t="s">
        <v>2896</v>
      </c>
      <c r="B1702" t="s">
        <v>2389</v>
      </c>
      <c r="C1702" t="s">
        <v>2390</v>
      </c>
      <c r="D1702" t="s">
        <v>2379</v>
      </c>
      <c r="E1702" t="s">
        <v>307</v>
      </c>
      <c r="F1702" t="s">
        <v>2541</v>
      </c>
      <c r="G1702" t="s">
        <v>307</v>
      </c>
      <c r="H1702" t="b">
        <v>1</v>
      </c>
      <c r="I1702" s="8">
        <v>45940.470833333333</v>
      </c>
      <c r="J1702" t="s">
        <v>2380</v>
      </c>
      <c r="L1702">
        <v>608236</v>
      </c>
      <c r="M1702" t="s">
        <v>2381</v>
      </c>
      <c r="Q1702" t="s">
        <v>2383</v>
      </c>
      <c r="R1702">
        <v>1</v>
      </c>
      <c r="S1702" t="s">
        <v>2380</v>
      </c>
      <c r="T1702" t="s">
        <v>2383</v>
      </c>
      <c r="U1702" s="8">
        <v>45937.65148148148</v>
      </c>
      <c r="V1702" s="8">
        <v>45940.958333333336</v>
      </c>
      <c r="W1702">
        <v>1</v>
      </c>
      <c r="X1702">
        <v>2.819351852</v>
      </c>
      <c r="Y1702" t="s">
        <v>2542</v>
      </c>
      <c r="Z1702" t="s">
        <v>2897</v>
      </c>
      <c r="AA1702" t="s">
        <v>2564</v>
      </c>
      <c r="AB1702" t="s">
        <v>1278</v>
      </c>
      <c r="AC1702" t="s">
        <v>2898</v>
      </c>
      <c r="AE1702">
        <v>1</v>
      </c>
      <c r="AO1702" t="s">
        <v>2547</v>
      </c>
      <c r="AP1702" t="s">
        <v>2401</v>
      </c>
    </row>
    <row r="1703" spans="1:42">
      <c r="A1703" t="s">
        <v>6814</v>
      </c>
      <c r="B1703" t="s">
        <v>2389</v>
      </c>
      <c r="C1703" t="s">
        <v>2415</v>
      </c>
      <c r="D1703" t="s">
        <v>2379</v>
      </c>
      <c r="E1703" t="s">
        <v>2601</v>
      </c>
      <c r="F1703">
        <v>6412</v>
      </c>
      <c r="G1703" t="s">
        <v>2601</v>
      </c>
      <c r="H1703" t="b">
        <v>1</v>
      </c>
      <c r="I1703" s="8">
        <v>45939.423333333332</v>
      </c>
      <c r="J1703" t="s">
        <v>2380</v>
      </c>
      <c r="K1703">
        <v>1201231</v>
      </c>
      <c r="L1703">
        <v>606896</v>
      </c>
      <c r="M1703" t="s">
        <v>2381</v>
      </c>
      <c r="P1703" t="s">
        <v>2394</v>
      </c>
      <c r="Q1703" t="s">
        <v>2383</v>
      </c>
      <c r="R1703">
        <v>1</v>
      </c>
      <c r="S1703" t="s">
        <v>2380</v>
      </c>
      <c r="T1703" t="s">
        <v>2383</v>
      </c>
      <c r="U1703" s="8">
        <v>45937.655219907407</v>
      </c>
      <c r="V1703" s="8">
        <v>45940.958333333336</v>
      </c>
      <c r="W1703">
        <v>1</v>
      </c>
      <c r="X1703">
        <v>1.768113426</v>
      </c>
      <c r="Y1703" t="s">
        <v>3419</v>
      </c>
      <c r="Z1703" t="s">
        <v>6815</v>
      </c>
      <c r="AA1703" t="s">
        <v>3421</v>
      </c>
      <c r="AB1703" t="s">
        <v>1278</v>
      </c>
      <c r="AC1703" t="s">
        <v>6816</v>
      </c>
      <c r="AD1703" t="s">
        <v>2708</v>
      </c>
      <c r="AE1703">
        <v>1</v>
      </c>
      <c r="AO1703" t="s">
        <v>2388</v>
      </c>
      <c r="AP1703" t="s">
        <v>2401</v>
      </c>
    </row>
    <row r="1704" spans="1:42">
      <c r="A1704" t="s">
        <v>5879</v>
      </c>
      <c r="B1704" t="s">
        <v>2389</v>
      </c>
      <c r="C1704" t="s">
        <v>2415</v>
      </c>
      <c r="D1704" t="s">
        <v>2379</v>
      </c>
      <c r="E1704" t="s">
        <v>307</v>
      </c>
      <c r="F1704" t="s">
        <v>2541</v>
      </c>
      <c r="G1704" t="s">
        <v>307</v>
      </c>
      <c r="H1704" t="b">
        <v>1</v>
      </c>
      <c r="I1704" s="8">
        <v>45938.910497685189</v>
      </c>
      <c r="J1704" t="s">
        <v>2380</v>
      </c>
      <c r="K1704">
        <v>1201198</v>
      </c>
      <c r="L1704">
        <v>602299</v>
      </c>
      <c r="M1704" t="s">
        <v>2381</v>
      </c>
      <c r="P1704" t="s">
        <v>2548</v>
      </c>
      <c r="Q1704" t="s">
        <v>2383</v>
      </c>
      <c r="R1704">
        <v>1</v>
      </c>
      <c r="S1704" t="s">
        <v>2380</v>
      </c>
      <c r="T1704" t="s">
        <v>2383</v>
      </c>
      <c r="U1704" s="8">
        <v>45937.692511574074</v>
      </c>
      <c r="V1704" s="8">
        <v>45940.958333333336</v>
      </c>
      <c r="W1704">
        <v>1</v>
      </c>
      <c r="X1704">
        <v>1.2179861110000001</v>
      </c>
      <c r="Y1704" t="s">
        <v>2542</v>
      </c>
      <c r="Z1704" t="s">
        <v>5880</v>
      </c>
      <c r="AA1704" t="s">
        <v>2927</v>
      </c>
      <c r="AB1704" t="s">
        <v>1278</v>
      </c>
      <c r="AD1704" t="s">
        <v>2708</v>
      </c>
      <c r="AE1704">
        <v>1</v>
      </c>
      <c r="AO1704" t="s">
        <v>2547</v>
      </c>
      <c r="AP1704" t="s">
        <v>2401</v>
      </c>
    </row>
    <row r="1705" spans="1:42">
      <c r="A1705" t="s">
        <v>6811</v>
      </c>
      <c r="B1705" t="s">
        <v>2389</v>
      </c>
      <c r="C1705" t="s">
        <v>2415</v>
      </c>
      <c r="D1705" t="s">
        <v>2379</v>
      </c>
      <c r="E1705" t="s">
        <v>2601</v>
      </c>
      <c r="F1705" t="s">
        <v>3514</v>
      </c>
      <c r="G1705" t="s">
        <v>2601</v>
      </c>
      <c r="H1705" t="b">
        <v>1</v>
      </c>
      <c r="I1705" s="8">
        <v>45939.464606481481</v>
      </c>
      <c r="J1705" t="s">
        <v>2380</v>
      </c>
      <c r="K1705">
        <v>1201252</v>
      </c>
      <c r="L1705">
        <v>606958</v>
      </c>
      <c r="M1705" t="s">
        <v>2381</v>
      </c>
      <c r="P1705" t="s">
        <v>2394</v>
      </c>
      <c r="Q1705" t="s">
        <v>2383</v>
      </c>
      <c r="R1705">
        <v>1</v>
      </c>
      <c r="S1705" t="s">
        <v>2380</v>
      </c>
      <c r="T1705" t="s">
        <v>2383</v>
      </c>
      <c r="U1705" s="8">
        <v>45937.718449074076</v>
      </c>
      <c r="V1705" s="8">
        <v>45940.958333333336</v>
      </c>
      <c r="W1705">
        <v>1</v>
      </c>
      <c r="X1705">
        <v>1.7461574070000001</v>
      </c>
      <c r="Y1705" t="s">
        <v>3515</v>
      </c>
      <c r="Z1705" t="s">
        <v>6812</v>
      </c>
      <c r="AA1705" t="s">
        <v>4489</v>
      </c>
      <c r="AB1705" t="s">
        <v>1278</v>
      </c>
      <c r="AC1705" t="s">
        <v>6813</v>
      </c>
      <c r="AD1705" t="s">
        <v>2708</v>
      </c>
      <c r="AE1705">
        <v>1</v>
      </c>
      <c r="AO1705" t="s">
        <v>2388</v>
      </c>
      <c r="AP1705" t="s">
        <v>2401</v>
      </c>
    </row>
    <row r="1706" spans="1:42">
      <c r="A1706" t="s">
        <v>3590</v>
      </c>
      <c r="B1706" t="s">
        <v>2377</v>
      </c>
      <c r="C1706" t="s">
        <v>2390</v>
      </c>
      <c r="D1706" t="s">
        <v>2379</v>
      </c>
      <c r="E1706" t="s">
        <v>3589</v>
      </c>
      <c r="F1706" t="s">
        <v>2402</v>
      </c>
      <c r="G1706" t="s">
        <v>307</v>
      </c>
      <c r="H1706" t="b">
        <v>1</v>
      </c>
      <c r="I1706" s="8">
        <v>45940.623391203706</v>
      </c>
      <c r="J1706" t="s">
        <v>2380</v>
      </c>
      <c r="L1706">
        <v>603630</v>
      </c>
      <c r="M1706" t="s">
        <v>2381</v>
      </c>
      <c r="P1706" t="s">
        <v>2427</v>
      </c>
      <c r="Q1706" t="s">
        <v>2383</v>
      </c>
      <c r="R1706">
        <v>1</v>
      </c>
      <c r="S1706" t="s">
        <v>2380</v>
      </c>
      <c r="T1706" t="s">
        <v>2383</v>
      </c>
      <c r="U1706" s="8">
        <v>45938.365034722221</v>
      </c>
      <c r="V1706" s="8">
        <v>45943.958333333336</v>
      </c>
      <c r="W1706">
        <v>1</v>
      </c>
      <c r="X1706">
        <v>2.2583564809999999</v>
      </c>
      <c r="Y1706" t="s">
        <v>2403</v>
      </c>
      <c r="Z1706" t="s">
        <v>3591</v>
      </c>
      <c r="AA1706" t="s">
        <v>3592</v>
      </c>
      <c r="AB1706" t="s">
        <v>1278</v>
      </c>
      <c r="AC1706" t="s">
        <v>3593</v>
      </c>
      <c r="AE1706">
        <v>1</v>
      </c>
      <c r="AO1706" t="s">
        <v>3586</v>
      </c>
      <c r="AP1706" t="s">
        <v>2401</v>
      </c>
    </row>
    <row r="1707" spans="1:42">
      <c r="A1707" t="s">
        <v>6743</v>
      </c>
      <c r="B1707" t="s">
        <v>2389</v>
      </c>
      <c r="C1707" t="s">
        <v>2691</v>
      </c>
      <c r="D1707" t="s">
        <v>2379</v>
      </c>
      <c r="E1707" t="s">
        <v>307</v>
      </c>
      <c r="F1707" t="s">
        <v>2578</v>
      </c>
      <c r="G1707" t="s">
        <v>307</v>
      </c>
      <c r="H1707" t="b">
        <v>1</v>
      </c>
      <c r="I1707" s="8">
        <v>45947.633657407408</v>
      </c>
      <c r="J1707" t="s">
        <v>2380</v>
      </c>
      <c r="K1707">
        <v>1203282</v>
      </c>
      <c r="L1707">
        <v>608754</v>
      </c>
      <c r="M1707" t="s">
        <v>2381</v>
      </c>
      <c r="P1707" t="s">
        <v>2394</v>
      </c>
      <c r="Q1707" t="s">
        <v>2383</v>
      </c>
      <c r="R1707">
        <v>1</v>
      </c>
      <c r="S1707" t="s">
        <v>2380</v>
      </c>
      <c r="T1707" t="s">
        <v>2383</v>
      </c>
      <c r="U1707" s="8">
        <v>45938.389363425929</v>
      </c>
      <c r="V1707" s="8">
        <v>45947.958333333336</v>
      </c>
      <c r="W1707">
        <v>1</v>
      </c>
      <c r="X1707">
        <v>7.2442939810000002</v>
      </c>
      <c r="Y1707" t="s">
        <v>2579</v>
      </c>
      <c r="Z1707" t="s">
        <v>6744</v>
      </c>
      <c r="AA1707" t="s">
        <v>6745</v>
      </c>
      <c r="AB1707" t="s">
        <v>1278</v>
      </c>
      <c r="AD1707" t="s">
        <v>2708</v>
      </c>
      <c r="AE1707">
        <v>1</v>
      </c>
      <c r="AO1707" t="s">
        <v>2388</v>
      </c>
      <c r="AP1707" t="s">
        <v>2401</v>
      </c>
    </row>
    <row r="1708" spans="1:42">
      <c r="A1708" t="s">
        <v>8183</v>
      </c>
      <c r="B1708" t="s">
        <v>2389</v>
      </c>
      <c r="C1708" t="s">
        <v>2390</v>
      </c>
      <c r="D1708" t="s">
        <v>2379</v>
      </c>
      <c r="E1708" t="s">
        <v>307</v>
      </c>
      <c r="F1708" t="s">
        <v>8109</v>
      </c>
      <c r="G1708" t="s">
        <v>307</v>
      </c>
      <c r="H1708" t="b">
        <v>1</v>
      </c>
      <c r="I1708" s="8">
        <v>45940.532476851855</v>
      </c>
      <c r="J1708" t="s">
        <v>2380</v>
      </c>
      <c r="K1708">
        <v>1201628</v>
      </c>
      <c r="L1708">
        <v>604185</v>
      </c>
      <c r="M1708" t="s">
        <v>2381</v>
      </c>
      <c r="P1708" t="s">
        <v>2394</v>
      </c>
      <c r="Q1708" t="s">
        <v>2395</v>
      </c>
      <c r="R1708">
        <v>1</v>
      </c>
      <c r="S1708" t="s">
        <v>2380</v>
      </c>
      <c r="T1708" t="s">
        <v>2383</v>
      </c>
      <c r="U1708" s="8">
        <v>45938.405624999999</v>
      </c>
      <c r="V1708" s="8">
        <v>45943.958333333336</v>
      </c>
      <c r="W1708">
        <v>1</v>
      </c>
      <c r="X1708">
        <v>2.1268518520000002</v>
      </c>
      <c r="Y1708" t="s">
        <v>8110</v>
      </c>
      <c r="Z1708" t="s">
        <v>8184</v>
      </c>
      <c r="AA1708" t="s">
        <v>8113</v>
      </c>
      <c r="AB1708" t="s">
        <v>1278</v>
      </c>
      <c r="AD1708" t="s">
        <v>2708</v>
      </c>
      <c r="AE1708">
        <v>1</v>
      </c>
      <c r="AO1708" t="s">
        <v>4137</v>
      </c>
      <c r="AP1708" t="s">
        <v>2401</v>
      </c>
    </row>
    <row r="1709" spans="1:42">
      <c r="A1709" t="s">
        <v>6842</v>
      </c>
      <c r="B1709" t="s">
        <v>2389</v>
      </c>
      <c r="C1709" t="s">
        <v>2438</v>
      </c>
      <c r="D1709" t="s">
        <v>2379</v>
      </c>
      <c r="E1709" t="s">
        <v>2452</v>
      </c>
      <c r="F1709" t="s">
        <v>2578</v>
      </c>
      <c r="G1709" t="s">
        <v>2452</v>
      </c>
      <c r="H1709" t="b">
        <v>1</v>
      </c>
      <c r="I1709" s="8">
        <v>45938.424363425926</v>
      </c>
      <c r="J1709" t="s">
        <v>2380</v>
      </c>
      <c r="K1709">
        <v>1200728</v>
      </c>
      <c r="L1709">
        <v>601730</v>
      </c>
      <c r="M1709" t="s">
        <v>2381</v>
      </c>
      <c r="Q1709" t="s">
        <v>2383</v>
      </c>
      <c r="R1709">
        <v>1</v>
      </c>
      <c r="S1709" t="s">
        <v>2380</v>
      </c>
      <c r="T1709" t="s">
        <v>2383</v>
      </c>
      <c r="U1709" s="8">
        <v>45938.410011574073</v>
      </c>
      <c r="V1709" s="8">
        <v>45943.958333333336</v>
      </c>
      <c r="W1709">
        <v>1</v>
      </c>
      <c r="X1709">
        <v>1.4351852E-2</v>
      </c>
      <c r="Y1709" t="s">
        <v>2579</v>
      </c>
      <c r="Z1709" t="s">
        <v>6843</v>
      </c>
      <c r="AA1709" t="s">
        <v>4426</v>
      </c>
      <c r="AB1709" t="s">
        <v>1278</v>
      </c>
      <c r="AC1709" t="s">
        <v>6844</v>
      </c>
      <c r="AD1709" t="s">
        <v>2708</v>
      </c>
      <c r="AE1709">
        <v>1</v>
      </c>
      <c r="AO1709" t="s">
        <v>2388</v>
      </c>
      <c r="AP1709" t="s">
        <v>2401</v>
      </c>
    </row>
    <row r="1710" spans="1:42">
      <c r="A1710" t="s">
        <v>3832</v>
      </c>
      <c r="B1710" t="s">
        <v>2389</v>
      </c>
      <c r="C1710" t="s">
        <v>2378</v>
      </c>
      <c r="D1710" t="s">
        <v>2379</v>
      </c>
      <c r="E1710" t="s">
        <v>25</v>
      </c>
      <c r="F1710" t="s">
        <v>3747</v>
      </c>
      <c r="G1710" t="s">
        <v>25</v>
      </c>
      <c r="H1710" t="b">
        <v>1</v>
      </c>
      <c r="I1710" s="8">
        <v>45943.547766203701</v>
      </c>
      <c r="J1710" t="s">
        <v>2380</v>
      </c>
      <c r="K1710">
        <v>1268308</v>
      </c>
      <c r="L1710">
        <v>606813</v>
      </c>
      <c r="M1710" t="s">
        <v>2381</v>
      </c>
      <c r="P1710" t="s">
        <v>2394</v>
      </c>
      <c r="Q1710" t="s">
        <v>2383</v>
      </c>
      <c r="R1710">
        <v>1</v>
      </c>
      <c r="S1710" t="s">
        <v>2380</v>
      </c>
      <c r="T1710" t="s">
        <v>2383</v>
      </c>
      <c r="U1710" s="8">
        <v>45938.418379629627</v>
      </c>
      <c r="V1710" s="8">
        <v>45943.958333333336</v>
      </c>
      <c r="W1710">
        <v>1</v>
      </c>
      <c r="X1710">
        <v>3.1293865740000002</v>
      </c>
      <c r="Y1710" t="s">
        <v>3748</v>
      </c>
      <c r="Z1710" t="s">
        <v>3833</v>
      </c>
      <c r="AA1710" t="s">
        <v>3834</v>
      </c>
      <c r="AB1710" t="s">
        <v>1278</v>
      </c>
      <c r="AC1710" t="s">
        <v>3835</v>
      </c>
      <c r="AE1710">
        <v>1</v>
      </c>
      <c r="AO1710" t="s">
        <v>2712</v>
      </c>
      <c r="AP1710" t="s">
        <v>2401</v>
      </c>
    </row>
    <row r="1711" spans="1:42">
      <c r="A1711" t="s">
        <v>5833</v>
      </c>
      <c r="B1711" t="s">
        <v>2389</v>
      </c>
      <c r="C1711" t="s">
        <v>2415</v>
      </c>
      <c r="D1711" t="s">
        <v>2379</v>
      </c>
      <c r="E1711" t="s">
        <v>25</v>
      </c>
      <c r="F1711" t="s">
        <v>2541</v>
      </c>
      <c r="G1711" t="s">
        <v>25</v>
      </c>
      <c r="H1711" t="b">
        <v>1</v>
      </c>
      <c r="I1711" s="8">
        <v>45940.370625000003</v>
      </c>
      <c r="J1711" t="s">
        <v>2380</v>
      </c>
      <c r="K1711">
        <v>1201457</v>
      </c>
      <c r="L1711">
        <v>601353</v>
      </c>
      <c r="M1711" t="s">
        <v>2381</v>
      </c>
      <c r="P1711" t="s">
        <v>3117</v>
      </c>
      <c r="Q1711" t="s">
        <v>2383</v>
      </c>
      <c r="R1711">
        <v>1</v>
      </c>
      <c r="S1711" t="s">
        <v>2380</v>
      </c>
      <c r="T1711" t="s">
        <v>2383</v>
      </c>
      <c r="U1711" s="8">
        <v>45938.418622685182</v>
      </c>
      <c r="V1711" s="8">
        <v>45943.958333333336</v>
      </c>
      <c r="W1711">
        <v>1</v>
      </c>
      <c r="X1711">
        <v>1.9520023150000001</v>
      </c>
      <c r="Y1711" t="s">
        <v>2542</v>
      </c>
      <c r="Z1711" t="s">
        <v>5834</v>
      </c>
      <c r="AA1711" t="s">
        <v>2934</v>
      </c>
      <c r="AB1711" t="s">
        <v>1278</v>
      </c>
      <c r="AC1711" t="s">
        <v>5835</v>
      </c>
      <c r="AD1711" t="s">
        <v>2708</v>
      </c>
      <c r="AE1711">
        <v>1</v>
      </c>
      <c r="AO1711" t="s">
        <v>2547</v>
      </c>
      <c r="AP1711" t="s">
        <v>2401</v>
      </c>
    </row>
    <row r="1712" spans="1:42">
      <c r="A1712" t="s">
        <v>7587</v>
      </c>
      <c r="B1712" t="s">
        <v>2389</v>
      </c>
      <c r="C1712" t="s">
        <v>2390</v>
      </c>
      <c r="D1712" t="s">
        <v>2379</v>
      </c>
      <c r="E1712" t="s">
        <v>2601</v>
      </c>
      <c r="F1712" t="s">
        <v>7585</v>
      </c>
      <c r="G1712" t="s">
        <v>2601</v>
      </c>
      <c r="H1712" t="b">
        <v>1</v>
      </c>
      <c r="I1712" s="8">
        <v>45940.560798611114</v>
      </c>
      <c r="J1712" t="s">
        <v>2380</v>
      </c>
      <c r="K1712">
        <v>1201636</v>
      </c>
      <c r="L1712">
        <v>601908</v>
      </c>
      <c r="M1712" t="s">
        <v>2381</v>
      </c>
      <c r="P1712" t="s">
        <v>2394</v>
      </c>
      <c r="Q1712" t="s">
        <v>2383</v>
      </c>
      <c r="R1712">
        <v>1</v>
      </c>
      <c r="S1712" t="s">
        <v>2380</v>
      </c>
      <c r="T1712" t="s">
        <v>2383</v>
      </c>
      <c r="U1712" s="8">
        <v>45938.419733796298</v>
      </c>
      <c r="V1712" s="8">
        <v>45943.958333333336</v>
      </c>
      <c r="W1712">
        <v>1</v>
      </c>
      <c r="X1712">
        <v>2.141064815</v>
      </c>
      <c r="Y1712" t="s">
        <v>7586</v>
      </c>
      <c r="Z1712" t="s">
        <v>7588</v>
      </c>
      <c r="AA1712" t="s">
        <v>7589</v>
      </c>
      <c r="AB1712" t="s">
        <v>1278</v>
      </c>
      <c r="AD1712" t="s">
        <v>2708</v>
      </c>
      <c r="AE1712">
        <v>1</v>
      </c>
      <c r="AO1712" t="s">
        <v>2957</v>
      </c>
      <c r="AP1712" t="s">
        <v>2401</v>
      </c>
    </row>
    <row r="1713" spans="1:42">
      <c r="A1713" t="s">
        <v>3633</v>
      </c>
      <c r="B1713" t="s">
        <v>2389</v>
      </c>
      <c r="C1713" t="s">
        <v>2443</v>
      </c>
      <c r="D1713" t="s">
        <v>2443</v>
      </c>
      <c r="E1713" t="s">
        <v>18</v>
      </c>
      <c r="F1713" t="s">
        <v>2578</v>
      </c>
      <c r="G1713" t="s">
        <v>2416</v>
      </c>
      <c r="H1713" t="b">
        <v>1</v>
      </c>
      <c r="I1713" s="8">
        <v>45938.473680555559</v>
      </c>
      <c r="J1713" t="s">
        <v>2380</v>
      </c>
      <c r="L1713">
        <v>602429</v>
      </c>
      <c r="M1713" t="s">
        <v>2381</v>
      </c>
      <c r="Q1713" t="s">
        <v>2383</v>
      </c>
      <c r="R1713">
        <v>1</v>
      </c>
      <c r="S1713" t="s">
        <v>2380</v>
      </c>
      <c r="T1713" t="s">
        <v>2383</v>
      </c>
      <c r="U1713" s="8">
        <v>45917</v>
      </c>
      <c r="V1713" s="8">
        <v>45919.958333333336</v>
      </c>
      <c r="W1713">
        <v>1</v>
      </c>
      <c r="X1713">
        <v>15.473680556</v>
      </c>
      <c r="Y1713" t="s">
        <v>2579</v>
      </c>
      <c r="Z1713" t="s">
        <v>3634</v>
      </c>
      <c r="AA1713" t="s">
        <v>3606</v>
      </c>
      <c r="AB1713" t="s">
        <v>1278</v>
      </c>
      <c r="AC1713" t="s">
        <v>3635</v>
      </c>
      <c r="AE1713">
        <v>1</v>
      </c>
      <c r="AO1713" t="s">
        <v>3608</v>
      </c>
      <c r="AP1713" t="s">
        <v>2401</v>
      </c>
    </row>
    <row r="1714" spans="1:42">
      <c r="A1714" t="s">
        <v>9995</v>
      </c>
      <c r="B1714" t="s">
        <v>2389</v>
      </c>
      <c r="C1714" t="s">
        <v>2378</v>
      </c>
      <c r="D1714" t="s">
        <v>2379</v>
      </c>
      <c r="E1714" t="s">
        <v>24</v>
      </c>
      <c r="F1714" t="s">
        <v>4644</v>
      </c>
      <c r="G1714" t="s">
        <v>24</v>
      </c>
      <c r="H1714" t="b">
        <v>1</v>
      </c>
      <c r="I1714" s="8">
        <v>45943.466469907406</v>
      </c>
      <c r="J1714" t="s">
        <v>2380</v>
      </c>
      <c r="L1714">
        <v>603773</v>
      </c>
      <c r="M1714" t="s">
        <v>2381</v>
      </c>
      <c r="P1714" t="s">
        <v>2394</v>
      </c>
      <c r="Q1714" t="s">
        <v>2383</v>
      </c>
      <c r="R1714">
        <v>1</v>
      </c>
      <c r="S1714" t="s">
        <v>2380</v>
      </c>
      <c r="T1714" t="s">
        <v>2383</v>
      </c>
      <c r="U1714" s="8">
        <v>45938.430196759262</v>
      </c>
      <c r="V1714" s="8">
        <v>45943.958333333336</v>
      </c>
      <c r="W1714">
        <v>1</v>
      </c>
      <c r="X1714">
        <v>3.0362731479999998</v>
      </c>
      <c r="Y1714" t="s">
        <v>3578</v>
      </c>
      <c r="Z1714" t="s">
        <v>9996</v>
      </c>
      <c r="AA1714" t="s">
        <v>4647</v>
      </c>
      <c r="AB1714" t="s">
        <v>1278</v>
      </c>
      <c r="AC1714" t="s">
        <v>2437</v>
      </c>
      <c r="AE1714">
        <v>1</v>
      </c>
      <c r="AO1714" t="s">
        <v>2957</v>
      </c>
      <c r="AP1714" t="s">
        <v>2401</v>
      </c>
    </row>
    <row r="1715" spans="1:42">
      <c r="A1715" t="s">
        <v>9997</v>
      </c>
      <c r="B1715" t="s">
        <v>2389</v>
      </c>
      <c r="C1715" t="s">
        <v>2378</v>
      </c>
      <c r="D1715" t="s">
        <v>2379</v>
      </c>
      <c r="E1715" t="s">
        <v>24</v>
      </c>
      <c r="F1715" t="s">
        <v>4644</v>
      </c>
      <c r="G1715" t="s">
        <v>24</v>
      </c>
      <c r="H1715" t="b">
        <v>1</v>
      </c>
      <c r="I1715" s="8">
        <v>45943.46603009259</v>
      </c>
      <c r="J1715" t="s">
        <v>2380</v>
      </c>
      <c r="L1715">
        <v>603773</v>
      </c>
      <c r="M1715" t="s">
        <v>2381</v>
      </c>
      <c r="P1715" t="s">
        <v>2394</v>
      </c>
      <c r="Q1715" t="s">
        <v>2383</v>
      </c>
      <c r="R1715">
        <v>1</v>
      </c>
      <c r="S1715" t="s">
        <v>2380</v>
      </c>
      <c r="T1715" t="s">
        <v>2383</v>
      </c>
      <c r="U1715" s="8">
        <v>45938.434560185182</v>
      </c>
      <c r="V1715" s="8">
        <v>45943.958333333336</v>
      </c>
      <c r="W1715">
        <v>1</v>
      </c>
      <c r="X1715">
        <v>3.031469907</v>
      </c>
      <c r="Y1715" t="s">
        <v>3578</v>
      </c>
      <c r="Z1715" t="s">
        <v>9998</v>
      </c>
      <c r="AA1715" t="s">
        <v>4647</v>
      </c>
      <c r="AB1715" t="s">
        <v>1278</v>
      </c>
      <c r="AC1715" t="s">
        <v>2437</v>
      </c>
      <c r="AE1715">
        <v>1</v>
      </c>
      <c r="AO1715" t="s">
        <v>2957</v>
      </c>
      <c r="AP1715" t="s">
        <v>2401</v>
      </c>
    </row>
    <row r="1716" spans="1:42">
      <c r="A1716" t="s">
        <v>380</v>
      </c>
      <c r="B1716" t="s">
        <v>2377</v>
      </c>
      <c r="C1716" t="s">
        <v>2378</v>
      </c>
      <c r="D1716" t="s">
        <v>2379</v>
      </c>
      <c r="E1716" t="s">
        <v>5222</v>
      </c>
      <c r="F1716" t="s">
        <v>2402</v>
      </c>
      <c r="G1716" t="s">
        <v>5222</v>
      </c>
      <c r="H1716" t="b">
        <v>1</v>
      </c>
      <c r="I1716" s="8">
        <v>45943.688831018517</v>
      </c>
      <c r="J1716" t="s">
        <v>2380</v>
      </c>
      <c r="L1716">
        <v>605355</v>
      </c>
      <c r="M1716" t="s">
        <v>2381</v>
      </c>
      <c r="Q1716" t="s">
        <v>2383</v>
      </c>
      <c r="R1716">
        <v>1</v>
      </c>
      <c r="S1716" t="s">
        <v>2380</v>
      </c>
      <c r="T1716" t="s">
        <v>2383</v>
      </c>
      <c r="U1716" s="8">
        <v>45938.434733796297</v>
      </c>
      <c r="V1716" s="8">
        <v>45943.958333333336</v>
      </c>
      <c r="W1716">
        <v>1</v>
      </c>
      <c r="X1716">
        <v>3.254097222</v>
      </c>
      <c r="Y1716" t="s">
        <v>2403</v>
      </c>
      <c r="Z1716" t="s">
        <v>5223</v>
      </c>
      <c r="AA1716" t="s">
        <v>5224</v>
      </c>
      <c r="AB1716" t="s">
        <v>1278</v>
      </c>
      <c r="AC1716" t="s">
        <v>5225</v>
      </c>
      <c r="AD1716" t="s">
        <v>2708</v>
      </c>
      <c r="AE1716">
        <v>1</v>
      </c>
      <c r="AH1716" t="s">
        <v>379</v>
      </c>
      <c r="AI1716" s="8">
        <v>45940.440625000003</v>
      </c>
      <c r="AK1716" t="s">
        <v>2719</v>
      </c>
      <c r="AL1716" t="s">
        <v>2719</v>
      </c>
      <c r="AO1716" t="s">
        <v>2408</v>
      </c>
      <c r="AP1716" t="s">
        <v>2401</v>
      </c>
    </row>
    <row r="1717" spans="1:42">
      <c r="A1717" t="s">
        <v>6795</v>
      </c>
      <c r="B1717" t="s">
        <v>2389</v>
      </c>
      <c r="C1717" t="s">
        <v>2390</v>
      </c>
      <c r="D1717" t="s">
        <v>2379</v>
      </c>
      <c r="E1717" t="s">
        <v>2601</v>
      </c>
      <c r="F1717">
        <v>5510</v>
      </c>
      <c r="G1717" t="s">
        <v>2601</v>
      </c>
      <c r="H1717" t="b">
        <v>1</v>
      </c>
      <c r="I1717" s="8">
        <v>45940.556585648148</v>
      </c>
      <c r="J1717" t="s">
        <v>2380</v>
      </c>
      <c r="K1717">
        <v>1201634</v>
      </c>
      <c r="L1717">
        <v>603425</v>
      </c>
      <c r="M1717" t="s">
        <v>2381</v>
      </c>
      <c r="P1717" t="s">
        <v>2394</v>
      </c>
      <c r="Q1717" t="s">
        <v>2383</v>
      </c>
      <c r="R1717">
        <v>1</v>
      </c>
      <c r="S1717" t="s">
        <v>2380</v>
      </c>
      <c r="T1717" t="s">
        <v>2383</v>
      </c>
      <c r="U1717" s="8">
        <v>45938.445347222223</v>
      </c>
      <c r="V1717" s="8">
        <v>45943.958333333336</v>
      </c>
      <c r="W1717">
        <v>1</v>
      </c>
      <c r="X1717">
        <v>2.1112384259999999</v>
      </c>
      <c r="Y1717" t="s">
        <v>6794</v>
      </c>
      <c r="Z1717" t="s">
        <v>6796</v>
      </c>
      <c r="AA1717" t="s">
        <v>6797</v>
      </c>
      <c r="AB1717" t="s">
        <v>1278</v>
      </c>
      <c r="AC1717" t="s">
        <v>6798</v>
      </c>
      <c r="AD1717" t="s">
        <v>2708</v>
      </c>
      <c r="AE1717">
        <v>1</v>
      </c>
      <c r="AO1717" t="s">
        <v>2388</v>
      </c>
      <c r="AP1717" t="s">
        <v>2401</v>
      </c>
    </row>
    <row r="1718" spans="1:42">
      <c r="A1718" t="s">
        <v>9999</v>
      </c>
      <c r="B1718" t="s">
        <v>2389</v>
      </c>
      <c r="C1718" t="s">
        <v>2378</v>
      </c>
      <c r="D1718" t="s">
        <v>2379</v>
      </c>
      <c r="E1718" t="s">
        <v>24</v>
      </c>
      <c r="F1718" t="s">
        <v>4644</v>
      </c>
      <c r="G1718" t="s">
        <v>24</v>
      </c>
      <c r="H1718" t="b">
        <v>1</v>
      </c>
      <c r="I1718" s="8">
        <v>45943.46634259259</v>
      </c>
      <c r="J1718" t="s">
        <v>2380</v>
      </c>
      <c r="L1718">
        <v>603773</v>
      </c>
      <c r="M1718" t="s">
        <v>2381</v>
      </c>
      <c r="P1718" t="s">
        <v>2394</v>
      </c>
      <c r="Q1718" t="s">
        <v>2383</v>
      </c>
      <c r="R1718">
        <v>1</v>
      </c>
      <c r="S1718" t="s">
        <v>2380</v>
      </c>
      <c r="T1718" t="s">
        <v>2383</v>
      </c>
      <c r="U1718" s="8">
        <v>45938.445416666669</v>
      </c>
      <c r="V1718" s="8">
        <v>45943.958333333336</v>
      </c>
      <c r="W1718">
        <v>1</v>
      </c>
      <c r="X1718">
        <v>3.0209259259999999</v>
      </c>
      <c r="Y1718" t="s">
        <v>3578</v>
      </c>
      <c r="Z1718" t="s">
        <v>10000</v>
      </c>
      <c r="AA1718" t="s">
        <v>4647</v>
      </c>
      <c r="AB1718" t="s">
        <v>1278</v>
      </c>
      <c r="AC1718" t="s">
        <v>2437</v>
      </c>
      <c r="AE1718">
        <v>1</v>
      </c>
      <c r="AO1718" t="s">
        <v>2957</v>
      </c>
      <c r="AP1718" t="s">
        <v>2401</v>
      </c>
    </row>
    <row r="1719" spans="1:42">
      <c r="A1719" t="s">
        <v>384</v>
      </c>
      <c r="B1719" t="s">
        <v>2377</v>
      </c>
      <c r="C1719" t="s">
        <v>2438</v>
      </c>
      <c r="D1719" t="s">
        <v>2379</v>
      </c>
      <c r="E1719" t="s">
        <v>33</v>
      </c>
      <c r="F1719" t="s">
        <v>2715</v>
      </c>
      <c r="G1719" t="s">
        <v>33</v>
      </c>
      <c r="H1719" t="b">
        <v>1</v>
      </c>
      <c r="I1719" s="8">
        <v>45938.592094907406</v>
      </c>
      <c r="J1719" t="s">
        <v>2380</v>
      </c>
      <c r="L1719">
        <v>603100</v>
      </c>
      <c r="M1719" t="s">
        <v>2381</v>
      </c>
      <c r="Q1719" t="s">
        <v>2383</v>
      </c>
      <c r="R1719">
        <v>1</v>
      </c>
      <c r="S1719" t="s">
        <v>2380</v>
      </c>
      <c r="T1719" t="s">
        <v>2383</v>
      </c>
      <c r="U1719" s="8">
        <v>45938.448842592596</v>
      </c>
      <c r="V1719" s="8">
        <v>45943.958333333336</v>
      </c>
      <c r="W1719">
        <v>1</v>
      </c>
      <c r="X1719">
        <v>0.14325231499999999</v>
      </c>
      <c r="Y1719" t="s">
        <v>4653</v>
      </c>
      <c r="Z1719" t="s">
        <v>9191</v>
      </c>
      <c r="AA1719" t="s">
        <v>1994</v>
      </c>
      <c r="AB1719" t="s">
        <v>1278</v>
      </c>
      <c r="AC1719" t="s">
        <v>9192</v>
      </c>
      <c r="AD1719" t="s">
        <v>2708</v>
      </c>
      <c r="AE1719">
        <v>1</v>
      </c>
      <c r="AH1719" t="s">
        <v>4895</v>
      </c>
      <c r="AI1719" s="8">
        <v>45938.586527777778</v>
      </c>
      <c r="AK1719" t="s">
        <v>2719</v>
      </c>
      <c r="AL1719" t="s">
        <v>2719</v>
      </c>
      <c r="AO1719" t="s">
        <v>3644</v>
      </c>
      <c r="AP1719" t="s">
        <v>2401</v>
      </c>
    </row>
    <row r="1720" spans="1:42">
      <c r="A1720" t="s">
        <v>377</v>
      </c>
      <c r="B1720" t="s">
        <v>2377</v>
      </c>
      <c r="C1720" t="s">
        <v>2438</v>
      </c>
      <c r="D1720" t="s">
        <v>2379</v>
      </c>
      <c r="E1720" t="s">
        <v>33</v>
      </c>
      <c r="F1720" t="s">
        <v>2715</v>
      </c>
      <c r="G1720" t="s">
        <v>33</v>
      </c>
      <c r="H1720" t="b">
        <v>1</v>
      </c>
      <c r="I1720" s="8">
        <v>45938.59202546296</v>
      </c>
      <c r="J1720" t="s">
        <v>2380</v>
      </c>
      <c r="L1720">
        <v>603100</v>
      </c>
      <c r="M1720" t="s">
        <v>2381</v>
      </c>
      <c r="Q1720" t="s">
        <v>2383</v>
      </c>
      <c r="R1720">
        <v>1</v>
      </c>
      <c r="S1720" t="s">
        <v>2380</v>
      </c>
      <c r="T1720" t="s">
        <v>2383</v>
      </c>
      <c r="U1720" s="8">
        <v>45938.449120370373</v>
      </c>
      <c r="V1720" s="8">
        <v>45943.958333333336</v>
      </c>
      <c r="W1720">
        <v>1</v>
      </c>
      <c r="X1720">
        <v>0.14290509300000001</v>
      </c>
      <c r="Y1720" t="s">
        <v>4653</v>
      </c>
      <c r="Z1720" t="s">
        <v>9193</v>
      </c>
      <c r="AA1720" t="s">
        <v>1994</v>
      </c>
      <c r="AB1720" t="s">
        <v>1278</v>
      </c>
      <c r="AC1720" t="s">
        <v>9194</v>
      </c>
      <c r="AD1720" t="s">
        <v>2708</v>
      </c>
      <c r="AE1720">
        <v>1</v>
      </c>
      <c r="AH1720" t="s">
        <v>4895</v>
      </c>
      <c r="AI1720" s="8">
        <v>45938.586284722223</v>
      </c>
      <c r="AK1720" t="s">
        <v>2719</v>
      </c>
      <c r="AL1720" t="s">
        <v>2719</v>
      </c>
      <c r="AO1720" t="s">
        <v>3644</v>
      </c>
      <c r="AP1720" t="s">
        <v>2401</v>
      </c>
    </row>
    <row r="1721" spans="1:42">
      <c r="A1721" t="s">
        <v>382</v>
      </c>
      <c r="B1721" t="s">
        <v>2377</v>
      </c>
      <c r="C1721" t="s">
        <v>2438</v>
      </c>
      <c r="D1721" t="s">
        <v>2379</v>
      </c>
      <c r="E1721" t="s">
        <v>33</v>
      </c>
      <c r="F1721" t="s">
        <v>2715</v>
      </c>
      <c r="G1721" t="s">
        <v>33</v>
      </c>
      <c r="H1721" t="b">
        <v>1</v>
      </c>
      <c r="I1721" s="8">
        <v>45938.59202546296</v>
      </c>
      <c r="J1721" t="s">
        <v>2380</v>
      </c>
      <c r="L1721">
        <v>603100</v>
      </c>
      <c r="M1721" t="s">
        <v>2381</v>
      </c>
      <c r="Q1721" t="s">
        <v>2383</v>
      </c>
      <c r="R1721">
        <v>1</v>
      </c>
      <c r="S1721" t="s">
        <v>2380</v>
      </c>
      <c r="T1721" t="s">
        <v>2383</v>
      </c>
      <c r="U1721" s="8">
        <v>45938.449502314812</v>
      </c>
      <c r="V1721" s="8">
        <v>45943.958333333336</v>
      </c>
      <c r="W1721">
        <v>1</v>
      </c>
      <c r="X1721">
        <v>0.14252314799999999</v>
      </c>
      <c r="Y1721" t="s">
        <v>4653</v>
      </c>
      <c r="Z1721" t="s">
        <v>9195</v>
      </c>
      <c r="AA1721" t="s">
        <v>1994</v>
      </c>
      <c r="AB1721" t="s">
        <v>1278</v>
      </c>
      <c r="AC1721" t="s">
        <v>9196</v>
      </c>
      <c r="AD1721" t="s">
        <v>2708</v>
      </c>
      <c r="AE1721">
        <v>1</v>
      </c>
      <c r="AH1721" t="s">
        <v>4895</v>
      </c>
      <c r="AI1721" s="8">
        <v>45938.586412037039</v>
      </c>
      <c r="AK1721" t="s">
        <v>2719</v>
      </c>
      <c r="AL1721" t="s">
        <v>2719</v>
      </c>
      <c r="AO1721" t="s">
        <v>3644</v>
      </c>
      <c r="AP1721" t="s">
        <v>2401</v>
      </c>
    </row>
    <row r="1722" spans="1:42">
      <c r="A1722" t="s">
        <v>3649</v>
      </c>
      <c r="B1722" t="s">
        <v>2377</v>
      </c>
      <c r="C1722" t="s">
        <v>2378</v>
      </c>
      <c r="D1722" t="s">
        <v>2379</v>
      </c>
      <c r="E1722" t="s">
        <v>12</v>
      </c>
      <c r="F1722" t="s">
        <v>2588</v>
      </c>
      <c r="G1722" t="s">
        <v>12</v>
      </c>
      <c r="H1722" t="b">
        <v>1</v>
      </c>
      <c r="I1722" s="8">
        <v>45943.513310185182</v>
      </c>
      <c r="J1722" t="s">
        <v>2380</v>
      </c>
      <c r="L1722">
        <v>603950</v>
      </c>
      <c r="M1722" t="s">
        <v>2381</v>
      </c>
      <c r="P1722" t="s">
        <v>2394</v>
      </c>
      <c r="Q1722" t="s">
        <v>2383</v>
      </c>
      <c r="R1722">
        <v>1</v>
      </c>
      <c r="S1722" t="s">
        <v>2380</v>
      </c>
      <c r="T1722" t="s">
        <v>2383</v>
      </c>
      <c r="U1722" s="8">
        <v>45938.458518518521</v>
      </c>
      <c r="V1722" s="8">
        <v>45943.958333333336</v>
      </c>
      <c r="W1722">
        <v>1</v>
      </c>
      <c r="X1722">
        <v>3.0547916669999999</v>
      </c>
      <c r="Y1722" t="s">
        <v>2579</v>
      </c>
      <c r="Z1722" t="s">
        <v>3650</v>
      </c>
      <c r="AA1722" t="s">
        <v>3647</v>
      </c>
      <c r="AB1722" t="s">
        <v>1278</v>
      </c>
      <c r="AC1722" t="s">
        <v>3651</v>
      </c>
      <c r="AE1722">
        <v>1</v>
      </c>
      <c r="AO1722" t="s">
        <v>3644</v>
      </c>
      <c r="AP1722" t="s">
        <v>2401</v>
      </c>
    </row>
    <row r="1723" spans="1:42">
      <c r="A1723" t="s">
        <v>10001</v>
      </c>
      <c r="B1723" t="s">
        <v>2389</v>
      </c>
      <c r="C1723" t="s">
        <v>2378</v>
      </c>
      <c r="D1723" t="s">
        <v>2379</v>
      </c>
      <c r="E1723" t="s">
        <v>24</v>
      </c>
      <c r="F1723" t="s">
        <v>4644</v>
      </c>
      <c r="G1723" t="s">
        <v>24</v>
      </c>
      <c r="H1723" t="b">
        <v>1</v>
      </c>
      <c r="I1723" s="8">
        <v>45943.466215277775</v>
      </c>
      <c r="J1723" t="s">
        <v>2380</v>
      </c>
      <c r="L1723">
        <v>603773</v>
      </c>
      <c r="M1723" t="s">
        <v>2381</v>
      </c>
      <c r="P1723" t="s">
        <v>2394</v>
      </c>
      <c r="Q1723" t="s">
        <v>2383</v>
      </c>
      <c r="R1723">
        <v>1</v>
      </c>
      <c r="S1723" t="s">
        <v>2380</v>
      </c>
      <c r="T1723" t="s">
        <v>2383</v>
      </c>
      <c r="U1723" s="8">
        <v>45938.461261574077</v>
      </c>
      <c r="V1723" s="8">
        <v>45943.958333333336</v>
      </c>
      <c r="W1723">
        <v>1</v>
      </c>
      <c r="X1723">
        <v>3.0049537040000001</v>
      </c>
      <c r="Y1723" t="s">
        <v>3578</v>
      </c>
      <c r="Z1723" t="s">
        <v>10002</v>
      </c>
      <c r="AA1723" t="s">
        <v>4647</v>
      </c>
      <c r="AB1723" t="s">
        <v>1278</v>
      </c>
      <c r="AC1723" t="s">
        <v>2437</v>
      </c>
      <c r="AE1723">
        <v>1</v>
      </c>
      <c r="AO1723" t="s">
        <v>2957</v>
      </c>
      <c r="AP1723" t="s">
        <v>2401</v>
      </c>
    </row>
    <row r="1724" spans="1:42">
      <c r="A1724" t="s">
        <v>3785</v>
      </c>
      <c r="B1724" t="s">
        <v>2377</v>
      </c>
      <c r="C1724" t="s">
        <v>2378</v>
      </c>
      <c r="D1724" t="s">
        <v>2379</v>
      </c>
      <c r="E1724" t="s">
        <v>307</v>
      </c>
      <c r="F1724" t="s">
        <v>3747</v>
      </c>
      <c r="G1724" t="s">
        <v>307</v>
      </c>
      <c r="H1724" t="b">
        <v>1</v>
      </c>
      <c r="I1724" s="8">
        <v>45941.659884259258</v>
      </c>
      <c r="J1724" t="s">
        <v>2380</v>
      </c>
      <c r="L1724">
        <v>601590</v>
      </c>
      <c r="M1724" t="s">
        <v>2381</v>
      </c>
      <c r="P1724" t="s">
        <v>2394</v>
      </c>
      <c r="Q1724" t="s">
        <v>2383</v>
      </c>
      <c r="R1724">
        <v>1</v>
      </c>
      <c r="S1724" t="s">
        <v>2380</v>
      </c>
      <c r="T1724" t="s">
        <v>2383</v>
      </c>
      <c r="U1724" s="8">
        <v>45938.465567129628</v>
      </c>
      <c r="V1724" s="8">
        <v>45943.958333333336</v>
      </c>
      <c r="W1724">
        <v>1</v>
      </c>
      <c r="X1724">
        <v>3.1943171299999999</v>
      </c>
      <c r="Y1724" t="s">
        <v>3748</v>
      </c>
      <c r="Z1724" t="s">
        <v>3786</v>
      </c>
      <c r="AA1724" t="s">
        <v>3771</v>
      </c>
      <c r="AB1724" t="s">
        <v>1278</v>
      </c>
      <c r="AC1724" t="s">
        <v>3787</v>
      </c>
      <c r="AE1724">
        <v>1</v>
      </c>
      <c r="AO1724" t="s">
        <v>2712</v>
      </c>
      <c r="AP1724" t="s">
        <v>2401</v>
      </c>
    </row>
    <row r="1725" spans="1:42">
      <c r="A1725" t="s">
        <v>4026</v>
      </c>
      <c r="B1725" t="s">
        <v>2389</v>
      </c>
      <c r="C1725" t="s">
        <v>2415</v>
      </c>
      <c r="D1725" t="s">
        <v>2379</v>
      </c>
      <c r="E1725" t="s">
        <v>33</v>
      </c>
      <c r="F1725" t="s">
        <v>3747</v>
      </c>
      <c r="G1725" t="s">
        <v>33</v>
      </c>
      <c r="H1725" t="b">
        <v>1</v>
      </c>
      <c r="I1725" s="8">
        <v>45940.438240740739</v>
      </c>
      <c r="J1725" t="s">
        <v>2380</v>
      </c>
      <c r="K1725">
        <v>1201491</v>
      </c>
      <c r="L1725">
        <v>602272</v>
      </c>
      <c r="M1725" t="s">
        <v>2381</v>
      </c>
      <c r="P1725" t="s">
        <v>2394</v>
      </c>
      <c r="Q1725" t="s">
        <v>2383</v>
      </c>
      <c r="R1725">
        <v>1</v>
      </c>
      <c r="S1725" t="s">
        <v>2380</v>
      </c>
      <c r="T1725" t="s">
        <v>2383</v>
      </c>
      <c r="U1725" s="8">
        <v>45938.473935185182</v>
      </c>
      <c r="V1725" s="8">
        <v>45943.958333333336</v>
      </c>
      <c r="W1725">
        <v>1</v>
      </c>
      <c r="X1725">
        <v>1.964305556</v>
      </c>
      <c r="Y1725" t="s">
        <v>3748</v>
      </c>
      <c r="Z1725" t="s">
        <v>4027</v>
      </c>
      <c r="AA1725" t="s">
        <v>3824</v>
      </c>
      <c r="AB1725" t="s">
        <v>1278</v>
      </c>
      <c r="AC1725" t="s">
        <v>4028</v>
      </c>
      <c r="AD1725" t="s">
        <v>2708</v>
      </c>
      <c r="AE1725">
        <v>1</v>
      </c>
      <c r="AO1725" t="s">
        <v>2712</v>
      </c>
      <c r="AP1725" t="s">
        <v>2401</v>
      </c>
    </row>
    <row r="1726" spans="1:42">
      <c r="A1726" t="s">
        <v>9038</v>
      </c>
      <c r="B1726" t="s">
        <v>2389</v>
      </c>
      <c r="C1726" t="s">
        <v>2378</v>
      </c>
      <c r="D1726" t="s">
        <v>2379</v>
      </c>
      <c r="E1726" t="s">
        <v>25</v>
      </c>
      <c r="F1726" t="s">
        <v>2541</v>
      </c>
      <c r="G1726" t="s">
        <v>25</v>
      </c>
      <c r="H1726" t="b">
        <v>1</v>
      </c>
      <c r="I1726" s="8">
        <v>45943.654722222222</v>
      </c>
      <c r="J1726" t="s">
        <v>2380</v>
      </c>
      <c r="K1726">
        <v>1201934</v>
      </c>
      <c r="L1726">
        <v>608398</v>
      </c>
      <c r="M1726" t="s">
        <v>2381</v>
      </c>
      <c r="N1726">
        <v>5</v>
      </c>
      <c r="P1726" t="s">
        <v>2548</v>
      </c>
      <c r="Q1726" t="s">
        <v>2383</v>
      </c>
      <c r="R1726">
        <v>1</v>
      </c>
      <c r="S1726" t="s">
        <v>2380</v>
      </c>
      <c r="T1726" t="s">
        <v>2383</v>
      </c>
      <c r="U1726" s="8">
        <v>45938.482708333337</v>
      </c>
      <c r="V1726" s="8">
        <v>45943.958333333336</v>
      </c>
      <c r="W1726">
        <v>1</v>
      </c>
      <c r="X1726">
        <v>3.172013889</v>
      </c>
      <c r="Y1726" t="s">
        <v>2542</v>
      </c>
      <c r="Z1726" t="s">
        <v>9039</v>
      </c>
      <c r="AA1726" t="s">
        <v>2917</v>
      </c>
      <c r="AB1726" t="s">
        <v>1278</v>
      </c>
      <c r="AC1726" t="s">
        <v>9040</v>
      </c>
      <c r="AD1726" t="s">
        <v>2708</v>
      </c>
      <c r="AE1726">
        <v>1</v>
      </c>
      <c r="AH1726" t="s">
        <v>33</v>
      </c>
      <c r="AI1726" s="8">
        <v>45943.636712962965</v>
      </c>
      <c r="AK1726" t="s">
        <v>2719</v>
      </c>
      <c r="AL1726" t="s">
        <v>2719</v>
      </c>
      <c r="AO1726" t="s">
        <v>2547</v>
      </c>
      <c r="AP1726" t="s">
        <v>2401</v>
      </c>
    </row>
    <row r="1727" spans="1:42">
      <c r="A1727" t="s">
        <v>388</v>
      </c>
      <c r="B1727" t="s">
        <v>2377</v>
      </c>
      <c r="C1727" t="s">
        <v>2438</v>
      </c>
      <c r="D1727" t="s">
        <v>2379</v>
      </c>
      <c r="E1727" t="s">
        <v>11</v>
      </c>
      <c r="F1727" t="s">
        <v>2409</v>
      </c>
      <c r="G1727" t="s">
        <v>11</v>
      </c>
      <c r="H1727" t="b">
        <v>1</v>
      </c>
      <c r="I1727" s="8">
        <v>45939.46947916667</v>
      </c>
      <c r="J1727" t="s">
        <v>2380</v>
      </c>
      <c r="L1727">
        <v>608028</v>
      </c>
      <c r="M1727" t="s">
        <v>2381</v>
      </c>
      <c r="Q1727" t="s">
        <v>2383</v>
      </c>
      <c r="R1727">
        <v>1</v>
      </c>
      <c r="S1727" t="s">
        <v>2380</v>
      </c>
      <c r="T1727" t="s">
        <v>2383</v>
      </c>
      <c r="U1727" s="8">
        <v>45938.493136574078</v>
      </c>
      <c r="V1727" s="8">
        <v>45943.958333333336</v>
      </c>
      <c r="W1727">
        <v>1</v>
      </c>
      <c r="X1727">
        <v>0.97634259300000004</v>
      </c>
      <c r="Y1727" t="s">
        <v>2410</v>
      </c>
      <c r="Z1727" t="s">
        <v>9211</v>
      </c>
      <c r="AA1727" t="s">
        <v>8806</v>
      </c>
      <c r="AB1727" t="s">
        <v>1278</v>
      </c>
      <c r="AC1727" t="s">
        <v>9212</v>
      </c>
      <c r="AD1727" t="s">
        <v>2708</v>
      </c>
      <c r="AE1727">
        <v>1</v>
      </c>
      <c r="AH1727" t="s">
        <v>11</v>
      </c>
      <c r="AI1727" s="8">
        <v>45938.505254629628</v>
      </c>
      <c r="AK1727" t="s">
        <v>2719</v>
      </c>
      <c r="AL1727" t="s">
        <v>2719</v>
      </c>
      <c r="AO1727" t="s">
        <v>3644</v>
      </c>
      <c r="AP1727" t="s">
        <v>2401</v>
      </c>
    </row>
    <row r="1728" spans="1:42">
      <c r="A1728" t="s">
        <v>2932</v>
      </c>
      <c r="B1728" t="s">
        <v>2389</v>
      </c>
      <c r="C1728" t="s">
        <v>2438</v>
      </c>
      <c r="D1728" t="s">
        <v>2379</v>
      </c>
      <c r="E1728" t="s">
        <v>2452</v>
      </c>
      <c r="F1728" t="s">
        <v>2541</v>
      </c>
      <c r="G1728" t="s">
        <v>2452</v>
      </c>
      <c r="H1728" t="b">
        <v>1</v>
      </c>
      <c r="I1728" s="8">
        <v>45938.655381944445</v>
      </c>
      <c r="J1728" t="s">
        <v>2380</v>
      </c>
      <c r="L1728">
        <v>601353</v>
      </c>
      <c r="M1728" t="s">
        <v>2381</v>
      </c>
      <c r="Q1728" t="s">
        <v>2383</v>
      </c>
      <c r="R1728">
        <v>1</v>
      </c>
      <c r="S1728" t="s">
        <v>2380</v>
      </c>
      <c r="T1728" t="s">
        <v>2383</v>
      </c>
      <c r="U1728" s="8">
        <v>45938.495462962965</v>
      </c>
      <c r="V1728" s="8">
        <v>45943.958333333336</v>
      </c>
      <c r="W1728">
        <v>1</v>
      </c>
      <c r="X1728">
        <v>0.15991898099999999</v>
      </c>
      <c r="Y1728" t="s">
        <v>2542</v>
      </c>
      <c r="Z1728" t="s">
        <v>2933</v>
      </c>
      <c r="AA1728" t="s">
        <v>2934</v>
      </c>
      <c r="AB1728" t="s">
        <v>1278</v>
      </c>
      <c r="AC1728" t="s">
        <v>2935</v>
      </c>
      <c r="AE1728">
        <v>1</v>
      </c>
      <c r="AO1728" t="s">
        <v>2547</v>
      </c>
      <c r="AP1728" t="s">
        <v>2401</v>
      </c>
    </row>
    <row r="1729" spans="1:42">
      <c r="A1729" t="s">
        <v>6040</v>
      </c>
      <c r="B1729" t="s">
        <v>2389</v>
      </c>
      <c r="C1729" t="s">
        <v>2438</v>
      </c>
      <c r="D1729" t="s">
        <v>2379</v>
      </c>
      <c r="E1729" t="s">
        <v>2452</v>
      </c>
      <c r="F1729" t="s">
        <v>2541</v>
      </c>
      <c r="G1729" t="s">
        <v>2452</v>
      </c>
      <c r="H1729" t="b">
        <v>1</v>
      </c>
      <c r="I1729" s="8">
        <v>45938.507928240739</v>
      </c>
      <c r="J1729" t="s">
        <v>2380</v>
      </c>
      <c r="K1729">
        <v>1200861</v>
      </c>
      <c r="L1729">
        <v>601353</v>
      </c>
      <c r="M1729" t="s">
        <v>2381</v>
      </c>
      <c r="Q1729" t="s">
        <v>2383</v>
      </c>
      <c r="R1729">
        <v>1</v>
      </c>
      <c r="S1729" t="s">
        <v>2380</v>
      </c>
      <c r="T1729" t="s">
        <v>2383</v>
      </c>
      <c r="U1729" s="8">
        <v>45938.499467592592</v>
      </c>
      <c r="V1729" s="8">
        <v>45943.958333333336</v>
      </c>
      <c r="W1729">
        <v>1</v>
      </c>
      <c r="X1729">
        <v>8.4606479999999994E-3</v>
      </c>
      <c r="Y1729" t="s">
        <v>2542</v>
      </c>
      <c r="Z1729" t="s">
        <v>6041</v>
      </c>
      <c r="AA1729" t="s">
        <v>2934</v>
      </c>
      <c r="AB1729" t="s">
        <v>1278</v>
      </c>
      <c r="AC1729" t="s">
        <v>6042</v>
      </c>
      <c r="AD1729" t="s">
        <v>2708</v>
      </c>
      <c r="AE1729">
        <v>1</v>
      </c>
      <c r="AO1729" t="s">
        <v>2547</v>
      </c>
      <c r="AP1729" t="s">
        <v>2401</v>
      </c>
    </row>
    <row r="1730" spans="1:42">
      <c r="A1730" t="s">
        <v>6821</v>
      </c>
      <c r="B1730" t="s">
        <v>2389</v>
      </c>
      <c r="C1730" t="s">
        <v>2415</v>
      </c>
      <c r="D1730" t="s">
        <v>2379</v>
      </c>
      <c r="E1730" t="s">
        <v>2601</v>
      </c>
      <c r="F1730">
        <v>6394</v>
      </c>
      <c r="G1730" t="s">
        <v>2601</v>
      </c>
      <c r="H1730" t="b">
        <v>1</v>
      </c>
      <c r="I1730" s="8">
        <v>45939.54928240741</v>
      </c>
      <c r="J1730" t="s">
        <v>2380</v>
      </c>
      <c r="K1730">
        <v>1201328</v>
      </c>
      <c r="L1730">
        <v>605023</v>
      </c>
      <c r="M1730" t="s">
        <v>2381</v>
      </c>
      <c r="P1730" t="s">
        <v>2394</v>
      </c>
      <c r="Q1730" t="s">
        <v>2383</v>
      </c>
      <c r="R1730">
        <v>1</v>
      </c>
      <c r="S1730" t="s">
        <v>2380</v>
      </c>
      <c r="T1730" t="s">
        <v>2383</v>
      </c>
      <c r="U1730" s="8">
        <v>45938.517604166664</v>
      </c>
      <c r="V1730" s="8">
        <v>45943.958333333336</v>
      </c>
      <c r="W1730">
        <v>1</v>
      </c>
      <c r="X1730">
        <v>1.0316782410000001</v>
      </c>
      <c r="Y1730" t="s">
        <v>3241</v>
      </c>
      <c r="Z1730" t="s">
        <v>6822</v>
      </c>
      <c r="AA1730" t="s">
        <v>6823</v>
      </c>
      <c r="AB1730" t="s">
        <v>1278</v>
      </c>
      <c r="AC1730" t="s">
        <v>6824</v>
      </c>
      <c r="AD1730" t="s">
        <v>2708</v>
      </c>
      <c r="AE1730">
        <v>1</v>
      </c>
      <c r="AO1730" t="s">
        <v>2388</v>
      </c>
      <c r="AP1730" t="s">
        <v>2401</v>
      </c>
    </row>
    <row r="1731" spans="1:42">
      <c r="A1731" t="s">
        <v>8024</v>
      </c>
      <c r="B1731" t="s">
        <v>2389</v>
      </c>
      <c r="C1731" t="s">
        <v>2438</v>
      </c>
      <c r="D1731" t="s">
        <v>2379</v>
      </c>
      <c r="E1731" t="s">
        <v>8023</v>
      </c>
      <c r="F1731" t="s">
        <v>2588</v>
      </c>
      <c r="G1731" t="s">
        <v>8023</v>
      </c>
      <c r="H1731" t="b">
        <v>1</v>
      </c>
      <c r="I1731" s="8">
        <v>45938.60900462963</v>
      </c>
      <c r="J1731" t="s">
        <v>2942</v>
      </c>
      <c r="K1731">
        <v>1200866</v>
      </c>
      <c r="L1731">
        <v>607227</v>
      </c>
      <c r="M1731" t="s">
        <v>2381</v>
      </c>
      <c r="Q1731" t="s">
        <v>2943</v>
      </c>
      <c r="R1731">
        <v>1</v>
      </c>
      <c r="S1731" t="s">
        <v>2942</v>
      </c>
      <c r="T1731" t="s">
        <v>2383</v>
      </c>
      <c r="U1731" s="8">
        <v>45938.518576388888</v>
      </c>
      <c r="V1731" s="8">
        <v>45939.958333333336</v>
      </c>
      <c r="W1731">
        <v>1</v>
      </c>
      <c r="X1731">
        <v>9.0428241000000006E-2</v>
      </c>
      <c r="Y1731" t="s">
        <v>2579</v>
      </c>
      <c r="Z1731" t="s">
        <v>8025</v>
      </c>
      <c r="AA1731" t="s">
        <v>8026</v>
      </c>
      <c r="AB1731" t="s">
        <v>1278</v>
      </c>
      <c r="AC1731" t="s">
        <v>8027</v>
      </c>
      <c r="AD1731" t="s">
        <v>2708</v>
      </c>
      <c r="AE1731">
        <v>1</v>
      </c>
      <c r="AO1731" t="s">
        <v>2949</v>
      </c>
      <c r="AP1731" t="s">
        <v>2401</v>
      </c>
    </row>
    <row r="1732" spans="1:42">
      <c r="A1732" t="s">
        <v>4199</v>
      </c>
      <c r="B1732" t="s">
        <v>2377</v>
      </c>
      <c r="C1732" t="s">
        <v>2438</v>
      </c>
      <c r="D1732" t="s">
        <v>2379</v>
      </c>
      <c r="E1732" t="s">
        <v>379</v>
      </c>
      <c r="F1732" t="s">
        <v>2457</v>
      </c>
      <c r="G1732" t="s">
        <v>379</v>
      </c>
      <c r="H1732" t="b">
        <v>1</v>
      </c>
      <c r="I1732" s="8">
        <v>45938.542291666665</v>
      </c>
      <c r="J1732" t="s">
        <v>2380</v>
      </c>
      <c r="L1732">
        <v>602835</v>
      </c>
      <c r="M1732" t="s">
        <v>2381</v>
      </c>
      <c r="Q1732" t="s">
        <v>2383</v>
      </c>
      <c r="R1732">
        <v>1</v>
      </c>
      <c r="S1732" t="s">
        <v>2380</v>
      </c>
      <c r="T1732" t="s">
        <v>2383</v>
      </c>
      <c r="U1732" s="8">
        <v>45938.524224537039</v>
      </c>
      <c r="V1732" s="8">
        <v>45943.958333333336</v>
      </c>
      <c r="W1732">
        <v>1</v>
      </c>
      <c r="X1732">
        <v>1.8067130000000001E-2</v>
      </c>
      <c r="Y1732" t="s">
        <v>2403</v>
      </c>
      <c r="Z1732" t="s">
        <v>4200</v>
      </c>
      <c r="AA1732" t="s">
        <v>4201</v>
      </c>
      <c r="AB1732" t="s">
        <v>1278</v>
      </c>
      <c r="AC1732" t="s">
        <v>4202</v>
      </c>
      <c r="AD1732" t="s">
        <v>2708</v>
      </c>
      <c r="AE1732">
        <v>1</v>
      </c>
      <c r="AO1732" t="s">
        <v>2408</v>
      </c>
      <c r="AP1732" t="s">
        <v>2401</v>
      </c>
    </row>
    <row r="1733" spans="1:42">
      <c r="A1733" t="s">
        <v>10170</v>
      </c>
      <c r="B1733" t="s">
        <v>2377</v>
      </c>
      <c r="C1733" t="s">
        <v>2438</v>
      </c>
      <c r="D1733" t="s">
        <v>2379</v>
      </c>
      <c r="E1733" t="s">
        <v>10169</v>
      </c>
      <c r="F1733">
        <v>4227</v>
      </c>
      <c r="G1733" t="s">
        <v>24</v>
      </c>
      <c r="H1733" t="b">
        <v>1</v>
      </c>
      <c r="I1733" s="8">
        <v>45938.609814814816</v>
      </c>
      <c r="J1733" t="s">
        <v>2380</v>
      </c>
      <c r="L1733">
        <v>604477</v>
      </c>
      <c r="M1733" t="s">
        <v>2381</v>
      </c>
      <c r="Q1733" t="s">
        <v>2395</v>
      </c>
      <c r="R1733">
        <v>1</v>
      </c>
      <c r="S1733" t="s">
        <v>2380</v>
      </c>
      <c r="T1733" t="s">
        <v>2383</v>
      </c>
      <c r="U1733" s="8">
        <v>45938.527418981481</v>
      </c>
      <c r="V1733" s="8">
        <v>45943.958333333336</v>
      </c>
      <c r="W1733">
        <v>1</v>
      </c>
      <c r="X1733">
        <v>8.2395833000000002E-2</v>
      </c>
      <c r="Y1733" t="s">
        <v>4558</v>
      </c>
      <c r="Z1733" t="s">
        <v>10171</v>
      </c>
      <c r="AA1733" t="s">
        <v>8120</v>
      </c>
      <c r="AB1733" t="s">
        <v>1278</v>
      </c>
      <c r="AE1733">
        <v>1</v>
      </c>
      <c r="AO1733" t="s">
        <v>4137</v>
      </c>
      <c r="AP1733" t="s">
        <v>2401</v>
      </c>
    </row>
    <row r="1734" spans="1:42">
      <c r="A1734" t="s">
        <v>5299</v>
      </c>
      <c r="B1734" t="s">
        <v>2389</v>
      </c>
      <c r="C1734" t="s">
        <v>2438</v>
      </c>
      <c r="D1734" t="s">
        <v>2379</v>
      </c>
      <c r="E1734" t="s">
        <v>2439</v>
      </c>
      <c r="F1734" t="s">
        <v>2409</v>
      </c>
      <c r="G1734" t="s">
        <v>2439</v>
      </c>
      <c r="H1734" t="b">
        <v>1</v>
      </c>
      <c r="I1734" s="8">
        <v>45938.579907407409</v>
      </c>
      <c r="J1734" t="s">
        <v>2380</v>
      </c>
      <c r="K1734">
        <v>1200865</v>
      </c>
      <c r="L1734">
        <v>603109</v>
      </c>
      <c r="M1734" t="s">
        <v>2381</v>
      </c>
      <c r="Q1734" t="s">
        <v>2383</v>
      </c>
      <c r="R1734">
        <v>1</v>
      </c>
      <c r="S1734" t="s">
        <v>2380</v>
      </c>
      <c r="T1734" t="s">
        <v>2383</v>
      </c>
      <c r="U1734" s="8">
        <v>45938.533750000002</v>
      </c>
      <c r="V1734" s="8">
        <v>45943.958333333336</v>
      </c>
      <c r="W1734">
        <v>1</v>
      </c>
      <c r="X1734">
        <v>4.6157406999999998E-2</v>
      </c>
      <c r="Y1734" t="s">
        <v>2410</v>
      </c>
      <c r="Z1734" t="s">
        <v>5300</v>
      </c>
      <c r="AA1734" t="s">
        <v>1305</v>
      </c>
      <c r="AB1734" t="s">
        <v>1278</v>
      </c>
      <c r="AC1734" t="s">
        <v>5301</v>
      </c>
      <c r="AD1734" t="s">
        <v>2708</v>
      </c>
      <c r="AE1734">
        <v>1</v>
      </c>
      <c r="AO1734" t="s">
        <v>2408</v>
      </c>
      <c r="AP1734" t="s">
        <v>2401</v>
      </c>
    </row>
    <row r="1735" spans="1:42">
      <c r="A1735" t="s">
        <v>3801</v>
      </c>
      <c r="B1735" t="s">
        <v>2377</v>
      </c>
      <c r="C1735" t="s">
        <v>2390</v>
      </c>
      <c r="D1735" t="s">
        <v>2379</v>
      </c>
      <c r="E1735" t="s">
        <v>2416</v>
      </c>
      <c r="F1735" t="s">
        <v>3747</v>
      </c>
      <c r="G1735" t="s">
        <v>2416</v>
      </c>
      <c r="H1735" t="b">
        <v>1</v>
      </c>
      <c r="I1735" s="8">
        <v>45940.712175925924</v>
      </c>
      <c r="J1735" t="s">
        <v>2380</v>
      </c>
      <c r="L1735">
        <v>609714</v>
      </c>
      <c r="M1735" t="s">
        <v>2381</v>
      </c>
      <c r="Q1735" t="s">
        <v>2383</v>
      </c>
      <c r="R1735">
        <v>1</v>
      </c>
      <c r="S1735" t="s">
        <v>2380</v>
      </c>
      <c r="T1735" t="s">
        <v>2383</v>
      </c>
      <c r="U1735" s="8">
        <v>45938.535856481481</v>
      </c>
      <c r="V1735" s="8">
        <v>45943.958333333336</v>
      </c>
      <c r="W1735">
        <v>1</v>
      </c>
      <c r="X1735">
        <v>2.1763194440000002</v>
      </c>
      <c r="Y1735" t="s">
        <v>3748</v>
      </c>
      <c r="Z1735" t="s">
        <v>3802</v>
      </c>
      <c r="AA1735" t="s">
        <v>3803</v>
      </c>
      <c r="AB1735" t="s">
        <v>1278</v>
      </c>
      <c r="AC1735" t="s">
        <v>3804</v>
      </c>
      <c r="AE1735">
        <v>1</v>
      </c>
      <c r="AO1735" t="s">
        <v>2712</v>
      </c>
      <c r="AP1735" t="s">
        <v>2401</v>
      </c>
    </row>
    <row r="1736" spans="1:42">
      <c r="A1736" t="s">
        <v>5079</v>
      </c>
      <c r="B1736" t="s">
        <v>2389</v>
      </c>
      <c r="C1736" t="s">
        <v>2415</v>
      </c>
      <c r="D1736" t="s">
        <v>2379</v>
      </c>
      <c r="E1736" t="s">
        <v>33</v>
      </c>
      <c r="F1736" t="s">
        <v>3747</v>
      </c>
      <c r="G1736" t="s">
        <v>33</v>
      </c>
      <c r="H1736" t="b">
        <v>1</v>
      </c>
      <c r="I1736" s="8">
        <v>45940.44021990741</v>
      </c>
      <c r="J1736" t="s">
        <v>2380</v>
      </c>
      <c r="K1736">
        <v>1201492</v>
      </c>
      <c r="L1736">
        <v>602272</v>
      </c>
      <c r="M1736" t="s">
        <v>2381</v>
      </c>
      <c r="P1736" t="s">
        <v>2394</v>
      </c>
      <c r="Q1736" t="s">
        <v>2383</v>
      </c>
      <c r="R1736">
        <v>1</v>
      </c>
      <c r="S1736" t="s">
        <v>2380</v>
      </c>
      <c r="T1736" t="s">
        <v>2383</v>
      </c>
      <c r="U1736" s="8">
        <v>45938.578784722224</v>
      </c>
      <c r="V1736" s="8">
        <v>45943.958333333336</v>
      </c>
      <c r="W1736">
        <v>1</v>
      </c>
      <c r="X1736">
        <v>1.8614351849999999</v>
      </c>
      <c r="Y1736" t="s">
        <v>3748</v>
      </c>
      <c r="Z1736" t="s">
        <v>5080</v>
      </c>
      <c r="AA1736" t="s">
        <v>3824</v>
      </c>
      <c r="AB1736" t="s">
        <v>1278</v>
      </c>
      <c r="AC1736" t="s">
        <v>5081</v>
      </c>
      <c r="AD1736" t="s">
        <v>2708</v>
      </c>
      <c r="AE1736">
        <v>1</v>
      </c>
      <c r="AG1736" t="s">
        <v>5075</v>
      </c>
      <c r="AO1736" t="s">
        <v>2712</v>
      </c>
      <c r="AP1736" t="s">
        <v>2401</v>
      </c>
    </row>
    <row r="1737" spans="1:42">
      <c r="A1737" t="s">
        <v>7015</v>
      </c>
      <c r="B1737" t="s">
        <v>2389</v>
      </c>
      <c r="C1737" t="s">
        <v>2390</v>
      </c>
      <c r="D1737" t="s">
        <v>2379</v>
      </c>
      <c r="E1737" t="s">
        <v>2452</v>
      </c>
      <c r="F1737">
        <v>6363</v>
      </c>
      <c r="G1737" t="s">
        <v>2452</v>
      </c>
      <c r="H1737" t="b">
        <v>1</v>
      </c>
      <c r="I1737" s="8">
        <v>45943.436747685184</v>
      </c>
      <c r="J1737" t="s">
        <v>2380</v>
      </c>
      <c r="K1737">
        <v>1201771</v>
      </c>
      <c r="L1737">
        <v>603569</v>
      </c>
      <c r="M1737" t="s">
        <v>2381</v>
      </c>
      <c r="P1737" t="s">
        <v>2394</v>
      </c>
      <c r="Q1737" t="s">
        <v>2383</v>
      </c>
      <c r="R1737">
        <v>1</v>
      </c>
      <c r="S1737" t="s">
        <v>2380</v>
      </c>
      <c r="T1737" t="s">
        <v>2383</v>
      </c>
      <c r="U1737" s="8">
        <v>45938.579502314817</v>
      </c>
      <c r="V1737" s="8">
        <v>45943.958333333336</v>
      </c>
      <c r="W1737">
        <v>1</v>
      </c>
      <c r="X1737">
        <v>2.8572453699999998</v>
      </c>
      <c r="Y1737" t="s">
        <v>4491</v>
      </c>
      <c r="Z1737" t="s">
        <v>7016</v>
      </c>
      <c r="AA1737" t="s">
        <v>4494</v>
      </c>
      <c r="AB1737" t="s">
        <v>1278</v>
      </c>
      <c r="AC1737" t="s">
        <v>7017</v>
      </c>
      <c r="AD1737" t="s">
        <v>2708</v>
      </c>
      <c r="AE1737">
        <v>1</v>
      </c>
      <c r="AO1737" t="s">
        <v>2388</v>
      </c>
      <c r="AP1737" t="s">
        <v>2401</v>
      </c>
    </row>
    <row r="1738" spans="1:42">
      <c r="A1738" t="s">
        <v>591</v>
      </c>
      <c r="B1738" t="s">
        <v>2377</v>
      </c>
      <c r="C1738" t="s">
        <v>2443</v>
      </c>
      <c r="D1738" t="s">
        <v>2443</v>
      </c>
      <c r="E1738" t="s">
        <v>33</v>
      </c>
      <c r="F1738" t="s">
        <v>2431</v>
      </c>
      <c r="G1738" t="s">
        <v>33</v>
      </c>
      <c r="H1738" t="b">
        <v>1</v>
      </c>
      <c r="I1738" s="8">
        <v>45944.404282407406</v>
      </c>
      <c r="J1738" t="s">
        <v>2380</v>
      </c>
      <c r="L1738">
        <v>609819</v>
      </c>
      <c r="M1738" t="s">
        <v>2381</v>
      </c>
      <c r="Q1738" t="s">
        <v>2383</v>
      </c>
      <c r="R1738">
        <v>1</v>
      </c>
      <c r="S1738" t="s">
        <v>2380</v>
      </c>
      <c r="T1738" t="s">
        <v>2383</v>
      </c>
      <c r="U1738" s="8">
        <v>45938.58121527778</v>
      </c>
      <c r="V1738" s="8">
        <v>45943.958333333336</v>
      </c>
      <c r="W1738">
        <v>1</v>
      </c>
      <c r="X1738">
        <v>3.8230671300000001</v>
      </c>
      <c r="Y1738" t="s">
        <v>2433</v>
      </c>
      <c r="Z1738" t="s">
        <v>5220</v>
      </c>
      <c r="AA1738" t="s">
        <v>4192</v>
      </c>
      <c r="AB1738" t="s">
        <v>1278</v>
      </c>
      <c r="AD1738" t="s">
        <v>2708</v>
      </c>
      <c r="AE1738">
        <v>1</v>
      </c>
      <c r="AH1738" t="s">
        <v>33</v>
      </c>
      <c r="AI1738" s="8">
        <v>45943.637835648151</v>
      </c>
      <c r="AK1738" t="s">
        <v>2719</v>
      </c>
      <c r="AL1738" t="s">
        <v>2719</v>
      </c>
      <c r="AO1738" t="s">
        <v>2408</v>
      </c>
      <c r="AP1738" t="s">
        <v>2401</v>
      </c>
    </row>
    <row r="1739" spans="1:42">
      <c r="A1739" t="s">
        <v>2936</v>
      </c>
      <c r="B1739" t="s">
        <v>2389</v>
      </c>
      <c r="C1739" t="s">
        <v>2438</v>
      </c>
      <c r="D1739" t="s">
        <v>2379</v>
      </c>
      <c r="E1739" t="s">
        <v>2452</v>
      </c>
      <c r="F1739" t="s">
        <v>2541</v>
      </c>
      <c r="G1739" t="s">
        <v>2452</v>
      </c>
      <c r="H1739" t="b">
        <v>1</v>
      </c>
      <c r="I1739" s="8">
        <v>45938.593946759262</v>
      </c>
      <c r="J1739" t="s">
        <v>2380</v>
      </c>
      <c r="L1739">
        <v>608399</v>
      </c>
      <c r="M1739" t="s">
        <v>2381</v>
      </c>
      <c r="Q1739" t="s">
        <v>2383</v>
      </c>
      <c r="R1739">
        <v>1</v>
      </c>
      <c r="S1739" t="s">
        <v>2380</v>
      </c>
      <c r="T1739" t="s">
        <v>2383</v>
      </c>
      <c r="U1739" s="8">
        <v>45938.584120370368</v>
      </c>
      <c r="V1739" s="8">
        <v>45943.958333333336</v>
      </c>
      <c r="W1739">
        <v>1</v>
      </c>
      <c r="X1739">
        <v>9.8263889999999996E-3</v>
      </c>
      <c r="Y1739" t="s">
        <v>2542</v>
      </c>
      <c r="Z1739" t="s">
        <v>2937</v>
      </c>
      <c r="AA1739" t="s">
        <v>2576</v>
      </c>
      <c r="AB1739" t="s">
        <v>1278</v>
      </c>
      <c r="AC1739" t="s">
        <v>2938</v>
      </c>
      <c r="AE1739">
        <v>1</v>
      </c>
      <c r="AO1739" t="s">
        <v>2547</v>
      </c>
      <c r="AP1739" t="s">
        <v>2401</v>
      </c>
    </row>
    <row r="1740" spans="1:42">
      <c r="A1740" t="s">
        <v>4210</v>
      </c>
      <c r="B1740" t="s">
        <v>2389</v>
      </c>
      <c r="C1740" t="s">
        <v>2390</v>
      </c>
      <c r="D1740" t="s">
        <v>2379</v>
      </c>
      <c r="E1740" t="s">
        <v>24</v>
      </c>
      <c r="F1740" t="s">
        <v>2417</v>
      </c>
      <c r="G1740" t="s">
        <v>24</v>
      </c>
      <c r="H1740" t="b">
        <v>1</v>
      </c>
      <c r="I1740" s="8">
        <v>45943.521041666667</v>
      </c>
      <c r="J1740" t="s">
        <v>2380</v>
      </c>
      <c r="K1740">
        <v>1201882</v>
      </c>
      <c r="L1740">
        <v>602067</v>
      </c>
      <c r="M1740" t="s">
        <v>2381</v>
      </c>
      <c r="P1740" t="s">
        <v>2427</v>
      </c>
      <c r="Q1740" t="s">
        <v>2383</v>
      </c>
      <c r="R1740">
        <v>1</v>
      </c>
      <c r="S1740" t="s">
        <v>2380</v>
      </c>
      <c r="T1740" t="s">
        <v>2383</v>
      </c>
      <c r="U1740" s="8">
        <v>45938.588495370372</v>
      </c>
      <c r="V1740" s="8">
        <v>45943.958333333336</v>
      </c>
      <c r="W1740">
        <v>1</v>
      </c>
      <c r="X1740">
        <v>2.9325462959999999</v>
      </c>
      <c r="Y1740" t="s">
        <v>2418</v>
      </c>
      <c r="Z1740" t="s">
        <v>4211</v>
      </c>
      <c r="AA1740" t="s">
        <v>2808</v>
      </c>
      <c r="AB1740" t="s">
        <v>1278</v>
      </c>
      <c r="AC1740" t="s">
        <v>4212</v>
      </c>
      <c r="AD1740" t="s">
        <v>2708</v>
      </c>
      <c r="AE1740">
        <v>1</v>
      </c>
      <c r="AO1740" t="s">
        <v>2408</v>
      </c>
      <c r="AP1740" t="s">
        <v>2401</v>
      </c>
    </row>
    <row r="1741" spans="1:42">
      <c r="A1741" t="s">
        <v>2841</v>
      </c>
      <c r="B1741" t="s">
        <v>2389</v>
      </c>
      <c r="C1741" t="s">
        <v>2390</v>
      </c>
      <c r="D1741" t="s">
        <v>2379</v>
      </c>
      <c r="E1741" t="s">
        <v>2452</v>
      </c>
      <c r="F1741" t="s">
        <v>2417</v>
      </c>
      <c r="G1741" t="s">
        <v>2452</v>
      </c>
      <c r="H1741" t="b">
        <v>1</v>
      </c>
      <c r="I1741" s="8">
        <v>45943.52239583333</v>
      </c>
      <c r="J1741" t="s">
        <v>2380</v>
      </c>
      <c r="L1741">
        <v>602067</v>
      </c>
      <c r="M1741" t="s">
        <v>2381</v>
      </c>
      <c r="P1741" t="s">
        <v>2427</v>
      </c>
      <c r="Q1741" t="s">
        <v>2383</v>
      </c>
      <c r="R1741">
        <v>1</v>
      </c>
      <c r="S1741" t="s">
        <v>2380</v>
      </c>
      <c r="T1741" t="s">
        <v>2383</v>
      </c>
      <c r="U1741" s="8">
        <v>45938.589861111112</v>
      </c>
      <c r="V1741" s="8">
        <v>45943.958333333336</v>
      </c>
      <c r="W1741">
        <v>1</v>
      </c>
      <c r="X1741">
        <v>2.9325347220000002</v>
      </c>
      <c r="Y1741" t="s">
        <v>2418</v>
      </c>
      <c r="Z1741" t="s">
        <v>2842</v>
      </c>
      <c r="AA1741" t="s">
        <v>2808</v>
      </c>
      <c r="AB1741" t="s">
        <v>1278</v>
      </c>
      <c r="AC1741" t="s">
        <v>2843</v>
      </c>
      <c r="AE1741">
        <v>1</v>
      </c>
      <c r="AO1741" t="s">
        <v>2408</v>
      </c>
      <c r="AP1741" t="s">
        <v>2401</v>
      </c>
    </row>
    <row r="1742" spans="1:42">
      <c r="A1742" t="s">
        <v>7324</v>
      </c>
      <c r="B1742" t="s">
        <v>2389</v>
      </c>
      <c r="C1742" t="s">
        <v>2390</v>
      </c>
      <c r="D1742" t="s">
        <v>2379</v>
      </c>
      <c r="E1742" t="s">
        <v>25</v>
      </c>
      <c r="F1742">
        <v>4260</v>
      </c>
      <c r="G1742" t="s">
        <v>25</v>
      </c>
      <c r="H1742" t="b">
        <v>1</v>
      </c>
      <c r="I1742" s="8">
        <v>45943.507303240738</v>
      </c>
      <c r="J1742" t="s">
        <v>2380</v>
      </c>
      <c r="K1742">
        <v>1201853</v>
      </c>
      <c r="L1742">
        <v>603512</v>
      </c>
      <c r="M1742" t="s">
        <v>2381</v>
      </c>
      <c r="N1742">
        <v>5</v>
      </c>
      <c r="P1742" t="s">
        <v>2394</v>
      </c>
      <c r="Q1742" t="s">
        <v>2383</v>
      </c>
      <c r="R1742">
        <v>1</v>
      </c>
      <c r="S1742" t="s">
        <v>2380</v>
      </c>
      <c r="T1742" t="s">
        <v>2383</v>
      </c>
      <c r="U1742" s="8">
        <v>45938.591446759259</v>
      </c>
      <c r="V1742" s="8">
        <v>45943.958333333336</v>
      </c>
      <c r="W1742">
        <v>1</v>
      </c>
      <c r="X1742">
        <v>2.9158564810000001</v>
      </c>
      <c r="Y1742" t="s">
        <v>7323</v>
      </c>
      <c r="Z1742" t="s">
        <v>7325</v>
      </c>
      <c r="AA1742" t="s">
        <v>7326</v>
      </c>
      <c r="AB1742" t="s">
        <v>1278</v>
      </c>
      <c r="AC1742" t="s">
        <v>7327</v>
      </c>
      <c r="AD1742" t="s">
        <v>2708</v>
      </c>
      <c r="AE1742">
        <v>1</v>
      </c>
      <c r="AO1742" t="s">
        <v>2388</v>
      </c>
      <c r="AP1742" t="s">
        <v>2401</v>
      </c>
    </row>
    <row r="1743" spans="1:42">
      <c r="A1743" t="s">
        <v>7328</v>
      </c>
      <c r="B1743" t="s">
        <v>2389</v>
      </c>
      <c r="C1743" t="s">
        <v>2390</v>
      </c>
      <c r="D1743" t="s">
        <v>2379</v>
      </c>
      <c r="E1743" t="s">
        <v>25</v>
      </c>
      <c r="F1743">
        <v>4260</v>
      </c>
      <c r="G1743" t="s">
        <v>25</v>
      </c>
      <c r="H1743" t="b">
        <v>1</v>
      </c>
      <c r="I1743" s="8">
        <v>45943.544166666667</v>
      </c>
      <c r="J1743" t="s">
        <v>2380</v>
      </c>
      <c r="K1743">
        <v>1201933</v>
      </c>
      <c r="L1743">
        <v>603512</v>
      </c>
      <c r="M1743" t="s">
        <v>2381</v>
      </c>
      <c r="N1743">
        <v>5</v>
      </c>
      <c r="P1743" t="s">
        <v>2394</v>
      </c>
      <c r="Q1743" t="s">
        <v>2383</v>
      </c>
      <c r="R1743">
        <v>1</v>
      </c>
      <c r="S1743" t="s">
        <v>2380</v>
      </c>
      <c r="T1743" t="s">
        <v>2383</v>
      </c>
      <c r="U1743" s="8">
        <v>45938.595636574071</v>
      </c>
      <c r="V1743" s="8">
        <v>45943.958333333336</v>
      </c>
      <c r="W1743">
        <v>1</v>
      </c>
      <c r="X1743">
        <v>2.948530093</v>
      </c>
      <c r="Y1743" t="s">
        <v>7323</v>
      </c>
      <c r="Z1743" t="s">
        <v>7329</v>
      </c>
      <c r="AA1743" t="s">
        <v>7326</v>
      </c>
      <c r="AB1743" t="s">
        <v>1278</v>
      </c>
      <c r="AC1743" t="s">
        <v>7330</v>
      </c>
      <c r="AD1743" t="s">
        <v>2708</v>
      </c>
      <c r="AE1743">
        <v>1</v>
      </c>
      <c r="AO1743" t="s">
        <v>2388</v>
      </c>
      <c r="AP1743" t="s">
        <v>2401</v>
      </c>
    </row>
    <row r="1744" spans="1:42">
      <c r="A1744" t="s">
        <v>7533</v>
      </c>
      <c r="B1744" t="s">
        <v>2389</v>
      </c>
      <c r="C1744" t="s">
        <v>2390</v>
      </c>
      <c r="D1744" t="s">
        <v>2379</v>
      </c>
      <c r="E1744" t="s">
        <v>33</v>
      </c>
      <c r="F1744" t="s">
        <v>3339</v>
      </c>
      <c r="G1744" t="s">
        <v>33</v>
      </c>
      <c r="H1744" t="b">
        <v>1</v>
      </c>
      <c r="I1744" s="8">
        <v>45940.627615740741</v>
      </c>
      <c r="J1744" t="s">
        <v>2380</v>
      </c>
      <c r="K1744">
        <v>1201658</v>
      </c>
      <c r="L1744">
        <v>605094</v>
      </c>
      <c r="M1744" t="s">
        <v>2381</v>
      </c>
      <c r="P1744" t="s">
        <v>2394</v>
      </c>
      <c r="Q1744" t="s">
        <v>2383</v>
      </c>
      <c r="R1744">
        <v>1</v>
      </c>
      <c r="S1744" t="s">
        <v>2380</v>
      </c>
      <c r="T1744" t="s">
        <v>2383</v>
      </c>
      <c r="U1744" s="8">
        <v>45938.601342592592</v>
      </c>
      <c r="V1744" s="8">
        <v>45943.958333333336</v>
      </c>
      <c r="W1744">
        <v>1</v>
      </c>
      <c r="X1744">
        <v>2.026273148</v>
      </c>
      <c r="Y1744" t="s">
        <v>3340</v>
      </c>
      <c r="Z1744" t="s">
        <v>7534</v>
      </c>
      <c r="AA1744" t="s">
        <v>2314</v>
      </c>
      <c r="AB1744" t="s">
        <v>1278</v>
      </c>
      <c r="AC1744" t="s">
        <v>7535</v>
      </c>
      <c r="AD1744" t="s">
        <v>2708</v>
      </c>
      <c r="AE1744">
        <v>1</v>
      </c>
      <c r="AO1744" t="s">
        <v>2957</v>
      </c>
      <c r="AP1744" t="s">
        <v>2401</v>
      </c>
    </row>
    <row r="1745" spans="1:42">
      <c r="A1745" t="s">
        <v>7677</v>
      </c>
      <c r="B1745" t="s">
        <v>2389</v>
      </c>
      <c r="C1745" t="s">
        <v>2390</v>
      </c>
      <c r="D1745" t="s">
        <v>2379</v>
      </c>
      <c r="E1745" t="s">
        <v>2452</v>
      </c>
      <c r="F1745" t="s">
        <v>3570</v>
      </c>
      <c r="G1745" t="s">
        <v>2452</v>
      </c>
      <c r="H1745" t="b">
        <v>1</v>
      </c>
      <c r="I1745" s="8">
        <v>45943.426898148151</v>
      </c>
      <c r="J1745" t="s">
        <v>2380</v>
      </c>
      <c r="K1745">
        <v>1201748</v>
      </c>
      <c r="L1745">
        <v>608353</v>
      </c>
      <c r="M1745" t="s">
        <v>2381</v>
      </c>
      <c r="P1745" t="s">
        <v>2394</v>
      </c>
      <c r="Q1745" t="s">
        <v>2383</v>
      </c>
      <c r="R1745">
        <v>1</v>
      </c>
      <c r="S1745" t="s">
        <v>2380</v>
      </c>
      <c r="T1745" t="s">
        <v>2383</v>
      </c>
      <c r="U1745" s="8">
        <v>45938.60833333333</v>
      </c>
      <c r="V1745" s="8">
        <v>45943.958333333336</v>
      </c>
      <c r="W1745">
        <v>1</v>
      </c>
      <c r="X1745">
        <v>2.8185648149999998</v>
      </c>
      <c r="Y1745" t="s">
        <v>3572</v>
      </c>
      <c r="Z1745" t="s">
        <v>7678</v>
      </c>
      <c r="AA1745" t="s">
        <v>7675</v>
      </c>
      <c r="AB1745" t="s">
        <v>1278</v>
      </c>
      <c r="AC1745" t="s">
        <v>7679</v>
      </c>
      <c r="AD1745" t="s">
        <v>2708</v>
      </c>
      <c r="AE1745">
        <v>1</v>
      </c>
      <c r="AO1745" t="s">
        <v>2957</v>
      </c>
      <c r="AP1745" t="s">
        <v>2401</v>
      </c>
    </row>
    <row r="1746" spans="1:42">
      <c r="A1746" t="s">
        <v>5175</v>
      </c>
      <c r="B1746" t="s">
        <v>2389</v>
      </c>
      <c r="C1746" t="s">
        <v>2378</v>
      </c>
      <c r="D1746" t="s">
        <v>2379</v>
      </c>
      <c r="E1746" t="s">
        <v>2452</v>
      </c>
      <c r="F1746" t="s">
        <v>2541</v>
      </c>
      <c r="G1746" t="s">
        <v>2452</v>
      </c>
      <c r="H1746" t="b">
        <v>1</v>
      </c>
      <c r="I1746" s="8">
        <v>45943.63857638889</v>
      </c>
      <c r="J1746" t="s">
        <v>2380</v>
      </c>
      <c r="K1746">
        <v>1200900</v>
      </c>
      <c r="L1746">
        <v>601353</v>
      </c>
      <c r="M1746" t="s">
        <v>2381</v>
      </c>
      <c r="Q1746" t="s">
        <v>2383</v>
      </c>
      <c r="R1746">
        <v>1</v>
      </c>
      <c r="S1746" t="s">
        <v>2380</v>
      </c>
      <c r="T1746" t="s">
        <v>2383</v>
      </c>
      <c r="U1746" s="8">
        <v>45938.62226851852</v>
      </c>
      <c r="V1746" s="8">
        <v>45943.958333333336</v>
      </c>
      <c r="W1746">
        <v>1</v>
      </c>
      <c r="X1746">
        <v>3.0163078699999999</v>
      </c>
      <c r="Y1746" t="s">
        <v>2542</v>
      </c>
      <c r="Z1746" t="s">
        <v>5176</v>
      </c>
      <c r="AA1746" t="s">
        <v>2934</v>
      </c>
      <c r="AB1746" t="s">
        <v>1278</v>
      </c>
      <c r="AC1746" t="s">
        <v>5177</v>
      </c>
      <c r="AD1746" t="s">
        <v>2708</v>
      </c>
      <c r="AE1746">
        <v>1</v>
      </c>
      <c r="AH1746" t="s">
        <v>33</v>
      </c>
      <c r="AI1746" s="8">
        <v>45939.648877314816</v>
      </c>
      <c r="AK1746" t="s">
        <v>2719</v>
      </c>
      <c r="AL1746" t="s">
        <v>5161</v>
      </c>
      <c r="AM1746" t="s">
        <v>5174</v>
      </c>
      <c r="AO1746" t="s">
        <v>2547</v>
      </c>
      <c r="AP1746" t="s">
        <v>2401</v>
      </c>
    </row>
    <row r="1747" spans="1:42">
      <c r="A1747" t="s">
        <v>7792</v>
      </c>
      <c r="B1747" t="s">
        <v>2389</v>
      </c>
      <c r="C1747" t="s">
        <v>2390</v>
      </c>
      <c r="D1747" t="s">
        <v>2379</v>
      </c>
      <c r="E1747" t="s">
        <v>2452</v>
      </c>
      <c r="F1747" t="s">
        <v>4768</v>
      </c>
      <c r="G1747" t="s">
        <v>2452</v>
      </c>
      <c r="H1747" t="b">
        <v>1</v>
      </c>
      <c r="I1747" s="8">
        <v>45943.403923611113</v>
      </c>
      <c r="J1747" t="s">
        <v>2380</v>
      </c>
      <c r="K1747">
        <v>1201745</v>
      </c>
      <c r="L1747">
        <v>603844</v>
      </c>
      <c r="M1747" t="s">
        <v>2381</v>
      </c>
      <c r="P1747" t="s">
        <v>2394</v>
      </c>
      <c r="Q1747" t="s">
        <v>2383</v>
      </c>
      <c r="R1747">
        <v>1</v>
      </c>
      <c r="S1747" t="s">
        <v>2380</v>
      </c>
      <c r="T1747" t="s">
        <v>2383</v>
      </c>
      <c r="U1747" s="8">
        <v>45938.622557870367</v>
      </c>
      <c r="V1747" s="8">
        <v>45943.958333333336</v>
      </c>
      <c r="W1747">
        <v>1</v>
      </c>
      <c r="X1747">
        <v>2.7813657410000001</v>
      </c>
      <c r="Y1747" t="s">
        <v>4769</v>
      </c>
      <c r="Z1747" t="s">
        <v>7793</v>
      </c>
      <c r="AA1747" t="s">
        <v>7794</v>
      </c>
      <c r="AB1747" t="s">
        <v>1278</v>
      </c>
      <c r="AC1747" t="s">
        <v>7795</v>
      </c>
      <c r="AD1747" t="s">
        <v>2708</v>
      </c>
      <c r="AE1747">
        <v>1</v>
      </c>
      <c r="AO1747" t="s">
        <v>2957</v>
      </c>
      <c r="AP1747" t="s">
        <v>2401</v>
      </c>
    </row>
    <row r="1748" spans="1:42">
      <c r="A1748" t="s">
        <v>9277</v>
      </c>
      <c r="B1748" t="s">
        <v>2389</v>
      </c>
      <c r="C1748" t="s">
        <v>2390</v>
      </c>
      <c r="D1748" t="s">
        <v>2379</v>
      </c>
      <c r="E1748" t="s">
        <v>2452</v>
      </c>
      <c r="F1748" t="s">
        <v>2541</v>
      </c>
      <c r="G1748" t="s">
        <v>2452</v>
      </c>
      <c r="H1748" t="b">
        <v>1</v>
      </c>
      <c r="I1748" s="8">
        <v>45943.522523148145</v>
      </c>
      <c r="J1748" t="s">
        <v>2380</v>
      </c>
      <c r="K1748">
        <v>1200908</v>
      </c>
      <c r="L1748">
        <v>601353</v>
      </c>
      <c r="M1748" t="s">
        <v>2381</v>
      </c>
      <c r="Q1748" t="s">
        <v>2383</v>
      </c>
      <c r="R1748">
        <v>1</v>
      </c>
      <c r="S1748" t="s">
        <v>2380</v>
      </c>
      <c r="T1748" t="s">
        <v>2383</v>
      </c>
      <c r="U1748" s="8">
        <v>45938.622685185182</v>
      </c>
      <c r="V1748" s="8">
        <v>45943.958333333336</v>
      </c>
      <c r="W1748">
        <v>1</v>
      </c>
      <c r="X1748">
        <v>2.899837963</v>
      </c>
      <c r="Y1748" t="s">
        <v>2542</v>
      </c>
      <c r="Z1748" t="s">
        <v>9278</v>
      </c>
      <c r="AA1748" t="s">
        <v>2934</v>
      </c>
      <c r="AB1748" t="s">
        <v>1278</v>
      </c>
      <c r="AC1748" t="s">
        <v>9279</v>
      </c>
      <c r="AD1748" t="s">
        <v>2708</v>
      </c>
      <c r="AE1748">
        <v>1</v>
      </c>
      <c r="AF1748" t="s">
        <v>18</v>
      </c>
      <c r="AH1748" t="s">
        <v>2452</v>
      </c>
      <c r="AI1748" s="8">
        <v>45943.520439814813</v>
      </c>
      <c r="AK1748" t="s">
        <v>2719</v>
      </c>
      <c r="AL1748" t="s">
        <v>2719</v>
      </c>
      <c r="AO1748" t="s">
        <v>2547</v>
      </c>
      <c r="AP1748" t="s">
        <v>2401</v>
      </c>
    </row>
    <row r="1749" spans="1:42">
      <c r="A1749" t="s">
        <v>6655</v>
      </c>
      <c r="B1749" t="s">
        <v>2389</v>
      </c>
      <c r="C1749" t="s">
        <v>2390</v>
      </c>
      <c r="D1749" t="s">
        <v>2379</v>
      </c>
      <c r="E1749" t="s">
        <v>33</v>
      </c>
      <c r="F1749" t="s">
        <v>3308</v>
      </c>
      <c r="G1749" t="s">
        <v>33</v>
      </c>
      <c r="H1749" t="b">
        <v>1</v>
      </c>
      <c r="I1749" s="8">
        <v>45939.401944444442</v>
      </c>
      <c r="J1749" t="s">
        <v>2380</v>
      </c>
      <c r="K1749">
        <v>1201219</v>
      </c>
      <c r="L1749">
        <v>603633</v>
      </c>
      <c r="M1749" t="s">
        <v>2381</v>
      </c>
      <c r="Q1749" t="s">
        <v>2383</v>
      </c>
      <c r="R1749">
        <v>1</v>
      </c>
      <c r="S1749" t="s">
        <v>2380</v>
      </c>
      <c r="T1749" t="s">
        <v>2383</v>
      </c>
      <c r="U1749" s="8">
        <v>45936.576770833337</v>
      </c>
      <c r="V1749" s="8">
        <v>45939.958333333336</v>
      </c>
      <c r="W1749">
        <v>1</v>
      </c>
      <c r="X1749">
        <v>2.8251736109999999</v>
      </c>
      <c r="Y1749" t="s">
        <v>3309</v>
      </c>
      <c r="Z1749" t="s">
        <v>6656</v>
      </c>
      <c r="AA1749" t="s">
        <v>3312</v>
      </c>
      <c r="AB1749" t="s">
        <v>1278</v>
      </c>
      <c r="AC1749" t="s">
        <v>6657</v>
      </c>
      <c r="AD1749" t="s">
        <v>2708</v>
      </c>
      <c r="AE1749">
        <v>1</v>
      </c>
      <c r="AO1749" t="s">
        <v>2388</v>
      </c>
      <c r="AP1749" t="s">
        <v>2401</v>
      </c>
    </row>
    <row r="1750" spans="1:42">
      <c r="A1750" t="s">
        <v>3822</v>
      </c>
      <c r="B1750" t="s">
        <v>2389</v>
      </c>
      <c r="C1750" t="s">
        <v>2415</v>
      </c>
      <c r="D1750" t="s">
        <v>2379</v>
      </c>
      <c r="E1750" t="s">
        <v>33</v>
      </c>
      <c r="F1750" t="s">
        <v>3747</v>
      </c>
      <c r="G1750" t="s">
        <v>33</v>
      </c>
      <c r="H1750" t="b">
        <v>1</v>
      </c>
      <c r="I1750" s="8">
        <v>45940.440497685187</v>
      </c>
      <c r="J1750" t="s">
        <v>2380</v>
      </c>
      <c r="L1750">
        <v>602272</v>
      </c>
      <c r="M1750" t="s">
        <v>2381</v>
      </c>
      <c r="P1750" t="s">
        <v>2394</v>
      </c>
      <c r="Q1750" t="s">
        <v>2383</v>
      </c>
      <c r="R1750">
        <v>1</v>
      </c>
      <c r="S1750" t="s">
        <v>2380</v>
      </c>
      <c r="T1750" t="s">
        <v>2383</v>
      </c>
      <c r="U1750" s="8">
        <v>45938.627372685187</v>
      </c>
      <c r="V1750" s="8">
        <v>45943.958333333336</v>
      </c>
      <c r="W1750">
        <v>1</v>
      </c>
      <c r="X1750">
        <v>1.8131250000000001</v>
      </c>
      <c r="Y1750" t="s">
        <v>3748</v>
      </c>
      <c r="Z1750" t="s">
        <v>3823</v>
      </c>
      <c r="AA1750" t="s">
        <v>3824</v>
      </c>
      <c r="AB1750" t="s">
        <v>1278</v>
      </c>
      <c r="AC1750" t="s">
        <v>3825</v>
      </c>
      <c r="AE1750">
        <v>1</v>
      </c>
      <c r="AO1750" t="s">
        <v>2712</v>
      </c>
      <c r="AP1750" t="s">
        <v>2401</v>
      </c>
    </row>
    <row r="1751" spans="1:42">
      <c r="A1751" t="s">
        <v>4029</v>
      </c>
      <c r="B1751" t="s">
        <v>2389</v>
      </c>
      <c r="C1751" t="s">
        <v>2415</v>
      </c>
      <c r="D1751" t="s">
        <v>2379</v>
      </c>
      <c r="E1751" t="s">
        <v>33</v>
      </c>
      <c r="F1751" t="s">
        <v>3747</v>
      </c>
      <c r="G1751" t="s">
        <v>33</v>
      </c>
      <c r="H1751" t="b">
        <v>1</v>
      </c>
      <c r="I1751" s="8">
        <v>45940.443553240744</v>
      </c>
      <c r="J1751" t="s">
        <v>2380</v>
      </c>
      <c r="K1751">
        <v>1201493</v>
      </c>
      <c r="L1751">
        <v>602272</v>
      </c>
      <c r="M1751" t="s">
        <v>2381</v>
      </c>
      <c r="P1751" t="s">
        <v>2394</v>
      </c>
      <c r="Q1751" t="s">
        <v>2383</v>
      </c>
      <c r="R1751">
        <v>1</v>
      </c>
      <c r="S1751" t="s">
        <v>2380</v>
      </c>
      <c r="T1751" t="s">
        <v>2383</v>
      </c>
      <c r="U1751" s="8">
        <v>45938.629467592589</v>
      </c>
      <c r="V1751" s="8">
        <v>45943.958333333336</v>
      </c>
      <c r="W1751">
        <v>1</v>
      </c>
      <c r="X1751">
        <v>1.8140856480000001</v>
      </c>
      <c r="Y1751" t="s">
        <v>3748</v>
      </c>
      <c r="Z1751" t="s">
        <v>4030</v>
      </c>
      <c r="AA1751" t="s">
        <v>3824</v>
      </c>
      <c r="AB1751" t="s">
        <v>1278</v>
      </c>
      <c r="AC1751" t="s">
        <v>4031</v>
      </c>
      <c r="AD1751" t="s">
        <v>2708</v>
      </c>
      <c r="AE1751">
        <v>1</v>
      </c>
      <c r="AO1751" t="s">
        <v>2712</v>
      </c>
      <c r="AP1751" t="s">
        <v>2401</v>
      </c>
    </row>
    <row r="1752" spans="1:42">
      <c r="A1752" t="s">
        <v>10094</v>
      </c>
      <c r="B1752" t="s">
        <v>2389</v>
      </c>
      <c r="C1752" t="s">
        <v>2390</v>
      </c>
      <c r="D1752" t="s">
        <v>2379</v>
      </c>
      <c r="E1752" t="s">
        <v>2452</v>
      </c>
      <c r="F1752" t="s">
        <v>3539</v>
      </c>
      <c r="G1752" t="s">
        <v>2452</v>
      </c>
      <c r="H1752" t="b">
        <v>1</v>
      </c>
      <c r="I1752" s="8">
        <v>45943.378217592595</v>
      </c>
      <c r="J1752" t="s">
        <v>2380</v>
      </c>
      <c r="L1752">
        <v>605105</v>
      </c>
      <c r="M1752" t="s">
        <v>2381</v>
      </c>
      <c r="P1752" t="s">
        <v>2394</v>
      </c>
      <c r="Q1752" t="s">
        <v>2383</v>
      </c>
      <c r="R1752">
        <v>1</v>
      </c>
      <c r="S1752" t="s">
        <v>2380</v>
      </c>
      <c r="T1752" t="s">
        <v>2383</v>
      </c>
      <c r="U1752" s="8">
        <v>45938.63449074074</v>
      </c>
      <c r="V1752" s="8">
        <v>45943.958333333336</v>
      </c>
      <c r="W1752">
        <v>1</v>
      </c>
      <c r="X1752">
        <v>2.743726852</v>
      </c>
      <c r="Y1752" t="s">
        <v>3521</v>
      </c>
      <c r="Z1752" t="s">
        <v>10095</v>
      </c>
      <c r="AA1752" t="s">
        <v>7763</v>
      </c>
      <c r="AB1752" t="s">
        <v>1278</v>
      </c>
      <c r="AC1752" t="s">
        <v>10096</v>
      </c>
      <c r="AE1752">
        <v>1</v>
      </c>
      <c r="AO1752" t="s">
        <v>2957</v>
      </c>
      <c r="AP1752" t="s">
        <v>2401</v>
      </c>
    </row>
    <row r="1753" spans="1:42">
      <c r="A1753" t="s">
        <v>5349</v>
      </c>
      <c r="B1753" t="s">
        <v>2389</v>
      </c>
      <c r="C1753" t="s">
        <v>2390</v>
      </c>
      <c r="D1753" t="s">
        <v>2379</v>
      </c>
      <c r="E1753" t="s">
        <v>2452</v>
      </c>
      <c r="F1753" t="s">
        <v>2402</v>
      </c>
      <c r="G1753" t="s">
        <v>2452</v>
      </c>
      <c r="H1753" t="b">
        <v>1</v>
      </c>
      <c r="I1753" s="8">
        <v>45943.375740740739</v>
      </c>
      <c r="J1753" t="s">
        <v>2380</v>
      </c>
      <c r="K1753">
        <v>1201737</v>
      </c>
      <c r="L1753">
        <v>603485</v>
      </c>
      <c r="M1753" t="s">
        <v>2381</v>
      </c>
      <c r="P1753" t="s">
        <v>2394</v>
      </c>
      <c r="Q1753" t="s">
        <v>2383</v>
      </c>
      <c r="R1753">
        <v>1</v>
      </c>
      <c r="S1753" t="s">
        <v>2380</v>
      </c>
      <c r="T1753" t="s">
        <v>2383</v>
      </c>
      <c r="U1753" s="8">
        <v>45938.635208333333</v>
      </c>
      <c r="V1753" s="8">
        <v>45943.958333333336</v>
      </c>
      <c r="W1753">
        <v>1</v>
      </c>
      <c r="X1753">
        <v>2.7405324069999999</v>
      </c>
      <c r="Y1753" t="s">
        <v>2403</v>
      </c>
      <c r="Z1753" t="s">
        <v>5350</v>
      </c>
      <c r="AA1753" t="s">
        <v>2863</v>
      </c>
      <c r="AB1753" t="s">
        <v>1278</v>
      </c>
      <c r="AC1753" t="s">
        <v>5351</v>
      </c>
      <c r="AD1753" t="s">
        <v>2708</v>
      </c>
      <c r="AE1753">
        <v>1</v>
      </c>
      <c r="AO1753" t="s">
        <v>2408</v>
      </c>
      <c r="AP1753" t="s">
        <v>2401</v>
      </c>
    </row>
    <row r="1754" spans="1:42">
      <c r="A1754" t="s">
        <v>6917</v>
      </c>
      <c r="B1754" t="s">
        <v>2389</v>
      </c>
      <c r="C1754" t="s">
        <v>2390</v>
      </c>
      <c r="D1754" t="s">
        <v>2379</v>
      </c>
      <c r="E1754" t="s">
        <v>2452</v>
      </c>
      <c r="F1754" t="s">
        <v>2588</v>
      </c>
      <c r="G1754" t="s">
        <v>2452</v>
      </c>
      <c r="H1754" t="b">
        <v>1</v>
      </c>
      <c r="I1754" s="8">
        <v>45943.388206018521</v>
      </c>
      <c r="J1754" t="s">
        <v>2380</v>
      </c>
      <c r="K1754">
        <v>1201743</v>
      </c>
      <c r="L1754">
        <v>602437</v>
      </c>
      <c r="M1754" t="s">
        <v>2381</v>
      </c>
      <c r="P1754" t="s">
        <v>2394</v>
      </c>
      <c r="Q1754" t="s">
        <v>2383</v>
      </c>
      <c r="R1754">
        <v>1</v>
      </c>
      <c r="S1754" t="s">
        <v>2380</v>
      </c>
      <c r="T1754" t="s">
        <v>2383</v>
      </c>
      <c r="U1754" s="8">
        <v>45938.638009259259</v>
      </c>
      <c r="V1754" s="8">
        <v>45943.958333333336</v>
      </c>
      <c r="W1754">
        <v>1</v>
      </c>
      <c r="X1754">
        <v>2.750196759</v>
      </c>
      <c r="Y1754" t="s">
        <v>2579</v>
      </c>
      <c r="Z1754" t="s">
        <v>6918</v>
      </c>
      <c r="AA1754" t="s">
        <v>6919</v>
      </c>
      <c r="AB1754" t="s">
        <v>1278</v>
      </c>
      <c r="AC1754" t="s">
        <v>6920</v>
      </c>
      <c r="AD1754" t="s">
        <v>2708</v>
      </c>
      <c r="AE1754">
        <v>1</v>
      </c>
      <c r="AO1754" t="s">
        <v>2388</v>
      </c>
      <c r="AP1754" t="s">
        <v>2401</v>
      </c>
    </row>
    <row r="1755" spans="1:42">
      <c r="A1755" t="s">
        <v>5506</v>
      </c>
      <c r="B1755" t="s">
        <v>2389</v>
      </c>
      <c r="C1755" t="s">
        <v>2390</v>
      </c>
      <c r="D1755" t="s">
        <v>2379</v>
      </c>
      <c r="E1755" t="s">
        <v>25</v>
      </c>
      <c r="F1755" t="s">
        <v>2431</v>
      </c>
      <c r="G1755" t="s">
        <v>28</v>
      </c>
      <c r="H1755" t="b">
        <v>1</v>
      </c>
      <c r="I1755" s="8">
        <v>45943.551712962966</v>
      </c>
      <c r="J1755" t="s">
        <v>2380</v>
      </c>
      <c r="K1755">
        <v>1201935</v>
      </c>
      <c r="L1755">
        <v>603887</v>
      </c>
      <c r="M1755" t="s">
        <v>2381</v>
      </c>
      <c r="N1755">
        <v>15</v>
      </c>
      <c r="P1755" t="s">
        <v>2394</v>
      </c>
      <c r="Q1755" t="s">
        <v>2383</v>
      </c>
      <c r="R1755">
        <v>1</v>
      </c>
      <c r="S1755" t="s">
        <v>2380</v>
      </c>
      <c r="T1755" t="s">
        <v>2383</v>
      </c>
      <c r="U1755" s="8">
        <v>45938.64230324074</v>
      </c>
      <c r="V1755" s="8">
        <v>45943.958333333336</v>
      </c>
      <c r="W1755">
        <v>1</v>
      </c>
      <c r="X1755">
        <v>2.9094097219999999</v>
      </c>
      <c r="Y1755" t="s">
        <v>2433</v>
      </c>
      <c r="Z1755" t="s">
        <v>5507</v>
      </c>
      <c r="AA1755" t="s">
        <v>5508</v>
      </c>
      <c r="AB1755" t="s">
        <v>1278</v>
      </c>
      <c r="AC1755" t="s">
        <v>5509</v>
      </c>
      <c r="AD1755" t="s">
        <v>2708</v>
      </c>
      <c r="AE1755">
        <v>1</v>
      </c>
      <c r="AO1755" t="s">
        <v>2408</v>
      </c>
      <c r="AP1755" t="s">
        <v>2401</v>
      </c>
    </row>
    <row r="1756" spans="1:42">
      <c r="A1756" t="s">
        <v>5893</v>
      </c>
      <c r="B1756" t="s">
        <v>2389</v>
      </c>
      <c r="C1756" t="s">
        <v>2438</v>
      </c>
      <c r="D1756" t="s">
        <v>2379</v>
      </c>
      <c r="E1756" t="s">
        <v>307</v>
      </c>
      <c r="F1756" t="s">
        <v>2541</v>
      </c>
      <c r="G1756" t="s">
        <v>307</v>
      </c>
      <c r="H1756" t="b">
        <v>1</v>
      </c>
      <c r="I1756" s="8">
        <v>45938.967349537037</v>
      </c>
      <c r="J1756" t="s">
        <v>2380</v>
      </c>
      <c r="K1756">
        <v>1201203</v>
      </c>
      <c r="L1756">
        <v>601096</v>
      </c>
      <c r="M1756" t="s">
        <v>2381</v>
      </c>
      <c r="P1756" t="s">
        <v>2427</v>
      </c>
      <c r="Q1756" t="s">
        <v>2383</v>
      </c>
      <c r="R1756">
        <v>1</v>
      </c>
      <c r="S1756" t="s">
        <v>2380</v>
      </c>
      <c r="T1756" t="s">
        <v>2383</v>
      </c>
      <c r="U1756" s="8">
        <v>45938.644097222219</v>
      </c>
      <c r="V1756" s="8">
        <v>45943.958333333336</v>
      </c>
      <c r="W1756">
        <v>1</v>
      </c>
      <c r="X1756">
        <v>0.32325231500000001</v>
      </c>
      <c r="Y1756" t="s">
        <v>2542</v>
      </c>
      <c r="Z1756" t="s">
        <v>5894</v>
      </c>
      <c r="AA1756" t="s">
        <v>2888</v>
      </c>
      <c r="AB1756" t="s">
        <v>1278</v>
      </c>
      <c r="AC1756" t="s">
        <v>5895</v>
      </c>
      <c r="AD1756" t="s">
        <v>2708</v>
      </c>
      <c r="AE1756">
        <v>1</v>
      </c>
      <c r="AO1756" t="s">
        <v>2547</v>
      </c>
      <c r="AP1756" t="s">
        <v>2401</v>
      </c>
    </row>
    <row r="1757" spans="1:42">
      <c r="A1757" t="s">
        <v>5896</v>
      </c>
      <c r="B1757" t="s">
        <v>2389</v>
      </c>
      <c r="C1757" t="s">
        <v>2438</v>
      </c>
      <c r="D1757" t="s">
        <v>2379</v>
      </c>
      <c r="E1757" t="s">
        <v>307</v>
      </c>
      <c r="F1757" t="s">
        <v>2541</v>
      </c>
      <c r="G1757" t="s">
        <v>307</v>
      </c>
      <c r="H1757" t="b">
        <v>1</v>
      </c>
      <c r="I1757" s="8">
        <v>45938.958657407406</v>
      </c>
      <c r="J1757" t="s">
        <v>2380</v>
      </c>
      <c r="K1757">
        <v>1201201</v>
      </c>
      <c r="L1757">
        <v>601096</v>
      </c>
      <c r="M1757" t="s">
        <v>2381</v>
      </c>
      <c r="P1757" t="s">
        <v>2427</v>
      </c>
      <c r="Q1757" t="s">
        <v>2383</v>
      </c>
      <c r="R1757">
        <v>1</v>
      </c>
      <c r="S1757" t="s">
        <v>2380</v>
      </c>
      <c r="T1757" t="s">
        <v>2383</v>
      </c>
      <c r="U1757" s="8">
        <v>45938.644155092596</v>
      </c>
      <c r="V1757" s="8">
        <v>45943.958333333336</v>
      </c>
      <c r="W1757">
        <v>1</v>
      </c>
      <c r="X1757">
        <v>0.31450231499999998</v>
      </c>
      <c r="Y1757" t="s">
        <v>2542</v>
      </c>
      <c r="Z1757" t="s">
        <v>5897</v>
      </c>
      <c r="AA1757" t="s">
        <v>2888</v>
      </c>
      <c r="AB1757" t="s">
        <v>1278</v>
      </c>
      <c r="AC1757" t="s">
        <v>5898</v>
      </c>
      <c r="AD1757" t="s">
        <v>2708</v>
      </c>
      <c r="AE1757">
        <v>1</v>
      </c>
      <c r="AO1757" t="s">
        <v>2547</v>
      </c>
      <c r="AP1757" t="s">
        <v>2401</v>
      </c>
    </row>
    <row r="1758" spans="1:42">
      <c r="A1758" t="s">
        <v>9377</v>
      </c>
      <c r="B1758" t="s">
        <v>2389</v>
      </c>
      <c r="C1758" t="s">
        <v>2390</v>
      </c>
      <c r="D1758" t="s">
        <v>2379</v>
      </c>
      <c r="E1758" t="s">
        <v>33</v>
      </c>
      <c r="F1758" t="s">
        <v>2541</v>
      </c>
      <c r="G1758" t="s">
        <v>33</v>
      </c>
      <c r="H1758" t="b">
        <v>1</v>
      </c>
      <c r="I1758" s="8">
        <v>45943.620740740742</v>
      </c>
      <c r="J1758" t="s">
        <v>2380</v>
      </c>
      <c r="K1758">
        <v>1201489</v>
      </c>
      <c r="L1758">
        <v>608148</v>
      </c>
      <c r="M1758" t="s">
        <v>2381</v>
      </c>
      <c r="P1758" t="s">
        <v>2427</v>
      </c>
      <c r="Q1758" t="s">
        <v>2383</v>
      </c>
      <c r="R1758">
        <v>1</v>
      </c>
      <c r="S1758" t="s">
        <v>2380</v>
      </c>
      <c r="T1758" t="s">
        <v>2383</v>
      </c>
      <c r="U1758" s="8">
        <v>45938.644861111112</v>
      </c>
      <c r="V1758" s="8">
        <v>45943.958333333336</v>
      </c>
      <c r="W1758">
        <v>1</v>
      </c>
      <c r="X1758">
        <v>2.9758796300000001</v>
      </c>
      <c r="Y1758" t="s">
        <v>2542</v>
      </c>
      <c r="Z1758" t="s">
        <v>9378</v>
      </c>
      <c r="AA1758" t="s">
        <v>9379</v>
      </c>
      <c r="AB1758" t="s">
        <v>1278</v>
      </c>
      <c r="AC1758" t="s">
        <v>9380</v>
      </c>
      <c r="AD1758" t="s">
        <v>2708</v>
      </c>
      <c r="AE1758">
        <v>1</v>
      </c>
      <c r="AH1758" t="s">
        <v>33</v>
      </c>
      <c r="AI1758" s="8">
        <v>45943.618321759262</v>
      </c>
      <c r="AK1758" t="s">
        <v>2719</v>
      </c>
      <c r="AL1758" t="s">
        <v>18</v>
      </c>
      <c r="AO1758" t="s">
        <v>2547</v>
      </c>
      <c r="AP1758" t="s">
        <v>2401</v>
      </c>
    </row>
    <row r="1759" spans="1:42">
      <c r="A1759" t="s">
        <v>3405</v>
      </c>
      <c r="B1759" t="s">
        <v>2389</v>
      </c>
      <c r="C1759" t="s">
        <v>2390</v>
      </c>
      <c r="D1759" t="s">
        <v>2379</v>
      </c>
      <c r="E1759" t="s">
        <v>2452</v>
      </c>
      <c r="F1759">
        <v>6004</v>
      </c>
      <c r="G1759" t="s">
        <v>2452</v>
      </c>
      <c r="H1759" t="b">
        <v>1</v>
      </c>
      <c r="I1759" s="8">
        <v>45940.66170138889</v>
      </c>
      <c r="J1759" t="s">
        <v>2380</v>
      </c>
      <c r="L1759">
        <v>601355</v>
      </c>
      <c r="M1759" t="s">
        <v>2381</v>
      </c>
      <c r="P1759" t="s">
        <v>2427</v>
      </c>
      <c r="Q1759" t="s">
        <v>2383</v>
      </c>
      <c r="R1759">
        <v>1</v>
      </c>
      <c r="S1759" t="s">
        <v>2380</v>
      </c>
      <c r="T1759" t="s">
        <v>2383</v>
      </c>
      <c r="U1759" s="8">
        <v>45938.645810185182</v>
      </c>
      <c r="V1759" s="8">
        <v>45943.958333333336</v>
      </c>
      <c r="W1759">
        <v>1</v>
      </c>
      <c r="X1759">
        <v>2.0158912039999999</v>
      </c>
      <c r="Y1759" t="s">
        <v>3404</v>
      </c>
      <c r="Z1759" t="s">
        <v>3406</v>
      </c>
      <c r="AA1759" t="s">
        <v>3407</v>
      </c>
      <c r="AB1759" t="s">
        <v>1278</v>
      </c>
      <c r="AC1759" t="s">
        <v>3408</v>
      </c>
      <c r="AE1759">
        <v>1</v>
      </c>
      <c r="AO1759" t="s">
        <v>2388</v>
      </c>
      <c r="AP1759" t="s">
        <v>2401</v>
      </c>
    </row>
    <row r="1760" spans="1:42">
      <c r="A1760" t="s">
        <v>5899</v>
      </c>
      <c r="B1760" t="s">
        <v>2389</v>
      </c>
      <c r="C1760" t="s">
        <v>2438</v>
      </c>
      <c r="D1760" t="s">
        <v>2379</v>
      </c>
      <c r="E1760" t="s">
        <v>307</v>
      </c>
      <c r="F1760" t="s">
        <v>2541</v>
      </c>
      <c r="G1760" t="s">
        <v>307</v>
      </c>
      <c r="H1760" t="b">
        <v>1</v>
      </c>
      <c r="I1760" s="8">
        <v>45938.962696759256</v>
      </c>
      <c r="J1760" t="s">
        <v>2380</v>
      </c>
      <c r="K1760">
        <v>1201202</v>
      </c>
      <c r="L1760">
        <v>601096</v>
      </c>
      <c r="M1760" t="s">
        <v>2381</v>
      </c>
      <c r="P1760" t="s">
        <v>2427</v>
      </c>
      <c r="Q1760" t="s">
        <v>2383</v>
      </c>
      <c r="R1760">
        <v>1</v>
      </c>
      <c r="S1760" t="s">
        <v>2380</v>
      </c>
      <c r="T1760" t="s">
        <v>2383</v>
      </c>
      <c r="U1760" s="8">
        <v>45938.646423611113</v>
      </c>
      <c r="V1760" s="8">
        <v>45943.958333333336</v>
      </c>
      <c r="W1760">
        <v>1</v>
      </c>
      <c r="X1760">
        <v>0.316273148</v>
      </c>
      <c r="Y1760" t="s">
        <v>2542</v>
      </c>
      <c r="Z1760" t="s">
        <v>5900</v>
      </c>
      <c r="AA1760" t="s">
        <v>2888</v>
      </c>
      <c r="AB1760" t="s">
        <v>1278</v>
      </c>
      <c r="AC1760" t="s">
        <v>5901</v>
      </c>
      <c r="AD1760" t="s">
        <v>2708</v>
      </c>
      <c r="AE1760">
        <v>1</v>
      </c>
      <c r="AO1760" t="s">
        <v>2547</v>
      </c>
      <c r="AP1760" t="s">
        <v>2401</v>
      </c>
    </row>
    <row r="1761" spans="1:42">
      <c r="A1761" t="s">
        <v>2756</v>
      </c>
      <c r="B1761" t="s">
        <v>2377</v>
      </c>
      <c r="C1761" t="s">
        <v>2415</v>
      </c>
      <c r="D1761" t="s">
        <v>2379</v>
      </c>
      <c r="E1761" t="s">
        <v>307</v>
      </c>
      <c r="F1761" t="s">
        <v>2402</v>
      </c>
      <c r="G1761" t="s">
        <v>307</v>
      </c>
      <c r="H1761" t="b">
        <v>1</v>
      </c>
      <c r="I1761" s="8">
        <v>45940.616840277777</v>
      </c>
      <c r="J1761" t="s">
        <v>2380</v>
      </c>
      <c r="L1761">
        <v>606856</v>
      </c>
      <c r="M1761" t="s">
        <v>2381</v>
      </c>
      <c r="P1761" t="s">
        <v>2394</v>
      </c>
      <c r="Q1761" t="s">
        <v>2383</v>
      </c>
      <c r="R1761">
        <v>1</v>
      </c>
      <c r="S1761" t="s">
        <v>2380</v>
      </c>
      <c r="T1761" t="s">
        <v>2383</v>
      </c>
      <c r="U1761" s="8">
        <v>45938.647199074076</v>
      </c>
      <c r="V1761" s="8">
        <v>45943.958333333336</v>
      </c>
      <c r="W1761">
        <v>1</v>
      </c>
      <c r="X1761">
        <v>1.969641204</v>
      </c>
      <c r="Y1761" t="s">
        <v>2403</v>
      </c>
      <c r="Z1761" t="s">
        <v>2757</v>
      </c>
      <c r="AA1761" t="s">
        <v>2758</v>
      </c>
      <c r="AB1761" t="s">
        <v>1278</v>
      </c>
      <c r="AC1761" t="s">
        <v>2333</v>
      </c>
      <c r="AE1761">
        <v>1</v>
      </c>
      <c r="AO1761" t="s">
        <v>2408</v>
      </c>
      <c r="AP1761" t="s">
        <v>2401</v>
      </c>
    </row>
    <row r="1762" spans="1:42">
      <c r="A1762" t="s">
        <v>6400</v>
      </c>
      <c r="B1762" t="s">
        <v>2389</v>
      </c>
      <c r="C1762" t="s">
        <v>2415</v>
      </c>
      <c r="D1762" t="s">
        <v>2379</v>
      </c>
      <c r="E1762" t="s">
        <v>25</v>
      </c>
      <c r="F1762" t="s">
        <v>2541</v>
      </c>
      <c r="G1762" t="s">
        <v>25</v>
      </c>
      <c r="H1762" t="b">
        <v>1</v>
      </c>
      <c r="I1762" s="8">
        <v>45940.427476851852</v>
      </c>
      <c r="J1762" t="s">
        <v>2380</v>
      </c>
      <c r="K1762">
        <v>1201487</v>
      </c>
      <c r="L1762">
        <v>601096</v>
      </c>
      <c r="M1762" t="s">
        <v>2381</v>
      </c>
      <c r="N1762">
        <v>5</v>
      </c>
      <c r="P1762" t="s">
        <v>2427</v>
      </c>
      <c r="Q1762" t="s">
        <v>2383</v>
      </c>
      <c r="R1762">
        <v>1</v>
      </c>
      <c r="S1762" t="s">
        <v>2380</v>
      </c>
      <c r="T1762" t="s">
        <v>2383</v>
      </c>
      <c r="U1762" s="8">
        <v>45938.647337962961</v>
      </c>
      <c r="V1762" s="8">
        <v>45943.958333333336</v>
      </c>
      <c r="W1762">
        <v>1</v>
      </c>
      <c r="X1762">
        <v>1.7801388890000001</v>
      </c>
      <c r="Y1762" t="s">
        <v>2542</v>
      </c>
      <c r="Z1762" t="s">
        <v>6401</v>
      </c>
      <c r="AA1762" t="s">
        <v>2888</v>
      </c>
      <c r="AB1762" t="s">
        <v>1278</v>
      </c>
      <c r="AC1762" t="s">
        <v>6402</v>
      </c>
      <c r="AD1762" t="s">
        <v>2708</v>
      </c>
      <c r="AE1762">
        <v>1</v>
      </c>
      <c r="AO1762" t="s">
        <v>2547</v>
      </c>
      <c r="AP1762" t="s">
        <v>2401</v>
      </c>
    </row>
    <row r="1763" spans="1:42">
      <c r="A1763" t="s">
        <v>6403</v>
      </c>
      <c r="B1763" t="s">
        <v>2389</v>
      </c>
      <c r="C1763" t="s">
        <v>2415</v>
      </c>
      <c r="D1763" t="s">
        <v>2379</v>
      </c>
      <c r="E1763" t="s">
        <v>25</v>
      </c>
      <c r="F1763" t="s">
        <v>2541</v>
      </c>
      <c r="G1763" t="s">
        <v>25</v>
      </c>
      <c r="H1763" t="b">
        <v>1</v>
      </c>
      <c r="I1763" s="8">
        <v>45940.40121527778</v>
      </c>
      <c r="J1763" t="s">
        <v>2380</v>
      </c>
      <c r="K1763">
        <v>1201462</v>
      </c>
      <c r="L1763">
        <v>601096</v>
      </c>
      <c r="M1763" t="s">
        <v>2381</v>
      </c>
      <c r="N1763">
        <v>5</v>
      </c>
      <c r="P1763" t="s">
        <v>2427</v>
      </c>
      <c r="Q1763" t="s">
        <v>2383</v>
      </c>
      <c r="R1763">
        <v>1</v>
      </c>
      <c r="S1763" t="s">
        <v>2380</v>
      </c>
      <c r="T1763" t="s">
        <v>2383</v>
      </c>
      <c r="U1763" s="8">
        <v>45938.64949074074</v>
      </c>
      <c r="V1763" s="8">
        <v>45943.958333333336</v>
      </c>
      <c r="W1763">
        <v>1</v>
      </c>
      <c r="X1763">
        <v>1.7517245370000001</v>
      </c>
      <c r="Y1763" t="s">
        <v>2542</v>
      </c>
      <c r="Z1763" t="s">
        <v>6404</v>
      </c>
      <c r="AA1763" t="s">
        <v>2888</v>
      </c>
      <c r="AB1763" t="s">
        <v>1278</v>
      </c>
      <c r="AC1763" t="s">
        <v>6405</v>
      </c>
      <c r="AD1763" t="s">
        <v>2708</v>
      </c>
      <c r="AE1763">
        <v>1</v>
      </c>
      <c r="AO1763" t="s">
        <v>2547</v>
      </c>
      <c r="AP1763" t="s">
        <v>2401</v>
      </c>
    </row>
    <row r="1764" spans="1:42">
      <c r="A1764" t="s">
        <v>6406</v>
      </c>
      <c r="B1764" t="s">
        <v>2389</v>
      </c>
      <c r="C1764" t="s">
        <v>2415</v>
      </c>
      <c r="D1764" t="s">
        <v>2379</v>
      </c>
      <c r="E1764" t="s">
        <v>25</v>
      </c>
      <c r="F1764" t="s">
        <v>2541</v>
      </c>
      <c r="G1764" t="s">
        <v>25</v>
      </c>
      <c r="H1764" t="b">
        <v>1</v>
      </c>
      <c r="I1764" s="8">
        <v>45940.412326388891</v>
      </c>
      <c r="J1764" t="s">
        <v>2380</v>
      </c>
      <c r="K1764">
        <v>1201464</v>
      </c>
      <c r="L1764">
        <v>601096</v>
      </c>
      <c r="M1764" t="s">
        <v>2381</v>
      </c>
      <c r="N1764">
        <v>5</v>
      </c>
      <c r="P1764" t="s">
        <v>2427</v>
      </c>
      <c r="Q1764" t="s">
        <v>2383</v>
      </c>
      <c r="R1764">
        <v>1</v>
      </c>
      <c r="S1764" t="s">
        <v>2380</v>
      </c>
      <c r="T1764" t="s">
        <v>2383</v>
      </c>
      <c r="U1764" s="8">
        <v>45938.650335648148</v>
      </c>
      <c r="V1764" s="8">
        <v>45943.958333333336</v>
      </c>
      <c r="W1764">
        <v>1</v>
      </c>
      <c r="X1764">
        <v>1.761990741</v>
      </c>
      <c r="Y1764" t="s">
        <v>2542</v>
      </c>
      <c r="Z1764" t="s">
        <v>6407</v>
      </c>
      <c r="AA1764" t="s">
        <v>2888</v>
      </c>
      <c r="AB1764" t="s">
        <v>1278</v>
      </c>
      <c r="AC1764" t="s">
        <v>6408</v>
      </c>
      <c r="AD1764" t="s">
        <v>2708</v>
      </c>
      <c r="AE1764">
        <v>1</v>
      </c>
      <c r="AO1764" t="s">
        <v>2547</v>
      </c>
      <c r="AP1764" t="s">
        <v>2401</v>
      </c>
    </row>
    <row r="1765" spans="1:42">
      <c r="A1765" t="s">
        <v>5902</v>
      </c>
      <c r="B1765" t="s">
        <v>2389</v>
      </c>
      <c r="C1765" t="s">
        <v>2438</v>
      </c>
      <c r="D1765" t="s">
        <v>2379</v>
      </c>
      <c r="E1765" t="s">
        <v>307</v>
      </c>
      <c r="F1765" t="s">
        <v>2541</v>
      </c>
      <c r="G1765" t="s">
        <v>307</v>
      </c>
      <c r="H1765" t="b">
        <v>1</v>
      </c>
      <c r="I1765" s="8">
        <v>45938.977280092593</v>
      </c>
      <c r="J1765" t="s">
        <v>2380</v>
      </c>
      <c r="K1765">
        <v>1201204</v>
      </c>
      <c r="L1765">
        <v>608142</v>
      </c>
      <c r="M1765" t="s">
        <v>2381</v>
      </c>
      <c r="P1765" t="s">
        <v>2427</v>
      </c>
      <c r="Q1765" t="s">
        <v>2383</v>
      </c>
      <c r="R1765">
        <v>1</v>
      </c>
      <c r="S1765" t="s">
        <v>2380</v>
      </c>
      <c r="T1765" t="s">
        <v>2383</v>
      </c>
      <c r="U1765" s="8">
        <v>45938.650335648148</v>
      </c>
      <c r="V1765" s="8">
        <v>45943.958333333336</v>
      </c>
      <c r="W1765">
        <v>1</v>
      </c>
      <c r="X1765">
        <v>0.326944444</v>
      </c>
      <c r="Y1765" t="s">
        <v>2542</v>
      </c>
      <c r="Z1765" t="s">
        <v>5903</v>
      </c>
      <c r="AA1765" t="s">
        <v>3115</v>
      </c>
      <c r="AB1765" t="s">
        <v>1278</v>
      </c>
      <c r="AC1765" t="s">
        <v>5904</v>
      </c>
      <c r="AD1765" t="s">
        <v>2708</v>
      </c>
      <c r="AE1765">
        <v>1</v>
      </c>
      <c r="AO1765" t="s">
        <v>2547</v>
      </c>
      <c r="AP1765" t="s">
        <v>2401</v>
      </c>
    </row>
    <row r="1766" spans="1:42">
      <c r="A1766" t="s">
        <v>2912</v>
      </c>
      <c r="B1766" t="s">
        <v>2389</v>
      </c>
      <c r="C1766" t="s">
        <v>2438</v>
      </c>
      <c r="D1766" t="s">
        <v>2379</v>
      </c>
      <c r="E1766" t="s">
        <v>307</v>
      </c>
      <c r="F1766" t="s">
        <v>2541</v>
      </c>
      <c r="G1766" t="s">
        <v>307</v>
      </c>
      <c r="H1766" t="b">
        <v>1</v>
      </c>
      <c r="I1766" s="8">
        <v>45938.97042824074</v>
      </c>
      <c r="J1766" t="s">
        <v>2380</v>
      </c>
      <c r="L1766">
        <v>608066</v>
      </c>
      <c r="M1766" t="s">
        <v>2381</v>
      </c>
      <c r="P1766" t="s">
        <v>2427</v>
      </c>
      <c r="Q1766" t="s">
        <v>2383</v>
      </c>
      <c r="R1766">
        <v>1</v>
      </c>
      <c r="S1766" t="s">
        <v>2380</v>
      </c>
      <c r="T1766" t="s">
        <v>2383</v>
      </c>
      <c r="U1766" s="8">
        <v>45938.651053240741</v>
      </c>
      <c r="V1766" s="8">
        <v>45943.958333333336</v>
      </c>
      <c r="W1766">
        <v>1</v>
      </c>
      <c r="X1766">
        <v>0.31937500000000002</v>
      </c>
      <c r="Y1766" t="s">
        <v>2542</v>
      </c>
      <c r="Z1766" t="s">
        <v>2913</v>
      </c>
      <c r="AA1766" t="s">
        <v>2914</v>
      </c>
      <c r="AB1766" t="s">
        <v>1278</v>
      </c>
      <c r="AC1766" t="s">
        <v>2800</v>
      </c>
      <c r="AE1766">
        <v>1</v>
      </c>
      <c r="AO1766" t="s">
        <v>2547</v>
      </c>
      <c r="AP1766" t="s">
        <v>2401</v>
      </c>
    </row>
    <row r="1767" spans="1:42">
      <c r="A1767" t="s">
        <v>5839</v>
      </c>
      <c r="B1767" t="s">
        <v>2389</v>
      </c>
      <c r="C1767" t="s">
        <v>2415</v>
      </c>
      <c r="D1767" t="s">
        <v>2379</v>
      </c>
      <c r="E1767" t="s">
        <v>25</v>
      </c>
      <c r="F1767" t="s">
        <v>2541</v>
      </c>
      <c r="G1767" t="s">
        <v>25</v>
      </c>
      <c r="H1767" t="b">
        <v>1</v>
      </c>
      <c r="I1767" s="8">
        <v>45940.4216087963</v>
      </c>
      <c r="J1767" t="s">
        <v>2380</v>
      </c>
      <c r="K1767">
        <v>1201466</v>
      </c>
      <c r="L1767">
        <v>601096</v>
      </c>
      <c r="M1767" t="s">
        <v>2381</v>
      </c>
      <c r="P1767" t="s">
        <v>2427</v>
      </c>
      <c r="Q1767" t="s">
        <v>2383</v>
      </c>
      <c r="R1767">
        <v>1</v>
      </c>
      <c r="S1767" t="s">
        <v>2380</v>
      </c>
      <c r="T1767" t="s">
        <v>2383</v>
      </c>
      <c r="U1767" s="8">
        <v>45938.651087962964</v>
      </c>
      <c r="V1767" s="8">
        <v>45943.958333333336</v>
      </c>
      <c r="W1767">
        <v>1</v>
      </c>
      <c r="X1767">
        <v>1.770520833</v>
      </c>
      <c r="Y1767" t="s">
        <v>2542</v>
      </c>
      <c r="Z1767" t="s">
        <v>5840</v>
      </c>
      <c r="AA1767" t="s">
        <v>2888</v>
      </c>
      <c r="AB1767" t="s">
        <v>1278</v>
      </c>
      <c r="AC1767" t="s">
        <v>5841</v>
      </c>
      <c r="AD1767" t="s">
        <v>2708</v>
      </c>
      <c r="AE1767">
        <v>1</v>
      </c>
      <c r="AO1767" t="s">
        <v>2547</v>
      </c>
      <c r="AP1767" t="s">
        <v>2401</v>
      </c>
    </row>
    <row r="1768" spans="1:42">
      <c r="A1768" t="s">
        <v>9393</v>
      </c>
      <c r="B1768" t="s">
        <v>2389</v>
      </c>
      <c r="C1768" t="s">
        <v>2390</v>
      </c>
      <c r="D1768" t="s">
        <v>2379</v>
      </c>
      <c r="E1768" t="s">
        <v>2452</v>
      </c>
      <c r="F1768" t="s">
        <v>2541</v>
      </c>
      <c r="G1768" t="s">
        <v>2452</v>
      </c>
      <c r="H1768" t="b">
        <v>1</v>
      </c>
      <c r="I1768" s="8">
        <v>45943.63726851852</v>
      </c>
      <c r="J1768" t="s">
        <v>2380</v>
      </c>
      <c r="K1768">
        <v>1201663</v>
      </c>
      <c r="L1768">
        <v>608179</v>
      </c>
      <c r="M1768" t="s">
        <v>2381</v>
      </c>
      <c r="P1768" t="s">
        <v>2427</v>
      </c>
      <c r="Q1768" t="s">
        <v>2383</v>
      </c>
      <c r="R1768">
        <v>1</v>
      </c>
      <c r="S1768" t="s">
        <v>2380</v>
      </c>
      <c r="T1768" t="s">
        <v>2383</v>
      </c>
      <c r="U1768" s="8">
        <v>45938.652662037035</v>
      </c>
      <c r="V1768" s="8">
        <v>45943.958333333336</v>
      </c>
      <c r="W1768">
        <v>1</v>
      </c>
      <c r="X1768">
        <v>2.9846064810000001</v>
      </c>
      <c r="Y1768" t="s">
        <v>2542</v>
      </c>
      <c r="Z1768" t="s">
        <v>9394</v>
      </c>
      <c r="AA1768" t="s">
        <v>6429</v>
      </c>
      <c r="AB1768" t="s">
        <v>1278</v>
      </c>
      <c r="AC1768" t="s">
        <v>9395</v>
      </c>
      <c r="AD1768" t="s">
        <v>2708</v>
      </c>
      <c r="AE1768">
        <v>1</v>
      </c>
      <c r="AH1768" t="s">
        <v>2452</v>
      </c>
      <c r="AI1768" s="8">
        <v>45943.635763888888</v>
      </c>
      <c r="AK1768" t="s">
        <v>2719</v>
      </c>
      <c r="AL1768" t="s">
        <v>18</v>
      </c>
      <c r="AO1768" t="s">
        <v>2547</v>
      </c>
      <c r="AP1768" t="s">
        <v>2401</v>
      </c>
    </row>
    <row r="1769" spans="1:42">
      <c r="A1769" t="s">
        <v>6409</v>
      </c>
      <c r="B1769" t="s">
        <v>2389</v>
      </c>
      <c r="C1769" t="s">
        <v>2415</v>
      </c>
      <c r="D1769" t="s">
        <v>2379</v>
      </c>
      <c r="E1769" t="s">
        <v>25</v>
      </c>
      <c r="F1769" t="s">
        <v>2541</v>
      </c>
      <c r="G1769" t="s">
        <v>25</v>
      </c>
      <c r="H1769" t="b">
        <v>1</v>
      </c>
      <c r="I1769" s="8">
        <v>45940.423680555556</v>
      </c>
      <c r="J1769" t="s">
        <v>2380</v>
      </c>
      <c r="K1769">
        <v>1201467</v>
      </c>
      <c r="L1769">
        <v>601096</v>
      </c>
      <c r="M1769" t="s">
        <v>2381</v>
      </c>
      <c r="N1769">
        <v>5</v>
      </c>
      <c r="P1769" t="s">
        <v>2427</v>
      </c>
      <c r="Q1769" t="s">
        <v>2383</v>
      </c>
      <c r="R1769">
        <v>1</v>
      </c>
      <c r="S1769" t="s">
        <v>2380</v>
      </c>
      <c r="T1769" t="s">
        <v>2383</v>
      </c>
      <c r="U1769" s="8">
        <v>45938.658495370371</v>
      </c>
      <c r="V1769" s="8">
        <v>45943.958333333336</v>
      </c>
      <c r="W1769">
        <v>1</v>
      </c>
      <c r="X1769">
        <v>1.765185185</v>
      </c>
      <c r="Y1769" t="s">
        <v>2542</v>
      </c>
      <c r="Z1769" t="s">
        <v>6410</v>
      </c>
      <c r="AA1769" t="s">
        <v>2888</v>
      </c>
      <c r="AB1769" t="s">
        <v>1278</v>
      </c>
      <c r="AC1769" t="s">
        <v>6411</v>
      </c>
      <c r="AD1769" t="s">
        <v>2708</v>
      </c>
      <c r="AE1769">
        <v>1</v>
      </c>
      <c r="AO1769" t="s">
        <v>2547</v>
      </c>
      <c r="AP1769" t="s">
        <v>2401</v>
      </c>
    </row>
    <row r="1770" spans="1:42">
      <c r="A1770" t="s">
        <v>6746</v>
      </c>
      <c r="B1770" t="s">
        <v>2389</v>
      </c>
      <c r="C1770" t="s">
        <v>2390</v>
      </c>
      <c r="D1770" t="s">
        <v>2379</v>
      </c>
      <c r="E1770" t="s">
        <v>307</v>
      </c>
      <c r="F1770" t="s">
        <v>2578</v>
      </c>
      <c r="G1770" t="s">
        <v>307</v>
      </c>
      <c r="H1770" t="b">
        <v>1</v>
      </c>
      <c r="I1770" s="8">
        <v>45941.650821759256</v>
      </c>
      <c r="J1770" t="s">
        <v>2380</v>
      </c>
      <c r="K1770">
        <v>1201724</v>
      </c>
      <c r="L1770">
        <v>603233</v>
      </c>
      <c r="M1770" t="s">
        <v>2381</v>
      </c>
      <c r="P1770" t="s">
        <v>2394</v>
      </c>
      <c r="Q1770" t="s">
        <v>2383</v>
      </c>
      <c r="R1770">
        <v>1</v>
      </c>
      <c r="S1770" t="s">
        <v>2380</v>
      </c>
      <c r="T1770" t="s">
        <v>2383</v>
      </c>
      <c r="U1770" s="8">
        <v>45938.659236111111</v>
      </c>
      <c r="V1770" s="8">
        <v>45943.958333333336</v>
      </c>
      <c r="W1770">
        <v>1</v>
      </c>
      <c r="X1770">
        <v>2.991585648</v>
      </c>
      <c r="Y1770" t="s">
        <v>2579</v>
      </c>
      <c r="Z1770" t="s">
        <v>6747</v>
      </c>
      <c r="AA1770" t="s">
        <v>6669</v>
      </c>
      <c r="AB1770" t="s">
        <v>1278</v>
      </c>
      <c r="AC1770" t="s">
        <v>6748</v>
      </c>
      <c r="AD1770" t="s">
        <v>2708</v>
      </c>
      <c r="AE1770">
        <v>1</v>
      </c>
      <c r="AO1770" t="s">
        <v>2388</v>
      </c>
      <c r="AP1770" t="s">
        <v>2401</v>
      </c>
    </row>
    <row r="1771" spans="1:42">
      <c r="A1771" t="s">
        <v>6080</v>
      </c>
      <c r="B1771" t="s">
        <v>2389</v>
      </c>
      <c r="C1771" t="s">
        <v>2415</v>
      </c>
      <c r="D1771" t="s">
        <v>2379</v>
      </c>
      <c r="E1771" t="s">
        <v>2452</v>
      </c>
      <c r="F1771" t="s">
        <v>2541</v>
      </c>
      <c r="G1771" t="s">
        <v>2452</v>
      </c>
      <c r="H1771" t="b">
        <v>1</v>
      </c>
      <c r="I1771" s="8">
        <v>45940.63009259259</v>
      </c>
      <c r="J1771" t="s">
        <v>2380</v>
      </c>
      <c r="K1771">
        <v>1201660</v>
      </c>
      <c r="L1771">
        <v>601096</v>
      </c>
      <c r="M1771" t="s">
        <v>2381</v>
      </c>
      <c r="P1771" t="s">
        <v>2427</v>
      </c>
      <c r="Q1771" t="s">
        <v>2383</v>
      </c>
      <c r="R1771">
        <v>1</v>
      </c>
      <c r="S1771" t="s">
        <v>2380</v>
      </c>
      <c r="T1771" t="s">
        <v>2383</v>
      </c>
      <c r="U1771" s="8">
        <v>45938.660185185188</v>
      </c>
      <c r="V1771" s="8">
        <v>45943.958333333336</v>
      </c>
      <c r="W1771">
        <v>1</v>
      </c>
      <c r="X1771">
        <v>1.969907407</v>
      </c>
      <c r="Y1771" t="s">
        <v>2542</v>
      </c>
      <c r="Z1771" t="s">
        <v>6081</v>
      </c>
      <c r="AA1771" t="s">
        <v>2888</v>
      </c>
      <c r="AB1771" t="s">
        <v>1278</v>
      </c>
      <c r="AC1771" t="s">
        <v>6082</v>
      </c>
      <c r="AD1771" t="s">
        <v>2708</v>
      </c>
      <c r="AE1771">
        <v>1</v>
      </c>
      <c r="AO1771" t="s">
        <v>2547</v>
      </c>
      <c r="AP1771" t="s">
        <v>2401</v>
      </c>
    </row>
    <row r="1772" spans="1:42">
      <c r="A1772" t="s">
        <v>6083</v>
      </c>
      <c r="B1772" t="s">
        <v>2389</v>
      </c>
      <c r="C1772" t="s">
        <v>2415</v>
      </c>
      <c r="D1772" t="s">
        <v>2379</v>
      </c>
      <c r="E1772" t="s">
        <v>2452</v>
      </c>
      <c r="F1772" t="s">
        <v>2541</v>
      </c>
      <c r="G1772" t="s">
        <v>2452</v>
      </c>
      <c r="H1772" t="b">
        <v>1</v>
      </c>
      <c r="I1772" s="8">
        <v>45940.617777777778</v>
      </c>
      <c r="J1772" t="s">
        <v>2380</v>
      </c>
      <c r="K1772">
        <v>1201653</v>
      </c>
      <c r="L1772">
        <v>601096</v>
      </c>
      <c r="M1772" t="s">
        <v>2381</v>
      </c>
      <c r="P1772" t="s">
        <v>2427</v>
      </c>
      <c r="Q1772" t="s">
        <v>2383</v>
      </c>
      <c r="R1772">
        <v>1</v>
      </c>
      <c r="S1772" t="s">
        <v>2380</v>
      </c>
      <c r="T1772" t="s">
        <v>2383</v>
      </c>
      <c r="U1772" s="8">
        <v>45938.660983796297</v>
      </c>
      <c r="V1772" s="8">
        <v>45943.958333333336</v>
      </c>
      <c r="W1772">
        <v>1</v>
      </c>
      <c r="X1772">
        <v>1.9567939809999999</v>
      </c>
      <c r="Y1772" t="s">
        <v>2542</v>
      </c>
      <c r="Z1772" t="s">
        <v>6084</v>
      </c>
      <c r="AA1772" t="s">
        <v>2888</v>
      </c>
      <c r="AB1772" t="s">
        <v>1278</v>
      </c>
      <c r="AC1772" t="s">
        <v>6085</v>
      </c>
      <c r="AD1772" t="s">
        <v>2708</v>
      </c>
      <c r="AE1772">
        <v>1</v>
      </c>
      <c r="AO1772" t="s">
        <v>2547</v>
      </c>
      <c r="AP1772" t="s">
        <v>2401</v>
      </c>
    </row>
    <row r="1773" spans="1:42">
      <c r="A1773" t="s">
        <v>6086</v>
      </c>
      <c r="B1773" t="s">
        <v>2389</v>
      </c>
      <c r="C1773" t="s">
        <v>2691</v>
      </c>
      <c r="D1773" t="s">
        <v>2379</v>
      </c>
      <c r="E1773" t="s">
        <v>2452</v>
      </c>
      <c r="F1773" t="s">
        <v>2541</v>
      </c>
      <c r="G1773" t="s">
        <v>2452</v>
      </c>
      <c r="H1773" t="b">
        <v>1</v>
      </c>
      <c r="I1773" s="8">
        <v>45947.590717592589</v>
      </c>
      <c r="J1773" t="s">
        <v>2380</v>
      </c>
      <c r="K1773">
        <v>1203223</v>
      </c>
      <c r="L1773">
        <v>601096</v>
      </c>
      <c r="M1773" t="s">
        <v>2381</v>
      </c>
      <c r="P1773" t="s">
        <v>2427</v>
      </c>
      <c r="Q1773" t="s">
        <v>2383</v>
      </c>
      <c r="R1773">
        <v>1</v>
      </c>
      <c r="S1773" t="s">
        <v>2380</v>
      </c>
      <c r="T1773" t="s">
        <v>2383</v>
      </c>
      <c r="U1773" s="8">
        <v>45938.660983796297</v>
      </c>
      <c r="V1773" s="8">
        <v>45950.958333333336</v>
      </c>
      <c r="W1773">
        <v>1</v>
      </c>
      <c r="X1773">
        <v>6.9297337959999998</v>
      </c>
      <c r="Y1773" t="s">
        <v>2542</v>
      </c>
      <c r="Z1773" t="s">
        <v>6087</v>
      </c>
      <c r="AA1773" t="s">
        <v>2888</v>
      </c>
      <c r="AB1773" t="s">
        <v>1278</v>
      </c>
      <c r="AC1773" t="s">
        <v>6088</v>
      </c>
      <c r="AD1773" t="s">
        <v>2708</v>
      </c>
      <c r="AE1773">
        <v>1</v>
      </c>
      <c r="AO1773" t="s">
        <v>2547</v>
      </c>
      <c r="AP1773" t="s">
        <v>2401</v>
      </c>
    </row>
    <row r="1774" spans="1:42">
      <c r="A1774" t="s">
        <v>10411</v>
      </c>
      <c r="B1774" t="s">
        <v>2389</v>
      </c>
      <c r="C1774" t="s">
        <v>2415</v>
      </c>
      <c r="D1774" t="s">
        <v>2379</v>
      </c>
      <c r="E1774" t="s">
        <v>2452</v>
      </c>
      <c r="F1774" t="s">
        <v>2541</v>
      </c>
      <c r="G1774" t="s">
        <v>2452</v>
      </c>
      <c r="H1774" t="b">
        <v>1</v>
      </c>
      <c r="I1774" s="8">
        <v>45940.599340277775</v>
      </c>
      <c r="J1774" t="s">
        <v>2380</v>
      </c>
      <c r="L1774">
        <v>601096</v>
      </c>
      <c r="M1774" t="s">
        <v>2381</v>
      </c>
      <c r="P1774" t="s">
        <v>2427</v>
      </c>
      <c r="Q1774" t="s">
        <v>2383</v>
      </c>
      <c r="R1774">
        <v>1</v>
      </c>
      <c r="S1774" t="s">
        <v>2380</v>
      </c>
      <c r="T1774" t="s">
        <v>2383</v>
      </c>
      <c r="U1774" s="8">
        <v>45938.660995370374</v>
      </c>
      <c r="V1774" s="8">
        <v>45943.958333333336</v>
      </c>
      <c r="W1774">
        <v>1</v>
      </c>
      <c r="X1774">
        <v>1.9383449070000001</v>
      </c>
      <c r="Y1774" t="s">
        <v>2542</v>
      </c>
      <c r="Z1774" t="s">
        <v>10412</v>
      </c>
      <c r="AA1774" t="s">
        <v>2888</v>
      </c>
      <c r="AB1774" t="s">
        <v>1278</v>
      </c>
      <c r="AC1774" t="s">
        <v>10413</v>
      </c>
      <c r="AE1774">
        <v>1</v>
      </c>
      <c r="AO1774" t="s">
        <v>2547</v>
      </c>
      <c r="AP1774" t="s">
        <v>2401</v>
      </c>
    </row>
    <row r="1775" spans="1:42">
      <c r="A1775" t="s">
        <v>6089</v>
      </c>
      <c r="B1775" t="s">
        <v>2389</v>
      </c>
      <c r="C1775" t="s">
        <v>2415</v>
      </c>
      <c r="D1775" t="s">
        <v>2379</v>
      </c>
      <c r="E1775" t="s">
        <v>2452</v>
      </c>
      <c r="F1775" t="s">
        <v>2541</v>
      </c>
      <c r="G1775" t="s">
        <v>2452</v>
      </c>
      <c r="H1775" t="b">
        <v>1</v>
      </c>
      <c r="I1775" s="8">
        <v>45940.58421296296</v>
      </c>
      <c r="J1775" t="s">
        <v>2380</v>
      </c>
      <c r="K1775">
        <v>1201642</v>
      </c>
      <c r="L1775">
        <v>601096</v>
      </c>
      <c r="M1775" t="s">
        <v>2381</v>
      </c>
      <c r="P1775" t="s">
        <v>2427</v>
      </c>
      <c r="Q1775" t="s">
        <v>2383</v>
      </c>
      <c r="R1775">
        <v>1</v>
      </c>
      <c r="S1775" t="s">
        <v>2380</v>
      </c>
      <c r="T1775" t="s">
        <v>2383</v>
      </c>
      <c r="U1775" s="8">
        <v>45938.662453703706</v>
      </c>
      <c r="V1775" s="8">
        <v>45943.958333333336</v>
      </c>
      <c r="W1775">
        <v>1</v>
      </c>
      <c r="X1775">
        <v>1.9217592590000001</v>
      </c>
      <c r="Y1775" t="s">
        <v>2542</v>
      </c>
      <c r="Z1775" t="s">
        <v>6090</v>
      </c>
      <c r="AA1775" t="s">
        <v>2888</v>
      </c>
      <c r="AB1775" t="s">
        <v>1278</v>
      </c>
      <c r="AC1775" t="s">
        <v>6091</v>
      </c>
      <c r="AD1775" t="s">
        <v>2708</v>
      </c>
      <c r="AE1775">
        <v>1</v>
      </c>
      <c r="AO1775" t="s">
        <v>2547</v>
      </c>
      <c r="AP1775" t="s">
        <v>2401</v>
      </c>
    </row>
    <row r="1776" spans="1:42">
      <c r="A1776" t="s">
        <v>2820</v>
      </c>
      <c r="B1776" t="s">
        <v>2389</v>
      </c>
      <c r="C1776" t="s">
        <v>2415</v>
      </c>
      <c r="D1776" t="s">
        <v>2379</v>
      </c>
      <c r="E1776" t="s">
        <v>2452</v>
      </c>
      <c r="F1776" t="s">
        <v>2417</v>
      </c>
      <c r="G1776" t="s">
        <v>2452</v>
      </c>
      <c r="H1776" t="b">
        <v>1</v>
      </c>
      <c r="I1776" s="8">
        <v>45940.579432870371</v>
      </c>
      <c r="J1776" t="s">
        <v>2380</v>
      </c>
      <c r="L1776">
        <v>608552</v>
      </c>
      <c r="M1776" t="s">
        <v>2381</v>
      </c>
      <c r="P1776" t="s">
        <v>2394</v>
      </c>
      <c r="Q1776" t="s">
        <v>2383</v>
      </c>
      <c r="R1776">
        <v>1</v>
      </c>
      <c r="S1776" t="s">
        <v>2380</v>
      </c>
      <c r="T1776" t="s">
        <v>2383</v>
      </c>
      <c r="U1776" s="8">
        <v>45938.670520833337</v>
      </c>
      <c r="V1776" s="8">
        <v>45943.958333333336</v>
      </c>
      <c r="W1776">
        <v>1</v>
      </c>
      <c r="X1776">
        <v>1.9089120369999999</v>
      </c>
      <c r="Y1776" t="s">
        <v>2418</v>
      </c>
      <c r="Z1776" t="s">
        <v>2821</v>
      </c>
      <c r="AA1776" t="s">
        <v>2425</v>
      </c>
      <c r="AB1776" t="s">
        <v>1278</v>
      </c>
      <c r="AC1776" t="s">
        <v>2822</v>
      </c>
      <c r="AE1776">
        <v>1</v>
      </c>
      <c r="AO1776" t="s">
        <v>2408</v>
      </c>
      <c r="AP1776" t="s">
        <v>2401</v>
      </c>
    </row>
    <row r="1777" spans="1:42">
      <c r="A1777" t="s">
        <v>3330</v>
      </c>
      <c r="B1777" t="s">
        <v>2389</v>
      </c>
      <c r="C1777" t="s">
        <v>2415</v>
      </c>
      <c r="D1777" t="s">
        <v>2379</v>
      </c>
      <c r="E1777" t="s">
        <v>2452</v>
      </c>
      <c r="F1777">
        <v>6048</v>
      </c>
      <c r="G1777" t="s">
        <v>2452</v>
      </c>
      <c r="H1777" t="b">
        <v>1</v>
      </c>
      <c r="I1777" s="8">
        <v>45940.526863425926</v>
      </c>
      <c r="J1777" t="s">
        <v>2380</v>
      </c>
      <c r="K1777">
        <v>1182037</v>
      </c>
      <c r="L1777">
        <v>609830</v>
      </c>
      <c r="M1777" t="s">
        <v>2381</v>
      </c>
      <c r="P1777" t="s">
        <v>3329</v>
      </c>
      <c r="Q1777" t="s">
        <v>2383</v>
      </c>
      <c r="R1777">
        <v>1</v>
      </c>
      <c r="S1777" t="s">
        <v>2380</v>
      </c>
      <c r="T1777" t="s">
        <v>2383</v>
      </c>
      <c r="U1777" s="8">
        <v>45938.679756944446</v>
      </c>
      <c r="V1777" s="8">
        <v>45943.958333333336</v>
      </c>
      <c r="W1777">
        <v>1</v>
      </c>
      <c r="X1777">
        <v>1.847106481</v>
      </c>
      <c r="Y1777" t="s">
        <v>3233</v>
      </c>
      <c r="Z1777" t="s">
        <v>3331</v>
      </c>
      <c r="AA1777" t="s">
        <v>3235</v>
      </c>
      <c r="AB1777" t="s">
        <v>1278</v>
      </c>
      <c r="AC1777" t="s">
        <v>3332</v>
      </c>
      <c r="AE1777">
        <v>1</v>
      </c>
      <c r="AO1777" t="s">
        <v>2388</v>
      </c>
      <c r="AP1777" t="s">
        <v>2401</v>
      </c>
    </row>
    <row r="1778" spans="1:42">
      <c r="A1778" t="s">
        <v>5076</v>
      </c>
      <c r="B1778" t="s">
        <v>2389</v>
      </c>
      <c r="C1778" t="s">
        <v>2447</v>
      </c>
      <c r="D1778" t="s">
        <v>2379</v>
      </c>
      <c r="E1778" t="s">
        <v>2452</v>
      </c>
      <c r="F1778" t="s">
        <v>2578</v>
      </c>
      <c r="G1778" t="s">
        <v>2452</v>
      </c>
      <c r="H1778" t="b">
        <v>1</v>
      </c>
      <c r="I1778" s="8">
        <v>45945.406921296293</v>
      </c>
      <c r="J1778" t="s">
        <v>2380</v>
      </c>
      <c r="K1778">
        <v>1202424</v>
      </c>
      <c r="L1778">
        <v>603006</v>
      </c>
      <c r="M1778" t="s">
        <v>2381</v>
      </c>
      <c r="P1778" t="s">
        <v>2394</v>
      </c>
      <c r="Q1778" t="s">
        <v>2383</v>
      </c>
      <c r="R1778">
        <v>1</v>
      </c>
      <c r="S1778" t="s">
        <v>2380</v>
      </c>
      <c r="T1778" t="s">
        <v>2383</v>
      </c>
      <c r="U1778" s="8">
        <v>45938.776284722226</v>
      </c>
      <c r="V1778" s="8">
        <v>45945.958333333336</v>
      </c>
      <c r="W1778">
        <v>1</v>
      </c>
      <c r="X1778">
        <v>4.6306365740000004</v>
      </c>
      <c r="Y1778" t="s">
        <v>2579</v>
      </c>
      <c r="Z1778" t="s">
        <v>5077</v>
      </c>
      <c r="AA1778" t="s">
        <v>4512</v>
      </c>
      <c r="AB1778" t="s">
        <v>1278</v>
      </c>
      <c r="AC1778" t="s">
        <v>5078</v>
      </c>
      <c r="AD1778" t="s">
        <v>2708</v>
      </c>
      <c r="AE1778">
        <v>1</v>
      </c>
      <c r="AG1778" t="s">
        <v>5075</v>
      </c>
      <c r="AO1778" t="s">
        <v>2388</v>
      </c>
      <c r="AP1778" t="s">
        <v>2401</v>
      </c>
    </row>
    <row r="1779" spans="1:42">
      <c r="A1779" t="s">
        <v>9578</v>
      </c>
      <c r="B1779" t="s">
        <v>2377</v>
      </c>
      <c r="C1779" t="s">
        <v>2415</v>
      </c>
      <c r="D1779" t="s">
        <v>2379</v>
      </c>
      <c r="E1779" t="s">
        <v>11</v>
      </c>
      <c r="F1779" t="s">
        <v>2409</v>
      </c>
      <c r="G1779" t="s">
        <v>11</v>
      </c>
      <c r="H1779" t="b">
        <v>1</v>
      </c>
      <c r="I1779" s="8">
        <v>45940.49554398148</v>
      </c>
      <c r="J1779" t="s">
        <v>2380</v>
      </c>
      <c r="L1779">
        <v>608028</v>
      </c>
      <c r="M1779" t="s">
        <v>2381</v>
      </c>
      <c r="Q1779" t="s">
        <v>2383</v>
      </c>
      <c r="R1779">
        <v>1</v>
      </c>
      <c r="S1779" t="s">
        <v>2380</v>
      </c>
      <c r="T1779" t="s">
        <v>2383</v>
      </c>
      <c r="U1779" s="8">
        <v>45939.285104166665</v>
      </c>
      <c r="V1779" s="8">
        <v>45943.958333333336</v>
      </c>
      <c r="W1779">
        <v>1</v>
      </c>
      <c r="X1779">
        <v>1.210439815</v>
      </c>
      <c r="Y1779" t="s">
        <v>2410</v>
      </c>
      <c r="Z1779" t="s">
        <v>9579</v>
      </c>
      <c r="AA1779" t="s">
        <v>8806</v>
      </c>
      <c r="AB1779" t="s">
        <v>1278</v>
      </c>
      <c r="AC1779" t="s">
        <v>9580</v>
      </c>
      <c r="AE1779">
        <v>1</v>
      </c>
      <c r="AH1779" t="s">
        <v>11</v>
      </c>
      <c r="AI1779" s="8">
        <v>45940.492800925924</v>
      </c>
      <c r="AK1779" t="s">
        <v>2719</v>
      </c>
      <c r="AL1779" t="s">
        <v>2719</v>
      </c>
      <c r="AO1779" t="s">
        <v>3644</v>
      </c>
      <c r="AP1779" t="s">
        <v>2401</v>
      </c>
    </row>
    <row r="1780" spans="1:42">
      <c r="A1780" t="s">
        <v>6749</v>
      </c>
      <c r="B1780" t="s">
        <v>2389</v>
      </c>
      <c r="C1780" t="s">
        <v>2415</v>
      </c>
      <c r="D1780" t="s">
        <v>2379</v>
      </c>
      <c r="E1780" t="s">
        <v>307</v>
      </c>
      <c r="F1780" t="s">
        <v>2588</v>
      </c>
      <c r="G1780" t="s">
        <v>307</v>
      </c>
      <c r="H1780" t="b">
        <v>1</v>
      </c>
      <c r="I1780" s="8">
        <v>45940.601273148146</v>
      </c>
      <c r="J1780" t="s">
        <v>2380</v>
      </c>
      <c r="K1780">
        <v>1201650</v>
      </c>
      <c r="L1780">
        <v>602590</v>
      </c>
      <c r="M1780" t="s">
        <v>2381</v>
      </c>
      <c r="P1780" t="s">
        <v>2394</v>
      </c>
      <c r="Q1780" t="s">
        <v>2383</v>
      </c>
      <c r="R1780">
        <v>1</v>
      </c>
      <c r="S1780" t="s">
        <v>2380</v>
      </c>
      <c r="T1780" t="s">
        <v>2383</v>
      </c>
      <c r="U1780" s="8">
        <v>45939.331226851849</v>
      </c>
      <c r="V1780" s="8">
        <v>45943.958333333336</v>
      </c>
      <c r="W1780">
        <v>1</v>
      </c>
      <c r="X1780">
        <v>1.2700462960000001</v>
      </c>
      <c r="Y1780" t="s">
        <v>2579</v>
      </c>
      <c r="Z1780" t="s">
        <v>6750</v>
      </c>
      <c r="AA1780" t="s">
        <v>3307</v>
      </c>
      <c r="AB1780" t="s">
        <v>1278</v>
      </c>
      <c r="AD1780" t="s">
        <v>2708</v>
      </c>
      <c r="AE1780">
        <v>1</v>
      </c>
      <c r="AO1780" t="s">
        <v>2388</v>
      </c>
      <c r="AP1780" t="s">
        <v>2401</v>
      </c>
    </row>
    <row r="1781" spans="1:42">
      <c r="A1781" t="s">
        <v>8335</v>
      </c>
      <c r="B1781" t="s">
        <v>2389</v>
      </c>
      <c r="C1781" t="s">
        <v>2415</v>
      </c>
      <c r="D1781" t="s">
        <v>2379</v>
      </c>
      <c r="E1781" t="s">
        <v>25</v>
      </c>
      <c r="F1781">
        <v>3912</v>
      </c>
      <c r="G1781" t="s">
        <v>25</v>
      </c>
      <c r="H1781" t="b">
        <v>1</v>
      </c>
      <c r="I1781" s="8">
        <v>45940.376111111109</v>
      </c>
      <c r="J1781" t="s">
        <v>2380</v>
      </c>
      <c r="K1781">
        <v>1201458</v>
      </c>
      <c r="L1781">
        <v>604305</v>
      </c>
      <c r="M1781" t="s">
        <v>2381</v>
      </c>
      <c r="N1781">
        <v>5</v>
      </c>
      <c r="P1781" t="s">
        <v>2394</v>
      </c>
      <c r="Q1781" t="s">
        <v>2395</v>
      </c>
      <c r="R1781">
        <v>1</v>
      </c>
      <c r="S1781" t="s">
        <v>2380</v>
      </c>
      <c r="T1781" t="s">
        <v>2383</v>
      </c>
      <c r="U1781" s="8">
        <v>45939.331990740742</v>
      </c>
      <c r="V1781" s="8">
        <v>45943.958333333336</v>
      </c>
      <c r="W1781">
        <v>1</v>
      </c>
      <c r="X1781">
        <v>1.0441203699999999</v>
      </c>
      <c r="Y1781" t="s">
        <v>8334</v>
      </c>
      <c r="Z1781" t="s">
        <v>8336</v>
      </c>
      <c r="AA1781" t="s">
        <v>8337</v>
      </c>
      <c r="AB1781" t="s">
        <v>1278</v>
      </c>
      <c r="AC1781" t="s">
        <v>8338</v>
      </c>
      <c r="AD1781" t="s">
        <v>2708</v>
      </c>
      <c r="AE1781">
        <v>1</v>
      </c>
      <c r="AO1781" t="s">
        <v>4137</v>
      </c>
      <c r="AP1781" t="s">
        <v>2401</v>
      </c>
    </row>
    <row r="1782" spans="1:42">
      <c r="A1782" t="s">
        <v>399</v>
      </c>
      <c r="B1782" t="s">
        <v>2377</v>
      </c>
      <c r="C1782" t="s">
        <v>2438</v>
      </c>
      <c r="D1782" t="s">
        <v>2379</v>
      </c>
      <c r="E1782" t="s">
        <v>12</v>
      </c>
      <c r="F1782" t="s">
        <v>3193</v>
      </c>
      <c r="G1782" t="s">
        <v>12</v>
      </c>
      <c r="H1782" t="b">
        <v>1</v>
      </c>
      <c r="I1782" s="8">
        <v>45939.637118055558</v>
      </c>
      <c r="J1782" t="s">
        <v>2380</v>
      </c>
      <c r="L1782">
        <v>609841</v>
      </c>
      <c r="M1782" t="s">
        <v>2381</v>
      </c>
      <c r="Q1782" t="s">
        <v>2383</v>
      </c>
      <c r="R1782">
        <v>1</v>
      </c>
      <c r="S1782" t="s">
        <v>2380</v>
      </c>
      <c r="T1782" t="s">
        <v>2383</v>
      </c>
      <c r="U1782" s="8">
        <v>45939.344722222224</v>
      </c>
      <c r="V1782" s="8">
        <v>45944.958333333336</v>
      </c>
      <c r="W1782">
        <v>1</v>
      </c>
      <c r="X1782">
        <v>0.29239583299999999</v>
      </c>
      <c r="Y1782" t="s">
        <v>3194</v>
      </c>
      <c r="Z1782" t="s">
        <v>9749</v>
      </c>
      <c r="AA1782" t="s">
        <v>3683</v>
      </c>
      <c r="AB1782" t="s">
        <v>1278</v>
      </c>
      <c r="AC1782" t="s">
        <v>9750</v>
      </c>
      <c r="AD1782" t="s">
        <v>2708</v>
      </c>
      <c r="AE1782">
        <v>1</v>
      </c>
      <c r="AO1782" t="s">
        <v>3644</v>
      </c>
      <c r="AP1782" t="s">
        <v>2401</v>
      </c>
    </row>
    <row r="1783" spans="1:42">
      <c r="A1783" t="s">
        <v>3314</v>
      </c>
      <c r="B1783" t="s">
        <v>2389</v>
      </c>
      <c r="C1783" t="s">
        <v>2438</v>
      </c>
      <c r="D1783" t="s">
        <v>2379</v>
      </c>
      <c r="E1783" t="s">
        <v>2601</v>
      </c>
      <c r="F1783" t="s">
        <v>2578</v>
      </c>
      <c r="G1783" t="s">
        <v>2601</v>
      </c>
      <c r="H1783" t="b">
        <v>1</v>
      </c>
      <c r="I1783" s="8">
        <v>45939.56758101852</v>
      </c>
      <c r="J1783" t="s">
        <v>2380</v>
      </c>
      <c r="L1783">
        <v>609974</v>
      </c>
      <c r="M1783" t="s">
        <v>2381</v>
      </c>
      <c r="P1783" t="s">
        <v>2394</v>
      </c>
      <c r="Q1783" t="s">
        <v>2383</v>
      </c>
      <c r="R1783">
        <v>1</v>
      </c>
      <c r="S1783" t="s">
        <v>2380</v>
      </c>
      <c r="T1783" t="s">
        <v>2383</v>
      </c>
      <c r="U1783" s="8">
        <v>45939.385925925926</v>
      </c>
      <c r="V1783" s="8">
        <v>45944.958333333336</v>
      </c>
      <c r="W1783">
        <v>1</v>
      </c>
      <c r="X1783">
        <v>0.18165509299999999</v>
      </c>
      <c r="Y1783" t="s">
        <v>2579</v>
      </c>
      <c r="Z1783" t="s">
        <v>3315</v>
      </c>
      <c r="AA1783" t="s">
        <v>3316</v>
      </c>
      <c r="AB1783" t="s">
        <v>1278</v>
      </c>
      <c r="AC1783" t="s">
        <v>3317</v>
      </c>
      <c r="AE1783">
        <v>1</v>
      </c>
      <c r="AO1783" t="s">
        <v>2388</v>
      </c>
      <c r="AP1783" t="s">
        <v>2401</v>
      </c>
    </row>
    <row r="1784" spans="1:42">
      <c r="A1784" t="s">
        <v>8214</v>
      </c>
      <c r="B1784" t="s">
        <v>2389</v>
      </c>
      <c r="C1784" t="s">
        <v>2438</v>
      </c>
      <c r="D1784" t="s">
        <v>2379</v>
      </c>
      <c r="E1784" t="s">
        <v>2601</v>
      </c>
      <c r="F1784" t="s">
        <v>4112</v>
      </c>
      <c r="G1784" t="s">
        <v>2601</v>
      </c>
      <c r="H1784" t="b">
        <v>1</v>
      </c>
      <c r="I1784" s="8">
        <v>45939.558634259258</v>
      </c>
      <c r="J1784" t="s">
        <v>2380</v>
      </c>
      <c r="K1784">
        <v>1201333</v>
      </c>
      <c r="L1784">
        <v>604472</v>
      </c>
      <c r="M1784" t="s">
        <v>2381</v>
      </c>
      <c r="P1784" t="s">
        <v>2394</v>
      </c>
      <c r="Q1784" t="s">
        <v>2395</v>
      </c>
      <c r="R1784">
        <v>1</v>
      </c>
      <c r="S1784" t="s">
        <v>2380</v>
      </c>
      <c r="T1784" t="s">
        <v>2383</v>
      </c>
      <c r="U1784" s="8">
        <v>45939.395798611113</v>
      </c>
      <c r="V1784" s="8">
        <v>45944.958333333336</v>
      </c>
      <c r="W1784">
        <v>1</v>
      </c>
      <c r="X1784">
        <v>0.162835648</v>
      </c>
      <c r="Y1784" t="s">
        <v>3901</v>
      </c>
      <c r="Z1784" t="s">
        <v>8215</v>
      </c>
      <c r="AA1784" t="s">
        <v>8216</v>
      </c>
      <c r="AB1784" t="s">
        <v>1278</v>
      </c>
      <c r="AC1784" t="s">
        <v>8217</v>
      </c>
      <c r="AD1784" t="s">
        <v>2708</v>
      </c>
      <c r="AE1784">
        <v>1</v>
      </c>
      <c r="AO1784" t="s">
        <v>4137</v>
      </c>
      <c r="AP1784" t="s">
        <v>2401</v>
      </c>
    </row>
    <row r="1785" spans="1:42">
      <c r="A1785" t="s">
        <v>2792</v>
      </c>
      <c r="B1785" t="s">
        <v>2389</v>
      </c>
      <c r="C1785" t="s">
        <v>2378</v>
      </c>
      <c r="D1785" t="s">
        <v>2379</v>
      </c>
      <c r="E1785" t="s">
        <v>25</v>
      </c>
      <c r="F1785" t="s">
        <v>2791</v>
      </c>
      <c r="G1785" t="s">
        <v>25</v>
      </c>
      <c r="H1785" t="b">
        <v>1</v>
      </c>
      <c r="I1785" s="8">
        <v>45944.480127314811</v>
      </c>
      <c r="J1785" t="s">
        <v>2380</v>
      </c>
      <c r="L1785">
        <v>608341</v>
      </c>
      <c r="M1785" t="s">
        <v>2381</v>
      </c>
      <c r="P1785" t="s">
        <v>2394</v>
      </c>
      <c r="Q1785" t="s">
        <v>2383</v>
      </c>
      <c r="R1785">
        <v>1</v>
      </c>
      <c r="S1785" t="s">
        <v>2380</v>
      </c>
      <c r="T1785" t="s">
        <v>2383</v>
      </c>
      <c r="U1785" s="8">
        <v>45939.409166666665</v>
      </c>
      <c r="V1785" s="8">
        <v>45945.958333333336</v>
      </c>
      <c r="W1785">
        <v>1</v>
      </c>
      <c r="X1785">
        <v>3.0709606479999998</v>
      </c>
      <c r="Y1785" t="s">
        <v>1352</v>
      </c>
      <c r="Z1785" t="s">
        <v>2793</v>
      </c>
      <c r="AA1785" t="s">
        <v>2794</v>
      </c>
      <c r="AB1785" t="s">
        <v>1278</v>
      </c>
      <c r="AC1785" t="s">
        <v>2632</v>
      </c>
      <c r="AE1785">
        <v>1</v>
      </c>
      <c r="AO1785" t="s">
        <v>2408</v>
      </c>
      <c r="AP1785" t="s">
        <v>2401</v>
      </c>
    </row>
    <row r="1786" spans="1:42">
      <c r="A1786" t="s">
        <v>8019</v>
      </c>
      <c r="B1786" t="s">
        <v>2377</v>
      </c>
      <c r="C1786" t="s">
        <v>2691</v>
      </c>
      <c r="D1786" t="s">
        <v>2379</v>
      </c>
      <c r="E1786" t="s">
        <v>13</v>
      </c>
      <c r="F1786" t="s">
        <v>2588</v>
      </c>
      <c r="G1786" t="s">
        <v>13</v>
      </c>
      <c r="H1786" t="b">
        <v>1</v>
      </c>
      <c r="I1786" s="8">
        <v>45951.648877314816</v>
      </c>
      <c r="J1786" t="s">
        <v>2942</v>
      </c>
      <c r="L1786">
        <v>607162</v>
      </c>
      <c r="M1786" t="s">
        <v>2381</v>
      </c>
      <c r="P1786" t="s">
        <v>5429</v>
      </c>
      <c r="Q1786" t="s">
        <v>2943</v>
      </c>
      <c r="R1786">
        <v>1</v>
      </c>
      <c r="S1786" t="s">
        <v>2942</v>
      </c>
      <c r="T1786" t="s">
        <v>2383</v>
      </c>
      <c r="U1786" s="8">
        <v>45939.418958333335</v>
      </c>
      <c r="V1786" s="8">
        <v>45952.958333333336</v>
      </c>
      <c r="W1786">
        <v>1</v>
      </c>
      <c r="X1786">
        <v>8.2299189810000009</v>
      </c>
      <c r="Y1786" t="s">
        <v>2579</v>
      </c>
      <c r="Z1786" t="s">
        <v>8020</v>
      </c>
      <c r="AA1786" t="s">
        <v>8021</v>
      </c>
      <c r="AB1786" t="s">
        <v>1278</v>
      </c>
      <c r="AC1786" t="s">
        <v>8022</v>
      </c>
      <c r="AD1786" t="s">
        <v>2708</v>
      </c>
      <c r="AE1786">
        <v>1</v>
      </c>
      <c r="AO1786" t="s">
        <v>2949</v>
      </c>
      <c r="AP1786" t="s">
        <v>2401</v>
      </c>
    </row>
    <row r="1787" spans="1:42">
      <c r="A1787" t="s">
        <v>6761</v>
      </c>
      <c r="B1787" t="s">
        <v>2389</v>
      </c>
      <c r="C1787" t="s">
        <v>2415</v>
      </c>
      <c r="D1787" t="s">
        <v>2379</v>
      </c>
      <c r="E1787" t="s">
        <v>307</v>
      </c>
      <c r="F1787" t="s">
        <v>6698</v>
      </c>
      <c r="G1787" t="s">
        <v>307</v>
      </c>
      <c r="H1787" t="b">
        <v>1</v>
      </c>
      <c r="I1787" s="8">
        <v>45942.539155092592</v>
      </c>
      <c r="J1787" t="s">
        <v>2380</v>
      </c>
      <c r="K1787">
        <v>1201733</v>
      </c>
      <c r="L1787">
        <v>601039</v>
      </c>
      <c r="M1787" t="s">
        <v>2381</v>
      </c>
      <c r="P1787" t="s">
        <v>2394</v>
      </c>
      <c r="Q1787" t="s">
        <v>2383</v>
      </c>
      <c r="R1787">
        <v>1</v>
      </c>
      <c r="S1787" t="s">
        <v>2380</v>
      </c>
      <c r="T1787" t="s">
        <v>2383</v>
      </c>
      <c r="U1787" s="8">
        <v>45939.419016203705</v>
      </c>
      <c r="V1787" s="8">
        <v>45944.958333333336</v>
      </c>
      <c r="W1787">
        <v>1</v>
      </c>
      <c r="X1787">
        <v>1.1201388889999999</v>
      </c>
      <c r="Y1787" t="s">
        <v>6699</v>
      </c>
      <c r="Z1787" t="s">
        <v>6762</v>
      </c>
      <c r="AA1787" t="s">
        <v>6702</v>
      </c>
      <c r="AB1787" t="s">
        <v>1278</v>
      </c>
      <c r="AC1787" t="s">
        <v>6763</v>
      </c>
      <c r="AD1787" t="s">
        <v>2708</v>
      </c>
      <c r="AE1787">
        <v>1</v>
      </c>
      <c r="AO1787" t="s">
        <v>2388</v>
      </c>
      <c r="AP1787" t="s">
        <v>2401</v>
      </c>
    </row>
    <row r="1788" spans="1:42">
      <c r="A1788" t="s">
        <v>9410</v>
      </c>
      <c r="B1788" t="s">
        <v>2389</v>
      </c>
      <c r="C1788" t="s">
        <v>2443</v>
      </c>
      <c r="D1788" t="s">
        <v>2443</v>
      </c>
      <c r="E1788" t="s">
        <v>2750</v>
      </c>
      <c r="F1788" t="s">
        <v>2715</v>
      </c>
      <c r="G1788" t="s">
        <v>2750</v>
      </c>
      <c r="H1788" t="b">
        <v>1</v>
      </c>
      <c r="I1788" s="8">
        <v>45945.461655092593</v>
      </c>
      <c r="J1788" t="s">
        <v>2380</v>
      </c>
      <c r="K1788">
        <v>1201255</v>
      </c>
      <c r="L1788">
        <v>602157</v>
      </c>
      <c r="M1788" t="s">
        <v>2381</v>
      </c>
      <c r="O1788" t="s">
        <v>9409</v>
      </c>
      <c r="Q1788" t="s">
        <v>2383</v>
      </c>
      <c r="R1788">
        <v>1</v>
      </c>
      <c r="S1788" t="s">
        <v>2380</v>
      </c>
      <c r="T1788" t="s">
        <v>2383</v>
      </c>
      <c r="U1788" s="8">
        <v>45939.444791666669</v>
      </c>
      <c r="V1788" s="8">
        <v>45944.958333333336</v>
      </c>
      <c r="W1788">
        <v>1</v>
      </c>
      <c r="X1788">
        <v>4.0168634259999996</v>
      </c>
      <c r="Y1788" t="s">
        <v>4653</v>
      </c>
      <c r="Z1788" t="s">
        <v>9411</v>
      </c>
      <c r="AA1788" t="s">
        <v>1282</v>
      </c>
      <c r="AB1788" t="s">
        <v>1278</v>
      </c>
      <c r="AC1788" t="s">
        <v>9412</v>
      </c>
      <c r="AD1788" t="s">
        <v>2708</v>
      </c>
      <c r="AE1788">
        <v>1</v>
      </c>
      <c r="AH1788" t="s">
        <v>2416</v>
      </c>
      <c r="AI1788" s="8">
        <v>45945.446782407409</v>
      </c>
      <c r="AK1788" t="s">
        <v>2719</v>
      </c>
      <c r="AL1788" t="s">
        <v>18</v>
      </c>
      <c r="AO1788" t="s">
        <v>2957</v>
      </c>
      <c r="AP1788" t="s">
        <v>2401</v>
      </c>
    </row>
    <row r="1789" spans="1:42">
      <c r="A1789" t="s">
        <v>4085</v>
      </c>
      <c r="B1789" t="s">
        <v>2389</v>
      </c>
      <c r="C1789" t="s">
        <v>2390</v>
      </c>
      <c r="D1789" t="s">
        <v>2379</v>
      </c>
      <c r="E1789" t="s">
        <v>2452</v>
      </c>
      <c r="F1789" t="s">
        <v>3747</v>
      </c>
      <c r="G1789" t="s">
        <v>2452</v>
      </c>
      <c r="H1789" t="b">
        <v>1</v>
      </c>
      <c r="I1789" s="8">
        <v>45944.393993055557</v>
      </c>
      <c r="J1789" t="s">
        <v>2380</v>
      </c>
      <c r="K1789">
        <v>1202207</v>
      </c>
      <c r="L1789">
        <v>606847</v>
      </c>
      <c r="M1789" t="s">
        <v>2381</v>
      </c>
      <c r="P1789" t="s">
        <v>2394</v>
      </c>
      <c r="Q1789" t="s">
        <v>2383</v>
      </c>
      <c r="R1789">
        <v>1</v>
      </c>
      <c r="S1789" t="s">
        <v>2380</v>
      </c>
      <c r="T1789" t="s">
        <v>2383</v>
      </c>
      <c r="U1789" s="8">
        <v>45939.464004629626</v>
      </c>
      <c r="V1789" s="8">
        <v>45944.958333333336</v>
      </c>
      <c r="W1789">
        <v>1</v>
      </c>
      <c r="X1789">
        <v>2.929988426</v>
      </c>
      <c r="Y1789" t="s">
        <v>3748</v>
      </c>
      <c r="Z1789" t="s">
        <v>4086</v>
      </c>
      <c r="AA1789" t="s">
        <v>4087</v>
      </c>
      <c r="AB1789" t="s">
        <v>1278</v>
      </c>
      <c r="AC1789" t="s">
        <v>4088</v>
      </c>
      <c r="AD1789" t="s">
        <v>2708</v>
      </c>
      <c r="AE1789">
        <v>1</v>
      </c>
      <c r="AO1789" t="s">
        <v>2712</v>
      </c>
      <c r="AP1789" t="s">
        <v>2401</v>
      </c>
    </row>
    <row r="1790" spans="1:42">
      <c r="A1790" t="s">
        <v>10384</v>
      </c>
      <c r="B1790" t="s">
        <v>2389</v>
      </c>
      <c r="C1790" t="s">
        <v>2390</v>
      </c>
      <c r="D1790" t="s">
        <v>2379</v>
      </c>
      <c r="E1790" t="s">
        <v>2452</v>
      </c>
      <c r="F1790" t="s">
        <v>2541</v>
      </c>
      <c r="G1790" t="s">
        <v>2452</v>
      </c>
      <c r="H1790" t="b">
        <v>1</v>
      </c>
      <c r="I1790" s="8">
        <v>45944.433865740742</v>
      </c>
      <c r="J1790" t="s">
        <v>2380</v>
      </c>
      <c r="L1790">
        <v>601096</v>
      </c>
      <c r="M1790" t="s">
        <v>2381</v>
      </c>
      <c r="P1790" t="s">
        <v>2548</v>
      </c>
      <c r="Q1790" t="s">
        <v>2383</v>
      </c>
      <c r="R1790">
        <v>1</v>
      </c>
      <c r="S1790" t="s">
        <v>2380</v>
      </c>
      <c r="T1790" t="s">
        <v>2383</v>
      </c>
      <c r="U1790" s="8">
        <v>45939.464525462965</v>
      </c>
      <c r="V1790" s="8">
        <v>45944.958333333336</v>
      </c>
      <c r="W1790">
        <v>1</v>
      </c>
      <c r="X1790">
        <v>2.9693402780000002</v>
      </c>
      <c r="Y1790" t="s">
        <v>2542</v>
      </c>
      <c r="Z1790" t="s">
        <v>10385</v>
      </c>
      <c r="AA1790" t="s">
        <v>2888</v>
      </c>
      <c r="AB1790" t="s">
        <v>1278</v>
      </c>
      <c r="AC1790" t="s">
        <v>10386</v>
      </c>
      <c r="AE1790">
        <v>1</v>
      </c>
      <c r="AO1790" t="s">
        <v>2547</v>
      </c>
      <c r="AP1790" t="s">
        <v>2401</v>
      </c>
    </row>
    <row r="1791" spans="1:42">
      <c r="A1791" t="s">
        <v>7745</v>
      </c>
      <c r="B1791" t="s">
        <v>2389</v>
      </c>
      <c r="C1791" t="s">
        <v>2378</v>
      </c>
      <c r="D1791" t="s">
        <v>2379</v>
      </c>
      <c r="E1791" t="s">
        <v>2452</v>
      </c>
      <c r="F1791" t="s">
        <v>7743</v>
      </c>
      <c r="G1791" t="s">
        <v>2452</v>
      </c>
      <c r="H1791" t="b">
        <v>1</v>
      </c>
      <c r="I1791" s="8">
        <v>45944.487881944442</v>
      </c>
      <c r="J1791" t="s">
        <v>2380</v>
      </c>
      <c r="K1791">
        <v>1202304</v>
      </c>
      <c r="L1791">
        <v>602352</v>
      </c>
      <c r="M1791" t="s">
        <v>2381</v>
      </c>
      <c r="P1791" t="s">
        <v>2394</v>
      </c>
      <c r="Q1791" t="s">
        <v>2383</v>
      </c>
      <c r="R1791">
        <v>1</v>
      </c>
      <c r="S1791" t="s">
        <v>2380</v>
      </c>
      <c r="T1791" t="s">
        <v>2383</v>
      </c>
      <c r="U1791" s="8">
        <v>45939.473749999997</v>
      </c>
      <c r="V1791" s="8">
        <v>45947.958333333336</v>
      </c>
      <c r="W1791">
        <v>1</v>
      </c>
      <c r="X1791">
        <v>3.0141319439999998</v>
      </c>
      <c r="Y1791" t="s">
        <v>7744</v>
      </c>
      <c r="Z1791" t="s">
        <v>7746</v>
      </c>
      <c r="AA1791" t="s">
        <v>7747</v>
      </c>
      <c r="AB1791" t="s">
        <v>1278</v>
      </c>
      <c r="AC1791" t="s">
        <v>7748</v>
      </c>
      <c r="AD1791" t="s">
        <v>2708</v>
      </c>
      <c r="AE1791">
        <v>1</v>
      </c>
      <c r="AO1791" t="s">
        <v>2957</v>
      </c>
      <c r="AP1791" t="s">
        <v>2401</v>
      </c>
    </row>
    <row r="1792" spans="1:42">
      <c r="A1792" t="s">
        <v>5830</v>
      </c>
      <c r="B1792" t="s">
        <v>2389</v>
      </c>
      <c r="C1792" t="s">
        <v>2415</v>
      </c>
      <c r="D1792" t="s">
        <v>2379</v>
      </c>
      <c r="E1792" t="s">
        <v>25</v>
      </c>
      <c r="F1792" t="s">
        <v>2541</v>
      </c>
      <c r="G1792" t="s">
        <v>25</v>
      </c>
      <c r="H1792" t="b">
        <v>1</v>
      </c>
      <c r="I1792" s="8">
        <v>45940.498368055552</v>
      </c>
      <c r="J1792" t="s">
        <v>2380</v>
      </c>
      <c r="K1792">
        <v>1201515</v>
      </c>
      <c r="L1792">
        <v>602299</v>
      </c>
      <c r="M1792" t="s">
        <v>2381</v>
      </c>
      <c r="Q1792" t="s">
        <v>2383</v>
      </c>
      <c r="R1792">
        <v>1</v>
      </c>
      <c r="S1792" t="s">
        <v>2380</v>
      </c>
      <c r="T1792" t="s">
        <v>2383</v>
      </c>
      <c r="U1792" s="8">
        <v>45939.476342592592</v>
      </c>
      <c r="V1792" s="8">
        <v>45944.958333333336</v>
      </c>
      <c r="W1792">
        <v>1</v>
      </c>
      <c r="X1792">
        <v>1.0220254630000001</v>
      </c>
      <c r="Y1792" t="s">
        <v>2542</v>
      </c>
      <c r="Z1792" t="s">
        <v>5831</v>
      </c>
      <c r="AA1792" t="s">
        <v>2927</v>
      </c>
      <c r="AB1792" t="s">
        <v>1278</v>
      </c>
      <c r="AC1792" t="s">
        <v>5832</v>
      </c>
      <c r="AD1792" t="s">
        <v>2708</v>
      </c>
      <c r="AE1792">
        <v>1</v>
      </c>
      <c r="AO1792" t="s">
        <v>2547</v>
      </c>
      <c r="AP1792" t="s">
        <v>2401</v>
      </c>
    </row>
    <row r="1793" spans="1:42">
      <c r="A1793" t="s">
        <v>7770</v>
      </c>
      <c r="B1793" t="s">
        <v>2389</v>
      </c>
      <c r="C1793" t="s">
        <v>2390</v>
      </c>
      <c r="D1793" t="s">
        <v>2379</v>
      </c>
      <c r="E1793" t="s">
        <v>2452</v>
      </c>
      <c r="F1793" t="s">
        <v>7765</v>
      </c>
      <c r="G1793" t="s">
        <v>2452</v>
      </c>
      <c r="H1793" t="b">
        <v>1</v>
      </c>
      <c r="I1793" s="8">
        <v>45944.400983796295</v>
      </c>
      <c r="J1793" t="s">
        <v>2380</v>
      </c>
      <c r="K1793">
        <v>1202213</v>
      </c>
      <c r="L1793">
        <v>609772</v>
      </c>
      <c r="M1793" t="s">
        <v>2381</v>
      </c>
      <c r="P1793" t="s">
        <v>2394</v>
      </c>
      <c r="Q1793" t="s">
        <v>2383</v>
      </c>
      <c r="R1793">
        <v>1</v>
      </c>
      <c r="S1793" t="s">
        <v>2380</v>
      </c>
      <c r="T1793" t="s">
        <v>2383</v>
      </c>
      <c r="U1793" s="8">
        <v>45939.48505787037</v>
      </c>
      <c r="V1793" s="8">
        <v>45944.958333333336</v>
      </c>
      <c r="W1793">
        <v>1</v>
      </c>
      <c r="X1793">
        <v>2.9159259259999999</v>
      </c>
      <c r="Y1793" t="s">
        <v>3521</v>
      </c>
      <c r="Z1793" t="s">
        <v>7771</v>
      </c>
      <c r="AA1793" t="s">
        <v>7768</v>
      </c>
      <c r="AB1793" t="s">
        <v>1278</v>
      </c>
      <c r="AC1793" t="s">
        <v>7772</v>
      </c>
      <c r="AD1793" t="s">
        <v>2708</v>
      </c>
      <c r="AE1793">
        <v>1</v>
      </c>
      <c r="AO1793" t="s">
        <v>2957</v>
      </c>
      <c r="AP1793" t="s">
        <v>2401</v>
      </c>
    </row>
    <row r="1794" spans="1:42">
      <c r="A1794" t="s">
        <v>3336</v>
      </c>
      <c r="B1794" t="s">
        <v>2389</v>
      </c>
      <c r="C1794" t="s">
        <v>2390</v>
      </c>
      <c r="D1794" t="s">
        <v>2379</v>
      </c>
      <c r="E1794" t="s">
        <v>2452</v>
      </c>
      <c r="F1794">
        <v>3801</v>
      </c>
      <c r="G1794" t="s">
        <v>2452</v>
      </c>
      <c r="H1794" t="b">
        <v>1</v>
      </c>
      <c r="I1794" s="8">
        <v>45944.456608796296</v>
      </c>
      <c r="J1794" t="s">
        <v>2380</v>
      </c>
      <c r="L1794">
        <v>603922</v>
      </c>
      <c r="M1794" t="s">
        <v>2381</v>
      </c>
      <c r="P1794" t="s">
        <v>2394</v>
      </c>
      <c r="Q1794" t="s">
        <v>2383</v>
      </c>
      <c r="R1794">
        <v>1</v>
      </c>
      <c r="S1794" t="s">
        <v>2380</v>
      </c>
      <c r="T1794" t="s">
        <v>2383</v>
      </c>
      <c r="U1794" s="8">
        <v>45939.49490740741</v>
      </c>
      <c r="V1794" s="8">
        <v>45944.958333333336</v>
      </c>
      <c r="W1794">
        <v>1</v>
      </c>
      <c r="X1794">
        <v>2.9617013889999999</v>
      </c>
      <c r="Y1794" t="s">
        <v>3318</v>
      </c>
      <c r="Z1794" t="s">
        <v>3337</v>
      </c>
      <c r="AA1794" t="s">
        <v>3321</v>
      </c>
      <c r="AB1794" t="s">
        <v>1278</v>
      </c>
      <c r="AC1794" t="s">
        <v>3338</v>
      </c>
      <c r="AE1794">
        <v>1</v>
      </c>
      <c r="AO1794" t="s">
        <v>2388</v>
      </c>
      <c r="AP1794" t="s">
        <v>2401</v>
      </c>
    </row>
    <row r="1795" spans="1:42">
      <c r="A1795" t="s">
        <v>3355</v>
      </c>
      <c r="B1795" t="s">
        <v>2389</v>
      </c>
      <c r="C1795" t="s">
        <v>2390</v>
      </c>
      <c r="D1795" t="s">
        <v>2379</v>
      </c>
      <c r="E1795" t="s">
        <v>2452</v>
      </c>
      <c r="F1795" t="s">
        <v>2578</v>
      </c>
      <c r="G1795" t="s">
        <v>2452</v>
      </c>
      <c r="H1795" t="b">
        <v>1</v>
      </c>
      <c r="I1795" s="8">
        <v>45944.460995370369</v>
      </c>
      <c r="J1795" t="s">
        <v>2380</v>
      </c>
      <c r="L1795">
        <v>606979</v>
      </c>
      <c r="M1795" t="s">
        <v>2381</v>
      </c>
      <c r="P1795" t="s">
        <v>2394</v>
      </c>
      <c r="Q1795" t="s">
        <v>2383</v>
      </c>
      <c r="R1795">
        <v>1</v>
      </c>
      <c r="S1795" t="s">
        <v>2380</v>
      </c>
      <c r="T1795" t="s">
        <v>2383</v>
      </c>
      <c r="U1795" s="8">
        <v>45939.49496527778</v>
      </c>
      <c r="V1795" s="8">
        <v>45944.958333333336</v>
      </c>
      <c r="W1795">
        <v>1</v>
      </c>
      <c r="X1795">
        <v>2.9660300930000001</v>
      </c>
      <c r="Y1795" t="s">
        <v>2579</v>
      </c>
      <c r="Z1795" t="s">
        <v>3356</v>
      </c>
      <c r="AA1795" t="s">
        <v>3357</v>
      </c>
      <c r="AB1795" t="s">
        <v>1278</v>
      </c>
      <c r="AC1795" t="s">
        <v>3358</v>
      </c>
      <c r="AE1795">
        <v>1</v>
      </c>
      <c r="AO1795" t="s">
        <v>2388</v>
      </c>
      <c r="AP1795" t="s">
        <v>2401</v>
      </c>
    </row>
    <row r="1796" spans="1:42">
      <c r="A1796" t="s">
        <v>7680</v>
      </c>
      <c r="B1796" t="s">
        <v>2389</v>
      </c>
      <c r="C1796" t="s">
        <v>2378</v>
      </c>
      <c r="D1796" t="s">
        <v>2379</v>
      </c>
      <c r="E1796" t="s">
        <v>2452</v>
      </c>
      <c r="F1796" t="s">
        <v>3570</v>
      </c>
      <c r="G1796" t="s">
        <v>2452</v>
      </c>
      <c r="H1796" t="b">
        <v>1</v>
      </c>
      <c r="I1796" s="8">
        <v>45945.33457175926</v>
      </c>
      <c r="J1796" t="s">
        <v>2380</v>
      </c>
      <c r="K1796">
        <v>1202408</v>
      </c>
      <c r="L1796">
        <v>608353</v>
      </c>
      <c r="M1796" t="s">
        <v>2381</v>
      </c>
      <c r="P1796" t="s">
        <v>2394</v>
      </c>
      <c r="Q1796" t="s">
        <v>2383</v>
      </c>
      <c r="R1796">
        <v>1</v>
      </c>
      <c r="S1796" t="s">
        <v>2380</v>
      </c>
      <c r="T1796" t="s">
        <v>2383</v>
      </c>
      <c r="U1796" s="8">
        <v>45939.497071759259</v>
      </c>
      <c r="V1796" s="8">
        <v>45947.958333333336</v>
      </c>
      <c r="W1796">
        <v>1</v>
      </c>
      <c r="X1796">
        <v>3.8374999999999999</v>
      </c>
      <c r="Y1796" t="s">
        <v>3572</v>
      </c>
      <c r="Z1796" t="s">
        <v>7681</v>
      </c>
      <c r="AA1796" t="s">
        <v>7675</v>
      </c>
      <c r="AB1796" t="s">
        <v>1278</v>
      </c>
      <c r="AC1796" t="s">
        <v>7682</v>
      </c>
      <c r="AD1796" t="s">
        <v>2708</v>
      </c>
      <c r="AE1796">
        <v>1</v>
      </c>
      <c r="AO1796" t="s">
        <v>2957</v>
      </c>
      <c r="AP1796" t="s">
        <v>2401</v>
      </c>
    </row>
    <row r="1797" spans="1:42">
      <c r="A1797" t="s">
        <v>3224</v>
      </c>
      <c r="B1797" t="s">
        <v>2377</v>
      </c>
      <c r="C1797" t="s">
        <v>2378</v>
      </c>
      <c r="D1797" t="s">
        <v>2379</v>
      </c>
      <c r="E1797" t="s">
        <v>2416</v>
      </c>
      <c r="F1797" t="s">
        <v>2578</v>
      </c>
      <c r="G1797" t="s">
        <v>2416</v>
      </c>
      <c r="H1797" t="b">
        <v>1</v>
      </c>
      <c r="I1797" s="8">
        <v>45944.591909722221</v>
      </c>
      <c r="J1797" t="s">
        <v>2380</v>
      </c>
      <c r="L1797">
        <v>608079</v>
      </c>
      <c r="M1797" t="s">
        <v>2381</v>
      </c>
      <c r="P1797" t="s">
        <v>2427</v>
      </c>
      <c r="Q1797" t="s">
        <v>2383</v>
      </c>
      <c r="R1797">
        <v>1</v>
      </c>
      <c r="S1797" t="s">
        <v>2380</v>
      </c>
      <c r="T1797" t="s">
        <v>2383</v>
      </c>
      <c r="U1797" s="8">
        <v>45939.503275462965</v>
      </c>
      <c r="V1797" s="8">
        <v>45944.958333333336</v>
      </c>
      <c r="W1797">
        <v>1</v>
      </c>
      <c r="X1797">
        <v>3.088634259</v>
      </c>
      <c r="Y1797" t="s">
        <v>2579</v>
      </c>
      <c r="Z1797" t="s">
        <v>3225</v>
      </c>
      <c r="AA1797" t="s">
        <v>3226</v>
      </c>
      <c r="AB1797" t="s">
        <v>1278</v>
      </c>
      <c r="AC1797" t="s">
        <v>3227</v>
      </c>
      <c r="AE1797">
        <v>1</v>
      </c>
      <c r="AO1797" t="s">
        <v>2388</v>
      </c>
      <c r="AP1797" t="s">
        <v>2401</v>
      </c>
    </row>
    <row r="1798" spans="1:42">
      <c r="A1798" t="s">
        <v>2823</v>
      </c>
      <c r="B1798" t="s">
        <v>2389</v>
      </c>
      <c r="C1798" t="s">
        <v>2390</v>
      </c>
      <c r="D1798" t="s">
        <v>2379</v>
      </c>
      <c r="E1798" t="s">
        <v>2452</v>
      </c>
      <c r="F1798" t="s">
        <v>2417</v>
      </c>
      <c r="G1798" t="s">
        <v>2452</v>
      </c>
      <c r="H1798" t="b">
        <v>1</v>
      </c>
      <c r="I1798" s="8">
        <v>45944.473553240743</v>
      </c>
      <c r="J1798" t="s">
        <v>2380</v>
      </c>
      <c r="K1798">
        <v>834098</v>
      </c>
      <c r="L1798">
        <v>603754</v>
      </c>
      <c r="M1798" t="s">
        <v>2381</v>
      </c>
      <c r="P1798" t="s">
        <v>2394</v>
      </c>
      <c r="Q1798" t="s">
        <v>2383</v>
      </c>
      <c r="R1798">
        <v>1</v>
      </c>
      <c r="S1798" t="s">
        <v>2380</v>
      </c>
      <c r="T1798" t="s">
        <v>2383</v>
      </c>
      <c r="U1798" s="8">
        <v>45939.507569444446</v>
      </c>
      <c r="V1798" s="8">
        <v>45944.958333333336</v>
      </c>
      <c r="W1798">
        <v>1</v>
      </c>
      <c r="X1798">
        <v>2.9659837960000002</v>
      </c>
      <c r="Y1798" t="s">
        <v>2418</v>
      </c>
      <c r="Z1798" t="s">
        <v>2824</v>
      </c>
      <c r="AA1798" t="s">
        <v>2825</v>
      </c>
      <c r="AB1798" t="s">
        <v>1278</v>
      </c>
      <c r="AC1798" t="s">
        <v>2826</v>
      </c>
      <c r="AE1798">
        <v>1</v>
      </c>
      <c r="AO1798" t="s">
        <v>2408</v>
      </c>
      <c r="AP1798" t="s">
        <v>2401</v>
      </c>
    </row>
    <row r="1799" spans="1:42">
      <c r="A1799" t="s">
        <v>1264</v>
      </c>
      <c r="B1799" t="s">
        <v>2377</v>
      </c>
      <c r="C1799" t="s">
        <v>2438</v>
      </c>
      <c r="D1799" t="s">
        <v>2379</v>
      </c>
      <c r="E1799" t="s">
        <v>17</v>
      </c>
      <c r="F1799" t="s">
        <v>4141</v>
      </c>
      <c r="G1799" t="s">
        <v>17</v>
      </c>
      <c r="H1799" t="b">
        <v>1</v>
      </c>
      <c r="I1799" s="8">
        <v>45939.707256944443</v>
      </c>
      <c r="J1799" t="s">
        <v>2393</v>
      </c>
      <c r="L1799">
        <v>605206</v>
      </c>
      <c r="M1799" t="s">
        <v>2381</v>
      </c>
      <c r="O1799" t="s">
        <v>2708</v>
      </c>
      <c r="Q1799" t="s">
        <v>2383</v>
      </c>
      <c r="R1799">
        <v>1</v>
      </c>
      <c r="S1799" t="s">
        <v>2393</v>
      </c>
      <c r="T1799" t="s">
        <v>2383</v>
      </c>
      <c r="U1799" s="8">
        <v>45939.529502314814</v>
      </c>
      <c r="V1799" s="8">
        <v>45944.958333333336</v>
      </c>
      <c r="W1799">
        <v>1</v>
      </c>
      <c r="X1799">
        <v>0.17775463</v>
      </c>
      <c r="Y1799" t="s">
        <v>4142</v>
      </c>
      <c r="Z1799" t="s">
        <v>9282</v>
      </c>
      <c r="AA1799" t="s">
        <v>9283</v>
      </c>
      <c r="AB1799" t="s">
        <v>1278</v>
      </c>
      <c r="AC1799" t="s">
        <v>16</v>
      </c>
      <c r="AD1799" t="s">
        <v>2708</v>
      </c>
      <c r="AE1799">
        <v>1</v>
      </c>
      <c r="AH1799" t="s">
        <v>15</v>
      </c>
      <c r="AI1799" s="8">
        <v>45939.641643518517</v>
      </c>
      <c r="AK1799" t="s">
        <v>2719</v>
      </c>
      <c r="AL1799" t="s">
        <v>2719</v>
      </c>
      <c r="AO1799" t="s">
        <v>2400</v>
      </c>
      <c r="AP1799" t="s">
        <v>2401</v>
      </c>
    </row>
    <row r="1800" spans="1:42">
      <c r="A1800" t="s">
        <v>9688</v>
      </c>
      <c r="B1800" t="s">
        <v>2389</v>
      </c>
      <c r="C1800" t="s">
        <v>2390</v>
      </c>
      <c r="D1800" t="s">
        <v>2379</v>
      </c>
      <c r="E1800" t="s">
        <v>2452</v>
      </c>
      <c r="F1800" t="s">
        <v>3613</v>
      </c>
      <c r="G1800" t="s">
        <v>2452</v>
      </c>
      <c r="H1800" t="b">
        <v>1</v>
      </c>
      <c r="I1800" s="8">
        <v>45944.368611111109</v>
      </c>
      <c r="J1800" t="s">
        <v>2380</v>
      </c>
      <c r="K1800">
        <v>1202177</v>
      </c>
      <c r="L1800">
        <v>605352</v>
      </c>
      <c r="M1800" t="s">
        <v>2381</v>
      </c>
      <c r="P1800" t="s">
        <v>2394</v>
      </c>
      <c r="Q1800" t="s">
        <v>2383</v>
      </c>
      <c r="R1800">
        <v>1</v>
      </c>
      <c r="S1800" t="s">
        <v>2380</v>
      </c>
      <c r="T1800" t="s">
        <v>2383</v>
      </c>
      <c r="U1800" s="8">
        <v>45939.530277777776</v>
      </c>
      <c r="V1800" s="8">
        <v>45944.958333333336</v>
      </c>
      <c r="W1800">
        <v>1</v>
      </c>
      <c r="X1800">
        <v>2.838333333</v>
      </c>
      <c r="Y1800" t="s">
        <v>3614</v>
      </c>
      <c r="Z1800" t="s">
        <v>9689</v>
      </c>
      <c r="AA1800" t="s">
        <v>3617</v>
      </c>
      <c r="AB1800" t="s">
        <v>1278</v>
      </c>
      <c r="AC1800" t="s">
        <v>9690</v>
      </c>
      <c r="AD1800" t="s">
        <v>2708</v>
      </c>
      <c r="AE1800">
        <v>1</v>
      </c>
      <c r="AO1800" t="s">
        <v>3608</v>
      </c>
      <c r="AP1800" t="s">
        <v>2401</v>
      </c>
    </row>
    <row r="1801" spans="1:42">
      <c r="A1801" t="s">
        <v>6861</v>
      </c>
      <c r="B1801" t="s">
        <v>2389</v>
      </c>
      <c r="C1801" t="s">
        <v>2390</v>
      </c>
      <c r="D1801" t="s">
        <v>2379</v>
      </c>
      <c r="E1801" t="s">
        <v>2452</v>
      </c>
      <c r="F1801">
        <v>4227</v>
      </c>
      <c r="G1801" t="s">
        <v>2452</v>
      </c>
      <c r="H1801" t="b">
        <v>1</v>
      </c>
      <c r="I1801" s="8">
        <v>45943.646631944444</v>
      </c>
      <c r="J1801" t="s">
        <v>2380</v>
      </c>
      <c r="K1801">
        <v>1202043</v>
      </c>
      <c r="L1801">
        <v>605151</v>
      </c>
      <c r="M1801" t="s">
        <v>2381</v>
      </c>
      <c r="P1801" t="s">
        <v>2394</v>
      </c>
      <c r="Q1801" t="s">
        <v>2383</v>
      </c>
      <c r="R1801">
        <v>1</v>
      </c>
      <c r="S1801" t="s">
        <v>2380</v>
      </c>
      <c r="T1801" t="s">
        <v>2383</v>
      </c>
      <c r="U1801" s="8">
        <v>45939.541458333333</v>
      </c>
      <c r="V1801" s="8">
        <v>45944.958333333336</v>
      </c>
      <c r="W1801">
        <v>1</v>
      </c>
      <c r="X1801">
        <v>2.1051736110000001</v>
      </c>
      <c r="Y1801" t="s">
        <v>4558</v>
      </c>
      <c r="Z1801" t="s">
        <v>6862</v>
      </c>
      <c r="AA1801" t="s">
        <v>6863</v>
      </c>
      <c r="AB1801" t="s">
        <v>1278</v>
      </c>
      <c r="AC1801" t="s">
        <v>6864</v>
      </c>
      <c r="AD1801" t="s">
        <v>2708</v>
      </c>
      <c r="AE1801">
        <v>1</v>
      </c>
      <c r="AO1801" t="s">
        <v>2388</v>
      </c>
      <c r="AP1801" t="s">
        <v>2401</v>
      </c>
    </row>
    <row r="1802" spans="1:42">
      <c r="A1802" t="s">
        <v>7661</v>
      </c>
      <c r="B1802" t="s">
        <v>2389</v>
      </c>
      <c r="C1802" t="s">
        <v>2390</v>
      </c>
      <c r="D1802" t="s">
        <v>2379</v>
      </c>
      <c r="E1802" t="s">
        <v>2452</v>
      </c>
      <c r="F1802" t="s">
        <v>3485</v>
      </c>
      <c r="G1802" t="s">
        <v>2452</v>
      </c>
      <c r="H1802" t="b">
        <v>1</v>
      </c>
      <c r="I1802" s="8">
        <v>45943.597581018519</v>
      </c>
      <c r="J1802" t="s">
        <v>2380</v>
      </c>
      <c r="K1802">
        <v>1201947</v>
      </c>
      <c r="L1802">
        <v>601554</v>
      </c>
      <c r="M1802" t="s">
        <v>2381</v>
      </c>
      <c r="P1802" t="s">
        <v>2394</v>
      </c>
      <c r="Q1802" t="s">
        <v>2383</v>
      </c>
      <c r="R1802">
        <v>1</v>
      </c>
      <c r="S1802" t="s">
        <v>2380</v>
      </c>
      <c r="T1802" t="s">
        <v>2383</v>
      </c>
      <c r="U1802" s="8">
        <v>45939.559756944444</v>
      </c>
      <c r="V1802" s="8">
        <v>45944.958333333336</v>
      </c>
      <c r="W1802">
        <v>1</v>
      </c>
      <c r="X1802">
        <v>2.037824074</v>
      </c>
      <c r="Y1802" t="s">
        <v>3486</v>
      </c>
      <c r="Z1802" t="s">
        <v>7662</v>
      </c>
      <c r="AA1802" t="s">
        <v>3489</v>
      </c>
      <c r="AB1802" t="s">
        <v>1278</v>
      </c>
      <c r="AC1802" t="s">
        <v>7663</v>
      </c>
      <c r="AD1802" t="s">
        <v>2708</v>
      </c>
      <c r="AE1802">
        <v>1</v>
      </c>
      <c r="AO1802" t="s">
        <v>2957</v>
      </c>
      <c r="AP1802" t="s">
        <v>2401</v>
      </c>
    </row>
    <row r="1803" spans="1:42">
      <c r="A1803" t="s">
        <v>6412</v>
      </c>
      <c r="B1803" t="s">
        <v>2389</v>
      </c>
      <c r="C1803" t="s">
        <v>2415</v>
      </c>
      <c r="D1803" t="s">
        <v>2379</v>
      </c>
      <c r="E1803" t="s">
        <v>25</v>
      </c>
      <c r="F1803" t="s">
        <v>2541</v>
      </c>
      <c r="G1803" t="s">
        <v>25</v>
      </c>
      <c r="H1803" t="b">
        <v>1</v>
      </c>
      <c r="I1803" s="8">
        <v>45943.438275462962</v>
      </c>
      <c r="J1803" t="s">
        <v>2380</v>
      </c>
      <c r="K1803">
        <v>1201772</v>
      </c>
      <c r="L1803">
        <v>601096</v>
      </c>
      <c r="M1803" t="s">
        <v>2381</v>
      </c>
      <c r="N1803">
        <v>5</v>
      </c>
      <c r="P1803" t="s">
        <v>2427</v>
      </c>
      <c r="Q1803" t="s">
        <v>2383</v>
      </c>
      <c r="R1803">
        <v>1</v>
      </c>
      <c r="S1803" t="s">
        <v>2380</v>
      </c>
      <c r="T1803" t="s">
        <v>2383</v>
      </c>
      <c r="U1803" s="8">
        <v>45939.596122685187</v>
      </c>
      <c r="V1803" s="8">
        <v>45944.958333333336</v>
      </c>
      <c r="W1803">
        <v>1</v>
      </c>
      <c r="X1803">
        <v>1.842152778</v>
      </c>
      <c r="Y1803" t="s">
        <v>2542</v>
      </c>
      <c r="Z1803" t="s">
        <v>6413</v>
      </c>
      <c r="AA1803" t="s">
        <v>2888</v>
      </c>
      <c r="AB1803" t="s">
        <v>1278</v>
      </c>
      <c r="AC1803" t="s">
        <v>6414</v>
      </c>
      <c r="AD1803" t="s">
        <v>2708</v>
      </c>
      <c r="AE1803">
        <v>1</v>
      </c>
      <c r="AO1803" t="s">
        <v>2547</v>
      </c>
      <c r="AP1803" t="s">
        <v>2401</v>
      </c>
    </row>
    <row r="1804" spans="1:42">
      <c r="A1804" t="s">
        <v>6415</v>
      </c>
      <c r="B1804" t="s">
        <v>2389</v>
      </c>
      <c r="C1804" t="s">
        <v>2415</v>
      </c>
      <c r="D1804" t="s">
        <v>2379</v>
      </c>
      <c r="E1804" t="s">
        <v>25</v>
      </c>
      <c r="F1804" t="s">
        <v>2541</v>
      </c>
      <c r="G1804" t="s">
        <v>25</v>
      </c>
      <c r="H1804" t="b">
        <v>1</v>
      </c>
      <c r="I1804" s="8">
        <v>45943.440462962964</v>
      </c>
      <c r="J1804" t="s">
        <v>2380</v>
      </c>
      <c r="K1804">
        <v>1201773</v>
      </c>
      <c r="L1804">
        <v>601096</v>
      </c>
      <c r="M1804" t="s">
        <v>2381</v>
      </c>
      <c r="N1804">
        <v>5</v>
      </c>
      <c r="P1804" t="s">
        <v>2427</v>
      </c>
      <c r="Q1804" t="s">
        <v>2383</v>
      </c>
      <c r="R1804">
        <v>1</v>
      </c>
      <c r="S1804" t="s">
        <v>2380</v>
      </c>
      <c r="T1804" t="s">
        <v>2383</v>
      </c>
      <c r="U1804" s="8">
        <v>45939.597708333335</v>
      </c>
      <c r="V1804" s="8">
        <v>45944.958333333336</v>
      </c>
      <c r="W1804">
        <v>1</v>
      </c>
      <c r="X1804">
        <v>1.8427546299999999</v>
      </c>
      <c r="Y1804" t="s">
        <v>2542</v>
      </c>
      <c r="Z1804" t="s">
        <v>6416</v>
      </c>
      <c r="AA1804" t="s">
        <v>2888</v>
      </c>
      <c r="AB1804" t="s">
        <v>1278</v>
      </c>
      <c r="AC1804" t="s">
        <v>6417</v>
      </c>
      <c r="AD1804" t="s">
        <v>2708</v>
      </c>
      <c r="AE1804">
        <v>1</v>
      </c>
      <c r="AO1804" t="s">
        <v>2547</v>
      </c>
      <c r="AP1804" t="s">
        <v>2401</v>
      </c>
    </row>
    <row r="1805" spans="1:42">
      <c r="A1805" t="s">
        <v>6418</v>
      </c>
      <c r="B1805" t="s">
        <v>2389</v>
      </c>
      <c r="C1805" t="s">
        <v>2438</v>
      </c>
      <c r="D1805" t="s">
        <v>2379</v>
      </c>
      <c r="E1805" t="s">
        <v>25</v>
      </c>
      <c r="F1805" t="s">
        <v>2541</v>
      </c>
      <c r="G1805" t="s">
        <v>25</v>
      </c>
      <c r="H1805" t="b">
        <v>1</v>
      </c>
      <c r="I1805" s="8">
        <v>45940.502800925926</v>
      </c>
      <c r="J1805" t="s">
        <v>2380</v>
      </c>
      <c r="K1805">
        <v>1201608</v>
      </c>
      <c r="L1805">
        <v>601096</v>
      </c>
      <c r="M1805" t="s">
        <v>2381</v>
      </c>
      <c r="N1805">
        <v>5</v>
      </c>
      <c r="P1805" t="s">
        <v>2427</v>
      </c>
      <c r="Q1805" t="s">
        <v>2383</v>
      </c>
      <c r="R1805">
        <v>1</v>
      </c>
      <c r="S1805" t="s">
        <v>2380</v>
      </c>
      <c r="T1805" t="s">
        <v>2383</v>
      </c>
      <c r="U1805" s="8">
        <v>45939.598391203705</v>
      </c>
      <c r="V1805" s="8">
        <v>45944.958333333336</v>
      </c>
      <c r="W1805">
        <v>1</v>
      </c>
      <c r="X1805">
        <v>0.90440972200000003</v>
      </c>
      <c r="Y1805" t="s">
        <v>2542</v>
      </c>
      <c r="Z1805" t="s">
        <v>6419</v>
      </c>
      <c r="AA1805" t="s">
        <v>2888</v>
      </c>
      <c r="AB1805" t="s">
        <v>1278</v>
      </c>
      <c r="AC1805" t="s">
        <v>6420</v>
      </c>
      <c r="AD1805" t="s">
        <v>2708</v>
      </c>
      <c r="AE1805">
        <v>1</v>
      </c>
      <c r="AO1805" t="s">
        <v>2547</v>
      </c>
      <c r="AP1805" t="s">
        <v>2401</v>
      </c>
    </row>
    <row r="1806" spans="1:42">
      <c r="A1806" t="s">
        <v>6421</v>
      </c>
      <c r="B1806" t="s">
        <v>2389</v>
      </c>
      <c r="C1806" t="s">
        <v>2415</v>
      </c>
      <c r="D1806" t="s">
        <v>2379</v>
      </c>
      <c r="E1806" t="s">
        <v>25</v>
      </c>
      <c r="F1806" t="s">
        <v>2541</v>
      </c>
      <c r="G1806" t="s">
        <v>25</v>
      </c>
      <c r="H1806" t="b">
        <v>1</v>
      </c>
      <c r="I1806" s="8">
        <v>45943.434710648151</v>
      </c>
      <c r="J1806" t="s">
        <v>2380</v>
      </c>
      <c r="K1806">
        <v>1201770</v>
      </c>
      <c r="L1806">
        <v>601096</v>
      </c>
      <c r="M1806" t="s">
        <v>2381</v>
      </c>
      <c r="N1806">
        <v>5</v>
      </c>
      <c r="P1806" t="s">
        <v>2427</v>
      </c>
      <c r="Q1806" t="s">
        <v>2383</v>
      </c>
      <c r="R1806">
        <v>1</v>
      </c>
      <c r="S1806" t="s">
        <v>2380</v>
      </c>
      <c r="T1806" t="s">
        <v>2383</v>
      </c>
      <c r="U1806" s="8">
        <v>45939.60696759259</v>
      </c>
      <c r="V1806" s="8">
        <v>45944.958333333336</v>
      </c>
      <c r="W1806">
        <v>1</v>
      </c>
      <c r="X1806">
        <v>1.8277430560000001</v>
      </c>
      <c r="Y1806" t="s">
        <v>2542</v>
      </c>
      <c r="Z1806" t="s">
        <v>6422</v>
      </c>
      <c r="AA1806" t="s">
        <v>2888</v>
      </c>
      <c r="AB1806" t="s">
        <v>1278</v>
      </c>
      <c r="AC1806" t="s">
        <v>6423</v>
      </c>
      <c r="AD1806" t="s">
        <v>2708</v>
      </c>
      <c r="AE1806">
        <v>1</v>
      </c>
      <c r="AO1806" t="s">
        <v>2547</v>
      </c>
      <c r="AP1806" t="s">
        <v>2401</v>
      </c>
    </row>
    <row r="1807" spans="1:42">
      <c r="A1807" t="s">
        <v>6424</v>
      </c>
      <c r="B1807" t="s">
        <v>2389</v>
      </c>
      <c r="C1807" t="s">
        <v>2415</v>
      </c>
      <c r="D1807" t="s">
        <v>2379</v>
      </c>
      <c r="E1807" t="s">
        <v>25</v>
      </c>
      <c r="F1807" t="s">
        <v>2541</v>
      </c>
      <c r="G1807" t="s">
        <v>25</v>
      </c>
      <c r="H1807" t="b">
        <v>1</v>
      </c>
      <c r="I1807" s="8">
        <v>45943.426412037035</v>
      </c>
      <c r="J1807" t="s">
        <v>2380</v>
      </c>
      <c r="K1807">
        <v>1201749</v>
      </c>
      <c r="L1807">
        <v>601096</v>
      </c>
      <c r="M1807" t="s">
        <v>2381</v>
      </c>
      <c r="N1807">
        <v>5</v>
      </c>
      <c r="P1807" t="s">
        <v>2427</v>
      </c>
      <c r="Q1807" t="s">
        <v>2383</v>
      </c>
      <c r="R1807">
        <v>1</v>
      </c>
      <c r="S1807" t="s">
        <v>2380</v>
      </c>
      <c r="T1807" t="s">
        <v>2383</v>
      </c>
      <c r="U1807" s="8">
        <v>45939.607986111114</v>
      </c>
      <c r="V1807" s="8">
        <v>45944.958333333336</v>
      </c>
      <c r="W1807">
        <v>1</v>
      </c>
      <c r="X1807">
        <v>1.818425926</v>
      </c>
      <c r="Y1807" t="s">
        <v>2542</v>
      </c>
      <c r="Z1807" t="s">
        <v>6425</v>
      </c>
      <c r="AA1807" t="s">
        <v>2888</v>
      </c>
      <c r="AB1807" t="s">
        <v>1278</v>
      </c>
      <c r="AC1807" t="s">
        <v>6426</v>
      </c>
      <c r="AD1807" t="s">
        <v>2708</v>
      </c>
      <c r="AE1807">
        <v>1</v>
      </c>
      <c r="AO1807" t="s">
        <v>2547</v>
      </c>
      <c r="AP1807" t="s">
        <v>2401</v>
      </c>
    </row>
    <row r="1808" spans="1:42">
      <c r="A1808" t="s">
        <v>5787</v>
      </c>
      <c r="B1808" t="s">
        <v>2389</v>
      </c>
      <c r="C1808" t="s">
        <v>2415</v>
      </c>
      <c r="D1808" t="s">
        <v>2379</v>
      </c>
      <c r="E1808" t="s">
        <v>28</v>
      </c>
      <c r="F1808" t="s">
        <v>2541</v>
      </c>
      <c r="G1808" t="s">
        <v>33</v>
      </c>
      <c r="H1808" t="b">
        <v>1</v>
      </c>
      <c r="I1808" s="8">
        <v>45941.511111111111</v>
      </c>
      <c r="J1808" t="s">
        <v>2380</v>
      </c>
      <c r="K1808">
        <v>1201710</v>
      </c>
      <c r="L1808">
        <v>608244</v>
      </c>
      <c r="M1808" t="s">
        <v>2381</v>
      </c>
      <c r="P1808" t="s">
        <v>2427</v>
      </c>
      <c r="Q1808" t="s">
        <v>2383</v>
      </c>
      <c r="R1808">
        <v>1</v>
      </c>
      <c r="S1808" t="s">
        <v>2380</v>
      </c>
      <c r="T1808" t="s">
        <v>2383</v>
      </c>
      <c r="U1808" s="8">
        <v>45939.610497685186</v>
      </c>
      <c r="V1808" s="8">
        <v>45944.958333333336</v>
      </c>
      <c r="W1808">
        <v>1</v>
      </c>
      <c r="X1808">
        <v>1.9006134260000001</v>
      </c>
      <c r="Y1808" t="s">
        <v>2542</v>
      </c>
      <c r="Z1808" t="s">
        <v>5788</v>
      </c>
      <c r="AA1808" t="s">
        <v>5789</v>
      </c>
      <c r="AB1808" t="s">
        <v>1278</v>
      </c>
      <c r="AC1808" t="s">
        <v>5790</v>
      </c>
      <c r="AD1808" t="s">
        <v>2708</v>
      </c>
      <c r="AE1808">
        <v>1</v>
      </c>
      <c r="AO1808" t="s">
        <v>2547</v>
      </c>
      <c r="AP1808" t="s">
        <v>2401</v>
      </c>
    </row>
    <row r="1809" spans="1:42">
      <c r="A1809" t="s">
        <v>2787</v>
      </c>
      <c r="B1809" t="s">
        <v>2389</v>
      </c>
      <c r="C1809" t="s">
        <v>2390</v>
      </c>
      <c r="D1809" t="s">
        <v>2379</v>
      </c>
      <c r="E1809" t="s">
        <v>25</v>
      </c>
      <c r="F1809" t="s">
        <v>2417</v>
      </c>
      <c r="G1809" t="s">
        <v>25</v>
      </c>
      <c r="H1809" t="b">
        <v>1</v>
      </c>
      <c r="I1809" s="8">
        <v>45944.481481481482</v>
      </c>
      <c r="J1809" t="s">
        <v>2380</v>
      </c>
      <c r="K1809">
        <v>523147</v>
      </c>
      <c r="L1809">
        <v>601628</v>
      </c>
      <c r="M1809" t="s">
        <v>2381</v>
      </c>
      <c r="P1809" t="s">
        <v>2394</v>
      </c>
      <c r="Q1809" t="s">
        <v>2383</v>
      </c>
      <c r="R1809">
        <v>1</v>
      </c>
      <c r="S1809" t="s">
        <v>2380</v>
      </c>
      <c r="T1809" t="s">
        <v>2383</v>
      </c>
      <c r="U1809" s="8">
        <v>45939.610694444447</v>
      </c>
      <c r="V1809" s="8">
        <v>45945.958333333336</v>
      </c>
      <c r="W1809">
        <v>1</v>
      </c>
      <c r="X1809">
        <v>2.8707870369999999</v>
      </c>
      <c r="Y1809" t="s">
        <v>2418</v>
      </c>
      <c r="Z1809" t="s">
        <v>2788</v>
      </c>
      <c r="AA1809" t="s">
        <v>2789</v>
      </c>
      <c r="AB1809" t="s">
        <v>1278</v>
      </c>
      <c r="AC1809" t="s">
        <v>2790</v>
      </c>
      <c r="AE1809">
        <v>1</v>
      </c>
      <c r="AO1809" t="s">
        <v>2408</v>
      </c>
      <c r="AP1809" t="s">
        <v>2401</v>
      </c>
    </row>
    <row r="1810" spans="1:42">
      <c r="A1810" t="s">
        <v>5794</v>
      </c>
      <c r="B1810" t="s">
        <v>2389</v>
      </c>
      <c r="C1810" t="s">
        <v>2415</v>
      </c>
      <c r="D1810" t="s">
        <v>2379</v>
      </c>
      <c r="E1810" t="s">
        <v>25</v>
      </c>
      <c r="F1810" t="s">
        <v>2541</v>
      </c>
      <c r="G1810" t="s">
        <v>33</v>
      </c>
      <c r="H1810" t="b">
        <v>1</v>
      </c>
      <c r="I1810" s="8">
        <v>45941.514687499999</v>
      </c>
      <c r="J1810" t="s">
        <v>2380</v>
      </c>
      <c r="K1810">
        <v>1201712</v>
      </c>
      <c r="L1810">
        <v>601096</v>
      </c>
      <c r="M1810" t="s">
        <v>2381</v>
      </c>
      <c r="P1810" t="s">
        <v>2427</v>
      </c>
      <c r="Q1810" t="s">
        <v>2383</v>
      </c>
      <c r="R1810">
        <v>1</v>
      </c>
      <c r="S1810" t="s">
        <v>2380</v>
      </c>
      <c r="T1810" t="s">
        <v>2383</v>
      </c>
      <c r="U1810" s="8">
        <v>45939.61109953704</v>
      </c>
      <c r="V1810" s="8">
        <v>45944.958333333336</v>
      </c>
      <c r="W1810">
        <v>1</v>
      </c>
      <c r="X1810">
        <v>1.9035879630000001</v>
      </c>
      <c r="Y1810" t="s">
        <v>2542</v>
      </c>
      <c r="Z1810" t="s">
        <v>5795</v>
      </c>
      <c r="AA1810" t="s">
        <v>2888</v>
      </c>
      <c r="AB1810" t="s">
        <v>1278</v>
      </c>
      <c r="AC1810" t="s">
        <v>5796</v>
      </c>
      <c r="AD1810" t="s">
        <v>2708</v>
      </c>
      <c r="AE1810">
        <v>1</v>
      </c>
      <c r="AO1810" t="s">
        <v>2547</v>
      </c>
      <c r="AP1810" t="s">
        <v>2401</v>
      </c>
    </row>
    <row r="1811" spans="1:42">
      <c r="A1811" t="s">
        <v>5797</v>
      </c>
      <c r="B1811" t="s">
        <v>2389</v>
      </c>
      <c r="C1811" t="s">
        <v>2415</v>
      </c>
      <c r="D1811" t="s">
        <v>2379</v>
      </c>
      <c r="E1811" t="s">
        <v>25</v>
      </c>
      <c r="F1811" t="s">
        <v>2541</v>
      </c>
      <c r="G1811" t="s">
        <v>33</v>
      </c>
      <c r="H1811" t="b">
        <v>1</v>
      </c>
      <c r="I1811" s="8">
        <v>45941.513344907406</v>
      </c>
      <c r="J1811" t="s">
        <v>2380</v>
      </c>
      <c r="K1811">
        <v>1201711</v>
      </c>
      <c r="L1811">
        <v>601096</v>
      </c>
      <c r="M1811" t="s">
        <v>2381</v>
      </c>
      <c r="P1811" t="s">
        <v>2427</v>
      </c>
      <c r="Q1811" t="s">
        <v>2383</v>
      </c>
      <c r="R1811">
        <v>1</v>
      </c>
      <c r="S1811" t="s">
        <v>2380</v>
      </c>
      <c r="T1811" t="s">
        <v>2383</v>
      </c>
      <c r="U1811" s="8">
        <v>45939.611250000002</v>
      </c>
      <c r="V1811" s="8">
        <v>45944.958333333336</v>
      </c>
      <c r="W1811">
        <v>1</v>
      </c>
      <c r="X1811">
        <v>1.9020949069999999</v>
      </c>
      <c r="Y1811" t="s">
        <v>2542</v>
      </c>
      <c r="Z1811" t="s">
        <v>5798</v>
      </c>
      <c r="AA1811" t="s">
        <v>2888</v>
      </c>
      <c r="AB1811" t="s">
        <v>1278</v>
      </c>
      <c r="AC1811" t="s">
        <v>5799</v>
      </c>
      <c r="AD1811" t="s">
        <v>2708</v>
      </c>
      <c r="AE1811">
        <v>1</v>
      </c>
      <c r="AO1811" t="s">
        <v>2547</v>
      </c>
      <c r="AP1811" t="s">
        <v>2401</v>
      </c>
    </row>
    <row r="1812" spans="1:42">
      <c r="A1812" t="s">
        <v>6136</v>
      </c>
      <c r="B1812" t="s">
        <v>2389</v>
      </c>
      <c r="C1812" t="s">
        <v>2415</v>
      </c>
      <c r="D1812" t="s">
        <v>2379</v>
      </c>
      <c r="E1812" t="s">
        <v>2452</v>
      </c>
      <c r="F1812" t="s">
        <v>2541</v>
      </c>
      <c r="G1812" t="s">
        <v>2723</v>
      </c>
      <c r="H1812" t="b">
        <v>1</v>
      </c>
      <c r="I1812" s="8">
        <v>45941.525601851848</v>
      </c>
      <c r="J1812" t="s">
        <v>2380</v>
      </c>
      <c r="K1812">
        <v>1201718</v>
      </c>
      <c r="L1812">
        <v>608146</v>
      </c>
      <c r="M1812" t="s">
        <v>2381</v>
      </c>
      <c r="P1812" t="s">
        <v>2427</v>
      </c>
      <c r="Q1812" t="s">
        <v>2383</v>
      </c>
      <c r="R1812">
        <v>1</v>
      </c>
      <c r="S1812" t="s">
        <v>2380</v>
      </c>
      <c r="T1812" t="s">
        <v>2383</v>
      </c>
      <c r="U1812" s="8">
        <v>45939.611886574072</v>
      </c>
      <c r="V1812" s="8">
        <v>45944.958333333336</v>
      </c>
      <c r="W1812">
        <v>1</v>
      </c>
      <c r="X1812">
        <v>1.913715278</v>
      </c>
      <c r="Y1812" t="s">
        <v>2542</v>
      </c>
      <c r="Z1812" t="s">
        <v>6137</v>
      </c>
      <c r="AA1812" t="s">
        <v>6094</v>
      </c>
      <c r="AB1812" t="s">
        <v>1278</v>
      </c>
      <c r="AC1812" t="s">
        <v>6138</v>
      </c>
      <c r="AD1812" t="s">
        <v>2708</v>
      </c>
      <c r="AE1812">
        <v>1</v>
      </c>
      <c r="AO1812" t="s">
        <v>2547</v>
      </c>
      <c r="AP1812" t="s">
        <v>2401</v>
      </c>
    </row>
    <row r="1813" spans="1:42">
      <c r="A1813" t="s">
        <v>5800</v>
      </c>
      <c r="B1813" t="s">
        <v>2389</v>
      </c>
      <c r="C1813" t="s">
        <v>2415</v>
      </c>
      <c r="D1813" t="s">
        <v>2379</v>
      </c>
      <c r="E1813" t="s">
        <v>25</v>
      </c>
      <c r="F1813" t="s">
        <v>2541</v>
      </c>
      <c r="G1813" t="s">
        <v>33</v>
      </c>
      <c r="H1813" t="b">
        <v>1</v>
      </c>
      <c r="I1813" s="8">
        <v>45941.515856481485</v>
      </c>
      <c r="J1813" t="s">
        <v>2380</v>
      </c>
      <c r="K1813">
        <v>1201713</v>
      </c>
      <c r="L1813">
        <v>601096</v>
      </c>
      <c r="M1813" t="s">
        <v>2381</v>
      </c>
      <c r="P1813" t="s">
        <v>2427</v>
      </c>
      <c r="Q1813" t="s">
        <v>2383</v>
      </c>
      <c r="R1813">
        <v>1</v>
      </c>
      <c r="S1813" t="s">
        <v>2380</v>
      </c>
      <c r="T1813" t="s">
        <v>2383</v>
      </c>
      <c r="U1813" s="8">
        <v>45939.611990740741</v>
      </c>
      <c r="V1813" s="8">
        <v>45944.958333333336</v>
      </c>
      <c r="W1813">
        <v>1</v>
      </c>
      <c r="X1813">
        <v>1.9038657409999999</v>
      </c>
      <c r="Y1813" t="s">
        <v>2542</v>
      </c>
      <c r="Z1813" t="s">
        <v>5801</v>
      </c>
      <c r="AA1813" t="s">
        <v>2888</v>
      </c>
      <c r="AB1813" t="s">
        <v>1278</v>
      </c>
      <c r="AC1813" t="s">
        <v>5802</v>
      </c>
      <c r="AD1813" t="s">
        <v>2708</v>
      </c>
      <c r="AE1813">
        <v>1</v>
      </c>
      <c r="AO1813" t="s">
        <v>2547</v>
      </c>
      <c r="AP1813" t="s">
        <v>2401</v>
      </c>
    </row>
    <row r="1814" spans="1:42">
      <c r="A1814" t="s">
        <v>6427</v>
      </c>
      <c r="B1814" t="s">
        <v>2389</v>
      </c>
      <c r="C1814" t="s">
        <v>2390</v>
      </c>
      <c r="D1814" t="s">
        <v>2379</v>
      </c>
      <c r="E1814" t="s">
        <v>25</v>
      </c>
      <c r="F1814" t="s">
        <v>2541</v>
      </c>
      <c r="G1814" t="s">
        <v>25</v>
      </c>
      <c r="H1814" t="b">
        <v>1</v>
      </c>
      <c r="I1814" s="8">
        <v>45943.673229166663</v>
      </c>
      <c r="J1814" t="s">
        <v>2380</v>
      </c>
      <c r="K1814">
        <v>1202151</v>
      </c>
      <c r="L1814">
        <v>608179</v>
      </c>
      <c r="M1814" t="s">
        <v>2381</v>
      </c>
      <c r="N1814">
        <v>5</v>
      </c>
      <c r="P1814" t="s">
        <v>2427</v>
      </c>
      <c r="Q1814" t="s">
        <v>2383</v>
      </c>
      <c r="R1814">
        <v>1</v>
      </c>
      <c r="S1814" t="s">
        <v>2380</v>
      </c>
      <c r="T1814" t="s">
        <v>2383</v>
      </c>
      <c r="U1814" s="8">
        <v>45939.612500000003</v>
      </c>
      <c r="V1814" s="8">
        <v>45944.958333333336</v>
      </c>
      <c r="W1814">
        <v>1</v>
      </c>
      <c r="X1814">
        <v>2.0607291669999999</v>
      </c>
      <c r="Y1814" t="s">
        <v>2542</v>
      </c>
      <c r="Z1814" t="s">
        <v>6428</v>
      </c>
      <c r="AA1814" t="s">
        <v>6429</v>
      </c>
      <c r="AB1814" t="s">
        <v>1278</v>
      </c>
      <c r="AC1814" t="s">
        <v>6430</v>
      </c>
      <c r="AD1814" t="s">
        <v>2708</v>
      </c>
      <c r="AE1814">
        <v>1</v>
      </c>
      <c r="AO1814" t="s">
        <v>2547</v>
      </c>
      <c r="AP1814" t="s">
        <v>2401</v>
      </c>
    </row>
    <row r="1815" spans="1:42">
      <c r="A1815" t="s">
        <v>5791</v>
      </c>
      <c r="B1815" t="s">
        <v>2389</v>
      </c>
      <c r="C1815" t="s">
        <v>2415</v>
      </c>
      <c r="D1815" t="s">
        <v>2379</v>
      </c>
      <c r="E1815" t="s">
        <v>28</v>
      </c>
      <c r="F1815" t="s">
        <v>2541</v>
      </c>
      <c r="G1815" t="s">
        <v>33</v>
      </c>
      <c r="H1815" t="b">
        <v>1</v>
      </c>
      <c r="I1815" s="8">
        <v>45941.524548611109</v>
      </c>
      <c r="J1815" t="s">
        <v>2380</v>
      </c>
      <c r="K1815">
        <v>1201717</v>
      </c>
      <c r="L1815">
        <v>605288</v>
      </c>
      <c r="M1815" t="s">
        <v>2381</v>
      </c>
      <c r="P1815" t="s">
        <v>2427</v>
      </c>
      <c r="Q1815" t="s">
        <v>2383</v>
      </c>
      <c r="R1815">
        <v>1</v>
      </c>
      <c r="S1815" t="s">
        <v>2380</v>
      </c>
      <c r="T1815" t="s">
        <v>2383</v>
      </c>
      <c r="U1815" s="8">
        <v>45939.612569444442</v>
      </c>
      <c r="V1815" s="8">
        <v>45944.958333333336</v>
      </c>
      <c r="W1815">
        <v>1</v>
      </c>
      <c r="X1815">
        <v>1.9119791669999999</v>
      </c>
      <c r="Y1815" t="s">
        <v>2542</v>
      </c>
      <c r="Z1815" t="s">
        <v>5792</v>
      </c>
      <c r="AA1815" t="s">
        <v>3111</v>
      </c>
      <c r="AB1815" t="s">
        <v>1278</v>
      </c>
      <c r="AC1815" t="s">
        <v>5793</v>
      </c>
      <c r="AD1815" t="s">
        <v>2708</v>
      </c>
      <c r="AE1815">
        <v>1</v>
      </c>
      <c r="AO1815" t="s">
        <v>2547</v>
      </c>
      <c r="AP1815" t="s">
        <v>2401</v>
      </c>
    </row>
    <row r="1816" spans="1:42">
      <c r="A1816" t="s">
        <v>9381</v>
      </c>
      <c r="B1816" t="s">
        <v>2389</v>
      </c>
      <c r="C1816" t="s">
        <v>2443</v>
      </c>
      <c r="D1816" t="s">
        <v>2443</v>
      </c>
      <c r="E1816" t="s">
        <v>33</v>
      </c>
      <c r="F1816" t="s">
        <v>2541</v>
      </c>
      <c r="G1816" t="s">
        <v>33</v>
      </c>
      <c r="H1816" t="b">
        <v>1</v>
      </c>
      <c r="I1816" s="8">
        <v>45945.387974537036</v>
      </c>
      <c r="J1816" t="s">
        <v>2380</v>
      </c>
      <c r="K1816">
        <v>1201714</v>
      </c>
      <c r="L1816">
        <v>601096</v>
      </c>
      <c r="M1816" t="s">
        <v>2381</v>
      </c>
      <c r="P1816" t="s">
        <v>2427</v>
      </c>
      <c r="Q1816" t="s">
        <v>2383</v>
      </c>
      <c r="R1816">
        <v>1</v>
      </c>
      <c r="S1816" t="s">
        <v>2380</v>
      </c>
      <c r="T1816" t="s">
        <v>2383</v>
      </c>
      <c r="U1816" s="8">
        <v>45939.612569444442</v>
      </c>
      <c r="V1816" s="8">
        <v>45944.958333333336</v>
      </c>
      <c r="W1816">
        <v>1</v>
      </c>
      <c r="X1816">
        <v>3.7754050929999998</v>
      </c>
      <c r="Y1816" t="s">
        <v>2542</v>
      </c>
      <c r="Z1816" t="s">
        <v>9382</v>
      </c>
      <c r="AA1816" t="s">
        <v>2888</v>
      </c>
      <c r="AB1816" t="s">
        <v>1278</v>
      </c>
      <c r="AC1816" t="s">
        <v>9383</v>
      </c>
      <c r="AD1816" t="s">
        <v>2708</v>
      </c>
      <c r="AE1816">
        <v>1</v>
      </c>
      <c r="AH1816" t="s">
        <v>33</v>
      </c>
      <c r="AI1816" s="8">
        <v>45945.382314814815</v>
      </c>
      <c r="AK1816" t="s">
        <v>2719</v>
      </c>
      <c r="AL1816" t="s">
        <v>18</v>
      </c>
      <c r="AO1816" t="s">
        <v>2547</v>
      </c>
      <c r="AP1816" t="s">
        <v>2401</v>
      </c>
    </row>
    <row r="1817" spans="1:42">
      <c r="A1817" t="s">
        <v>5803</v>
      </c>
      <c r="B1817" t="s">
        <v>2389</v>
      </c>
      <c r="C1817" t="s">
        <v>2415</v>
      </c>
      <c r="D1817" t="s">
        <v>2379</v>
      </c>
      <c r="E1817" t="s">
        <v>25</v>
      </c>
      <c r="F1817" t="s">
        <v>2541</v>
      </c>
      <c r="G1817" t="s">
        <v>33</v>
      </c>
      <c r="H1817" t="b">
        <v>1</v>
      </c>
      <c r="I1817" s="8">
        <v>45941.517835648148</v>
      </c>
      <c r="J1817" t="s">
        <v>2380</v>
      </c>
      <c r="K1817">
        <v>1201715</v>
      </c>
      <c r="L1817">
        <v>601096</v>
      </c>
      <c r="M1817" t="s">
        <v>2381</v>
      </c>
      <c r="P1817" t="s">
        <v>2427</v>
      </c>
      <c r="Q1817" t="s">
        <v>2383</v>
      </c>
      <c r="R1817">
        <v>1</v>
      </c>
      <c r="S1817" t="s">
        <v>2380</v>
      </c>
      <c r="T1817" t="s">
        <v>2383</v>
      </c>
      <c r="U1817" s="8">
        <v>45939.613240740742</v>
      </c>
      <c r="V1817" s="8">
        <v>45944.958333333336</v>
      </c>
      <c r="W1817">
        <v>1</v>
      </c>
      <c r="X1817">
        <v>1.9045949069999999</v>
      </c>
      <c r="Y1817" t="s">
        <v>2542</v>
      </c>
      <c r="Z1817" t="s">
        <v>5804</v>
      </c>
      <c r="AA1817" t="s">
        <v>2888</v>
      </c>
      <c r="AB1817" t="s">
        <v>1278</v>
      </c>
      <c r="AC1817" t="s">
        <v>5805</v>
      </c>
      <c r="AD1817" t="s">
        <v>2708</v>
      </c>
      <c r="AE1817">
        <v>1</v>
      </c>
      <c r="AO1817" t="s">
        <v>2547</v>
      </c>
      <c r="AP1817" t="s">
        <v>2401</v>
      </c>
    </row>
    <row r="1818" spans="1:42">
      <c r="A1818" t="s">
        <v>5806</v>
      </c>
      <c r="B1818" t="s">
        <v>2389</v>
      </c>
      <c r="C1818" t="s">
        <v>2415</v>
      </c>
      <c r="D1818" t="s">
        <v>2379</v>
      </c>
      <c r="E1818" t="s">
        <v>25</v>
      </c>
      <c r="F1818" t="s">
        <v>2541</v>
      </c>
      <c r="G1818" t="s">
        <v>33</v>
      </c>
      <c r="H1818" t="b">
        <v>1</v>
      </c>
      <c r="I1818" s="8">
        <v>45941.520462962966</v>
      </c>
      <c r="J1818" t="s">
        <v>2380</v>
      </c>
      <c r="K1818">
        <v>1201716</v>
      </c>
      <c r="L1818">
        <v>601096</v>
      </c>
      <c r="M1818" t="s">
        <v>2381</v>
      </c>
      <c r="P1818" t="s">
        <v>2427</v>
      </c>
      <c r="Q1818" t="s">
        <v>2383</v>
      </c>
      <c r="R1818">
        <v>1</v>
      </c>
      <c r="S1818" t="s">
        <v>2380</v>
      </c>
      <c r="T1818" t="s">
        <v>2383</v>
      </c>
      <c r="U1818" s="8">
        <v>45939.613298611112</v>
      </c>
      <c r="V1818" s="8">
        <v>45944.958333333336</v>
      </c>
      <c r="W1818">
        <v>1</v>
      </c>
      <c r="X1818">
        <v>1.9071643519999999</v>
      </c>
      <c r="Y1818" t="s">
        <v>2542</v>
      </c>
      <c r="Z1818" t="s">
        <v>5807</v>
      </c>
      <c r="AA1818" t="s">
        <v>2888</v>
      </c>
      <c r="AB1818" t="s">
        <v>1278</v>
      </c>
      <c r="AC1818" t="s">
        <v>5808</v>
      </c>
      <c r="AD1818" t="s">
        <v>2708</v>
      </c>
      <c r="AE1818">
        <v>1</v>
      </c>
      <c r="AO1818" t="s">
        <v>2547</v>
      </c>
      <c r="AP1818" t="s">
        <v>2401</v>
      </c>
    </row>
    <row r="1819" spans="1:42">
      <c r="A1819" t="s">
        <v>2915</v>
      </c>
      <c r="B1819" t="s">
        <v>2389</v>
      </c>
      <c r="C1819" t="s">
        <v>2390</v>
      </c>
      <c r="D1819" t="s">
        <v>2379</v>
      </c>
      <c r="E1819" t="s">
        <v>307</v>
      </c>
      <c r="F1819" t="s">
        <v>2541</v>
      </c>
      <c r="G1819" t="s">
        <v>307</v>
      </c>
      <c r="H1819" t="b">
        <v>1</v>
      </c>
      <c r="I1819" s="8">
        <v>45941.734444444446</v>
      </c>
      <c r="J1819" t="s">
        <v>2380</v>
      </c>
      <c r="L1819">
        <v>608398</v>
      </c>
      <c r="M1819" t="s">
        <v>2381</v>
      </c>
      <c r="P1819" t="s">
        <v>2427</v>
      </c>
      <c r="Q1819" t="s">
        <v>2383</v>
      </c>
      <c r="R1819">
        <v>1</v>
      </c>
      <c r="S1819" t="s">
        <v>2380</v>
      </c>
      <c r="T1819" t="s">
        <v>2383</v>
      </c>
      <c r="U1819" s="8">
        <v>45939.613298611112</v>
      </c>
      <c r="V1819" s="8">
        <v>45944.958333333336</v>
      </c>
      <c r="W1819">
        <v>1</v>
      </c>
      <c r="X1819">
        <v>2.1211458329999999</v>
      </c>
      <c r="Y1819" t="s">
        <v>2542</v>
      </c>
      <c r="Z1819" t="s">
        <v>2916</v>
      </c>
      <c r="AA1819" t="s">
        <v>2917</v>
      </c>
      <c r="AB1819" t="s">
        <v>1278</v>
      </c>
      <c r="AC1819" t="s">
        <v>2918</v>
      </c>
      <c r="AE1819">
        <v>1</v>
      </c>
      <c r="AO1819" t="s">
        <v>2547</v>
      </c>
      <c r="AP1819" t="s">
        <v>2401</v>
      </c>
    </row>
    <row r="1820" spans="1:42">
      <c r="A1820" t="s">
        <v>6431</v>
      </c>
      <c r="B1820" t="s">
        <v>2389</v>
      </c>
      <c r="C1820" t="s">
        <v>2390</v>
      </c>
      <c r="D1820" t="s">
        <v>2379</v>
      </c>
      <c r="E1820" t="s">
        <v>25</v>
      </c>
      <c r="F1820" t="s">
        <v>2541</v>
      </c>
      <c r="G1820" t="s">
        <v>25</v>
      </c>
      <c r="H1820" t="b">
        <v>1</v>
      </c>
      <c r="I1820" s="8">
        <v>45943.681331018517</v>
      </c>
      <c r="J1820" t="s">
        <v>2380</v>
      </c>
      <c r="K1820">
        <v>1202158</v>
      </c>
      <c r="L1820">
        <v>605288</v>
      </c>
      <c r="M1820" t="s">
        <v>2381</v>
      </c>
      <c r="N1820">
        <v>5</v>
      </c>
      <c r="P1820" t="s">
        <v>2427</v>
      </c>
      <c r="Q1820" t="s">
        <v>2383</v>
      </c>
      <c r="R1820">
        <v>1</v>
      </c>
      <c r="S1820" t="s">
        <v>2380</v>
      </c>
      <c r="T1820" t="s">
        <v>2383</v>
      </c>
      <c r="U1820" s="8">
        <v>45939.614004629628</v>
      </c>
      <c r="V1820" s="8">
        <v>45944.958333333336</v>
      </c>
      <c r="W1820">
        <v>1</v>
      </c>
      <c r="X1820">
        <v>2.0673263890000002</v>
      </c>
      <c r="Y1820" t="s">
        <v>2542</v>
      </c>
      <c r="Z1820" t="s">
        <v>6432</v>
      </c>
      <c r="AA1820" t="s">
        <v>3111</v>
      </c>
      <c r="AB1820" t="s">
        <v>1278</v>
      </c>
      <c r="AC1820" t="s">
        <v>6433</v>
      </c>
      <c r="AD1820" t="s">
        <v>2708</v>
      </c>
      <c r="AE1820">
        <v>1</v>
      </c>
      <c r="AO1820" t="s">
        <v>2547</v>
      </c>
      <c r="AP1820" t="s">
        <v>2401</v>
      </c>
    </row>
    <row r="1821" spans="1:42">
      <c r="A1821" t="s">
        <v>6434</v>
      </c>
      <c r="B1821" t="s">
        <v>2389</v>
      </c>
      <c r="C1821" t="s">
        <v>2390</v>
      </c>
      <c r="D1821" t="s">
        <v>2379</v>
      </c>
      <c r="E1821" t="s">
        <v>25</v>
      </c>
      <c r="F1821" t="s">
        <v>2541</v>
      </c>
      <c r="G1821" t="s">
        <v>25</v>
      </c>
      <c r="H1821" t="b">
        <v>1</v>
      </c>
      <c r="I1821" s="8">
        <v>45943.707361111112</v>
      </c>
      <c r="J1821" t="s">
        <v>2380</v>
      </c>
      <c r="K1821">
        <v>1202165</v>
      </c>
      <c r="L1821">
        <v>601339</v>
      </c>
      <c r="M1821" t="s">
        <v>2381</v>
      </c>
      <c r="N1821">
        <v>5</v>
      </c>
      <c r="P1821" t="s">
        <v>2427</v>
      </c>
      <c r="Q1821" t="s">
        <v>2383</v>
      </c>
      <c r="R1821">
        <v>1</v>
      </c>
      <c r="S1821" t="s">
        <v>2380</v>
      </c>
      <c r="T1821" t="s">
        <v>2383</v>
      </c>
      <c r="U1821" s="8">
        <v>45939.614085648151</v>
      </c>
      <c r="V1821" s="8">
        <v>45944.958333333336</v>
      </c>
      <c r="W1821">
        <v>1</v>
      </c>
      <c r="X1821">
        <v>2.0932754629999999</v>
      </c>
      <c r="Y1821" t="s">
        <v>2542</v>
      </c>
      <c r="Z1821" t="s">
        <v>6435</v>
      </c>
      <c r="AA1821" t="s">
        <v>6436</v>
      </c>
      <c r="AB1821" t="s">
        <v>1278</v>
      </c>
      <c r="AC1821" t="s">
        <v>6437</v>
      </c>
      <c r="AD1821" t="s">
        <v>2708</v>
      </c>
      <c r="AE1821">
        <v>1</v>
      </c>
      <c r="AO1821" t="s">
        <v>2547</v>
      </c>
      <c r="AP1821" t="s">
        <v>2401</v>
      </c>
    </row>
    <row r="1822" spans="1:42">
      <c r="A1822" t="s">
        <v>5809</v>
      </c>
      <c r="B1822" t="s">
        <v>2389</v>
      </c>
      <c r="C1822" t="s">
        <v>2415</v>
      </c>
      <c r="D1822" t="s">
        <v>2379</v>
      </c>
      <c r="E1822" t="s">
        <v>25</v>
      </c>
      <c r="F1822" t="s">
        <v>2541</v>
      </c>
      <c r="G1822" t="s">
        <v>33</v>
      </c>
      <c r="H1822" t="b">
        <v>1</v>
      </c>
      <c r="I1822" s="8">
        <v>45941.531956018516</v>
      </c>
      <c r="J1822" t="s">
        <v>2380</v>
      </c>
      <c r="K1822">
        <v>1201719</v>
      </c>
      <c r="L1822">
        <v>601096</v>
      </c>
      <c r="M1822" t="s">
        <v>2381</v>
      </c>
      <c r="P1822" t="s">
        <v>2427</v>
      </c>
      <c r="Q1822" t="s">
        <v>2383</v>
      </c>
      <c r="R1822">
        <v>1</v>
      </c>
      <c r="S1822" t="s">
        <v>2380</v>
      </c>
      <c r="T1822" t="s">
        <v>2383</v>
      </c>
      <c r="U1822" s="8">
        <v>45939.614895833336</v>
      </c>
      <c r="V1822" s="8">
        <v>45944.958333333336</v>
      </c>
      <c r="W1822">
        <v>1</v>
      </c>
      <c r="X1822">
        <v>1.917060185</v>
      </c>
      <c r="Y1822" t="s">
        <v>2542</v>
      </c>
      <c r="Z1822" t="s">
        <v>5810</v>
      </c>
      <c r="AA1822" t="s">
        <v>2888</v>
      </c>
      <c r="AB1822" t="s">
        <v>1278</v>
      </c>
      <c r="AC1822" t="s">
        <v>5811</v>
      </c>
      <c r="AD1822" t="s">
        <v>2708</v>
      </c>
      <c r="AE1822">
        <v>1</v>
      </c>
      <c r="AO1822" t="s">
        <v>2547</v>
      </c>
      <c r="AP1822" t="s">
        <v>2401</v>
      </c>
    </row>
    <row r="1823" spans="1:42">
      <c r="A1823" t="s">
        <v>5812</v>
      </c>
      <c r="B1823" t="s">
        <v>2389</v>
      </c>
      <c r="C1823" t="s">
        <v>2415</v>
      </c>
      <c r="D1823" t="s">
        <v>2379</v>
      </c>
      <c r="E1823" t="s">
        <v>25</v>
      </c>
      <c r="F1823" t="s">
        <v>2541</v>
      </c>
      <c r="G1823" t="s">
        <v>33</v>
      </c>
      <c r="H1823" t="b">
        <v>1</v>
      </c>
      <c r="I1823" s="8">
        <v>45941.533067129632</v>
      </c>
      <c r="J1823" t="s">
        <v>2380</v>
      </c>
      <c r="K1823">
        <v>1201720</v>
      </c>
      <c r="L1823">
        <v>601096</v>
      </c>
      <c r="M1823" t="s">
        <v>2381</v>
      </c>
      <c r="P1823" t="s">
        <v>2427</v>
      </c>
      <c r="Q1823" t="s">
        <v>2383</v>
      </c>
      <c r="R1823">
        <v>1</v>
      </c>
      <c r="S1823" t="s">
        <v>2380</v>
      </c>
      <c r="T1823" t="s">
        <v>2383</v>
      </c>
      <c r="U1823" s="8">
        <v>45939.615567129629</v>
      </c>
      <c r="V1823" s="8">
        <v>45944.958333333336</v>
      </c>
      <c r="W1823">
        <v>1</v>
      </c>
      <c r="X1823">
        <v>1.9175</v>
      </c>
      <c r="Y1823" t="s">
        <v>2542</v>
      </c>
      <c r="Z1823" t="s">
        <v>5813</v>
      </c>
      <c r="AA1823" t="s">
        <v>2888</v>
      </c>
      <c r="AB1823" t="s">
        <v>1278</v>
      </c>
      <c r="AC1823" t="s">
        <v>5814</v>
      </c>
      <c r="AD1823" t="s">
        <v>2708</v>
      </c>
      <c r="AE1823">
        <v>1</v>
      </c>
      <c r="AO1823" t="s">
        <v>2547</v>
      </c>
      <c r="AP1823" t="s">
        <v>2401</v>
      </c>
    </row>
    <row r="1824" spans="1:42">
      <c r="A1824" t="s">
        <v>6028</v>
      </c>
      <c r="B1824" t="s">
        <v>2389</v>
      </c>
      <c r="C1824" t="s">
        <v>2438</v>
      </c>
      <c r="D1824" t="s">
        <v>2379</v>
      </c>
      <c r="E1824" t="s">
        <v>2601</v>
      </c>
      <c r="F1824" t="s">
        <v>2541</v>
      </c>
      <c r="G1824" t="s">
        <v>2601</v>
      </c>
      <c r="H1824" t="b">
        <v>1</v>
      </c>
      <c r="I1824" s="8">
        <v>45940.594189814816</v>
      </c>
      <c r="J1824" t="s">
        <v>2380</v>
      </c>
      <c r="K1824">
        <v>1201644</v>
      </c>
      <c r="L1824">
        <v>608142</v>
      </c>
      <c r="M1824" t="s">
        <v>2381</v>
      </c>
      <c r="P1824" t="s">
        <v>2427</v>
      </c>
      <c r="Q1824" t="s">
        <v>2383</v>
      </c>
      <c r="R1824">
        <v>1</v>
      </c>
      <c r="S1824" t="s">
        <v>2380</v>
      </c>
      <c r="T1824" t="s">
        <v>2383</v>
      </c>
      <c r="U1824" s="8">
        <v>45939.615636574075</v>
      </c>
      <c r="V1824" s="8">
        <v>45944.958333333336</v>
      </c>
      <c r="W1824">
        <v>1</v>
      </c>
      <c r="X1824">
        <v>0.97855324099999996</v>
      </c>
      <c r="Y1824" t="s">
        <v>2542</v>
      </c>
      <c r="Z1824" t="s">
        <v>6029</v>
      </c>
      <c r="AA1824" t="s">
        <v>3115</v>
      </c>
      <c r="AB1824" t="s">
        <v>1278</v>
      </c>
      <c r="AC1824" t="s">
        <v>6030</v>
      </c>
      <c r="AD1824" t="s">
        <v>2708</v>
      </c>
      <c r="AE1824">
        <v>1</v>
      </c>
      <c r="AO1824" t="s">
        <v>2547</v>
      </c>
      <c r="AP1824" t="s">
        <v>2401</v>
      </c>
    </row>
    <row r="1825" spans="1:42">
      <c r="A1825" t="s">
        <v>6092</v>
      </c>
      <c r="B1825" t="s">
        <v>2389</v>
      </c>
      <c r="C1825" t="s">
        <v>2415</v>
      </c>
      <c r="D1825" t="s">
        <v>2379</v>
      </c>
      <c r="E1825" t="s">
        <v>2452</v>
      </c>
      <c r="F1825" t="s">
        <v>2541</v>
      </c>
      <c r="G1825" t="s">
        <v>2452</v>
      </c>
      <c r="H1825" t="b">
        <v>1</v>
      </c>
      <c r="I1825" s="8">
        <v>45943.591574074075</v>
      </c>
      <c r="J1825" t="s">
        <v>2380</v>
      </c>
      <c r="K1825">
        <v>1201943</v>
      </c>
      <c r="L1825">
        <v>608146</v>
      </c>
      <c r="M1825" t="s">
        <v>2381</v>
      </c>
      <c r="P1825" t="s">
        <v>2427</v>
      </c>
      <c r="Q1825" t="s">
        <v>2383</v>
      </c>
      <c r="R1825">
        <v>1</v>
      </c>
      <c r="S1825" t="s">
        <v>2380</v>
      </c>
      <c r="T1825" t="s">
        <v>2383</v>
      </c>
      <c r="U1825" s="8">
        <v>45939.616180555553</v>
      </c>
      <c r="V1825" s="8">
        <v>45944.958333333336</v>
      </c>
      <c r="W1825">
        <v>1</v>
      </c>
      <c r="X1825">
        <v>1.975393519</v>
      </c>
      <c r="Y1825" t="s">
        <v>2542</v>
      </c>
      <c r="Z1825" t="s">
        <v>6093</v>
      </c>
      <c r="AA1825" t="s">
        <v>6094</v>
      </c>
      <c r="AB1825" t="s">
        <v>1278</v>
      </c>
      <c r="AC1825" t="s">
        <v>6095</v>
      </c>
      <c r="AD1825" t="s">
        <v>2708</v>
      </c>
      <c r="AE1825">
        <v>1</v>
      </c>
      <c r="AO1825" t="s">
        <v>2547</v>
      </c>
      <c r="AP1825" t="s">
        <v>2401</v>
      </c>
    </row>
    <row r="1826" spans="1:42">
      <c r="A1826" t="s">
        <v>6031</v>
      </c>
      <c r="B1826" t="s">
        <v>2389</v>
      </c>
      <c r="C1826" t="s">
        <v>2415</v>
      </c>
      <c r="D1826" t="s">
        <v>2379</v>
      </c>
      <c r="E1826" t="s">
        <v>2601</v>
      </c>
      <c r="F1826" t="s">
        <v>2541</v>
      </c>
      <c r="G1826" t="s">
        <v>2601</v>
      </c>
      <c r="H1826" t="b">
        <v>1</v>
      </c>
      <c r="I1826" s="8">
        <v>45940.638865740744</v>
      </c>
      <c r="J1826" t="s">
        <v>2380</v>
      </c>
      <c r="K1826">
        <v>1201664</v>
      </c>
      <c r="L1826">
        <v>608142</v>
      </c>
      <c r="M1826" t="s">
        <v>2381</v>
      </c>
      <c r="P1826" t="s">
        <v>2427</v>
      </c>
      <c r="Q1826" t="s">
        <v>2383</v>
      </c>
      <c r="R1826">
        <v>1</v>
      </c>
      <c r="S1826" t="s">
        <v>2380</v>
      </c>
      <c r="T1826" t="s">
        <v>2383</v>
      </c>
      <c r="U1826" s="8">
        <v>45939.616261574076</v>
      </c>
      <c r="V1826" s="8">
        <v>45944.958333333336</v>
      </c>
      <c r="W1826">
        <v>1</v>
      </c>
      <c r="X1826">
        <v>1.0226041669999999</v>
      </c>
      <c r="Y1826" t="s">
        <v>2542</v>
      </c>
      <c r="Z1826" t="s">
        <v>6032</v>
      </c>
      <c r="AA1826" t="s">
        <v>3115</v>
      </c>
      <c r="AB1826" t="s">
        <v>1278</v>
      </c>
      <c r="AC1826" t="s">
        <v>6033</v>
      </c>
      <c r="AD1826" t="s">
        <v>2708</v>
      </c>
      <c r="AE1826">
        <v>1</v>
      </c>
      <c r="AO1826" t="s">
        <v>2547</v>
      </c>
      <c r="AP1826" t="s">
        <v>2401</v>
      </c>
    </row>
    <row r="1827" spans="1:42">
      <c r="A1827" t="s">
        <v>5821</v>
      </c>
      <c r="B1827" t="s">
        <v>2389</v>
      </c>
      <c r="C1827" t="s">
        <v>2415</v>
      </c>
      <c r="D1827" t="s">
        <v>2379</v>
      </c>
      <c r="E1827" t="s">
        <v>12</v>
      </c>
      <c r="F1827" t="s">
        <v>2541</v>
      </c>
      <c r="G1827" t="s">
        <v>33</v>
      </c>
      <c r="H1827" t="b">
        <v>1</v>
      </c>
      <c r="I1827" s="8">
        <v>45941.534236111111</v>
      </c>
      <c r="J1827" t="s">
        <v>2380</v>
      </c>
      <c r="K1827">
        <v>1201721</v>
      </c>
      <c r="L1827">
        <v>601096</v>
      </c>
      <c r="M1827" t="s">
        <v>2381</v>
      </c>
      <c r="P1827" t="s">
        <v>2427</v>
      </c>
      <c r="Q1827" t="s">
        <v>2383</v>
      </c>
      <c r="R1827">
        <v>1</v>
      </c>
      <c r="S1827" t="s">
        <v>2380</v>
      </c>
      <c r="T1827" t="s">
        <v>2383</v>
      </c>
      <c r="U1827" s="8">
        <v>45939.616261574076</v>
      </c>
      <c r="V1827" s="8">
        <v>45944.958333333336</v>
      </c>
      <c r="W1827">
        <v>1</v>
      </c>
      <c r="X1827">
        <v>1.9179745370000001</v>
      </c>
      <c r="Y1827" t="s">
        <v>2542</v>
      </c>
      <c r="Z1827" t="s">
        <v>5822</v>
      </c>
      <c r="AA1827" t="s">
        <v>2888</v>
      </c>
      <c r="AB1827" t="s">
        <v>1278</v>
      </c>
      <c r="AC1827" t="s">
        <v>5823</v>
      </c>
      <c r="AD1827" t="s">
        <v>2708</v>
      </c>
      <c r="AE1827">
        <v>1</v>
      </c>
      <c r="AO1827" t="s">
        <v>2547</v>
      </c>
      <c r="AP1827" t="s">
        <v>2401</v>
      </c>
    </row>
    <row r="1828" spans="1:42">
      <c r="A1828" t="s">
        <v>5824</v>
      </c>
      <c r="B1828" t="s">
        <v>2389</v>
      </c>
      <c r="C1828" t="s">
        <v>2415</v>
      </c>
      <c r="D1828" t="s">
        <v>2379</v>
      </c>
      <c r="E1828" t="s">
        <v>12</v>
      </c>
      <c r="F1828" t="s">
        <v>2541</v>
      </c>
      <c r="G1828" t="s">
        <v>33</v>
      </c>
      <c r="H1828" t="b">
        <v>1</v>
      </c>
      <c r="I1828" s="8">
        <v>45941.535868055558</v>
      </c>
      <c r="J1828" t="s">
        <v>2380</v>
      </c>
      <c r="K1828">
        <v>1201722</v>
      </c>
      <c r="L1828">
        <v>601096</v>
      </c>
      <c r="M1828" t="s">
        <v>2381</v>
      </c>
      <c r="P1828" t="s">
        <v>2427</v>
      </c>
      <c r="Q1828" t="s">
        <v>2383</v>
      </c>
      <c r="R1828">
        <v>1</v>
      </c>
      <c r="S1828" t="s">
        <v>2380</v>
      </c>
      <c r="T1828" t="s">
        <v>2383</v>
      </c>
      <c r="U1828" s="8">
        <v>45939.617152777777</v>
      </c>
      <c r="V1828" s="8">
        <v>45944.958333333336</v>
      </c>
      <c r="W1828">
        <v>1</v>
      </c>
      <c r="X1828">
        <v>1.9187152780000001</v>
      </c>
      <c r="Y1828" t="s">
        <v>2542</v>
      </c>
      <c r="Z1828" t="s">
        <v>5825</v>
      </c>
      <c r="AA1828" t="s">
        <v>2888</v>
      </c>
      <c r="AB1828" t="s">
        <v>1278</v>
      </c>
      <c r="AC1828" t="s">
        <v>5826</v>
      </c>
      <c r="AD1828" t="s">
        <v>2708</v>
      </c>
      <c r="AE1828">
        <v>1</v>
      </c>
      <c r="AO1828" t="s">
        <v>2547</v>
      </c>
      <c r="AP1828" t="s">
        <v>2401</v>
      </c>
    </row>
    <row r="1829" spans="1:42">
      <c r="A1829" t="s">
        <v>3195</v>
      </c>
      <c r="B1829" t="s">
        <v>2377</v>
      </c>
      <c r="C1829" t="s">
        <v>2390</v>
      </c>
      <c r="D1829" t="s">
        <v>2379</v>
      </c>
      <c r="E1829" t="s">
        <v>28</v>
      </c>
      <c r="F1829" t="s">
        <v>3193</v>
      </c>
      <c r="G1829" t="s">
        <v>28</v>
      </c>
      <c r="H1829" t="b">
        <v>1</v>
      </c>
      <c r="I1829" s="8">
        <v>45944.593564814815</v>
      </c>
      <c r="J1829" t="s">
        <v>2380</v>
      </c>
      <c r="K1829">
        <v>916344</v>
      </c>
      <c r="L1829">
        <v>603772</v>
      </c>
      <c r="M1829" t="s">
        <v>2381</v>
      </c>
      <c r="Q1829" t="s">
        <v>2383</v>
      </c>
      <c r="R1829">
        <v>1</v>
      </c>
      <c r="S1829" t="s">
        <v>2380</v>
      </c>
      <c r="T1829" t="s">
        <v>2383</v>
      </c>
      <c r="U1829" s="8">
        <v>45939.617291666669</v>
      </c>
      <c r="V1829" s="8">
        <v>45944.958333333336</v>
      </c>
      <c r="W1829">
        <v>1</v>
      </c>
      <c r="X1829">
        <v>2.9762731480000002</v>
      </c>
      <c r="Y1829" t="s">
        <v>3194</v>
      </c>
      <c r="Z1829" t="s">
        <v>3196</v>
      </c>
      <c r="AA1829" t="s">
        <v>3197</v>
      </c>
      <c r="AB1829" t="s">
        <v>1278</v>
      </c>
      <c r="AC1829" t="s">
        <v>3198</v>
      </c>
      <c r="AE1829">
        <v>1</v>
      </c>
      <c r="AO1829" t="s">
        <v>2388</v>
      </c>
      <c r="AP1829" t="s">
        <v>2401</v>
      </c>
    </row>
    <row r="1830" spans="1:42">
      <c r="A1830" t="s">
        <v>6034</v>
      </c>
      <c r="B1830" t="s">
        <v>2389</v>
      </c>
      <c r="C1830" t="s">
        <v>2438</v>
      </c>
      <c r="D1830" t="s">
        <v>2379</v>
      </c>
      <c r="E1830" t="s">
        <v>2601</v>
      </c>
      <c r="F1830" t="s">
        <v>2541</v>
      </c>
      <c r="G1830" t="s">
        <v>2601</v>
      </c>
      <c r="H1830" t="b">
        <v>1</v>
      </c>
      <c r="I1830" s="8">
        <v>45940.569479166668</v>
      </c>
      <c r="J1830" t="s">
        <v>2380</v>
      </c>
      <c r="K1830">
        <v>1201638</v>
      </c>
      <c r="L1830">
        <v>601096</v>
      </c>
      <c r="M1830" t="s">
        <v>2381</v>
      </c>
      <c r="P1830" t="s">
        <v>2427</v>
      </c>
      <c r="Q1830" t="s">
        <v>2383</v>
      </c>
      <c r="R1830">
        <v>1</v>
      </c>
      <c r="S1830" t="s">
        <v>2380</v>
      </c>
      <c r="T1830" t="s">
        <v>2383</v>
      </c>
      <c r="U1830" s="8">
        <v>45939.617731481485</v>
      </c>
      <c r="V1830" s="8">
        <v>45944.958333333336</v>
      </c>
      <c r="W1830">
        <v>1</v>
      </c>
      <c r="X1830">
        <v>0.95174768499999995</v>
      </c>
      <c r="Y1830" t="s">
        <v>2542</v>
      </c>
      <c r="Z1830" t="s">
        <v>6035</v>
      </c>
      <c r="AA1830" t="s">
        <v>2888</v>
      </c>
      <c r="AB1830" t="s">
        <v>1278</v>
      </c>
      <c r="AC1830" t="s">
        <v>6036</v>
      </c>
      <c r="AD1830" t="s">
        <v>2708</v>
      </c>
      <c r="AE1830">
        <v>1</v>
      </c>
      <c r="AO1830" t="s">
        <v>2547</v>
      </c>
      <c r="AP1830" t="s">
        <v>2401</v>
      </c>
    </row>
    <row r="1831" spans="1:42">
      <c r="A1831" t="s">
        <v>2886</v>
      </c>
      <c r="B1831" t="s">
        <v>2389</v>
      </c>
      <c r="C1831" t="s">
        <v>2415</v>
      </c>
      <c r="D1831" t="s">
        <v>2379</v>
      </c>
      <c r="E1831" t="s">
        <v>2601</v>
      </c>
      <c r="F1831" t="s">
        <v>2541</v>
      </c>
      <c r="G1831" t="s">
        <v>33</v>
      </c>
      <c r="H1831" t="b">
        <v>1</v>
      </c>
      <c r="I1831" s="8">
        <v>45941.538368055553</v>
      </c>
      <c r="J1831" t="s">
        <v>2380</v>
      </c>
      <c r="L1831">
        <v>601096</v>
      </c>
      <c r="M1831" t="s">
        <v>2381</v>
      </c>
      <c r="P1831" t="s">
        <v>2427</v>
      </c>
      <c r="Q1831" t="s">
        <v>2383</v>
      </c>
      <c r="R1831">
        <v>1</v>
      </c>
      <c r="S1831" t="s">
        <v>2380</v>
      </c>
      <c r="T1831" t="s">
        <v>2383</v>
      </c>
      <c r="U1831" s="8">
        <v>45939.617754629631</v>
      </c>
      <c r="V1831" s="8">
        <v>45944.958333333336</v>
      </c>
      <c r="W1831">
        <v>1</v>
      </c>
      <c r="X1831">
        <v>1.9206134260000001</v>
      </c>
      <c r="Y1831" t="s">
        <v>2542</v>
      </c>
      <c r="Z1831" t="s">
        <v>2887</v>
      </c>
      <c r="AA1831" t="s">
        <v>2888</v>
      </c>
      <c r="AB1831" t="s">
        <v>1278</v>
      </c>
      <c r="AC1831" t="s">
        <v>2889</v>
      </c>
      <c r="AE1831">
        <v>1</v>
      </c>
      <c r="AO1831" t="s">
        <v>2547</v>
      </c>
      <c r="AP1831" t="s">
        <v>2401</v>
      </c>
    </row>
    <row r="1832" spans="1:42">
      <c r="A1832" t="s">
        <v>5815</v>
      </c>
      <c r="B1832" t="s">
        <v>2389</v>
      </c>
      <c r="C1832" t="s">
        <v>2415</v>
      </c>
      <c r="D1832" t="s">
        <v>2379</v>
      </c>
      <c r="E1832" t="s">
        <v>307</v>
      </c>
      <c r="F1832" t="s">
        <v>2541</v>
      </c>
      <c r="G1832" t="s">
        <v>33</v>
      </c>
      <c r="H1832" t="b">
        <v>1</v>
      </c>
      <c r="I1832" s="8">
        <v>45941.537037037036</v>
      </c>
      <c r="J1832" t="s">
        <v>2380</v>
      </c>
      <c r="K1832">
        <v>1201723</v>
      </c>
      <c r="L1832">
        <v>601096</v>
      </c>
      <c r="M1832" t="s">
        <v>2381</v>
      </c>
      <c r="P1832" t="s">
        <v>2427</v>
      </c>
      <c r="Q1832" t="s">
        <v>2383</v>
      </c>
      <c r="R1832">
        <v>1</v>
      </c>
      <c r="S1832" t="s">
        <v>2380</v>
      </c>
      <c r="T1832" t="s">
        <v>2383</v>
      </c>
      <c r="U1832" s="8">
        <v>45939.61787037037</v>
      </c>
      <c r="V1832" s="8">
        <v>45944.958333333336</v>
      </c>
      <c r="W1832">
        <v>1</v>
      </c>
      <c r="X1832">
        <v>1.919166667</v>
      </c>
      <c r="Y1832" t="s">
        <v>2542</v>
      </c>
      <c r="Z1832" t="s">
        <v>5816</v>
      </c>
      <c r="AA1832" t="s">
        <v>2888</v>
      </c>
      <c r="AB1832" t="s">
        <v>1278</v>
      </c>
      <c r="AC1832" t="s">
        <v>5817</v>
      </c>
      <c r="AD1832" t="s">
        <v>2708</v>
      </c>
      <c r="AE1832">
        <v>1</v>
      </c>
      <c r="AO1832" t="s">
        <v>2547</v>
      </c>
      <c r="AP1832" t="s">
        <v>2401</v>
      </c>
    </row>
    <row r="1833" spans="1:42">
      <c r="A1833" t="s">
        <v>5905</v>
      </c>
      <c r="B1833" t="s">
        <v>2389</v>
      </c>
      <c r="C1833" t="s">
        <v>2390</v>
      </c>
      <c r="D1833" t="s">
        <v>2379</v>
      </c>
      <c r="E1833" t="s">
        <v>307</v>
      </c>
      <c r="F1833" t="s">
        <v>2541</v>
      </c>
      <c r="G1833" t="s">
        <v>307</v>
      </c>
      <c r="H1833" t="b">
        <v>1</v>
      </c>
      <c r="I1833" s="8">
        <v>45941.728159722225</v>
      </c>
      <c r="J1833" t="s">
        <v>2380</v>
      </c>
      <c r="K1833">
        <v>1201732</v>
      </c>
      <c r="L1833">
        <v>601096</v>
      </c>
      <c r="M1833" t="s">
        <v>2381</v>
      </c>
      <c r="P1833" t="s">
        <v>2427</v>
      </c>
      <c r="Q1833" t="s">
        <v>2383</v>
      </c>
      <c r="R1833">
        <v>1</v>
      </c>
      <c r="S1833" t="s">
        <v>2380</v>
      </c>
      <c r="T1833" t="s">
        <v>2383</v>
      </c>
      <c r="U1833" s="8">
        <v>45939.618506944447</v>
      </c>
      <c r="V1833" s="8">
        <v>45944.958333333336</v>
      </c>
      <c r="W1833">
        <v>1</v>
      </c>
      <c r="X1833">
        <v>2.1096527780000001</v>
      </c>
      <c r="Y1833" t="s">
        <v>2542</v>
      </c>
      <c r="Z1833" t="s">
        <v>5906</v>
      </c>
      <c r="AA1833" t="s">
        <v>2888</v>
      </c>
      <c r="AB1833" t="s">
        <v>1278</v>
      </c>
      <c r="AC1833" t="s">
        <v>5907</v>
      </c>
      <c r="AD1833" t="s">
        <v>2708</v>
      </c>
      <c r="AE1833">
        <v>1</v>
      </c>
      <c r="AO1833" t="s">
        <v>2547</v>
      </c>
      <c r="AP1833" t="s">
        <v>2401</v>
      </c>
    </row>
    <row r="1834" spans="1:42">
      <c r="A1834" t="s">
        <v>2919</v>
      </c>
      <c r="B1834" t="s">
        <v>2389</v>
      </c>
      <c r="C1834" t="s">
        <v>2415</v>
      </c>
      <c r="D1834" t="s">
        <v>2379</v>
      </c>
      <c r="E1834" t="s">
        <v>307</v>
      </c>
      <c r="F1834" t="s">
        <v>2541</v>
      </c>
      <c r="G1834" t="s">
        <v>307</v>
      </c>
      <c r="H1834" t="b">
        <v>1</v>
      </c>
      <c r="I1834" s="8">
        <v>45940.647997685184</v>
      </c>
      <c r="J1834" t="s">
        <v>2380</v>
      </c>
      <c r="L1834">
        <v>601096</v>
      </c>
      <c r="M1834" t="s">
        <v>2381</v>
      </c>
      <c r="P1834" t="s">
        <v>2427</v>
      </c>
      <c r="Q1834" t="s">
        <v>2383</v>
      </c>
      <c r="R1834">
        <v>1</v>
      </c>
      <c r="S1834" t="s">
        <v>2380</v>
      </c>
      <c r="T1834" t="s">
        <v>2383</v>
      </c>
      <c r="U1834" s="8">
        <v>45939.618518518517</v>
      </c>
      <c r="V1834" s="8">
        <v>45944.958333333336</v>
      </c>
      <c r="W1834">
        <v>1</v>
      </c>
      <c r="X1834">
        <v>1.0294791670000001</v>
      </c>
      <c r="Y1834" t="s">
        <v>2542</v>
      </c>
      <c r="Z1834" t="s">
        <v>2920</v>
      </c>
      <c r="AA1834" t="s">
        <v>2888</v>
      </c>
      <c r="AB1834" t="s">
        <v>1278</v>
      </c>
      <c r="AC1834" t="s">
        <v>2921</v>
      </c>
      <c r="AE1834">
        <v>1</v>
      </c>
      <c r="AO1834" t="s">
        <v>2547</v>
      </c>
      <c r="AP1834" t="s">
        <v>2401</v>
      </c>
    </row>
    <row r="1835" spans="1:42">
      <c r="A1835" t="s">
        <v>6096</v>
      </c>
      <c r="B1835" t="s">
        <v>2389</v>
      </c>
      <c r="C1835" t="s">
        <v>2415</v>
      </c>
      <c r="D1835" t="s">
        <v>2379</v>
      </c>
      <c r="E1835" t="s">
        <v>2452</v>
      </c>
      <c r="F1835" t="s">
        <v>2541</v>
      </c>
      <c r="G1835" t="s">
        <v>2452</v>
      </c>
      <c r="H1835" t="b">
        <v>1</v>
      </c>
      <c r="I1835" s="8">
        <v>45943.580046296294</v>
      </c>
      <c r="J1835" t="s">
        <v>2380</v>
      </c>
      <c r="K1835">
        <v>1201941</v>
      </c>
      <c r="L1835">
        <v>608146</v>
      </c>
      <c r="M1835" t="s">
        <v>2381</v>
      </c>
      <c r="P1835" t="s">
        <v>2427</v>
      </c>
      <c r="Q1835" t="s">
        <v>2383</v>
      </c>
      <c r="R1835">
        <v>1</v>
      </c>
      <c r="S1835" t="s">
        <v>2380</v>
      </c>
      <c r="T1835" t="s">
        <v>2383</v>
      </c>
      <c r="U1835" s="8">
        <v>45939.61859953704</v>
      </c>
      <c r="V1835" s="8">
        <v>45944.958333333336</v>
      </c>
      <c r="W1835">
        <v>1</v>
      </c>
      <c r="X1835">
        <v>1.961446759</v>
      </c>
      <c r="Y1835" t="s">
        <v>2542</v>
      </c>
      <c r="Z1835" t="s">
        <v>6097</v>
      </c>
      <c r="AA1835" t="s">
        <v>6094</v>
      </c>
      <c r="AB1835" t="s">
        <v>1278</v>
      </c>
      <c r="AC1835" t="s">
        <v>6098</v>
      </c>
      <c r="AD1835" t="s">
        <v>2708</v>
      </c>
      <c r="AE1835">
        <v>1</v>
      </c>
      <c r="AO1835" t="s">
        <v>2547</v>
      </c>
      <c r="AP1835" t="s">
        <v>2401</v>
      </c>
    </row>
    <row r="1836" spans="1:42">
      <c r="A1836" t="s">
        <v>10414</v>
      </c>
      <c r="B1836" t="s">
        <v>2389</v>
      </c>
      <c r="C1836" t="s">
        <v>2415</v>
      </c>
      <c r="D1836" t="s">
        <v>2379</v>
      </c>
      <c r="E1836" t="s">
        <v>2452</v>
      </c>
      <c r="F1836" t="s">
        <v>2541</v>
      </c>
      <c r="G1836" t="s">
        <v>2452</v>
      </c>
      <c r="H1836" t="b">
        <v>1</v>
      </c>
      <c r="I1836" s="8">
        <v>45943.57271990741</v>
      </c>
      <c r="J1836" t="s">
        <v>2380</v>
      </c>
      <c r="L1836">
        <v>608236</v>
      </c>
      <c r="M1836" t="s">
        <v>2381</v>
      </c>
      <c r="P1836" t="s">
        <v>2427</v>
      </c>
      <c r="Q1836" t="s">
        <v>2383</v>
      </c>
      <c r="R1836">
        <v>1</v>
      </c>
      <c r="S1836" t="s">
        <v>2380</v>
      </c>
      <c r="T1836" t="s">
        <v>2383</v>
      </c>
      <c r="U1836" s="8">
        <v>45939.619143518517</v>
      </c>
      <c r="V1836" s="8">
        <v>45944.958333333336</v>
      </c>
      <c r="W1836">
        <v>1</v>
      </c>
      <c r="X1836">
        <v>1.953576389</v>
      </c>
      <c r="Y1836" t="s">
        <v>2542</v>
      </c>
      <c r="Z1836" t="s">
        <v>10415</v>
      </c>
      <c r="AA1836" t="s">
        <v>2564</v>
      </c>
      <c r="AB1836" t="s">
        <v>1278</v>
      </c>
      <c r="AC1836" t="s">
        <v>10416</v>
      </c>
      <c r="AE1836">
        <v>1</v>
      </c>
      <c r="AO1836" t="s">
        <v>2547</v>
      </c>
      <c r="AP1836" t="s">
        <v>2401</v>
      </c>
    </row>
    <row r="1837" spans="1:42">
      <c r="A1837" t="s">
        <v>2922</v>
      </c>
      <c r="B1837" t="s">
        <v>2389</v>
      </c>
      <c r="C1837" t="s">
        <v>2390</v>
      </c>
      <c r="D1837" t="s">
        <v>2379</v>
      </c>
      <c r="E1837" t="s">
        <v>307</v>
      </c>
      <c r="F1837" t="s">
        <v>2541</v>
      </c>
      <c r="G1837" t="s">
        <v>307</v>
      </c>
      <c r="H1837" t="b">
        <v>1</v>
      </c>
      <c r="I1837" s="8">
        <v>45941.735543981478</v>
      </c>
      <c r="J1837" t="s">
        <v>2380</v>
      </c>
      <c r="L1837">
        <v>608398</v>
      </c>
      <c r="M1837" t="s">
        <v>2381</v>
      </c>
      <c r="P1837" t="s">
        <v>2427</v>
      </c>
      <c r="Q1837" t="s">
        <v>2383</v>
      </c>
      <c r="R1837">
        <v>1</v>
      </c>
      <c r="S1837" t="s">
        <v>2380</v>
      </c>
      <c r="T1837" t="s">
        <v>2383</v>
      </c>
      <c r="U1837" s="8">
        <v>45939.619247685187</v>
      </c>
      <c r="V1837" s="8">
        <v>45944.958333333336</v>
      </c>
      <c r="W1837">
        <v>1</v>
      </c>
      <c r="X1837">
        <v>2.1162962959999998</v>
      </c>
      <c r="Y1837" t="s">
        <v>2542</v>
      </c>
      <c r="Z1837" t="s">
        <v>2923</v>
      </c>
      <c r="AA1837" t="s">
        <v>2917</v>
      </c>
      <c r="AB1837" t="s">
        <v>1278</v>
      </c>
      <c r="AC1837" t="s">
        <v>2924</v>
      </c>
      <c r="AE1837">
        <v>1</v>
      </c>
      <c r="AO1837" t="s">
        <v>2547</v>
      </c>
      <c r="AP1837" t="s">
        <v>2401</v>
      </c>
    </row>
    <row r="1838" spans="1:42">
      <c r="A1838" t="s">
        <v>6037</v>
      </c>
      <c r="B1838" t="s">
        <v>2389</v>
      </c>
      <c r="C1838" t="s">
        <v>2438</v>
      </c>
      <c r="D1838" t="s">
        <v>2379</v>
      </c>
      <c r="E1838" t="s">
        <v>2601</v>
      </c>
      <c r="F1838" t="s">
        <v>2541</v>
      </c>
      <c r="G1838" t="s">
        <v>2601</v>
      </c>
      <c r="H1838" t="b">
        <v>1</v>
      </c>
      <c r="I1838" s="8">
        <v>45940.619004629632</v>
      </c>
      <c r="J1838" t="s">
        <v>2380</v>
      </c>
      <c r="K1838">
        <v>1201656</v>
      </c>
      <c r="L1838">
        <v>608142</v>
      </c>
      <c r="M1838" t="s">
        <v>2381</v>
      </c>
      <c r="P1838" t="s">
        <v>2427</v>
      </c>
      <c r="Q1838" t="s">
        <v>2383</v>
      </c>
      <c r="R1838">
        <v>1</v>
      </c>
      <c r="S1838" t="s">
        <v>2380</v>
      </c>
      <c r="T1838" t="s">
        <v>2383</v>
      </c>
      <c r="U1838" s="8">
        <v>45939.61959490741</v>
      </c>
      <c r="V1838" s="8">
        <v>45944.958333333336</v>
      </c>
      <c r="W1838">
        <v>1</v>
      </c>
      <c r="X1838">
        <v>0.999409722</v>
      </c>
      <c r="Y1838" t="s">
        <v>2542</v>
      </c>
      <c r="Z1838" t="s">
        <v>6038</v>
      </c>
      <c r="AA1838" t="s">
        <v>3115</v>
      </c>
      <c r="AB1838" t="s">
        <v>1278</v>
      </c>
      <c r="AC1838" t="s">
        <v>6039</v>
      </c>
      <c r="AD1838" t="s">
        <v>2708</v>
      </c>
      <c r="AE1838">
        <v>1</v>
      </c>
      <c r="AO1838" t="s">
        <v>2547</v>
      </c>
      <c r="AP1838" t="s">
        <v>2401</v>
      </c>
    </row>
    <row r="1839" spans="1:42">
      <c r="A1839" t="s">
        <v>5908</v>
      </c>
      <c r="B1839" t="s">
        <v>2389</v>
      </c>
      <c r="C1839" t="s">
        <v>2390</v>
      </c>
      <c r="D1839" t="s">
        <v>2379</v>
      </c>
      <c r="E1839" t="s">
        <v>307</v>
      </c>
      <c r="F1839" t="s">
        <v>2541</v>
      </c>
      <c r="G1839" t="s">
        <v>307</v>
      </c>
      <c r="H1839" t="b">
        <v>1</v>
      </c>
      <c r="I1839" s="8">
        <v>45941.702650462961</v>
      </c>
      <c r="J1839" t="s">
        <v>2380</v>
      </c>
      <c r="K1839">
        <v>1201728</v>
      </c>
      <c r="L1839">
        <v>601096</v>
      </c>
      <c r="M1839" t="s">
        <v>2381</v>
      </c>
      <c r="P1839" t="s">
        <v>2427</v>
      </c>
      <c r="Q1839" t="s">
        <v>2383</v>
      </c>
      <c r="R1839">
        <v>1</v>
      </c>
      <c r="S1839" t="s">
        <v>2380</v>
      </c>
      <c r="T1839" t="s">
        <v>2383</v>
      </c>
      <c r="U1839" s="8">
        <v>45939.619976851849</v>
      </c>
      <c r="V1839" s="8">
        <v>45944.958333333336</v>
      </c>
      <c r="W1839">
        <v>1</v>
      </c>
      <c r="X1839">
        <v>2.0826736110000001</v>
      </c>
      <c r="Y1839" t="s">
        <v>2542</v>
      </c>
      <c r="Z1839" t="s">
        <v>5909</v>
      </c>
      <c r="AA1839" t="s">
        <v>2888</v>
      </c>
      <c r="AB1839" t="s">
        <v>1278</v>
      </c>
      <c r="AC1839" t="s">
        <v>5910</v>
      </c>
      <c r="AD1839" t="s">
        <v>2708</v>
      </c>
      <c r="AE1839">
        <v>1</v>
      </c>
      <c r="AO1839" t="s">
        <v>2547</v>
      </c>
      <c r="AP1839" t="s">
        <v>2401</v>
      </c>
    </row>
    <row r="1840" spans="1:42">
      <c r="A1840" t="s">
        <v>5911</v>
      </c>
      <c r="B1840" t="s">
        <v>2389</v>
      </c>
      <c r="C1840" t="s">
        <v>2390</v>
      </c>
      <c r="D1840" t="s">
        <v>2379</v>
      </c>
      <c r="E1840" t="s">
        <v>307</v>
      </c>
      <c r="F1840" t="s">
        <v>2541</v>
      </c>
      <c r="G1840" t="s">
        <v>307</v>
      </c>
      <c r="H1840" t="b">
        <v>1</v>
      </c>
      <c r="I1840" s="8">
        <v>45941.72415509259</v>
      </c>
      <c r="J1840" t="s">
        <v>2380</v>
      </c>
      <c r="K1840">
        <v>1201731</v>
      </c>
      <c r="L1840">
        <v>601096</v>
      </c>
      <c r="M1840" t="s">
        <v>2381</v>
      </c>
      <c r="P1840" t="s">
        <v>2427</v>
      </c>
      <c r="Q1840" t="s">
        <v>2383</v>
      </c>
      <c r="R1840">
        <v>1</v>
      </c>
      <c r="S1840" t="s">
        <v>2380</v>
      </c>
      <c r="T1840" t="s">
        <v>2383</v>
      </c>
      <c r="U1840" s="8">
        <v>45939.620162037034</v>
      </c>
      <c r="V1840" s="8">
        <v>45944.958333333336</v>
      </c>
      <c r="W1840">
        <v>1</v>
      </c>
      <c r="X1840">
        <v>2.1039930560000002</v>
      </c>
      <c r="Y1840" t="s">
        <v>2542</v>
      </c>
      <c r="Z1840" t="s">
        <v>5912</v>
      </c>
      <c r="AA1840" t="s">
        <v>2888</v>
      </c>
      <c r="AB1840" t="s">
        <v>1278</v>
      </c>
      <c r="AC1840" t="s">
        <v>5913</v>
      </c>
      <c r="AD1840" t="s">
        <v>2708</v>
      </c>
      <c r="AE1840">
        <v>1</v>
      </c>
      <c r="AO1840" t="s">
        <v>2547</v>
      </c>
      <c r="AP1840" t="s">
        <v>2401</v>
      </c>
    </row>
    <row r="1841" spans="1:42">
      <c r="A1841" t="s">
        <v>6139</v>
      </c>
      <c r="B1841" t="s">
        <v>2389</v>
      </c>
      <c r="C1841" t="s">
        <v>2415</v>
      </c>
      <c r="D1841" t="s">
        <v>2379</v>
      </c>
      <c r="E1841" t="s">
        <v>2452</v>
      </c>
      <c r="F1841" t="s">
        <v>2541</v>
      </c>
      <c r="G1841" t="s">
        <v>2723</v>
      </c>
      <c r="H1841" t="b">
        <v>1</v>
      </c>
      <c r="I1841" s="8">
        <v>45943.518148148149</v>
      </c>
      <c r="J1841" t="s">
        <v>2380</v>
      </c>
      <c r="K1841">
        <v>1201881</v>
      </c>
      <c r="L1841">
        <v>608146</v>
      </c>
      <c r="M1841" t="s">
        <v>2381</v>
      </c>
      <c r="P1841" t="s">
        <v>2427</v>
      </c>
      <c r="Q1841" t="s">
        <v>2383</v>
      </c>
      <c r="R1841">
        <v>1</v>
      </c>
      <c r="S1841" t="s">
        <v>2380</v>
      </c>
      <c r="T1841" t="s">
        <v>2383</v>
      </c>
      <c r="U1841" s="8">
        <v>45939.620717592596</v>
      </c>
      <c r="V1841" s="8">
        <v>45944.958333333336</v>
      </c>
      <c r="W1841">
        <v>1</v>
      </c>
      <c r="X1841">
        <v>1.897430556</v>
      </c>
      <c r="Y1841" t="s">
        <v>2542</v>
      </c>
      <c r="Z1841" t="s">
        <v>6140</v>
      </c>
      <c r="AA1841" t="s">
        <v>6094</v>
      </c>
      <c r="AB1841" t="s">
        <v>1278</v>
      </c>
      <c r="AC1841" t="s">
        <v>6141</v>
      </c>
      <c r="AD1841" t="s">
        <v>2708</v>
      </c>
      <c r="AE1841">
        <v>1</v>
      </c>
      <c r="AO1841" t="s">
        <v>2547</v>
      </c>
      <c r="AP1841" t="s">
        <v>2401</v>
      </c>
    </row>
    <row r="1842" spans="1:42">
      <c r="A1842" t="s">
        <v>5914</v>
      </c>
      <c r="B1842" t="s">
        <v>2389</v>
      </c>
      <c r="C1842" t="s">
        <v>2390</v>
      </c>
      <c r="D1842" t="s">
        <v>2379</v>
      </c>
      <c r="E1842" t="s">
        <v>307</v>
      </c>
      <c r="F1842" t="s">
        <v>2541</v>
      </c>
      <c r="G1842" t="s">
        <v>307</v>
      </c>
      <c r="H1842" t="b">
        <v>1</v>
      </c>
      <c r="I1842" s="8">
        <v>45941.707592592589</v>
      </c>
      <c r="J1842" t="s">
        <v>2380</v>
      </c>
      <c r="K1842">
        <v>1201729</v>
      </c>
      <c r="L1842">
        <v>601096</v>
      </c>
      <c r="M1842" t="s">
        <v>2381</v>
      </c>
      <c r="P1842" t="s">
        <v>2427</v>
      </c>
      <c r="Q1842" t="s">
        <v>2383</v>
      </c>
      <c r="R1842">
        <v>1</v>
      </c>
      <c r="S1842" t="s">
        <v>2380</v>
      </c>
      <c r="T1842" t="s">
        <v>2383</v>
      </c>
      <c r="U1842" s="8">
        <v>45939.620821759258</v>
      </c>
      <c r="V1842" s="8">
        <v>45944.958333333336</v>
      </c>
      <c r="W1842">
        <v>1</v>
      </c>
      <c r="X1842">
        <v>2.0867708330000001</v>
      </c>
      <c r="Y1842" t="s">
        <v>2542</v>
      </c>
      <c r="Z1842" t="s">
        <v>5915</v>
      </c>
      <c r="AA1842" t="s">
        <v>2888</v>
      </c>
      <c r="AB1842" t="s">
        <v>1278</v>
      </c>
      <c r="AC1842" t="s">
        <v>5916</v>
      </c>
      <c r="AD1842" t="s">
        <v>2708</v>
      </c>
      <c r="AE1842">
        <v>1</v>
      </c>
      <c r="AO1842" t="s">
        <v>2547</v>
      </c>
      <c r="AP1842" t="s">
        <v>2401</v>
      </c>
    </row>
    <row r="1843" spans="1:42">
      <c r="A1843" t="s">
        <v>5917</v>
      </c>
      <c r="B1843" t="s">
        <v>2389</v>
      </c>
      <c r="C1843" t="s">
        <v>2415</v>
      </c>
      <c r="D1843" t="s">
        <v>2379</v>
      </c>
      <c r="E1843" t="s">
        <v>307</v>
      </c>
      <c r="F1843" t="s">
        <v>2541</v>
      </c>
      <c r="G1843" t="s">
        <v>307</v>
      </c>
      <c r="H1843" t="b">
        <v>1</v>
      </c>
      <c r="I1843" s="8">
        <v>45940.665034722224</v>
      </c>
      <c r="J1843" t="s">
        <v>2380</v>
      </c>
      <c r="K1843">
        <v>1201683</v>
      </c>
      <c r="L1843">
        <v>601096</v>
      </c>
      <c r="M1843" t="s">
        <v>2381</v>
      </c>
      <c r="P1843" t="s">
        <v>2427</v>
      </c>
      <c r="Q1843" t="s">
        <v>2383</v>
      </c>
      <c r="R1843">
        <v>1</v>
      </c>
      <c r="S1843" t="s">
        <v>2380</v>
      </c>
      <c r="T1843" t="s">
        <v>2383</v>
      </c>
      <c r="U1843" s="8">
        <v>45939.621377314812</v>
      </c>
      <c r="V1843" s="8">
        <v>45944.958333333336</v>
      </c>
      <c r="W1843">
        <v>1</v>
      </c>
      <c r="X1843">
        <v>1.043657407</v>
      </c>
      <c r="Y1843" t="s">
        <v>2542</v>
      </c>
      <c r="Z1843" t="s">
        <v>5918</v>
      </c>
      <c r="AA1843" t="s">
        <v>2888</v>
      </c>
      <c r="AB1843" t="s">
        <v>1278</v>
      </c>
      <c r="AC1843" t="s">
        <v>5919</v>
      </c>
      <c r="AD1843" t="s">
        <v>2708</v>
      </c>
      <c r="AE1843">
        <v>1</v>
      </c>
      <c r="AO1843" t="s">
        <v>2547</v>
      </c>
      <c r="AP1843" t="s">
        <v>2401</v>
      </c>
    </row>
    <row r="1844" spans="1:42">
      <c r="A1844" t="s">
        <v>5920</v>
      </c>
      <c r="B1844" t="s">
        <v>2389</v>
      </c>
      <c r="C1844" t="s">
        <v>2390</v>
      </c>
      <c r="D1844" t="s">
        <v>2379</v>
      </c>
      <c r="E1844" t="s">
        <v>307</v>
      </c>
      <c r="F1844" t="s">
        <v>2541</v>
      </c>
      <c r="G1844" t="s">
        <v>307</v>
      </c>
      <c r="H1844" t="b">
        <v>1</v>
      </c>
      <c r="I1844" s="8">
        <v>45941.716886574075</v>
      </c>
      <c r="J1844" t="s">
        <v>2380</v>
      </c>
      <c r="K1844">
        <v>1201730</v>
      </c>
      <c r="L1844">
        <v>601096</v>
      </c>
      <c r="M1844" t="s">
        <v>2381</v>
      </c>
      <c r="P1844" t="s">
        <v>2427</v>
      </c>
      <c r="Q1844" t="s">
        <v>2383</v>
      </c>
      <c r="R1844">
        <v>1</v>
      </c>
      <c r="S1844" t="s">
        <v>2380</v>
      </c>
      <c r="T1844" t="s">
        <v>2383</v>
      </c>
      <c r="U1844" s="8">
        <v>45939.622233796297</v>
      </c>
      <c r="V1844" s="8">
        <v>45944.958333333336</v>
      </c>
      <c r="W1844">
        <v>1</v>
      </c>
      <c r="X1844">
        <v>2.0946527779999999</v>
      </c>
      <c r="Y1844" t="s">
        <v>2542</v>
      </c>
      <c r="Z1844" t="s">
        <v>5921</v>
      </c>
      <c r="AA1844" t="s">
        <v>2888</v>
      </c>
      <c r="AB1844" t="s">
        <v>1278</v>
      </c>
      <c r="AC1844" t="s">
        <v>5922</v>
      </c>
      <c r="AD1844" t="s">
        <v>2708</v>
      </c>
      <c r="AE1844">
        <v>1</v>
      </c>
      <c r="AO1844" t="s">
        <v>2547</v>
      </c>
      <c r="AP1844" t="s">
        <v>2401</v>
      </c>
    </row>
    <row r="1845" spans="1:42">
      <c r="A1845" t="s">
        <v>7359</v>
      </c>
      <c r="B1845" t="s">
        <v>2389</v>
      </c>
      <c r="C1845" t="s">
        <v>2390</v>
      </c>
      <c r="D1845" t="s">
        <v>2379</v>
      </c>
      <c r="E1845" t="s">
        <v>25</v>
      </c>
      <c r="F1845" t="s">
        <v>2588</v>
      </c>
      <c r="G1845" t="s">
        <v>25</v>
      </c>
      <c r="H1845" t="b">
        <v>1</v>
      </c>
      <c r="I1845" s="8">
        <v>45943.726458333331</v>
      </c>
      <c r="J1845" t="s">
        <v>2380</v>
      </c>
      <c r="K1845">
        <v>1202170</v>
      </c>
      <c r="L1845">
        <v>602590</v>
      </c>
      <c r="M1845" t="s">
        <v>2381</v>
      </c>
      <c r="N1845">
        <v>5</v>
      </c>
      <c r="P1845" t="s">
        <v>2427</v>
      </c>
      <c r="Q1845" t="s">
        <v>2383</v>
      </c>
      <c r="R1845">
        <v>1</v>
      </c>
      <c r="S1845" t="s">
        <v>2380</v>
      </c>
      <c r="T1845" t="s">
        <v>2383</v>
      </c>
      <c r="U1845" s="8">
        <v>45939.623842592591</v>
      </c>
      <c r="V1845" s="8">
        <v>45944.958333333336</v>
      </c>
      <c r="W1845">
        <v>1</v>
      </c>
      <c r="X1845">
        <v>2.1026157410000001</v>
      </c>
      <c r="Y1845" t="s">
        <v>2579</v>
      </c>
      <c r="Z1845" t="s">
        <v>7360</v>
      </c>
      <c r="AA1845" t="s">
        <v>3307</v>
      </c>
      <c r="AB1845" t="s">
        <v>1278</v>
      </c>
      <c r="AC1845" t="s">
        <v>7361</v>
      </c>
      <c r="AD1845" t="s">
        <v>2708</v>
      </c>
      <c r="AE1845">
        <v>1</v>
      </c>
      <c r="AO1845" t="s">
        <v>2388</v>
      </c>
      <c r="AP1845" t="s">
        <v>2401</v>
      </c>
    </row>
    <row r="1846" spans="1:42">
      <c r="A1846" t="s">
        <v>2939</v>
      </c>
      <c r="B1846" t="s">
        <v>2389</v>
      </c>
      <c r="C1846" t="s">
        <v>2438</v>
      </c>
      <c r="D1846" t="s">
        <v>2379</v>
      </c>
      <c r="E1846" t="s">
        <v>2452</v>
      </c>
      <c r="F1846" t="s">
        <v>2541</v>
      </c>
      <c r="G1846" t="s">
        <v>2452</v>
      </c>
      <c r="H1846" t="b">
        <v>1</v>
      </c>
      <c r="I1846" s="8">
        <v>45939.645173611112</v>
      </c>
      <c r="J1846" t="s">
        <v>2380</v>
      </c>
      <c r="L1846">
        <v>602299</v>
      </c>
      <c r="M1846" t="s">
        <v>2381</v>
      </c>
      <c r="Q1846" t="s">
        <v>2383</v>
      </c>
      <c r="R1846">
        <v>1</v>
      </c>
      <c r="S1846" t="s">
        <v>2380</v>
      </c>
      <c r="T1846" t="s">
        <v>2383</v>
      </c>
      <c r="U1846" s="8">
        <v>45939.639456018522</v>
      </c>
      <c r="V1846" s="8">
        <v>45944.958333333336</v>
      </c>
      <c r="W1846">
        <v>1</v>
      </c>
      <c r="X1846">
        <v>5.717593E-3</v>
      </c>
      <c r="Y1846" t="s">
        <v>2542</v>
      </c>
      <c r="Z1846" t="s">
        <v>2940</v>
      </c>
      <c r="AA1846" t="s">
        <v>2927</v>
      </c>
      <c r="AB1846" t="s">
        <v>1278</v>
      </c>
      <c r="AC1846" t="s">
        <v>2941</v>
      </c>
      <c r="AE1846">
        <v>1</v>
      </c>
      <c r="AO1846" t="s">
        <v>2547</v>
      </c>
      <c r="AP1846" t="s">
        <v>2401</v>
      </c>
    </row>
    <row r="1847" spans="1:42">
      <c r="A1847" t="s">
        <v>7510</v>
      </c>
      <c r="B1847" t="s">
        <v>2389</v>
      </c>
      <c r="C1847" t="s">
        <v>2443</v>
      </c>
      <c r="D1847" t="s">
        <v>2443</v>
      </c>
      <c r="E1847" t="s">
        <v>33</v>
      </c>
      <c r="F1847" t="s">
        <v>2627</v>
      </c>
      <c r="G1847" t="s">
        <v>33</v>
      </c>
      <c r="H1847" t="b">
        <v>1</v>
      </c>
      <c r="I1847" s="8">
        <v>45946.578726851854</v>
      </c>
      <c r="J1847" t="s">
        <v>2380</v>
      </c>
      <c r="K1847">
        <v>1202847</v>
      </c>
      <c r="L1847">
        <v>605016</v>
      </c>
      <c r="M1847" t="s">
        <v>2381</v>
      </c>
      <c r="Q1847" t="s">
        <v>2383</v>
      </c>
      <c r="R1847">
        <v>1</v>
      </c>
      <c r="S1847" t="s">
        <v>2380</v>
      </c>
      <c r="T1847" t="s">
        <v>2383</v>
      </c>
      <c r="U1847" s="8">
        <v>45939.660405092596</v>
      </c>
      <c r="V1847" s="8">
        <v>45944.958333333336</v>
      </c>
      <c r="W1847">
        <v>1</v>
      </c>
      <c r="X1847">
        <v>4.9183217590000003</v>
      </c>
      <c r="Y1847" t="s">
        <v>2628</v>
      </c>
      <c r="Z1847" t="s">
        <v>7511</v>
      </c>
      <c r="AA1847" t="s">
        <v>7512</v>
      </c>
      <c r="AB1847" t="s">
        <v>1278</v>
      </c>
      <c r="AC1847" t="s">
        <v>7513</v>
      </c>
      <c r="AD1847" t="s">
        <v>2708</v>
      </c>
      <c r="AE1847">
        <v>1</v>
      </c>
      <c r="AO1847" t="s">
        <v>2957</v>
      </c>
      <c r="AP1847" t="s">
        <v>2401</v>
      </c>
    </row>
    <row r="1848" spans="1:42">
      <c r="A1848" t="s">
        <v>9399</v>
      </c>
      <c r="B1848" t="s">
        <v>2389</v>
      </c>
      <c r="C1848" t="s">
        <v>2443</v>
      </c>
      <c r="D1848" t="s">
        <v>2443</v>
      </c>
      <c r="E1848" t="s">
        <v>33</v>
      </c>
      <c r="F1848">
        <v>6415</v>
      </c>
      <c r="G1848" t="s">
        <v>33</v>
      </c>
      <c r="H1848" t="b">
        <v>1</v>
      </c>
      <c r="I1848" s="8">
        <v>45945.387546296297</v>
      </c>
      <c r="J1848" t="s">
        <v>2380</v>
      </c>
      <c r="K1848">
        <v>1202240</v>
      </c>
      <c r="L1848">
        <v>604475</v>
      </c>
      <c r="M1848" t="s">
        <v>2381</v>
      </c>
      <c r="P1848" t="s">
        <v>2394</v>
      </c>
      <c r="Q1848" t="s">
        <v>2395</v>
      </c>
      <c r="R1848">
        <v>1</v>
      </c>
      <c r="S1848" t="s">
        <v>2380</v>
      </c>
      <c r="T1848" t="s">
        <v>2383</v>
      </c>
      <c r="U1848" s="8">
        <v>45939.665243055555</v>
      </c>
      <c r="V1848" s="8">
        <v>45944.958333333336</v>
      </c>
      <c r="W1848">
        <v>1</v>
      </c>
      <c r="X1848">
        <v>3.7223032410000001</v>
      </c>
      <c r="Y1848" t="s">
        <v>8176</v>
      </c>
      <c r="Z1848" t="s">
        <v>9400</v>
      </c>
      <c r="AA1848" t="s">
        <v>8179</v>
      </c>
      <c r="AB1848" t="s">
        <v>1278</v>
      </c>
      <c r="AC1848" t="s">
        <v>9401</v>
      </c>
      <c r="AD1848" t="s">
        <v>2708</v>
      </c>
      <c r="AE1848">
        <v>1</v>
      </c>
      <c r="AH1848" t="s">
        <v>33</v>
      </c>
      <c r="AI1848" s="8">
        <v>45945.381932870368</v>
      </c>
      <c r="AK1848" t="s">
        <v>2719</v>
      </c>
      <c r="AL1848" t="s">
        <v>18</v>
      </c>
      <c r="AO1848" t="s">
        <v>4137</v>
      </c>
      <c r="AP1848" t="s">
        <v>2401</v>
      </c>
    </row>
    <row r="1849" spans="1:42">
      <c r="A1849" t="s">
        <v>10432</v>
      </c>
      <c r="B1849" t="s">
        <v>2389</v>
      </c>
      <c r="C1849" t="s">
        <v>2378</v>
      </c>
      <c r="D1849" t="s">
        <v>2379</v>
      </c>
      <c r="E1849" t="s">
        <v>25</v>
      </c>
      <c r="F1849" t="s">
        <v>2541</v>
      </c>
      <c r="G1849" t="s">
        <v>25</v>
      </c>
      <c r="H1849" t="b">
        <v>1</v>
      </c>
      <c r="I1849" s="8">
        <v>45939.675092592595</v>
      </c>
      <c r="J1849" t="s">
        <v>2380</v>
      </c>
      <c r="L1849">
        <v>608236</v>
      </c>
      <c r="M1849" t="s">
        <v>2381</v>
      </c>
      <c r="N1849">
        <v>5</v>
      </c>
      <c r="P1849" t="s">
        <v>2548</v>
      </c>
      <c r="Q1849" t="s">
        <v>2383</v>
      </c>
      <c r="R1849">
        <v>1</v>
      </c>
      <c r="S1849" t="s">
        <v>2380</v>
      </c>
      <c r="T1849" t="s">
        <v>2383</v>
      </c>
      <c r="U1849" s="8">
        <v>45936.572025462963</v>
      </c>
      <c r="V1849" s="8">
        <v>45939.958333333336</v>
      </c>
      <c r="W1849">
        <v>1</v>
      </c>
      <c r="X1849">
        <v>3.1030671299999999</v>
      </c>
      <c r="Y1849" t="s">
        <v>2542</v>
      </c>
      <c r="Z1849" t="s">
        <v>10433</v>
      </c>
      <c r="AA1849" t="s">
        <v>2564</v>
      </c>
      <c r="AB1849" t="s">
        <v>1278</v>
      </c>
      <c r="AC1849" t="s">
        <v>10434</v>
      </c>
      <c r="AE1849">
        <v>1</v>
      </c>
      <c r="AO1849" t="s">
        <v>2547</v>
      </c>
      <c r="AP1849" t="s">
        <v>2401</v>
      </c>
    </row>
    <row r="1850" spans="1:42">
      <c r="A1850" t="s">
        <v>6236</v>
      </c>
      <c r="B1850" t="s">
        <v>2389</v>
      </c>
      <c r="C1850" t="s">
        <v>2378</v>
      </c>
      <c r="D1850" t="s">
        <v>2379</v>
      </c>
      <c r="E1850" t="s">
        <v>25</v>
      </c>
      <c r="F1850" t="s">
        <v>2541</v>
      </c>
      <c r="G1850" t="s">
        <v>25</v>
      </c>
      <c r="H1850" t="b">
        <v>1</v>
      </c>
      <c r="I1850" s="8">
        <v>45939.673055555555</v>
      </c>
      <c r="J1850" t="s">
        <v>2380</v>
      </c>
      <c r="K1850">
        <v>1201433</v>
      </c>
      <c r="L1850">
        <v>608236</v>
      </c>
      <c r="M1850" t="s">
        <v>2381</v>
      </c>
      <c r="N1850">
        <v>5</v>
      </c>
      <c r="P1850" t="s">
        <v>2548</v>
      </c>
      <c r="Q1850" t="s">
        <v>2383</v>
      </c>
      <c r="R1850">
        <v>1</v>
      </c>
      <c r="S1850" t="s">
        <v>2380</v>
      </c>
      <c r="T1850" t="s">
        <v>2383</v>
      </c>
      <c r="U1850" s="8">
        <v>45936.572025462963</v>
      </c>
      <c r="V1850" s="8">
        <v>45939.958333333336</v>
      </c>
      <c r="W1850">
        <v>1</v>
      </c>
      <c r="X1850">
        <v>3.1010300929999999</v>
      </c>
      <c r="Y1850" t="s">
        <v>2542</v>
      </c>
      <c r="Z1850" t="s">
        <v>6237</v>
      </c>
      <c r="AA1850" t="s">
        <v>2564</v>
      </c>
      <c r="AB1850" t="s">
        <v>1278</v>
      </c>
      <c r="AC1850" t="s">
        <v>6238</v>
      </c>
      <c r="AD1850" t="s">
        <v>2708</v>
      </c>
      <c r="AE1850">
        <v>1</v>
      </c>
      <c r="AO1850" t="s">
        <v>2547</v>
      </c>
      <c r="AP1850" t="s">
        <v>2401</v>
      </c>
    </row>
    <row r="1851" spans="1:42">
      <c r="A1851" t="s">
        <v>5842</v>
      </c>
      <c r="B1851" t="s">
        <v>2389</v>
      </c>
      <c r="C1851" t="s">
        <v>2415</v>
      </c>
      <c r="D1851" t="s">
        <v>2379</v>
      </c>
      <c r="E1851" t="s">
        <v>25</v>
      </c>
      <c r="F1851" t="s">
        <v>2541</v>
      </c>
      <c r="G1851" t="s">
        <v>25</v>
      </c>
      <c r="H1851" t="b">
        <v>1</v>
      </c>
      <c r="I1851" s="8">
        <v>45943.677847222221</v>
      </c>
      <c r="J1851" t="s">
        <v>2380</v>
      </c>
      <c r="K1851">
        <v>1202154</v>
      </c>
      <c r="L1851">
        <v>605288</v>
      </c>
      <c r="M1851" t="s">
        <v>2381</v>
      </c>
      <c r="P1851" t="s">
        <v>2427</v>
      </c>
      <c r="Q1851" t="s">
        <v>2383</v>
      </c>
      <c r="R1851">
        <v>1</v>
      </c>
      <c r="S1851" t="s">
        <v>2380</v>
      </c>
      <c r="T1851" t="s">
        <v>2383</v>
      </c>
      <c r="U1851" s="8">
        <v>45939.687245370369</v>
      </c>
      <c r="V1851" s="8">
        <v>45944.958333333336</v>
      </c>
      <c r="W1851">
        <v>1</v>
      </c>
      <c r="X1851">
        <v>1.9906018519999999</v>
      </c>
      <c r="Y1851" t="s">
        <v>2542</v>
      </c>
      <c r="Z1851" t="s">
        <v>5843</v>
      </c>
      <c r="AA1851" t="s">
        <v>3111</v>
      </c>
      <c r="AB1851" t="s">
        <v>1278</v>
      </c>
      <c r="AC1851" t="s">
        <v>5844</v>
      </c>
      <c r="AD1851" t="s">
        <v>2708</v>
      </c>
      <c r="AE1851">
        <v>1</v>
      </c>
      <c r="AO1851" t="s">
        <v>2547</v>
      </c>
      <c r="AP1851" t="s">
        <v>2401</v>
      </c>
    </row>
    <row r="1852" spans="1:42">
      <c r="A1852" t="s">
        <v>9534</v>
      </c>
      <c r="B1852" t="s">
        <v>2389</v>
      </c>
      <c r="C1852" t="s">
        <v>2378</v>
      </c>
      <c r="D1852" t="s">
        <v>2379</v>
      </c>
      <c r="E1852" t="s">
        <v>12</v>
      </c>
      <c r="F1852" t="s">
        <v>5085</v>
      </c>
      <c r="G1852" t="s">
        <v>12</v>
      </c>
      <c r="H1852" t="b">
        <v>1</v>
      </c>
      <c r="I1852" s="8">
        <v>45945.599074074074</v>
      </c>
      <c r="J1852" t="s">
        <v>2380</v>
      </c>
      <c r="L1852">
        <v>602945</v>
      </c>
      <c r="M1852" t="s">
        <v>2381</v>
      </c>
      <c r="Q1852" t="s">
        <v>2383</v>
      </c>
      <c r="R1852">
        <v>1</v>
      </c>
      <c r="S1852" t="s">
        <v>2380</v>
      </c>
      <c r="T1852" t="s">
        <v>5117</v>
      </c>
      <c r="U1852" s="8">
        <v>45939.688564814816</v>
      </c>
      <c r="V1852" s="8">
        <v>45945.958333333336</v>
      </c>
      <c r="W1852">
        <v>1</v>
      </c>
      <c r="X1852">
        <v>3.9105092589999999</v>
      </c>
      <c r="Y1852" t="s">
        <v>5087</v>
      </c>
      <c r="Z1852" t="s">
        <v>9535</v>
      </c>
      <c r="AA1852" t="s">
        <v>5090</v>
      </c>
      <c r="AB1852" t="s">
        <v>1278</v>
      </c>
      <c r="AC1852" t="s">
        <v>9536</v>
      </c>
      <c r="AE1852">
        <v>1</v>
      </c>
      <c r="AO1852" t="s">
        <v>2720</v>
      </c>
      <c r="AP1852" t="s">
        <v>2401</v>
      </c>
    </row>
    <row r="1853" spans="1:42">
      <c r="A1853" t="s">
        <v>3914</v>
      </c>
      <c r="B1853" t="s">
        <v>2389</v>
      </c>
      <c r="C1853" t="s">
        <v>2390</v>
      </c>
      <c r="D1853" t="s">
        <v>2379</v>
      </c>
      <c r="E1853" t="s">
        <v>3912</v>
      </c>
      <c r="F1853" t="s">
        <v>2578</v>
      </c>
      <c r="G1853" t="s">
        <v>3912</v>
      </c>
      <c r="H1853" t="b">
        <v>1</v>
      </c>
      <c r="I1853" s="8">
        <v>45944.50708333333</v>
      </c>
      <c r="J1853" t="s">
        <v>3913</v>
      </c>
      <c r="K1853">
        <v>1202313</v>
      </c>
      <c r="L1853">
        <v>603645</v>
      </c>
      <c r="M1853" t="s">
        <v>2381</v>
      </c>
      <c r="Q1853" t="s">
        <v>2383</v>
      </c>
      <c r="R1853">
        <v>1</v>
      </c>
      <c r="S1853" t="s">
        <v>3913</v>
      </c>
      <c r="T1853" t="s">
        <v>2383</v>
      </c>
      <c r="U1853" s="8">
        <v>45939.692800925928</v>
      </c>
      <c r="V1853" s="8">
        <v>45944.958333333336</v>
      </c>
      <c r="W1853">
        <v>1</v>
      </c>
      <c r="X1853">
        <v>2.8142824069999999</v>
      </c>
      <c r="Y1853" t="s">
        <v>2579</v>
      </c>
      <c r="Z1853" t="s">
        <v>3915</v>
      </c>
      <c r="AA1853" t="s">
        <v>3661</v>
      </c>
      <c r="AB1853" t="s">
        <v>1278</v>
      </c>
      <c r="AC1853" t="s">
        <v>3916</v>
      </c>
      <c r="AD1853" t="s">
        <v>2708</v>
      </c>
      <c r="AE1853">
        <v>1</v>
      </c>
      <c r="AO1853" t="s">
        <v>3644</v>
      </c>
      <c r="AP1853" t="s">
        <v>2401</v>
      </c>
    </row>
    <row r="1854" spans="1:42">
      <c r="A1854" t="s">
        <v>8236</v>
      </c>
      <c r="B1854" t="s">
        <v>2389</v>
      </c>
      <c r="C1854" t="s">
        <v>2390</v>
      </c>
      <c r="D1854" t="s">
        <v>2379</v>
      </c>
      <c r="E1854" t="s">
        <v>25</v>
      </c>
      <c r="F1854">
        <v>4227</v>
      </c>
      <c r="G1854" t="s">
        <v>25</v>
      </c>
      <c r="H1854" t="b">
        <v>1</v>
      </c>
      <c r="I1854" s="8">
        <v>45943.718182870369</v>
      </c>
      <c r="J1854" t="s">
        <v>2380</v>
      </c>
      <c r="K1854">
        <v>1202168</v>
      </c>
      <c r="L1854">
        <v>604477</v>
      </c>
      <c r="M1854" t="s">
        <v>2381</v>
      </c>
      <c r="N1854">
        <v>5</v>
      </c>
      <c r="P1854" t="s">
        <v>2394</v>
      </c>
      <c r="Q1854" t="s">
        <v>2395</v>
      </c>
      <c r="R1854">
        <v>1</v>
      </c>
      <c r="S1854" t="s">
        <v>2380</v>
      </c>
      <c r="T1854" t="s">
        <v>2383</v>
      </c>
      <c r="U1854" s="8">
        <v>45939.694826388892</v>
      </c>
      <c r="V1854" s="8">
        <v>45944.958333333336</v>
      </c>
      <c r="W1854">
        <v>1</v>
      </c>
      <c r="X1854">
        <v>2.023356481</v>
      </c>
      <c r="Y1854" t="s">
        <v>4558</v>
      </c>
      <c r="Z1854" t="s">
        <v>8237</v>
      </c>
      <c r="AA1854" t="s">
        <v>8120</v>
      </c>
      <c r="AB1854" t="s">
        <v>1278</v>
      </c>
      <c r="AC1854" t="s">
        <v>8238</v>
      </c>
      <c r="AD1854" t="s">
        <v>2708</v>
      </c>
      <c r="AE1854">
        <v>1</v>
      </c>
      <c r="AO1854" t="s">
        <v>4137</v>
      </c>
      <c r="AP1854" t="s">
        <v>2401</v>
      </c>
    </row>
    <row r="1855" spans="1:42">
      <c r="A1855" t="s">
        <v>8172</v>
      </c>
      <c r="B1855" t="s">
        <v>2389</v>
      </c>
      <c r="C1855" t="s">
        <v>2443</v>
      </c>
      <c r="D1855" t="s">
        <v>2443</v>
      </c>
      <c r="E1855" t="s">
        <v>25</v>
      </c>
      <c r="F1855" t="s">
        <v>2588</v>
      </c>
      <c r="G1855" t="s">
        <v>25</v>
      </c>
      <c r="H1855" t="b">
        <v>1</v>
      </c>
      <c r="I1855" s="8">
        <v>45946.346087962964</v>
      </c>
      <c r="J1855" t="s">
        <v>2380</v>
      </c>
      <c r="K1855">
        <v>1202643</v>
      </c>
      <c r="L1855">
        <v>604083</v>
      </c>
      <c r="M1855" t="s">
        <v>2381</v>
      </c>
      <c r="P1855" t="s">
        <v>2394</v>
      </c>
      <c r="Q1855" t="s">
        <v>2395</v>
      </c>
      <c r="R1855">
        <v>1</v>
      </c>
      <c r="S1855" t="s">
        <v>2380</v>
      </c>
      <c r="T1855" t="s">
        <v>2383</v>
      </c>
      <c r="U1855" s="8">
        <v>45939.695347222223</v>
      </c>
      <c r="V1855" s="8">
        <v>45944.958333333336</v>
      </c>
      <c r="W1855">
        <v>1</v>
      </c>
      <c r="X1855">
        <v>4.6507407409999999</v>
      </c>
      <c r="Y1855" t="s">
        <v>2579</v>
      </c>
      <c r="Z1855" t="s">
        <v>8173</v>
      </c>
      <c r="AA1855" t="s">
        <v>8174</v>
      </c>
      <c r="AB1855" t="s">
        <v>1278</v>
      </c>
      <c r="AC1855" t="s">
        <v>8175</v>
      </c>
      <c r="AD1855" t="s">
        <v>2708</v>
      </c>
      <c r="AE1855">
        <v>1</v>
      </c>
      <c r="AO1855" t="s">
        <v>4137</v>
      </c>
      <c r="AP1855" t="s">
        <v>2401</v>
      </c>
    </row>
    <row r="1856" spans="1:42">
      <c r="A1856" t="s">
        <v>2827</v>
      </c>
      <c r="B1856" t="s">
        <v>2389</v>
      </c>
      <c r="C1856" t="s">
        <v>2415</v>
      </c>
      <c r="D1856" t="s">
        <v>2379</v>
      </c>
      <c r="E1856" t="s">
        <v>2452</v>
      </c>
      <c r="F1856" t="s">
        <v>2417</v>
      </c>
      <c r="G1856" t="s">
        <v>2452</v>
      </c>
      <c r="H1856" t="b">
        <v>1</v>
      </c>
      <c r="I1856" s="8">
        <v>45943.537048611113</v>
      </c>
      <c r="J1856" t="s">
        <v>2380</v>
      </c>
      <c r="L1856">
        <v>609535</v>
      </c>
      <c r="M1856" t="s">
        <v>2381</v>
      </c>
      <c r="P1856" t="s">
        <v>2394</v>
      </c>
      <c r="Q1856" t="s">
        <v>2383</v>
      </c>
      <c r="R1856">
        <v>1</v>
      </c>
      <c r="S1856" t="s">
        <v>2380</v>
      </c>
      <c r="T1856" t="s">
        <v>2383</v>
      </c>
      <c r="U1856" s="8">
        <v>45939.714398148149</v>
      </c>
      <c r="V1856" s="8">
        <v>45944.958333333336</v>
      </c>
      <c r="W1856">
        <v>1</v>
      </c>
      <c r="X1856">
        <v>1.822650463</v>
      </c>
      <c r="Y1856" t="s">
        <v>2418</v>
      </c>
      <c r="Z1856" t="s">
        <v>2828</v>
      </c>
      <c r="AA1856" t="s">
        <v>2829</v>
      </c>
      <c r="AB1856" t="s">
        <v>1278</v>
      </c>
      <c r="AC1856" t="s">
        <v>2830</v>
      </c>
      <c r="AE1856">
        <v>1</v>
      </c>
      <c r="AO1856" t="s">
        <v>2408</v>
      </c>
      <c r="AP1856" t="s">
        <v>2401</v>
      </c>
    </row>
    <row r="1857" spans="1:42">
      <c r="A1857" t="s">
        <v>8248</v>
      </c>
      <c r="B1857" t="s">
        <v>2389</v>
      </c>
      <c r="C1857" t="s">
        <v>2390</v>
      </c>
      <c r="D1857" t="s">
        <v>2379</v>
      </c>
      <c r="E1857" t="s">
        <v>25</v>
      </c>
      <c r="F1857">
        <v>3801</v>
      </c>
      <c r="G1857" t="s">
        <v>25</v>
      </c>
      <c r="H1857" t="b">
        <v>1</v>
      </c>
      <c r="I1857" s="8">
        <v>45944.608611111114</v>
      </c>
      <c r="J1857" t="s">
        <v>2380</v>
      </c>
      <c r="K1857">
        <v>1202393</v>
      </c>
      <c r="L1857">
        <v>604334</v>
      </c>
      <c r="M1857" t="s">
        <v>2381</v>
      </c>
      <c r="N1857">
        <v>5</v>
      </c>
      <c r="P1857" t="s">
        <v>2394</v>
      </c>
      <c r="Q1857" t="s">
        <v>2395</v>
      </c>
      <c r="R1857">
        <v>1</v>
      </c>
      <c r="S1857" t="s">
        <v>2380</v>
      </c>
      <c r="T1857" t="s">
        <v>2383</v>
      </c>
      <c r="U1857" s="8">
        <v>45939.721400462964</v>
      </c>
      <c r="V1857" s="8">
        <v>45944.958333333336</v>
      </c>
      <c r="W1857">
        <v>1</v>
      </c>
      <c r="X1857">
        <v>2.8872106479999999</v>
      </c>
      <c r="Y1857" t="s">
        <v>3318</v>
      </c>
      <c r="Z1857" t="s">
        <v>8249</v>
      </c>
      <c r="AA1857" t="s">
        <v>8250</v>
      </c>
      <c r="AB1857" t="s">
        <v>1278</v>
      </c>
      <c r="AC1857" t="s">
        <v>8251</v>
      </c>
      <c r="AD1857" t="s">
        <v>2708</v>
      </c>
      <c r="AE1857">
        <v>1</v>
      </c>
      <c r="AO1857" t="s">
        <v>4137</v>
      </c>
      <c r="AP1857" t="s">
        <v>2401</v>
      </c>
    </row>
    <row r="1858" spans="1:42">
      <c r="A1858" t="s">
        <v>6921</v>
      </c>
      <c r="B1858" t="s">
        <v>2389</v>
      </c>
      <c r="C1858" t="s">
        <v>2390</v>
      </c>
      <c r="D1858" t="s">
        <v>2379</v>
      </c>
      <c r="E1858" t="s">
        <v>2452</v>
      </c>
      <c r="F1858" t="s">
        <v>2578</v>
      </c>
      <c r="G1858" t="s">
        <v>2452</v>
      </c>
      <c r="H1858" t="b">
        <v>1</v>
      </c>
      <c r="I1858" s="8">
        <v>45944.406145833331</v>
      </c>
      <c r="J1858" t="s">
        <v>2380</v>
      </c>
      <c r="K1858">
        <v>1202225</v>
      </c>
      <c r="L1858">
        <v>606979</v>
      </c>
      <c r="M1858" t="s">
        <v>2381</v>
      </c>
      <c r="P1858" t="s">
        <v>2394</v>
      </c>
      <c r="Q1858" t="s">
        <v>2383</v>
      </c>
      <c r="R1858">
        <v>1</v>
      </c>
      <c r="S1858" t="s">
        <v>2380</v>
      </c>
      <c r="T1858" t="s">
        <v>2383</v>
      </c>
      <c r="U1858" s="8">
        <v>45939.730671296296</v>
      </c>
      <c r="V1858" s="8">
        <v>45947.958333333336</v>
      </c>
      <c r="W1858">
        <v>1</v>
      </c>
      <c r="X1858">
        <v>2.6754745369999999</v>
      </c>
      <c r="Y1858" t="s">
        <v>2579</v>
      </c>
      <c r="Z1858" t="s">
        <v>6922</v>
      </c>
      <c r="AA1858" t="s">
        <v>3357</v>
      </c>
      <c r="AB1858" t="s">
        <v>1278</v>
      </c>
      <c r="AC1858" t="s">
        <v>6923</v>
      </c>
      <c r="AD1858" t="s">
        <v>2708</v>
      </c>
      <c r="AE1858">
        <v>1</v>
      </c>
      <c r="AO1858" t="s">
        <v>2388</v>
      </c>
      <c r="AP1858" t="s">
        <v>2401</v>
      </c>
    </row>
    <row r="1859" spans="1:42">
      <c r="A1859" t="s">
        <v>9682</v>
      </c>
      <c r="B1859" t="s">
        <v>2389</v>
      </c>
      <c r="C1859" t="s">
        <v>2415</v>
      </c>
      <c r="D1859" t="s">
        <v>2379</v>
      </c>
      <c r="E1859" t="s">
        <v>2452</v>
      </c>
      <c r="F1859" t="s">
        <v>3472</v>
      </c>
      <c r="G1859" t="s">
        <v>2452</v>
      </c>
      <c r="H1859" t="b">
        <v>1</v>
      </c>
      <c r="I1859" s="8">
        <v>45943.507951388892</v>
      </c>
      <c r="J1859" t="s">
        <v>2380</v>
      </c>
      <c r="K1859">
        <v>1201852</v>
      </c>
      <c r="L1859">
        <v>603593</v>
      </c>
      <c r="M1859" t="s">
        <v>2381</v>
      </c>
      <c r="P1859" t="s">
        <v>2394</v>
      </c>
      <c r="Q1859" t="s">
        <v>2383</v>
      </c>
      <c r="R1859">
        <v>1</v>
      </c>
      <c r="S1859" t="s">
        <v>2380</v>
      </c>
      <c r="T1859" t="s">
        <v>2383</v>
      </c>
      <c r="U1859" s="8">
        <v>45939.732627314814</v>
      </c>
      <c r="V1859" s="8">
        <v>45944.958333333336</v>
      </c>
      <c r="W1859">
        <v>1</v>
      </c>
      <c r="X1859">
        <v>1.775324074</v>
      </c>
      <c r="Y1859" t="s">
        <v>3473</v>
      </c>
      <c r="Z1859" t="s">
        <v>9683</v>
      </c>
      <c r="AA1859" t="s">
        <v>8564</v>
      </c>
      <c r="AB1859" t="s">
        <v>1278</v>
      </c>
      <c r="AC1859" t="s">
        <v>9684</v>
      </c>
      <c r="AD1859" t="s">
        <v>2708</v>
      </c>
      <c r="AE1859">
        <v>1</v>
      </c>
      <c r="AO1859" t="s">
        <v>3608</v>
      </c>
      <c r="AP1859" t="s">
        <v>2401</v>
      </c>
    </row>
    <row r="1860" spans="1:42">
      <c r="A1860" t="s">
        <v>5082</v>
      </c>
      <c r="B1860" t="s">
        <v>2389</v>
      </c>
      <c r="C1860" t="s">
        <v>2447</v>
      </c>
      <c r="D1860" t="s">
        <v>2379</v>
      </c>
      <c r="E1860" t="s">
        <v>2452</v>
      </c>
      <c r="F1860" t="s">
        <v>3747</v>
      </c>
      <c r="G1860" t="s">
        <v>2452</v>
      </c>
      <c r="H1860" t="b">
        <v>1</v>
      </c>
      <c r="I1860" s="8">
        <v>45946.429606481484</v>
      </c>
      <c r="J1860" t="s">
        <v>2380</v>
      </c>
      <c r="K1860">
        <v>1202651</v>
      </c>
      <c r="L1860">
        <v>609121</v>
      </c>
      <c r="M1860" t="s">
        <v>2381</v>
      </c>
      <c r="P1860" t="s">
        <v>2394</v>
      </c>
      <c r="Q1860" t="s">
        <v>2383</v>
      </c>
      <c r="R1860">
        <v>1</v>
      </c>
      <c r="S1860" t="s">
        <v>2380</v>
      </c>
      <c r="T1860" t="s">
        <v>2383</v>
      </c>
      <c r="U1860" s="8">
        <v>45939.944374999999</v>
      </c>
      <c r="V1860" s="8">
        <v>45951.958333333336</v>
      </c>
      <c r="W1860">
        <v>1</v>
      </c>
      <c r="X1860">
        <v>4.4852314809999996</v>
      </c>
      <c r="Y1860" t="s">
        <v>3748</v>
      </c>
      <c r="Z1860" t="s">
        <v>5083</v>
      </c>
      <c r="AA1860" t="s">
        <v>3751</v>
      </c>
      <c r="AB1860" t="s">
        <v>1278</v>
      </c>
      <c r="AC1860" t="s">
        <v>5084</v>
      </c>
      <c r="AD1860" t="s">
        <v>2708</v>
      </c>
      <c r="AE1860">
        <v>1</v>
      </c>
      <c r="AG1860" t="s">
        <v>5075</v>
      </c>
      <c r="AO1860" t="s">
        <v>2712</v>
      </c>
      <c r="AP1860" t="s">
        <v>2401</v>
      </c>
    </row>
    <row r="1861" spans="1:42">
      <c r="A1861" t="s">
        <v>9849</v>
      </c>
      <c r="B1861" t="s">
        <v>2389</v>
      </c>
      <c r="C1861" t="s">
        <v>2390</v>
      </c>
      <c r="D1861" t="s">
        <v>2379</v>
      </c>
      <c r="E1861" t="s">
        <v>12</v>
      </c>
      <c r="F1861" t="s">
        <v>2588</v>
      </c>
      <c r="G1861" t="s">
        <v>12</v>
      </c>
      <c r="H1861" t="b">
        <v>1</v>
      </c>
      <c r="I1861" s="8">
        <v>45944.379444444443</v>
      </c>
      <c r="J1861" t="s">
        <v>2380</v>
      </c>
      <c r="K1861">
        <v>1202186</v>
      </c>
      <c r="L1861">
        <v>609707</v>
      </c>
      <c r="M1861" t="s">
        <v>2381</v>
      </c>
      <c r="Q1861" t="s">
        <v>2383</v>
      </c>
      <c r="R1861">
        <v>1</v>
      </c>
      <c r="S1861" t="s">
        <v>2380</v>
      </c>
      <c r="T1861" t="s">
        <v>2383</v>
      </c>
      <c r="U1861" s="8">
        <v>45940.330763888887</v>
      </c>
      <c r="V1861" s="8">
        <v>45944.958333333336</v>
      </c>
      <c r="W1861">
        <v>1</v>
      </c>
      <c r="X1861">
        <v>2.0486805559999999</v>
      </c>
      <c r="Y1861" t="s">
        <v>2579</v>
      </c>
      <c r="Z1861" t="s">
        <v>9850</v>
      </c>
      <c r="AA1861" t="s">
        <v>9836</v>
      </c>
      <c r="AB1861" t="s">
        <v>1278</v>
      </c>
      <c r="AC1861" t="s">
        <v>9851</v>
      </c>
      <c r="AD1861" t="s">
        <v>2708</v>
      </c>
      <c r="AE1861">
        <v>1</v>
      </c>
      <c r="AO1861" t="s">
        <v>3644</v>
      </c>
      <c r="AP1861" t="s">
        <v>2401</v>
      </c>
    </row>
    <row r="1862" spans="1:42">
      <c r="A1862" t="s">
        <v>7287</v>
      </c>
      <c r="B1862" t="s">
        <v>2389</v>
      </c>
      <c r="C1862" t="s">
        <v>2390</v>
      </c>
      <c r="D1862" t="s">
        <v>2379</v>
      </c>
      <c r="E1862" t="s">
        <v>25</v>
      </c>
      <c r="F1862">
        <v>6397</v>
      </c>
      <c r="G1862" t="s">
        <v>25</v>
      </c>
      <c r="H1862" t="b">
        <v>1</v>
      </c>
      <c r="I1862" s="8">
        <v>45943.723657407405</v>
      </c>
      <c r="J1862" t="s">
        <v>2380</v>
      </c>
      <c r="K1862">
        <v>1202169</v>
      </c>
      <c r="L1862">
        <v>606290</v>
      </c>
      <c r="M1862" t="s">
        <v>2381</v>
      </c>
      <c r="N1862">
        <v>5</v>
      </c>
      <c r="Q1862" t="s">
        <v>2383</v>
      </c>
      <c r="R1862">
        <v>1</v>
      </c>
      <c r="S1862" t="s">
        <v>2380</v>
      </c>
      <c r="T1862" t="s">
        <v>2383</v>
      </c>
      <c r="U1862" s="8">
        <v>45939.416712962964</v>
      </c>
      <c r="V1862" s="8">
        <v>45944.958333333336</v>
      </c>
      <c r="W1862">
        <v>1</v>
      </c>
      <c r="X1862">
        <v>2.306944444</v>
      </c>
      <c r="Y1862" t="s">
        <v>2607</v>
      </c>
      <c r="Z1862" t="s">
        <v>7288</v>
      </c>
      <c r="AA1862" t="s">
        <v>4462</v>
      </c>
      <c r="AB1862" t="s">
        <v>1278</v>
      </c>
      <c r="AC1862" t="s">
        <v>7289</v>
      </c>
      <c r="AD1862" t="s">
        <v>2708</v>
      </c>
      <c r="AE1862">
        <v>1</v>
      </c>
      <c r="AO1862" t="s">
        <v>2388</v>
      </c>
      <c r="AP1862" t="s">
        <v>2401</v>
      </c>
    </row>
    <row r="1863" spans="1:42">
      <c r="A1863" t="s">
        <v>4032</v>
      </c>
      <c r="B1863" t="s">
        <v>2389</v>
      </c>
      <c r="C1863" t="s">
        <v>2438</v>
      </c>
      <c r="D1863" t="s">
        <v>2379</v>
      </c>
      <c r="E1863" t="s">
        <v>33</v>
      </c>
      <c r="F1863" t="s">
        <v>3747</v>
      </c>
      <c r="G1863" t="s">
        <v>33</v>
      </c>
      <c r="H1863" t="b">
        <v>1</v>
      </c>
      <c r="I1863" s="8">
        <v>45940.448275462964</v>
      </c>
      <c r="J1863" t="s">
        <v>2380</v>
      </c>
      <c r="K1863">
        <v>1201494</v>
      </c>
      <c r="L1863">
        <v>602272</v>
      </c>
      <c r="M1863" t="s">
        <v>2381</v>
      </c>
      <c r="P1863" t="s">
        <v>2394</v>
      </c>
      <c r="Q1863" t="s">
        <v>2383</v>
      </c>
      <c r="R1863">
        <v>1</v>
      </c>
      <c r="S1863" t="s">
        <v>2380</v>
      </c>
      <c r="T1863" t="s">
        <v>2383</v>
      </c>
      <c r="U1863" s="8">
        <v>45940.352222222224</v>
      </c>
      <c r="V1863" s="8">
        <v>45945.958333333336</v>
      </c>
      <c r="W1863">
        <v>1</v>
      </c>
      <c r="X1863">
        <v>9.6053240999999998E-2</v>
      </c>
      <c r="Y1863" t="s">
        <v>3748</v>
      </c>
      <c r="Z1863" t="s">
        <v>4033</v>
      </c>
      <c r="AA1863" t="s">
        <v>3824</v>
      </c>
      <c r="AB1863" t="s">
        <v>1278</v>
      </c>
      <c r="AC1863" t="s">
        <v>4034</v>
      </c>
      <c r="AD1863" t="s">
        <v>2708</v>
      </c>
      <c r="AE1863">
        <v>1</v>
      </c>
      <c r="AO1863" t="s">
        <v>2712</v>
      </c>
      <c r="AP1863" t="s">
        <v>2401</v>
      </c>
    </row>
    <row r="1864" spans="1:42">
      <c r="A1864" t="s">
        <v>9464</v>
      </c>
      <c r="B1864" t="s">
        <v>2389</v>
      </c>
      <c r="C1864" t="s">
        <v>2443</v>
      </c>
      <c r="D1864" t="s">
        <v>2443</v>
      </c>
      <c r="E1864" t="s">
        <v>25</v>
      </c>
      <c r="F1864">
        <v>6394</v>
      </c>
      <c r="G1864" t="s">
        <v>25</v>
      </c>
      <c r="H1864" t="b">
        <v>1</v>
      </c>
      <c r="I1864" s="8">
        <v>45946.360567129632</v>
      </c>
      <c r="J1864" t="s">
        <v>2380</v>
      </c>
      <c r="K1864">
        <v>1202644</v>
      </c>
      <c r="L1864">
        <v>605798</v>
      </c>
      <c r="M1864" t="s">
        <v>2381</v>
      </c>
      <c r="N1864">
        <v>5</v>
      </c>
      <c r="P1864" t="s">
        <v>2394</v>
      </c>
      <c r="Q1864" t="s">
        <v>2383</v>
      </c>
      <c r="R1864">
        <v>1</v>
      </c>
      <c r="S1864" t="s">
        <v>2380</v>
      </c>
      <c r="T1864" t="s">
        <v>2383</v>
      </c>
      <c r="U1864" s="8">
        <v>45940.353634259256</v>
      </c>
      <c r="V1864" s="8">
        <v>45945.958333333336</v>
      </c>
      <c r="W1864">
        <v>1</v>
      </c>
      <c r="X1864">
        <v>4.00693287</v>
      </c>
      <c r="Y1864" t="s">
        <v>3241</v>
      </c>
      <c r="Z1864" t="s">
        <v>9465</v>
      </c>
      <c r="AA1864" t="s">
        <v>9419</v>
      </c>
      <c r="AB1864" t="s">
        <v>1278</v>
      </c>
      <c r="AC1864" t="s">
        <v>9466</v>
      </c>
      <c r="AD1864" t="s">
        <v>2708</v>
      </c>
      <c r="AE1864">
        <v>1</v>
      </c>
      <c r="AO1864" t="s">
        <v>2388</v>
      </c>
      <c r="AP1864" t="s">
        <v>8931</v>
      </c>
    </row>
    <row r="1865" spans="1:42">
      <c r="A1865" t="s">
        <v>3756</v>
      </c>
      <c r="B1865" t="s">
        <v>2377</v>
      </c>
      <c r="C1865" t="s">
        <v>2378</v>
      </c>
      <c r="D1865" t="s">
        <v>2379</v>
      </c>
      <c r="E1865" t="s">
        <v>24</v>
      </c>
      <c r="F1865" t="s">
        <v>3747</v>
      </c>
      <c r="G1865" t="s">
        <v>24</v>
      </c>
      <c r="H1865" t="b">
        <v>1</v>
      </c>
      <c r="I1865" s="8">
        <v>45945.46634259259</v>
      </c>
      <c r="J1865" t="s">
        <v>2380</v>
      </c>
      <c r="L1865">
        <v>601299</v>
      </c>
      <c r="M1865" t="s">
        <v>2381</v>
      </c>
      <c r="P1865" t="s">
        <v>2427</v>
      </c>
      <c r="Q1865" t="s">
        <v>2383</v>
      </c>
      <c r="R1865">
        <v>1</v>
      </c>
      <c r="S1865" t="s">
        <v>2380</v>
      </c>
      <c r="T1865" t="s">
        <v>2383</v>
      </c>
      <c r="U1865" s="8">
        <v>45940.37232638889</v>
      </c>
      <c r="V1865" s="8">
        <v>45945.958333333336</v>
      </c>
      <c r="W1865">
        <v>1</v>
      </c>
      <c r="X1865">
        <v>3.0940162039999999</v>
      </c>
      <c r="Y1865" t="s">
        <v>3748</v>
      </c>
      <c r="Z1865" t="s">
        <v>3757</v>
      </c>
      <c r="AA1865" t="s">
        <v>3758</v>
      </c>
      <c r="AB1865" t="s">
        <v>1278</v>
      </c>
      <c r="AC1865" t="s">
        <v>3759</v>
      </c>
      <c r="AE1865">
        <v>1</v>
      </c>
      <c r="AO1865" t="s">
        <v>2712</v>
      </c>
      <c r="AP1865" t="s">
        <v>2401</v>
      </c>
    </row>
    <row r="1866" spans="1:42">
      <c r="A1866" t="s">
        <v>6059</v>
      </c>
      <c r="B1866" t="s">
        <v>2389</v>
      </c>
      <c r="C1866" t="s">
        <v>2378</v>
      </c>
      <c r="D1866" t="s">
        <v>2379</v>
      </c>
      <c r="E1866" t="s">
        <v>2452</v>
      </c>
      <c r="F1866" t="s">
        <v>2541</v>
      </c>
      <c r="G1866" t="s">
        <v>2452</v>
      </c>
      <c r="H1866" t="b">
        <v>1</v>
      </c>
      <c r="I1866" s="8">
        <v>45945.421435185184</v>
      </c>
      <c r="J1866" t="s">
        <v>2380</v>
      </c>
      <c r="K1866">
        <v>1202425</v>
      </c>
      <c r="L1866">
        <v>601441</v>
      </c>
      <c r="M1866" t="s">
        <v>2381</v>
      </c>
      <c r="P1866" t="s">
        <v>2548</v>
      </c>
      <c r="Q1866" t="s">
        <v>2383</v>
      </c>
      <c r="R1866">
        <v>1</v>
      </c>
      <c r="S1866" t="s">
        <v>2380</v>
      </c>
      <c r="T1866" t="s">
        <v>2383</v>
      </c>
      <c r="U1866" s="8">
        <v>45940.392650462964</v>
      </c>
      <c r="V1866" s="8">
        <v>45945.958333333336</v>
      </c>
      <c r="W1866">
        <v>1</v>
      </c>
      <c r="X1866">
        <v>3.0287847220000002</v>
      </c>
      <c r="Y1866" t="s">
        <v>2542</v>
      </c>
      <c r="Z1866" t="s">
        <v>6060</v>
      </c>
      <c r="AA1866" t="s">
        <v>2884</v>
      </c>
      <c r="AB1866" t="s">
        <v>1278</v>
      </c>
      <c r="AC1866" t="s">
        <v>6061</v>
      </c>
      <c r="AD1866" t="s">
        <v>2708</v>
      </c>
      <c r="AE1866">
        <v>1</v>
      </c>
      <c r="AO1866" t="s">
        <v>2547</v>
      </c>
      <c r="AP1866" t="s">
        <v>2401</v>
      </c>
    </row>
    <row r="1867" spans="1:42">
      <c r="A1867" t="s">
        <v>4035</v>
      </c>
      <c r="B1867" t="s">
        <v>2389</v>
      </c>
      <c r="C1867" t="s">
        <v>2438</v>
      </c>
      <c r="D1867" t="s">
        <v>2379</v>
      </c>
      <c r="E1867" t="s">
        <v>33</v>
      </c>
      <c r="F1867" t="s">
        <v>3747</v>
      </c>
      <c r="G1867" t="s">
        <v>33</v>
      </c>
      <c r="H1867" t="b">
        <v>1</v>
      </c>
      <c r="I1867" s="8">
        <v>45940.452164351853</v>
      </c>
      <c r="J1867" t="s">
        <v>2380</v>
      </c>
      <c r="K1867">
        <v>1201497</v>
      </c>
      <c r="L1867">
        <v>602272</v>
      </c>
      <c r="M1867" t="s">
        <v>2381</v>
      </c>
      <c r="P1867" t="s">
        <v>2394</v>
      </c>
      <c r="Q1867" t="s">
        <v>2383</v>
      </c>
      <c r="R1867">
        <v>1</v>
      </c>
      <c r="S1867" t="s">
        <v>2380</v>
      </c>
      <c r="T1867" t="s">
        <v>2383</v>
      </c>
      <c r="U1867" s="8">
        <v>45940.394317129627</v>
      </c>
      <c r="V1867" s="8">
        <v>45945.958333333336</v>
      </c>
      <c r="W1867">
        <v>1</v>
      </c>
      <c r="X1867">
        <v>5.7847221999999997E-2</v>
      </c>
      <c r="Y1867" t="s">
        <v>3748</v>
      </c>
      <c r="Z1867" t="s">
        <v>4036</v>
      </c>
      <c r="AA1867" t="s">
        <v>3824</v>
      </c>
      <c r="AB1867" t="s">
        <v>1278</v>
      </c>
      <c r="AC1867" t="s">
        <v>4037</v>
      </c>
      <c r="AD1867" t="s">
        <v>2708</v>
      </c>
      <c r="AE1867">
        <v>1</v>
      </c>
      <c r="AO1867" t="s">
        <v>2712</v>
      </c>
      <c r="AP1867" t="s">
        <v>2401</v>
      </c>
    </row>
    <row r="1868" spans="1:42">
      <c r="A1868" t="s">
        <v>3359</v>
      </c>
      <c r="B1868" t="s">
        <v>2389</v>
      </c>
      <c r="C1868" t="s">
        <v>2378</v>
      </c>
      <c r="D1868" t="s">
        <v>2379</v>
      </c>
      <c r="E1868" t="s">
        <v>2452</v>
      </c>
      <c r="F1868" t="s">
        <v>2578</v>
      </c>
      <c r="G1868" t="s">
        <v>2452</v>
      </c>
      <c r="H1868" t="b">
        <v>1</v>
      </c>
      <c r="I1868" s="8">
        <v>45945.426817129628</v>
      </c>
      <c r="J1868" t="s">
        <v>2380</v>
      </c>
      <c r="L1868">
        <v>603471</v>
      </c>
      <c r="M1868" t="s">
        <v>2381</v>
      </c>
      <c r="P1868" t="s">
        <v>2394</v>
      </c>
      <c r="Q1868" t="s">
        <v>2383</v>
      </c>
      <c r="R1868">
        <v>1</v>
      </c>
      <c r="S1868" t="s">
        <v>2380</v>
      </c>
      <c r="T1868" t="s">
        <v>2383</v>
      </c>
      <c r="U1868" s="8">
        <v>45940.40283564815</v>
      </c>
      <c r="V1868" s="8">
        <v>45945.958333333336</v>
      </c>
      <c r="W1868">
        <v>1</v>
      </c>
      <c r="X1868">
        <v>3.0239814809999999</v>
      </c>
      <c r="Y1868" t="s">
        <v>2579</v>
      </c>
      <c r="Z1868" t="s">
        <v>3360</v>
      </c>
      <c r="AA1868" t="s">
        <v>1527</v>
      </c>
      <c r="AB1868" t="s">
        <v>1278</v>
      </c>
      <c r="AC1868" t="s">
        <v>3361</v>
      </c>
      <c r="AE1868">
        <v>1</v>
      </c>
      <c r="AO1868" t="s">
        <v>2388</v>
      </c>
      <c r="AP1868" t="s">
        <v>2401</v>
      </c>
    </row>
    <row r="1869" spans="1:42">
      <c r="A1869" t="s">
        <v>9179</v>
      </c>
      <c r="B1869" t="s">
        <v>2389</v>
      </c>
      <c r="C1869" t="s">
        <v>2378</v>
      </c>
      <c r="D1869" t="s">
        <v>2379</v>
      </c>
      <c r="E1869" t="s">
        <v>25</v>
      </c>
      <c r="F1869">
        <v>6361</v>
      </c>
      <c r="G1869" t="s">
        <v>25</v>
      </c>
      <c r="H1869" t="b">
        <v>1</v>
      </c>
      <c r="I1869" s="8">
        <v>45945.421053240738</v>
      </c>
      <c r="J1869" t="s">
        <v>2380</v>
      </c>
      <c r="K1869">
        <v>1202309</v>
      </c>
      <c r="L1869">
        <v>604450</v>
      </c>
      <c r="M1869" t="s">
        <v>2381</v>
      </c>
      <c r="N1869">
        <v>5</v>
      </c>
      <c r="P1869" t="s">
        <v>6706</v>
      </c>
      <c r="Q1869" t="s">
        <v>2395</v>
      </c>
      <c r="R1869">
        <v>1</v>
      </c>
      <c r="S1869" t="s">
        <v>2380</v>
      </c>
      <c r="T1869" t="s">
        <v>2383</v>
      </c>
      <c r="U1869" s="8">
        <v>45940.406782407408</v>
      </c>
      <c r="V1869" s="8">
        <v>45945.958333333336</v>
      </c>
      <c r="W1869">
        <v>1</v>
      </c>
      <c r="X1869">
        <v>3.0142708329999999</v>
      </c>
      <c r="Y1869" t="s">
        <v>8225</v>
      </c>
      <c r="Z1869" t="s">
        <v>9180</v>
      </c>
      <c r="AA1869" t="s">
        <v>8228</v>
      </c>
      <c r="AB1869" t="s">
        <v>1278</v>
      </c>
      <c r="AC1869" t="s">
        <v>9181</v>
      </c>
      <c r="AD1869" t="s">
        <v>2708</v>
      </c>
      <c r="AE1869">
        <v>1</v>
      </c>
      <c r="AH1869" t="s">
        <v>33</v>
      </c>
      <c r="AI1869" s="8">
        <v>45945.41196759259</v>
      </c>
      <c r="AK1869" t="s">
        <v>2719</v>
      </c>
      <c r="AL1869" t="s">
        <v>2719</v>
      </c>
      <c r="AO1869" t="s">
        <v>4137</v>
      </c>
      <c r="AP1869" t="s">
        <v>2401</v>
      </c>
    </row>
    <row r="1870" spans="1:42">
      <c r="A1870" t="s">
        <v>8226</v>
      </c>
      <c r="B1870" t="s">
        <v>2389</v>
      </c>
      <c r="C1870" t="s">
        <v>2378</v>
      </c>
      <c r="D1870" t="s">
        <v>2379</v>
      </c>
      <c r="E1870" t="s">
        <v>25</v>
      </c>
      <c r="F1870">
        <v>6361</v>
      </c>
      <c r="G1870" t="s">
        <v>25</v>
      </c>
      <c r="H1870" t="b">
        <v>1</v>
      </c>
      <c r="I1870" s="8">
        <v>45945.472395833334</v>
      </c>
      <c r="J1870" t="s">
        <v>2380</v>
      </c>
      <c r="K1870">
        <v>1202447</v>
      </c>
      <c r="L1870">
        <v>604450</v>
      </c>
      <c r="M1870" t="s">
        <v>2381</v>
      </c>
      <c r="N1870">
        <v>5</v>
      </c>
      <c r="P1870" t="s">
        <v>6706</v>
      </c>
      <c r="Q1870" t="s">
        <v>2395</v>
      </c>
      <c r="R1870">
        <v>1</v>
      </c>
      <c r="S1870" t="s">
        <v>2380</v>
      </c>
      <c r="T1870" t="s">
        <v>2383</v>
      </c>
      <c r="U1870" s="8">
        <v>45940.406782407408</v>
      </c>
      <c r="V1870" s="8">
        <v>45945.958333333336</v>
      </c>
      <c r="W1870">
        <v>1</v>
      </c>
      <c r="X1870">
        <v>3.0656134260000001</v>
      </c>
      <c r="Y1870" t="s">
        <v>8225</v>
      </c>
      <c r="Z1870" t="s">
        <v>8227</v>
      </c>
      <c r="AA1870" t="s">
        <v>8228</v>
      </c>
      <c r="AB1870" t="s">
        <v>1278</v>
      </c>
      <c r="AC1870" t="s">
        <v>8229</v>
      </c>
      <c r="AD1870" t="s">
        <v>2708</v>
      </c>
      <c r="AE1870">
        <v>1</v>
      </c>
      <c r="AO1870" t="s">
        <v>4137</v>
      </c>
      <c r="AP1870" t="s">
        <v>2401</v>
      </c>
    </row>
    <row r="1871" spans="1:42">
      <c r="A1871" t="s">
        <v>10050</v>
      </c>
      <c r="B1871" t="s">
        <v>2389</v>
      </c>
      <c r="C1871" t="s">
        <v>2378</v>
      </c>
      <c r="D1871" t="s">
        <v>2379</v>
      </c>
      <c r="E1871" t="s">
        <v>2452</v>
      </c>
      <c r="F1871" t="s">
        <v>7743</v>
      </c>
      <c r="G1871" t="s">
        <v>2452</v>
      </c>
      <c r="H1871" t="b">
        <v>1</v>
      </c>
      <c r="I1871" s="8">
        <v>45945.430752314816</v>
      </c>
      <c r="J1871" t="s">
        <v>2380</v>
      </c>
      <c r="L1871">
        <v>602352</v>
      </c>
      <c r="M1871" t="s">
        <v>2381</v>
      </c>
      <c r="P1871" t="s">
        <v>6706</v>
      </c>
      <c r="Q1871" t="s">
        <v>2383</v>
      </c>
      <c r="R1871">
        <v>1</v>
      </c>
      <c r="S1871" t="s">
        <v>2380</v>
      </c>
      <c r="T1871" t="s">
        <v>2383</v>
      </c>
      <c r="U1871" s="8">
        <v>45940.406782407408</v>
      </c>
      <c r="V1871" s="8">
        <v>45945.958333333336</v>
      </c>
      <c r="W1871">
        <v>1</v>
      </c>
      <c r="X1871">
        <v>3.0239699070000001</v>
      </c>
      <c r="Y1871" t="s">
        <v>7744</v>
      </c>
      <c r="Z1871" t="s">
        <v>10051</v>
      </c>
      <c r="AA1871" t="s">
        <v>7747</v>
      </c>
      <c r="AB1871" t="s">
        <v>1278</v>
      </c>
      <c r="AC1871" t="s">
        <v>10052</v>
      </c>
      <c r="AE1871">
        <v>1</v>
      </c>
      <c r="AO1871" t="s">
        <v>2957</v>
      </c>
      <c r="AP1871" t="s">
        <v>2401</v>
      </c>
    </row>
    <row r="1872" spans="1:42">
      <c r="A1872" t="s">
        <v>9026</v>
      </c>
      <c r="B1872" t="s">
        <v>2389</v>
      </c>
      <c r="C1872" t="s">
        <v>2378</v>
      </c>
      <c r="D1872" t="s">
        <v>2379</v>
      </c>
      <c r="E1872" t="s">
        <v>2452</v>
      </c>
      <c r="F1872" t="s">
        <v>2541</v>
      </c>
      <c r="G1872" t="s">
        <v>2452</v>
      </c>
      <c r="H1872" t="b">
        <v>1</v>
      </c>
      <c r="I1872" s="8">
        <v>45945.661261574074</v>
      </c>
      <c r="J1872" t="s">
        <v>2380</v>
      </c>
      <c r="K1872">
        <v>1202444</v>
      </c>
      <c r="L1872">
        <v>608626</v>
      </c>
      <c r="M1872" t="s">
        <v>2381</v>
      </c>
      <c r="P1872" t="s">
        <v>2548</v>
      </c>
      <c r="Q1872" t="s">
        <v>2383</v>
      </c>
      <c r="R1872">
        <v>1</v>
      </c>
      <c r="S1872" t="s">
        <v>2380</v>
      </c>
      <c r="T1872" t="s">
        <v>2383</v>
      </c>
      <c r="U1872" s="8">
        <v>45940.413634259261</v>
      </c>
      <c r="V1872" s="8">
        <v>45945.958333333336</v>
      </c>
      <c r="W1872">
        <v>1</v>
      </c>
      <c r="X1872">
        <v>3.2476273149999999</v>
      </c>
      <c r="Y1872" t="s">
        <v>2542</v>
      </c>
      <c r="Z1872" t="s">
        <v>9027</v>
      </c>
      <c r="AA1872" t="s">
        <v>2551</v>
      </c>
      <c r="AB1872" t="s">
        <v>1278</v>
      </c>
      <c r="AC1872" t="s">
        <v>9028</v>
      </c>
      <c r="AD1872" t="s">
        <v>2708</v>
      </c>
      <c r="AE1872">
        <v>1</v>
      </c>
      <c r="AH1872" t="s">
        <v>12</v>
      </c>
      <c r="AI1872" s="8">
        <v>45945.658807870372</v>
      </c>
      <c r="AK1872" t="s">
        <v>2719</v>
      </c>
      <c r="AL1872" t="s">
        <v>2719</v>
      </c>
      <c r="AO1872" t="s">
        <v>2547</v>
      </c>
      <c r="AP1872" t="s">
        <v>2401</v>
      </c>
    </row>
    <row r="1873" spans="1:42">
      <c r="A1873" t="s">
        <v>5123</v>
      </c>
      <c r="B1873" t="s">
        <v>2389</v>
      </c>
      <c r="C1873" t="s">
        <v>2378</v>
      </c>
      <c r="D1873" t="s">
        <v>2379</v>
      </c>
      <c r="E1873" t="s">
        <v>12</v>
      </c>
      <c r="F1873" t="s">
        <v>5085</v>
      </c>
      <c r="G1873" t="s">
        <v>12</v>
      </c>
      <c r="H1873" t="b">
        <v>1</v>
      </c>
      <c r="I1873" s="8">
        <v>45945.594340277778</v>
      </c>
      <c r="J1873" t="s">
        <v>2380</v>
      </c>
      <c r="K1873">
        <v>1202543</v>
      </c>
      <c r="L1873">
        <v>602945</v>
      </c>
      <c r="M1873" t="s">
        <v>2381</v>
      </c>
      <c r="Q1873" t="s">
        <v>2383</v>
      </c>
      <c r="R1873">
        <v>1</v>
      </c>
      <c r="S1873" t="s">
        <v>2380</v>
      </c>
      <c r="T1873" t="s">
        <v>5117</v>
      </c>
      <c r="U1873" s="8">
        <v>45940.423229166663</v>
      </c>
      <c r="V1873" s="8">
        <v>45945.958333333336</v>
      </c>
      <c r="W1873">
        <v>1</v>
      </c>
      <c r="X1873">
        <v>3.1711111110000001</v>
      </c>
      <c r="Y1873" t="s">
        <v>5087</v>
      </c>
      <c r="Z1873" t="s">
        <v>5124</v>
      </c>
      <c r="AA1873" t="s">
        <v>5090</v>
      </c>
      <c r="AB1873" t="s">
        <v>1278</v>
      </c>
      <c r="AC1873" t="s">
        <v>5125</v>
      </c>
      <c r="AD1873" t="s">
        <v>2708</v>
      </c>
      <c r="AE1873">
        <v>1</v>
      </c>
      <c r="AO1873" t="s">
        <v>2720</v>
      </c>
      <c r="AP1873" t="s">
        <v>2401</v>
      </c>
    </row>
    <row r="1874" spans="1:42">
      <c r="A1874" t="s">
        <v>5369</v>
      </c>
      <c r="B1874" t="s">
        <v>2389</v>
      </c>
      <c r="C1874" t="s">
        <v>2378</v>
      </c>
      <c r="D1874" t="s">
        <v>2379</v>
      </c>
      <c r="E1874" t="s">
        <v>2452</v>
      </c>
      <c r="F1874" t="s">
        <v>2431</v>
      </c>
      <c r="G1874" t="s">
        <v>2452</v>
      </c>
      <c r="H1874" t="b">
        <v>1</v>
      </c>
      <c r="I1874" s="8">
        <v>45945.453379629631</v>
      </c>
      <c r="J1874" t="s">
        <v>2380</v>
      </c>
      <c r="K1874">
        <v>1202445</v>
      </c>
      <c r="L1874">
        <v>602925</v>
      </c>
      <c r="M1874" t="s">
        <v>2381</v>
      </c>
      <c r="P1874" t="s">
        <v>2394</v>
      </c>
      <c r="Q1874" t="s">
        <v>2383</v>
      </c>
      <c r="R1874">
        <v>1</v>
      </c>
      <c r="S1874" t="s">
        <v>2380</v>
      </c>
      <c r="T1874" t="s">
        <v>2383</v>
      </c>
      <c r="U1874" s="8">
        <v>45940.43240740741</v>
      </c>
      <c r="V1874" s="8">
        <v>45945.958333333336</v>
      </c>
      <c r="W1874">
        <v>1</v>
      </c>
      <c r="X1874">
        <v>3.0209722220000002</v>
      </c>
      <c r="Y1874" t="s">
        <v>2433</v>
      </c>
      <c r="Z1874" t="s">
        <v>5370</v>
      </c>
      <c r="AA1874" t="s">
        <v>5367</v>
      </c>
      <c r="AB1874" t="s">
        <v>1278</v>
      </c>
      <c r="AC1874" t="s">
        <v>5371</v>
      </c>
      <c r="AD1874" t="s">
        <v>2708</v>
      </c>
      <c r="AE1874">
        <v>1</v>
      </c>
      <c r="AO1874" t="s">
        <v>2408</v>
      </c>
      <c r="AP1874" t="s">
        <v>2401</v>
      </c>
    </row>
    <row r="1875" spans="1:42">
      <c r="A1875" t="s">
        <v>5641</v>
      </c>
      <c r="B1875" t="s">
        <v>2389</v>
      </c>
      <c r="C1875" t="s">
        <v>2415</v>
      </c>
      <c r="D1875" t="s">
        <v>2379</v>
      </c>
      <c r="E1875" t="s">
        <v>33</v>
      </c>
      <c r="F1875" t="s">
        <v>2541</v>
      </c>
      <c r="G1875" t="s">
        <v>33</v>
      </c>
      <c r="H1875" t="b">
        <v>1</v>
      </c>
      <c r="I1875" s="8">
        <v>45941.507951388892</v>
      </c>
      <c r="J1875" t="s">
        <v>2380</v>
      </c>
      <c r="K1875">
        <v>1201709</v>
      </c>
      <c r="L1875">
        <v>608161</v>
      </c>
      <c r="M1875" t="s">
        <v>2381</v>
      </c>
      <c r="Q1875" t="s">
        <v>2383</v>
      </c>
      <c r="R1875">
        <v>1</v>
      </c>
      <c r="S1875" t="s">
        <v>2380</v>
      </c>
      <c r="T1875" t="s">
        <v>2383</v>
      </c>
      <c r="U1875" s="8">
        <v>45940.434548611112</v>
      </c>
      <c r="V1875" s="8">
        <v>45945.958333333336</v>
      </c>
      <c r="W1875">
        <v>1</v>
      </c>
      <c r="X1875">
        <v>1.0734027779999999</v>
      </c>
      <c r="Y1875" t="s">
        <v>2542</v>
      </c>
      <c r="Z1875" t="s">
        <v>5642</v>
      </c>
      <c r="AA1875" t="s">
        <v>5643</v>
      </c>
      <c r="AB1875" t="s">
        <v>1278</v>
      </c>
      <c r="AC1875" t="s">
        <v>5644</v>
      </c>
      <c r="AD1875" t="s">
        <v>2708</v>
      </c>
      <c r="AE1875">
        <v>1</v>
      </c>
      <c r="AO1875" t="s">
        <v>2547</v>
      </c>
      <c r="AP1875" t="s">
        <v>2401</v>
      </c>
    </row>
    <row r="1876" spans="1:42">
      <c r="A1876" t="s">
        <v>3442</v>
      </c>
      <c r="B1876" t="s">
        <v>2377</v>
      </c>
      <c r="C1876" t="s">
        <v>2378</v>
      </c>
      <c r="D1876" t="s">
        <v>2379</v>
      </c>
      <c r="E1876" t="s">
        <v>24</v>
      </c>
      <c r="F1876" t="s">
        <v>3440</v>
      </c>
      <c r="G1876" t="s">
        <v>24</v>
      </c>
      <c r="H1876" t="b">
        <v>1</v>
      </c>
      <c r="I1876" s="8">
        <v>45945.470810185187</v>
      </c>
      <c r="J1876" t="s">
        <v>2380</v>
      </c>
      <c r="L1876">
        <v>609848</v>
      </c>
      <c r="M1876" t="s">
        <v>2381</v>
      </c>
      <c r="Q1876" t="s">
        <v>2383</v>
      </c>
      <c r="R1876">
        <v>1</v>
      </c>
      <c r="S1876" t="s">
        <v>2380</v>
      </c>
      <c r="T1876" t="s">
        <v>2383</v>
      </c>
      <c r="U1876" s="8">
        <v>45940.446770833332</v>
      </c>
      <c r="V1876" s="8">
        <v>45945.958333333336</v>
      </c>
      <c r="W1876">
        <v>1</v>
      </c>
      <c r="X1876">
        <v>3.024039352</v>
      </c>
      <c r="Y1876" t="s">
        <v>3441</v>
      </c>
      <c r="Z1876" t="s">
        <v>3443</v>
      </c>
      <c r="AA1876" t="s">
        <v>3444</v>
      </c>
      <c r="AB1876" t="s">
        <v>1278</v>
      </c>
      <c r="AC1876" t="s">
        <v>3187</v>
      </c>
      <c r="AE1876">
        <v>1</v>
      </c>
      <c r="AO1876" t="s">
        <v>2957</v>
      </c>
      <c r="AP1876" t="s">
        <v>2401</v>
      </c>
    </row>
    <row r="1877" spans="1:42">
      <c r="A1877" t="s">
        <v>6680</v>
      </c>
      <c r="B1877" t="s">
        <v>2389</v>
      </c>
      <c r="C1877" t="s">
        <v>2438</v>
      </c>
      <c r="D1877" t="s">
        <v>2379</v>
      </c>
      <c r="E1877" t="s">
        <v>33</v>
      </c>
      <c r="F1877">
        <v>4056</v>
      </c>
      <c r="G1877" t="s">
        <v>33</v>
      </c>
      <c r="H1877" t="b">
        <v>1</v>
      </c>
      <c r="I1877" s="8">
        <v>45943.427071759259</v>
      </c>
      <c r="J1877" t="s">
        <v>2380</v>
      </c>
      <c r="K1877">
        <v>1201750</v>
      </c>
      <c r="L1877">
        <v>603296</v>
      </c>
      <c r="M1877" t="s">
        <v>2381</v>
      </c>
      <c r="P1877" t="s">
        <v>2394</v>
      </c>
      <c r="Q1877" t="s">
        <v>2383</v>
      </c>
      <c r="R1877">
        <v>1</v>
      </c>
      <c r="S1877" t="s">
        <v>2380</v>
      </c>
      <c r="T1877" t="s">
        <v>2383</v>
      </c>
      <c r="U1877" s="8">
        <v>45940.456307870372</v>
      </c>
      <c r="V1877" s="8">
        <v>45945.958333333336</v>
      </c>
      <c r="W1877">
        <v>1</v>
      </c>
      <c r="X1877">
        <v>0.97076388899999999</v>
      </c>
      <c r="Y1877" t="s">
        <v>3379</v>
      </c>
      <c r="Z1877" t="s">
        <v>6681</v>
      </c>
      <c r="AA1877" t="s">
        <v>6568</v>
      </c>
      <c r="AB1877" t="s">
        <v>1278</v>
      </c>
      <c r="AC1877" t="s">
        <v>6682</v>
      </c>
      <c r="AD1877" t="s">
        <v>2708</v>
      </c>
      <c r="AE1877">
        <v>1</v>
      </c>
      <c r="AO1877" t="s">
        <v>2388</v>
      </c>
      <c r="AP1877" t="s">
        <v>2401</v>
      </c>
    </row>
    <row r="1878" spans="1:42">
      <c r="A1878" t="s">
        <v>6683</v>
      </c>
      <c r="B1878" t="s">
        <v>2389</v>
      </c>
      <c r="C1878" t="s">
        <v>2438</v>
      </c>
      <c r="D1878" t="s">
        <v>2379</v>
      </c>
      <c r="E1878" t="s">
        <v>33</v>
      </c>
      <c r="F1878">
        <v>4056</v>
      </c>
      <c r="G1878" t="s">
        <v>33</v>
      </c>
      <c r="H1878" t="b">
        <v>1</v>
      </c>
      <c r="I1878" s="8">
        <v>45943.430335648147</v>
      </c>
      <c r="J1878" t="s">
        <v>2380</v>
      </c>
      <c r="K1878">
        <v>1201761</v>
      </c>
      <c r="L1878">
        <v>603296</v>
      </c>
      <c r="M1878" t="s">
        <v>2381</v>
      </c>
      <c r="P1878" t="s">
        <v>2394</v>
      </c>
      <c r="Q1878" t="s">
        <v>2383</v>
      </c>
      <c r="R1878">
        <v>1</v>
      </c>
      <c r="S1878" t="s">
        <v>2380</v>
      </c>
      <c r="T1878" t="s">
        <v>2383</v>
      </c>
      <c r="U1878" s="8">
        <v>45940.459826388891</v>
      </c>
      <c r="V1878" s="8">
        <v>45945.958333333336</v>
      </c>
      <c r="W1878">
        <v>1</v>
      </c>
      <c r="X1878">
        <v>0.97050925899999996</v>
      </c>
      <c r="Y1878" t="s">
        <v>3379</v>
      </c>
      <c r="Z1878" t="s">
        <v>6684</v>
      </c>
      <c r="AA1878" t="s">
        <v>6568</v>
      </c>
      <c r="AB1878" t="s">
        <v>1278</v>
      </c>
      <c r="AC1878" t="s">
        <v>6685</v>
      </c>
      <c r="AD1878" t="s">
        <v>2708</v>
      </c>
      <c r="AE1878">
        <v>1</v>
      </c>
      <c r="AO1878" t="s">
        <v>2388</v>
      </c>
      <c r="AP1878" t="s">
        <v>2401</v>
      </c>
    </row>
    <row r="1879" spans="1:42">
      <c r="A1879" t="s">
        <v>2806</v>
      </c>
      <c r="B1879" t="s">
        <v>2389</v>
      </c>
      <c r="C1879" t="s">
        <v>2378</v>
      </c>
      <c r="D1879" t="s">
        <v>2379</v>
      </c>
      <c r="E1879" t="s">
        <v>2452</v>
      </c>
      <c r="F1879" t="s">
        <v>2417</v>
      </c>
      <c r="G1879" t="s">
        <v>2452</v>
      </c>
      <c r="H1879" t="b">
        <v>1</v>
      </c>
      <c r="I1879" s="8">
        <v>45945.467164351852</v>
      </c>
      <c r="J1879" t="s">
        <v>2380</v>
      </c>
      <c r="L1879">
        <v>602067</v>
      </c>
      <c r="M1879" t="s">
        <v>2381</v>
      </c>
      <c r="Q1879" t="s">
        <v>2383</v>
      </c>
      <c r="R1879">
        <v>1</v>
      </c>
      <c r="S1879" t="s">
        <v>2380</v>
      </c>
      <c r="T1879" t="s">
        <v>2383</v>
      </c>
      <c r="U1879" s="8">
        <v>45940.462743055556</v>
      </c>
      <c r="V1879" s="8">
        <v>45945.958333333336</v>
      </c>
      <c r="W1879">
        <v>1</v>
      </c>
      <c r="X1879">
        <v>3.0044212959999999</v>
      </c>
      <c r="Y1879" t="s">
        <v>2418</v>
      </c>
      <c r="Z1879" t="s">
        <v>2807</v>
      </c>
      <c r="AA1879" t="s">
        <v>2808</v>
      </c>
      <c r="AB1879" t="s">
        <v>1278</v>
      </c>
      <c r="AC1879" t="s">
        <v>2809</v>
      </c>
      <c r="AE1879">
        <v>1</v>
      </c>
      <c r="AO1879" t="s">
        <v>2408</v>
      </c>
      <c r="AP1879" t="s">
        <v>2401</v>
      </c>
    </row>
    <row r="1880" spans="1:42">
      <c r="A1880" t="s">
        <v>6686</v>
      </c>
      <c r="B1880" t="s">
        <v>2389</v>
      </c>
      <c r="C1880" t="s">
        <v>2438</v>
      </c>
      <c r="D1880" t="s">
        <v>2379</v>
      </c>
      <c r="E1880" t="s">
        <v>33</v>
      </c>
      <c r="F1880">
        <v>4056</v>
      </c>
      <c r="G1880" t="s">
        <v>33</v>
      </c>
      <c r="H1880" t="b">
        <v>1</v>
      </c>
      <c r="I1880" s="8">
        <v>45943.428252314814</v>
      </c>
      <c r="J1880" t="s">
        <v>2380</v>
      </c>
      <c r="K1880">
        <v>1201751</v>
      </c>
      <c r="L1880">
        <v>603296</v>
      </c>
      <c r="M1880" t="s">
        <v>2381</v>
      </c>
      <c r="P1880" t="s">
        <v>2394</v>
      </c>
      <c r="Q1880" t="s">
        <v>2383</v>
      </c>
      <c r="R1880">
        <v>1</v>
      </c>
      <c r="S1880" t="s">
        <v>2380</v>
      </c>
      <c r="T1880" t="s">
        <v>2383</v>
      </c>
      <c r="U1880" s="8">
        <v>45940.466134259259</v>
      </c>
      <c r="V1880" s="8">
        <v>45945.958333333336</v>
      </c>
      <c r="W1880">
        <v>1</v>
      </c>
      <c r="X1880">
        <v>0.962118056</v>
      </c>
      <c r="Y1880" t="s">
        <v>3379</v>
      </c>
      <c r="Z1880" t="s">
        <v>6687</v>
      </c>
      <c r="AA1880" t="s">
        <v>6568</v>
      </c>
      <c r="AB1880" t="s">
        <v>1278</v>
      </c>
      <c r="AC1880" t="s">
        <v>6688</v>
      </c>
      <c r="AD1880" t="s">
        <v>2708</v>
      </c>
      <c r="AE1880">
        <v>1</v>
      </c>
      <c r="AO1880" t="s">
        <v>2388</v>
      </c>
      <c r="AP1880" t="s">
        <v>2401</v>
      </c>
    </row>
    <row r="1881" spans="1:42">
      <c r="A1881" t="s">
        <v>3836</v>
      </c>
      <c r="B1881" t="s">
        <v>2389</v>
      </c>
      <c r="C1881" t="s">
        <v>2438</v>
      </c>
      <c r="D1881" t="s">
        <v>2379</v>
      </c>
      <c r="E1881" t="s">
        <v>25</v>
      </c>
      <c r="F1881" t="s">
        <v>3747</v>
      </c>
      <c r="G1881" t="s">
        <v>25</v>
      </c>
      <c r="H1881" t="b">
        <v>1</v>
      </c>
      <c r="I1881" s="8">
        <v>45943.476099537038</v>
      </c>
      <c r="J1881" t="s">
        <v>2380</v>
      </c>
      <c r="L1881">
        <v>601299</v>
      </c>
      <c r="M1881" t="s">
        <v>2381</v>
      </c>
      <c r="P1881" t="s">
        <v>2394</v>
      </c>
      <c r="Q1881" t="s">
        <v>2383</v>
      </c>
      <c r="R1881">
        <v>1</v>
      </c>
      <c r="S1881" t="s">
        <v>2380</v>
      </c>
      <c r="T1881" t="s">
        <v>2383</v>
      </c>
      <c r="U1881" s="8">
        <v>45940.476759259262</v>
      </c>
      <c r="V1881" s="8">
        <v>45945.958333333336</v>
      </c>
      <c r="W1881">
        <v>1</v>
      </c>
      <c r="X1881">
        <v>0.99934027800000003</v>
      </c>
      <c r="Y1881" t="s">
        <v>3748</v>
      </c>
      <c r="Z1881" t="s">
        <v>3837</v>
      </c>
      <c r="AA1881" t="s">
        <v>3758</v>
      </c>
      <c r="AB1881" t="s">
        <v>1278</v>
      </c>
      <c r="AC1881" t="s">
        <v>3838</v>
      </c>
      <c r="AE1881">
        <v>1</v>
      </c>
      <c r="AO1881" t="s">
        <v>2712</v>
      </c>
      <c r="AP1881" t="s">
        <v>2401</v>
      </c>
    </row>
    <row r="1882" spans="1:42">
      <c r="A1882" t="s">
        <v>7773</v>
      </c>
      <c r="B1882" t="s">
        <v>2389</v>
      </c>
      <c r="C1882" t="s">
        <v>2378</v>
      </c>
      <c r="D1882" t="s">
        <v>2379</v>
      </c>
      <c r="E1882" t="s">
        <v>2452</v>
      </c>
      <c r="F1882" t="s">
        <v>7765</v>
      </c>
      <c r="G1882" t="s">
        <v>2452</v>
      </c>
      <c r="H1882" t="b">
        <v>1</v>
      </c>
      <c r="I1882" s="8">
        <v>45945.563969907409</v>
      </c>
      <c r="J1882" t="s">
        <v>2380</v>
      </c>
      <c r="K1882">
        <v>1202537</v>
      </c>
      <c r="L1882">
        <v>609772</v>
      </c>
      <c r="M1882" t="s">
        <v>2381</v>
      </c>
      <c r="P1882" t="s">
        <v>2394</v>
      </c>
      <c r="Q1882" t="s">
        <v>2383</v>
      </c>
      <c r="R1882">
        <v>1</v>
      </c>
      <c r="S1882" t="s">
        <v>2380</v>
      </c>
      <c r="T1882" t="s">
        <v>2383</v>
      </c>
      <c r="U1882" s="8">
        <v>45940.48878472222</v>
      </c>
      <c r="V1882" s="8">
        <v>45950.958333333336</v>
      </c>
      <c r="W1882">
        <v>1</v>
      </c>
      <c r="X1882">
        <v>3.075185185</v>
      </c>
      <c r="Y1882" t="s">
        <v>3521</v>
      </c>
      <c r="Z1882" t="s">
        <v>7774</v>
      </c>
      <c r="AA1882" t="s">
        <v>7768</v>
      </c>
      <c r="AB1882" t="s">
        <v>1278</v>
      </c>
      <c r="AC1882" t="s">
        <v>7775</v>
      </c>
      <c r="AD1882" t="s">
        <v>2708</v>
      </c>
      <c r="AE1882">
        <v>1</v>
      </c>
      <c r="AO1882" t="s">
        <v>2957</v>
      </c>
      <c r="AP1882" t="s">
        <v>2401</v>
      </c>
    </row>
    <row r="1883" spans="1:42">
      <c r="A1883" t="s">
        <v>6740</v>
      </c>
      <c r="B1883" t="s">
        <v>2389</v>
      </c>
      <c r="C1883" t="s">
        <v>2415</v>
      </c>
      <c r="D1883" t="s">
        <v>2379</v>
      </c>
      <c r="E1883" t="s">
        <v>307</v>
      </c>
      <c r="F1883" t="s">
        <v>6738</v>
      </c>
      <c r="G1883" t="s">
        <v>307</v>
      </c>
      <c r="H1883" t="b">
        <v>1</v>
      </c>
      <c r="I1883" s="8">
        <v>45943.569861111115</v>
      </c>
      <c r="J1883" t="s">
        <v>2380</v>
      </c>
      <c r="K1883">
        <v>1201936</v>
      </c>
      <c r="L1883">
        <v>603989</v>
      </c>
      <c r="M1883" t="s">
        <v>2381</v>
      </c>
      <c r="P1883" t="s">
        <v>2394</v>
      </c>
      <c r="Q1883" t="s">
        <v>2383</v>
      </c>
      <c r="R1883">
        <v>1</v>
      </c>
      <c r="S1883" t="s">
        <v>2380</v>
      </c>
      <c r="T1883" t="s">
        <v>2383</v>
      </c>
      <c r="U1883" s="8">
        <v>45940.501550925925</v>
      </c>
      <c r="V1883" s="8">
        <v>45945.958333333336</v>
      </c>
      <c r="W1883">
        <v>1</v>
      </c>
      <c r="X1883">
        <v>1.0683101850000001</v>
      </c>
      <c r="Y1883" t="s">
        <v>6739</v>
      </c>
      <c r="Z1883" t="s">
        <v>6741</v>
      </c>
      <c r="AA1883" t="s">
        <v>6742</v>
      </c>
      <c r="AB1883" t="s">
        <v>1278</v>
      </c>
      <c r="AD1883" t="s">
        <v>2708</v>
      </c>
      <c r="AE1883">
        <v>1</v>
      </c>
      <c r="AO1883" t="s">
        <v>2388</v>
      </c>
      <c r="AP1883" t="s">
        <v>2401</v>
      </c>
    </row>
    <row r="1884" spans="1:42">
      <c r="A1884" t="s">
        <v>9312</v>
      </c>
      <c r="B1884" t="s">
        <v>2389</v>
      </c>
      <c r="C1884" t="s">
        <v>2443</v>
      </c>
      <c r="D1884" t="s">
        <v>2443</v>
      </c>
      <c r="E1884" t="s">
        <v>2452</v>
      </c>
      <c r="F1884" t="s">
        <v>2541</v>
      </c>
      <c r="G1884" t="s">
        <v>2452</v>
      </c>
      <c r="H1884" t="b">
        <v>1</v>
      </c>
      <c r="I1884" s="8">
        <v>45946.608344907407</v>
      </c>
      <c r="J1884" t="s">
        <v>2380</v>
      </c>
      <c r="K1884">
        <v>1202484</v>
      </c>
      <c r="L1884">
        <v>601441</v>
      </c>
      <c r="M1884" t="s">
        <v>2381</v>
      </c>
      <c r="P1884" t="s">
        <v>2548</v>
      </c>
      <c r="Q1884" t="s">
        <v>2383</v>
      </c>
      <c r="R1884">
        <v>1</v>
      </c>
      <c r="S1884" t="s">
        <v>2380</v>
      </c>
      <c r="T1884" t="s">
        <v>2383</v>
      </c>
      <c r="U1884" s="8">
        <v>45940.507916666669</v>
      </c>
      <c r="V1884" s="8">
        <v>45945.958333333336</v>
      </c>
      <c r="W1884">
        <v>1</v>
      </c>
      <c r="X1884">
        <v>4.1004282410000004</v>
      </c>
      <c r="Y1884" t="s">
        <v>2542</v>
      </c>
      <c r="Z1884" t="s">
        <v>9313</v>
      </c>
      <c r="AA1884" t="s">
        <v>2884</v>
      </c>
      <c r="AB1884" t="s">
        <v>1278</v>
      </c>
      <c r="AC1884" t="s">
        <v>9314</v>
      </c>
      <c r="AD1884" t="s">
        <v>2708</v>
      </c>
      <c r="AE1884">
        <v>1</v>
      </c>
      <c r="AF1884">
        <v>2</v>
      </c>
      <c r="AH1884" t="s">
        <v>2723</v>
      </c>
      <c r="AI1884" s="8">
        <v>45946.604571759257</v>
      </c>
      <c r="AK1884" t="s">
        <v>2719</v>
      </c>
      <c r="AL1884" t="s">
        <v>2724</v>
      </c>
      <c r="AO1884" t="s">
        <v>2547</v>
      </c>
      <c r="AP1884" t="s">
        <v>2401</v>
      </c>
    </row>
    <row r="1885" spans="1:42">
      <c r="A1885" t="s">
        <v>10310</v>
      </c>
      <c r="B1885" t="s">
        <v>2377</v>
      </c>
      <c r="C1885" t="s">
        <v>2415</v>
      </c>
      <c r="D1885" t="s">
        <v>2379</v>
      </c>
      <c r="E1885" t="s">
        <v>307</v>
      </c>
      <c r="F1885" t="s">
        <v>3891</v>
      </c>
      <c r="G1885" t="s">
        <v>307</v>
      </c>
      <c r="H1885" t="b">
        <v>1</v>
      </c>
      <c r="I1885" s="8">
        <v>45943.62060185185</v>
      </c>
      <c r="J1885" t="s">
        <v>2380</v>
      </c>
      <c r="L1885">
        <v>606950</v>
      </c>
      <c r="M1885" t="s">
        <v>2381</v>
      </c>
      <c r="P1885" t="s">
        <v>2394</v>
      </c>
      <c r="Q1885" t="s">
        <v>2383</v>
      </c>
      <c r="R1885">
        <v>1</v>
      </c>
      <c r="S1885" t="s">
        <v>2380</v>
      </c>
      <c r="T1885" t="s">
        <v>2383</v>
      </c>
      <c r="U1885" s="8">
        <v>45940.508472222224</v>
      </c>
      <c r="V1885" s="8">
        <v>45945.958333333336</v>
      </c>
      <c r="W1885">
        <v>1</v>
      </c>
      <c r="X1885">
        <v>1.1121296300000001</v>
      </c>
      <c r="Y1885" t="s">
        <v>3892</v>
      </c>
      <c r="Z1885" t="s">
        <v>10311</v>
      </c>
      <c r="AA1885" t="s">
        <v>8679</v>
      </c>
      <c r="AB1885" t="s">
        <v>1278</v>
      </c>
      <c r="AC1885" t="s">
        <v>2333</v>
      </c>
      <c r="AE1885">
        <v>1</v>
      </c>
      <c r="AO1885" t="s">
        <v>2715</v>
      </c>
      <c r="AP1885" t="s">
        <v>2401</v>
      </c>
    </row>
    <row r="1886" spans="1:42">
      <c r="A1886" t="s">
        <v>6869</v>
      </c>
      <c r="B1886" t="s">
        <v>2389</v>
      </c>
      <c r="C1886" t="s">
        <v>2390</v>
      </c>
      <c r="D1886" t="s">
        <v>2379</v>
      </c>
      <c r="E1886" t="s">
        <v>2452</v>
      </c>
      <c r="F1886" t="s">
        <v>6738</v>
      </c>
      <c r="G1886" t="s">
        <v>2452</v>
      </c>
      <c r="H1886" t="b">
        <v>1</v>
      </c>
      <c r="I1886" s="8">
        <v>45945.510937500003</v>
      </c>
      <c r="J1886" t="s">
        <v>2380</v>
      </c>
      <c r="K1886">
        <v>1202496</v>
      </c>
      <c r="L1886">
        <v>606905</v>
      </c>
      <c r="M1886" t="s">
        <v>2381</v>
      </c>
      <c r="P1886" t="s">
        <v>2394</v>
      </c>
      <c r="Q1886" t="s">
        <v>2383</v>
      </c>
      <c r="R1886">
        <v>1</v>
      </c>
      <c r="S1886" t="s">
        <v>2380</v>
      </c>
      <c r="T1886" t="s">
        <v>2383</v>
      </c>
      <c r="U1886" s="8">
        <v>45940.534629629627</v>
      </c>
      <c r="V1886" s="8">
        <v>45945.958333333336</v>
      </c>
      <c r="W1886">
        <v>1</v>
      </c>
      <c r="X1886">
        <v>2.9763078699999999</v>
      </c>
      <c r="Y1886" t="s">
        <v>6739</v>
      </c>
      <c r="Z1886" t="s">
        <v>6870</v>
      </c>
      <c r="AA1886" t="s">
        <v>6871</v>
      </c>
      <c r="AB1886" t="s">
        <v>1278</v>
      </c>
      <c r="AC1886" t="s">
        <v>6872</v>
      </c>
      <c r="AD1886" t="s">
        <v>2708</v>
      </c>
      <c r="AE1886">
        <v>1</v>
      </c>
      <c r="AO1886" t="s">
        <v>2388</v>
      </c>
      <c r="AP1886" t="s">
        <v>2401</v>
      </c>
    </row>
    <row r="1887" spans="1:42">
      <c r="A1887" t="s">
        <v>6873</v>
      </c>
      <c r="B1887" t="s">
        <v>2389</v>
      </c>
      <c r="C1887" t="s">
        <v>2378</v>
      </c>
      <c r="D1887" t="s">
        <v>2379</v>
      </c>
      <c r="E1887" t="s">
        <v>2452</v>
      </c>
      <c r="F1887" t="s">
        <v>6738</v>
      </c>
      <c r="G1887" t="s">
        <v>2452</v>
      </c>
      <c r="H1887" t="b">
        <v>1</v>
      </c>
      <c r="I1887" s="8">
        <v>45945.557453703703</v>
      </c>
      <c r="J1887" t="s">
        <v>2380</v>
      </c>
      <c r="K1887">
        <v>1202536</v>
      </c>
      <c r="L1887">
        <v>606905</v>
      </c>
      <c r="M1887" t="s">
        <v>2381</v>
      </c>
      <c r="P1887" t="s">
        <v>2394</v>
      </c>
      <c r="Q1887" t="s">
        <v>2383</v>
      </c>
      <c r="R1887">
        <v>1</v>
      </c>
      <c r="S1887" t="s">
        <v>2380</v>
      </c>
      <c r="T1887" t="s">
        <v>2383</v>
      </c>
      <c r="U1887" s="8">
        <v>45940.536689814813</v>
      </c>
      <c r="V1887" s="8">
        <v>45945.958333333336</v>
      </c>
      <c r="W1887">
        <v>1</v>
      </c>
      <c r="X1887">
        <v>3.0207638889999999</v>
      </c>
      <c r="Y1887" t="s">
        <v>6739</v>
      </c>
      <c r="Z1887" t="s">
        <v>6874</v>
      </c>
      <c r="AA1887" t="s">
        <v>6871</v>
      </c>
      <c r="AB1887" t="s">
        <v>1278</v>
      </c>
      <c r="AC1887" t="s">
        <v>6875</v>
      </c>
      <c r="AD1887" t="s">
        <v>2708</v>
      </c>
      <c r="AE1887">
        <v>1</v>
      </c>
      <c r="AO1887" t="s">
        <v>2388</v>
      </c>
      <c r="AP1887" t="s">
        <v>2401</v>
      </c>
    </row>
    <row r="1888" spans="1:42">
      <c r="A1888" t="s">
        <v>6876</v>
      </c>
      <c r="B1888" t="s">
        <v>2389</v>
      </c>
      <c r="C1888" t="s">
        <v>2378</v>
      </c>
      <c r="D1888" t="s">
        <v>2379</v>
      </c>
      <c r="E1888" t="s">
        <v>2452</v>
      </c>
      <c r="F1888" t="s">
        <v>6738</v>
      </c>
      <c r="G1888" t="s">
        <v>2452</v>
      </c>
      <c r="H1888" t="b">
        <v>1</v>
      </c>
      <c r="I1888" s="8">
        <v>45945.573425925926</v>
      </c>
      <c r="J1888" t="s">
        <v>2380</v>
      </c>
      <c r="K1888">
        <v>1202538</v>
      </c>
      <c r="L1888">
        <v>606905</v>
      </c>
      <c r="M1888" t="s">
        <v>2381</v>
      </c>
      <c r="P1888" t="s">
        <v>2394</v>
      </c>
      <c r="Q1888" t="s">
        <v>2383</v>
      </c>
      <c r="R1888">
        <v>1</v>
      </c>
      <c r="S1888" t="s">
        <v>2380</v>
      </c>
      <c r="T1888" t="s">
        <v>2383</v>
      </c>
      <c r="U1888" s="8">
        <v>45940.537395833337</v>
      </c>
      <c r="V1888" s="8">
        <v>45945.958333333336</v>
      </c>
      <c r="W1888">
        <v>1</v>
      </c>
      <c r="X1888">
        <v>3.0360300929999999</v>
      </c>
      <c r="Y1888" t="s">
        <v>6739</v>
      </c>
      <c r="Z1888" t="s">
        <v>6877</v>
      </c>
      <c r="AA1888" t="s">
        <v>6871</v>
      </c>
      <c r="AB1888" t="s">
        <v>1278</v>
      </c>
      <c r="AC1888" t="s">
        <v>6878</v>
      </c>
      <c r="AD1888" t="s">
        <v>2708</v>
      </c>
      <c r="AE1888">
        <v>1</v>
      </c>
      <c r="AO1888" t="s">
        <v>2388</v>
      </c>
      <c r="AP1888" t="s">
        <v>2401</v>
      </c>
    </row>
    <row r="1889" spans="1:42">
      <c r="A1889" t="s">
        <v>6879</v>
      </c>
      <c r="B1889" t="s">
        <v>2389</v>
      </c>
      <c r="C1889" t="s">
        <v>2378</v>
      </c>
      <c r="D1889" t="s">
        <v>2379</v>
      </c>
      <c r="E1889" t="s">
        <v>2452</v>
      </c>
      <c r="F1889" t="s">
        <v>6738</v>
      </c>
      <c r="G1889" t="s">
        <v>2452</v>
      </c>
      <c r="H1889" t="b">
        <v>1</v>
      </c>
      <c r="I1889" s="8">
        <v>45945.579884259256</v>
      </c>
      <c r="J1889" t="s">
        <v>2380</v>
      </c>
      <c r="K1889">
        <v>1202539</v>
      </c>
      <c r="L1889">
        <v>606905</v>
      </c>
      <c r="M1889" t="s">
        <v>2381</v>
      </c>
      <c r="P1889" t="s">
        <v>2394</v>
      </c>
      <c r="Q1889" t="s">
        <v>2383</v>
      </c>
      <c r="R1889">
        <v>1</v>
      </c>
      <c r="S1889" t="s">
        <v>2380</v>
      </c>
      <c r="T1889" t="s">
        <v>2383</v>
      </c>
      <c r="U1889" s="8">
        <v>45940.539479166669</v>
      </c>
      <c r="V1889" s="8">
        <v>45945.958333333336</v>
      </c>
      <c r="W1889">
        <v>1</v>
      </c>
      <c r="X1889">
        <v>3.0404050929999999</v>
      </c>
      <c r="Y1889" t="s">
        <v>6739</v>
      </c>
      <c r="Z1889" t="s">
        <v>6880</v>
      </c>
      <c r="AA1889" t="s">
        <v>6871</v>
      </c>
      <c r="AB1889" t="s">
        <v>1278</v>
      </c>
      <c r="AC1889" t="s">
        <v>6881</v>
      </c>
      <c r="AD1889" t="s">
        <v>2708</v>
      </c>
      <c r="AE1889">
        <v>1</v>
      </c>
      <c r="AO1889" t="s">
        <v>2388</v>
      </c>
      <c r="AP1889" t="s">
        <v>2401</v>
      </c>
    </row>
    <row r="1890" spans="1:42">
      <c r="A1890" t="s">
        <v>3766</v>
      </c>
      <c r="B1890" t="s">
        <v>2377</v>
      </c>
      <c r="C1890" t="s">
        <v>2415</v>
      </c>
      <c r="D1890" t="s">
        <v>2379</v>
      </c>
      <c r="E1890" t="s">
        <v>25</v>
      </c>
      <c r="F1890" t="s">
        <v>3747</v>
      </c>
      <c r="G1890" t="s">
        <v>25</v>
      </c>
      <c r="H1890" t="b">
        <v>1</v>
      </c>
      <c r="I1890" s="8">
        <v>45944.357118055559</v>
      </c>
      <c r="J1890" t="s">
        <v>2380</v>
      </c>
      <c r="L1890">
        <v>609914</v>
      </c>
      <c r="M1890" t="s">
        <v>2381</v>
      </c>
      <c r="P1890" t="s">
        <v>2394</v>
      </c>
      <c r="Q1890" t="s">
        <v>2383</v>
      </c>
      <c r="R1890">
        <v>1</v>
      </c>
      <c r="S1890" t="s">
        <v>2380</v>
      </c>
      <c r="T1890" t="s">
        <v>2383</v>
      </c>
      <c r="U1890" s="8">
        <v>45940.5549537037</v>
      </c>
      <c r="V1890" s="8">
        <v>45945.958333333336</v>
      </c>
      <c r="W1890">
        <v>1</v>
      </c>
      <c r="X1890">
        <v>1.8021643519999999</v>
      </c>
      <c r="Y1890" t="s">
        <v>3748</v>
      </c>
      <c r="Z1890" t="s">
        <v>3767</v>
      </c>
      <c r="AA1890" t="s">
        <v>3768</v>
      </c>
      <c r="AB1890" t="s">
        <v>1278</v>
      </c>
      <c r="AC1890" t="s">
        <v>3769</v>
      </c>
      <c r="AE1890">
        <v>1</v>
      </c>
      <c r="AO1890" t="s">
        <v>2712</v>
      </c>
      <c r="AP1890" t="s">
        <v>2401</v>
      </c>
    </row>
    <row r="1891" spans="1:42">
      <c r="A1891" t="s">
        <v>2837</v>
      </c>
      <c r="B1891" t="s">
        <v>2389</v>
      </c>
      <c r="C1891" t="s">
        <v>2378</v>
      </c>
      <c r="D1891" t="s">
        <v>2379</v>
      </c>
      <c r="E1891" t="s">
        <v>2452</v>
      </c>
      <c r="F1891" t="s">
        <v>2431</v>
      </c>
      <c r="G1891" t="s">
        <v>2452</v>
      </c>
      <c r="H1891" t="b">
        <v>1</v>
      </c>
      <c r="I1891" s="8">
        <v>45945.580636574072</v>
      </c>
      <c r="J1891" t="s">
        <v>2380</v>
      </c>
      <c r="K1891">
        <v>1128075</v>
      </c>
      <c r="L1891">
        <v>608476</v>
      </c>
      <c r="M1891" t="s">
        <v>2381</v>
      </c>
      <c r="P1891" t="s">
        <v>2394</v>
      </c>
      <c r="Q1891" t="s">
        <v>2383</v>
      </c>
      <c r="R1891">
        <v>1</v>
      </c>
      <c r="S1891" t="s">
        <v>2380</v>
      </c>
      <c r="T1891" t="s">
        <v>2383</v>
      </c>
      <c r="U1891" s="8">
        <v>45940.565451388888</v>
      </c>
      <c r="V1891" s="8">
        <v>45945.958333333336</v>
      </c>
      <c r="W1891">
        <v>1</v>
      </c>
      <c r="X1891">
        <v>3.015185185</v>
      </c>
      <c r="Y1891" t="s">
        <v>2433</v>
      </c>
      <c r="Z1891" t="s">
        <v>2838</v>
      </c>
      <c r="AA1891" t="s">
        <v>2839</v>
      </c>
      <c r="AB1891" t="s">
        <v>1278</v>
      </c>
      <c r="AC1891" t="s">
        <v>2840</v>
      </c>
      <c r="AE1891">
        <v>1</v>
      </c>
      <c r="AO1891" t="s">
        <v>2408</v>
      </c>
      <c r="AP1891" t="s">
        <v>2401</v>
      </c>
    </row>
    <row r="1892" spans="1:42">
      <c r="A1892" t="s">
        <v>9449</v>
      </c>
      <c r="B1892" t="s">
        <v>2389</v>
      </c>
      <c r="C1892" t="s">
        <v>2415</v>
      </c>
      <c r="D1892" t="s">
        <v>2379</v>
      </c>
      <c r="E1892" t="s">
        <v>307</v>
      </c>
      <c r="F1892" t="s">
        <v>2588</v>
      </c>
      <c r="G1892" t="s">
        <v>307</v>
      </c>
      <c r="H1892" t="b">
        <v>1</v>
      </c>
      <c r="I1892" s="8">
        <v>45943.620532407411</v>
      </c>
      <c r="J1892" t="s">
        <v>2380</v>
      </c>
      <c r="K1892">
        <v>1201963</v>
      </c>
      <c r="L1892">
        <v>605786</v>
      </c>
      <c r="M1892" t="s">
        <v>2381</v>
      </c>
      <c r="P1892" t="s">
        <v>2394</v>
      </c>
      <c r="Q1892" t="s">
        <v>2383</v>
      </c>
      <c r="R1892">
        <v>1</v>
      </c>
      <c r="S1892" t="s">
        <v>2380</v>
      </c>
      <c r="T1892" t="s">
        <v>2383</v>
      </c>
      <c r="U1892" s="8">
        <v>45940.571087962962</v>
      </c>
      <c r="V1892" s="8">
        <v>45945.958333333336</v>
      </c>
      <c r="W1892">
        <v>1</v>
      </c>
      <c r="X1892">
        <v>1.0494444439999999</v>
      </c>
      <c r="Y1892" t="s">
        <v>2579</v>
      </c>
      <c r="Z1892" t="s">
        <v>9450</v>
      </c>
      <c r="AA1892" t="s">
        <v>9451</v>
      </c>
      <c r="AB1892" t="s">
        <v>1278</v>
      </c>
      <c r="AD1892" t="s">
        <v>2708</v>
      </c>
      <c r="AE1892">
        <v>1</v>
      </c>
      <c r="AO1892" t="s">
        <v>2388</v>
      </c>
      <c r="AP1892" t="s">
        <v>8931</v>
      </c>
    </row>
    <row r="1893" spans="1:42">
      <c r="A1893" t="s">
        <v>7897</v>
      </c>
      <c r="B1893" t="s">
        <v>2389</v>
      </c>
      <c r="C1893" t="s">
        <v>2390</v>
      </c>
      <c r="D1893" t="s">
        <v>2379</v>
      </c>
      <c r="E1893" t="s">
        <v>2452</v>
      </c>
      <c r="F1893" t="s">
        <v>4644</v>
      </c>
      <c r="G1893" t="s">
        <v>2723</v>
      </c>
      <c r="H1893" t="b">
        <v>1</v>
      </c>
      <c r="I1893" s="8">
        <v>45945.585196759261</v>
      </c>
      <c r="J1893" t="s">
        <v>2380</v>
      </c>
      <c r="K1893">
        <v>1202540</v>
      </c>
      <c r="L1893">
        <v>603773</v>
      </c>
      <c r="M1893" t="s">
        <v>2381</v>
      </c>
      <c r="P1893" t="s">
        <v>2394</v>
      </c>
      <c r="Q1893" t="s">
        <v>2383</v>
      </c>
      <c r="R1893">
        <v>1</v>
      </c>
      <c r="S1893" t="s">
        <v>2380</v>
      </c>
      <c r="T1893" t="s">
        <v>2383</v>
      </c>
      <c r="U1893" s="8">
        <v>45940.588622685187</v>
      </c>
      <c r="V1893" s="8">
        <v>45945.958333333336</v>
      </c>
      <c r="W1893">
        <v>1</v>
      </c>
      <c r="X1893">
        <v>2.9965740740000002</v>
      </c>
      <c r="Y1893" t="s">
        <v>3578</v>
      </c>
      <c r="Z1893" t="s">
        <v>7898</v>
      </c>
      <c r="AA1893" t="s">
        <v>4647</v>
      </c>
      <c r="AB1893" t="s">
        <v>1278</v>
      </c>
      <c r="AD1893" t="s">
        <v>2708</v>
      </c>
      <c r="AE1893">
        <v>1</v>
      </c>
      <c r="AO1893" t="s">
        <v>2957</v>
      </c>
      <c r="AP1893" t="s">
        <v>2401</v>
      </c>
    </row>
    <row r="1894" spans="1:42">
      <c r="A1894" t="s">
        <v>3188</v>
      </c>
      <c r="B1894" t="s">
        <v>2377</v>
      </c>
      <c r="C1894" t="s">
        <v>2691</v>
      </c>
      <c r="D1894" t="s">
        <v>2379</v>
      </c>
      <c r="E1894" t="s">
        <v>24</v>
      </c>
      <c r="F1894" t="s">
        <v>2578</v>
      </c>
      <c r="G1894" t="s">
        <v>24</v>
      </c>
      <c r="H1894" t="b">
        <v>1</v>
      </c>
      <c r="I1894" s="8">
        <v>45960.627453703702</v>
      </c>
      <c r="J1894" t="s">
        <v>2380</v>
      </c>
      <c r="L1894">
        <v>605249</v>
      </c>
      <c r="M1894" t="s">
        <v>2381</v>
      </c>
      <c r="Q1894" t="s">
        <v>2383</v>
      </c>
      <c r="R1894">
        <v>1</v>
      </c>
      <c r="S1894" t="s">
        <v>2380</v>
      </c>
      <c r="T1894" t="s">
        <v>2383</v>
      </c>
      <c r="U1894" s="8">
        <v>45940.593842592592</v>
      </c>
      <c r="V1894" s="8">
        <v>45965.958333333336</v>
      </c>
      <c r="W1894">
        <v>1</v>
      </c>
      <c r="X1894">
        <v>14.033611111000001</v>
      </c>
      <c r="Y1894" t="s">
        <v>2579</v>
      </c>
      <c r="Z1894" t="s">
        <v>3189</v>
      </c>
      <c r="AA1894" t="s">
        <v>1751</v>
      </c>
      <c r="AB1894" t="s">
        <v>1278</v>
      </c>
      <c r="AC1894" t="s">
        <v>2437</v>
      </c>
      <c r="AE1894">
        <v>1</v>
      </c>
      <c r="AO1894" t="s">
        <v>2388</v>
      </c>
      <c r="AP1894" t="s">
        <v>2401</v>
      </c>
    </row>
    <row r="1895" spans="1:42">
      <c r="A1895" t="s">
        <v>627</v>
      </c>
      <c r="B1895" t="s">
        <v>2377</v>
      </c>
      <c r="C1895" t="s">
        <v>2415</v>
      </c>
      <c r="D1895" t="s">
        <v>2379</v>
      </c>
      <c r="E1895" t="s">
        <v>24</v>
      </c>
      <c r="F1895" t="s">
        <v>4897</v>
      </c>
      <c r="G1895" t="s">
        <v>24</v>
      </c>
      <c r="H1895" t="b">
        <v>1</v>
      </c>
      <c r="I1895" s="8">
        <v>45943.674212962964</v>
      </c>
      <c r="J1895" t="s">
        <v>2380</v>
      </c>
      <c r="L1895">
        <v>606059</v>
      </c>
      <c r="M1895" t="s">
        <v>2381</v>
      </c>
      <c r="Q1895" t="s">
        <v>2383</v>
      </c>
      <c r="R1895">
        <v>1</v>
      </c>
      <c r="S1895" t="s">
        <v>2380</v>
      </c>
      <c r="T1895" t="s">
        <v>2383</v>
      </c>
      <c r="U1895" s="8">
        <v>45940.594664351855</v>
      </c>
      <c r="V1895" s="8">
        <v>45945.958333333336</v>
      </c>
      <c r="W1895">
        <v>1</v>
      </c>
      <c r="X1895">
        <v>1.0795486110000001</v>
      </c>
      <c r="Y1895" t="s">
        <v>4898</v>
      </c>
      <c r="Z1895" t="s">
        <v>4899</v>
      </c>
      <c r="AA1895" t="s">
        <v>4900</v>
      </c>
      <c r="AB1895" t="s">
        <v>1278</v>
      </c>
      <c r="AC1895" t="s">
        <v>4901</v>
      </c>
      <c r="AD1895" t="s">
        <v>2708</v>
      </c>
      <c r="AE1895">
        <v>1</v>
      </c>
      <c r="AO1895" t="s">
        <v>2715</v>
      </c>
      <c r="AP1895" t="s">
        <v>2401</v>
      </c>
    </row>
    <row r="1896" spans="1:42">
      <c r="A1896" t="s">
        <v>7006</v>
      </c>
      <c r="B1896" t="s">
        <v>2389</v>
      </c>
      <c r="C1896" t="s">
        <v>2378</v>
      </c>
      <c r="D1896" t="s">
        <v>2379</v>
      </c>
      <c r="E1896" t="s">
        <v>2452</v>
      </c>
      <c r="F1896" t="s">
        <v>2627</v>
      </c>
      <c r="G1896" t="s">
        <v>2452</v>
      </c>
      <c r="H1896" t="b">
        <v>1</v>
      </c>
      <c r="I1896" s="8">
        <v>45945.615416666667</v>
      </c>
      <c r="J1896" t="s">
        <v>2380</v>
      </c>
      <c r="K1896">
        <v>1202569</v>
      </c>
      <c r="L1896">
        <v>603952</v>
      </c>
      <c r="M1896" t="s">
        <v>2381</v>
      </c>
      <c r="P1896" t="s">
        <v>2394</v>
      </c>
      <c r="Q1896" t="s">
        <v>2383</v>
      </c>
      <c r="R1896">
        <v>1</v>
      </c>
      <c r="S1896" t="s">
        <v>2380</v>
      </c>
      <c r="T1896" t="s">
        <v>2383</v>
      </c>
      <c r="U1896" s="8">
        <v>45940.609930555554</v>
      </c>
      <c r="V1896" s="8">
        <v>45945.958333333336</v>
      </c>
      <c r="W1896">
        <v>1</v>
      </c>
      <c r="X1896">
        <v>3.0054861110000002</v>
      </c>
      <c r="Y1896" t="s">
        <v>2628</v>
      </c>
      <c r="Z1896" t="s">
        <v>7007</v>
      </c>
      <c r="AA1896" t="s">
        <v>6758</v>
      </c>
      <c r="AB1896" t="s">
        <v>1278</v>
      </c>
      <c r="AC1896" t="s">
        <v>7008</v>
      </c>
      <c r="AD1896" t="s">
        <v>2708</v>
      </c>
      <c r="AE1896">
        <v>1</v>
      </c>
      <c r="AO1896" t="s">
        <v>2388</v>
      </c>
      <c r="AP1896" t="s">
        <v>2401</v>
      </c>
    </row>
    <row r="1897" spans="1:42">
      <c r="A1897" t="s">
        <v>3621</v>
      </c>
      <c r="B1897" t="s">
        <v>2389</v>
      </c>
      <c r="C1897" t="s">
        <v>2378</v>
      </c>
      <c r="D1897" t="s">
        <v>2379</v>
      </c>
      <c r="E1897" t="s">
        <v>2452</v>
      </c>
      <c r="F1897" t="s">
        <v>3619</v>
      </c>
      <c r="G1897" t="s">
        <v>2452</v>
      </c>
      <c r="H1897" t="b">
        <v>1</v>
      </c>
      <c r="I1897" s="8">
        <v>45945.616875</v>
      </c>
      <c r="J1897" t="s">
        <v>2380</v>
      </c>
      <c r="L1897">
        <v>609244</v>
      </c>
      <c r="M1897" t="s">
        <v>2381</v>
      </c>
      <c r="P1897" t="s">
        <v>2394</v>
      </c>
      <c r="Q1897" t="s">
        <v>2383</v>
      </c>
      <c r="R1897">
        <v>1</v>
      </c>
      <c r="S1897" t="s">
        <v>2380</v>
      </c>
      <c r="T1897" t="s">
        <v>2383</v>
      </c>
      <c r="U1897" s="8">
        <v>45940.611990740741</v>
      </c>
      <c r="V1897" s="8">
        <v>45945.958333333336</v>
      </c>
      <c r="W1897">
        <v>1</v>
      </c>
      <c r="X1897">
        <v>3.0048842589999998</v>
      </c>
      <c r="Y1897" t="s">
        <v>3620</v>
      </c>
      <c r="Z1897" t="s">
        <v>3622</v>
      </c>
      <c r="AA1897" t="s">
        <v>3623</v>
      </c>
      <c r="AB1897" t="s">
        <v>1278</v>
      </c>
      <c r="AC1897" t="s">
        <v>3624</v>
      </c>
      <c r="AE1897">
        <v>1</v>
      </c>
      <c r="AO1897" t="s">
        <v>3608</v>
      </c>
      <c r="AP1897" t="s">
        <v>2401</v>
      </c>
    </row>
    <row r="1898" spans="1:42">
      <c r="A1898" t="s">
        <v>7603</v>
      </c>
      <c r="B1898" t="s">
        <v>2389</v>
      </c>
      <c r="C1898" t="s">
        <v>2415</v>
      </c>
      <c r="D1898" t="s">
        <v>2379</v>
      </c>
      <c r="E1898" t="s">
        <v>2601</v>
      </c>
      <c r="F1898" t="s">
        <v>7055</v>
      </c>
      <c r="G1898" t="s">
        <v>2601</v>
      </c>
      <c r="H1898" t="b">
        <v>1</v>
      </c>
      <c r="I1898" s="8">
        <v>45943.672592592593</v>
      </c>
      <c r="J1898" t="s">
        <v>2380</v>
      </c>
      <c r="K1898">
        <v>1202116</v>
      </c>
      <c r="L1898">
        <v>608978</v>
      </c>
      <c r="M1898" t="s">
        <v>2381</v>
      </c>
      <c r="P1898" t="s">
        <v>2427</v>
      </c>
      <c r="Q1898" t="s">
        <v>2383</v>
      </c>
      <c r="R1898">
        <v>1</v>
      </c>
      <c r="S1898" t="s">
        <v>2380</v>
      </c>
      <c r="T1898" t="s">
        <v>2383</v>
      </c>
      <c r="U1898" s="8">
        <v>45940.627453703702</v>
      </c>
      <c r="V1898" s="8">
        <v>45945.958333333336</v>
      </c>
      <c r="W1898">
        <v>1</v>
      </c>
      <c r="X1898">
        <v>1.045138889</v>
      </c>
      <c r="Y1898" t="s">
        <v>7056</v>
      </c>
      <c r="Z1898" t="s">
        <v>7604</v>
      </c>
      <c r="AA1898" t="s">
        <v>7605</v>
      </c>
      <c r="AB1898" t="s">
        <v>1278</v>
      </c>
      <c r="AC1898" t="s">
        <v>7606</v>
      </c>
      <c r="AD1898" t="s">
        <v>2708</v>
      </c>
      <c r="AE1898">
        <v>1</v>
      </c>
      <c r="AO1898" t="s">
        <v>2957</v>
      </c>
      <c r="AP1898" t="s">
        <v>2401</v>
      </c>
    </row>
    <row r="1899" spans="1:42">
      <c r="A1899" t="s">
        <v>6924</v>
      </c>
      <c r="B1899" t="s">
        <v>2389</v>
      </c>
      <c r="C1899" t="s">
        <v>2691</v>
      </c>
      <c r="D1899" t="s">
        <v>2379</v>
      </c>
      <c r="E1899" t="s">
        <v>2452</v>
      </c>
      <c r="F1899" t="s">
        <v>2578</v>
      </c>
      <c r="G1899" t="s">
        <v>2452</v>
      </c>
      <c r="H1899" t="b">
        <v>1</v>
      </c>
      <c r="I1899" s="8">
        <v>45948.477129629631</v>
      </c>
      <c r="J1899" t="s">
        <v>2380</v>
      </c>
      <c r="K1899">
        <v>1203389</v>
      </c>
      <c r="L1899">
        <v>602517</v>
      </c>
      <c r="M1899" t="s">
        <v>2381</v>
      </c>
      <c r="P1899" t="s">
        <v>2394</v>
      </c>
      <c r="Q1899" t="s">
        <v>2383</v>
      </c>
      <c r="R1899">
        <v>1</v>
      </c>
      <c r="S1899" t="s">
        <v>2380</v>
      </c>
      <c r="T1899" t="s">
        <v>2383</v>
      </c>
      <c r="U1899" s="8">
        <v>45940.627511574072</v>
      </c>
      <c r="V1899" s="8">
        <v>45952.958333333336</v>
      </c>
      <c r="W1899">
        <v>1</v>
      </c>
      <c r="X1899">
        <v>5.8496180559999997</v>
      </c>
      <c r="Y1899" t="s">
        <v>2579</v>
      </c>
      <c r="Z1899" t="s">
        <v>6925</v>
      </c>
      <c r="AA1899" t="s">
        <v>6926</v>
      </c>
      <c r="AB1899" t="s">
        <v>1278</v>
      </c>
      <c r="AC1899" t="s">
        <v>6927</v>
      </c>
      <c r="AD1899" t="s">
        <v>2708</v>
      </c>
      <c r="AE1899">
        <v>1</v>
      </c>
      <c r="AO1899" t="s">
        <v>2388</v>
      </c>
      <c r="AP1899" t="s">
        <v>2401</v>
      </c>
    </row>
    <row r="1900" spans="1:42">
      <c r="A1900" t="s">
        <v>9480</v>
      </c>
      <c r="B1900" t="s">
        <v>2389</v>
      </c>
      <c r="C1900" t="s">
        <v>2390</v>
      </c>
      <c r="D1900" t="s">
        <v>2379</v>
      </c>
      <c r="E1900" t="s">
        <v>28</v>
      </c>
      <c r="F1900" t="s">
        <v>4676</v>
      </c>
      <c r="G1900" t="s">
        <v>28</v>
      </c>
      <c r="H1900" t="b">
        <v>1</v>
      </c>
      <c r="I1900" s="8">
        <v>45945.63795138889</v>
      </c>
      <c r="J1900" t="s">
        <v>2380</v>
      </c>
      <c r="K1900">
        <v>1202599</v>
      </c>
      <c r="L1900">
        <v>605685</v>
      </c>
      <c r="M1900" t="s">
        <v>2381</v>
      </c>
      <c r="N1900">
        <v>15</v>
      </c>
      <c r="Q1900" t="s">
        <v>2383</v>
      </c>
      <c r="R1900">
        <v>1</v>
      </c>
      <c r="S1900" t="s">
        <v>2380</v>
      </c>
      <c r="T1900" t="s">
        <v>2383</v>
      </c>
      <c r="U1900" s="8">
        <v>45940.645405092589</v>
      </c>
      <c r="V1900" s="8">
        <v>45945.958333333336</v>
      </c>
      <c r="W1900">
        <v>1</v>
      </c>
      <c r="X1900">
        <v>2.992546296</v>
      </c>
      <c r="Y1900" t="s">
        <v>4677</v>
      </c>
      <c r="Z1900" t="s">
        <v>9481</v>
      </c>
      <c r="AA1900" t="s">
        <v>9482</v>
      </c>
      <c r="AB1900" t="s">
        <v>1278</v>
      </c>
      <c r="AC1900" t="s">
        <v>9483</v>
      </c>
      <c r="AD1900" t="s">
        <v>2708</v>
      </c>
      <c r="AE1900">
        <v>1</v>
      </c>
      <c r="AO1900" t="s">
        <v>2957</v>
      </c>
      <c r="AP1900" t="s">
        <v>8931</v>
      </c>
    </row>
    <row r="1901" spans="1:42">
      <c r="A1901" t="s">
        <v>8998</v>
      </c>
      <c r="B1901" t="s">
        <v>2389</v>
      </c>
      <c r="C1901" t="s">
        <v>2390</v>
      </c>
      <c r="D1901" t="s">
        <v>2379</v>
      </c>
      <c r="E1901" t="s">
        <v>2452</v>
      </c>
      <c r="F1901" t="s">
        <v>2541</v>
      </c>
      <c r="G1901" t="s">
        <v>2452</v>
      </c>
      <c r="H1901" t="b">
        <v>1</v>
      </c>
      <c r="I1901" s="8">
        <v>45945.424062500002</v>
      </c>
      <c r="J1901" t="s">
        <v>2380</v>
      </c>
      <c r="K1901">
        <v>1201684</v>
      </c>
      <c r="L1901">
        <v>601353</v>
      </c>
      <c r="M1901" t="s">
        <v>2381</v>
      </c>
      <c r="Q1901" t="s">
        <v>2383</v>
      </c>
      <c r="R1901">
        <v>1</v>
      </c>
      <c r="S1901" t="s">
        <v>2380</v>
      </c>
      <c r="T1901" t="s">
        <v>2383</v>
      </c>
      <c r="U1901" s="8">
        <v>45940.660995370374</v>
      </c>
      <c r="V1901" s="8">
        <v>45945.958333333336</v>
      </c>
      <c r="W1901">
        <v>1</v>
      </c>
      <c r="X1901">
        <v>2.76306713</v>
      </c>
      <c r="Y1901" t="s">
        <v>2542</v>
      </c>
      <c r="Z1901" t="s">
        <v>8999</v>
      </c>
      <c r="AA1901" t="s">
        <v>2934</v>
      </c>
      <c r="AB1901" t="s">
        <v>1278</v>
      </c>
      <c r="AC1901" t="s">
        <v>9000</v>
      </c>
      <c r="AD1901" t="s">
        <v>2708</v>
      </c>
      <c r="AE1901">
        <v>1</v>
      </c>
      <c r="AH1901" t="s">
        <v>33</v>
      </c>
      <c r="AI1901" s="8">
        <v>45945.414259259262</v>
      </c>
      <c r="AK1901" t="s">
        <v>2719</v>
      </c>
      <c r="AL1901" t="s">
        <v>2719</v>
      </c>
      <c r="AO1901" t="s">
        <v>2547</v>
      </c>
      <c r="AP1901" t="s">
        <v>2401</v>
      </c>
    </row>
    <row r="1902" spans="1:42">
      <c r="A1902" t="s">
        <v>3788</v>
      </c>
      <c r="B1902" t="s">
        <v>2377</v>
      </c>
      <c r="C1902" t="s">
        <v>2438</v>
      </c>
      <c r="D1902" t="s">
        <v>2379</v>
      </c>
      <c r="E1902" t="s">
        <v>307</v>
      </c>
      <c r="F1902" t="s">
        <v>3747</v>
      </c>
      <c r="G1902" t="s">
        <v>307</v>
      </c>
      <c r="H1902" t="b">
        <v>1</v>
      </c>
      <c r="I1902" s="8">
        <v>45942.573865740742</v>
      </c>
      <c r="J1902" t="s">
        <v>2380</v>
      </c>
      <c r="L1902">
        <v>609909</v>
      </c>
      <c r="M1902" t="s">
        <v>2381</v>
      </c>
      <c r="P1902" t="s">
        <v>2394</v>
      </c>
      <c r="Q1902" t="s">
        <v>2383</v>
      </c>
      <c r="R1902">
        <v>1</v>
      </c>
      <c r="S1902" t="s">
        <v>2380</v>
      </c>
      <c r="T1902" t="s">
        <v>2383</v>
      </c>
      <c r="U1902" s="8">
        <v>45940.671805555554</v>
      </c>
      <c r="V1902" s="8">
        <v>45945.958333333336</v>
      </c>
      <c r="W1902">
        <v>1</v>
      </c>
      <c r="X1902">
        <v>-9.7939815E-2</v>
      </c>
      <c r="Y1902" t="s">
        <v>3748</v>
      </c>
      <c r="Z1902" t="s">
        <v>3789</v>
      </c>
      <c r="AA1902" t="s">
        <v>3790</v>
      </c>
      <c r="AB1902" t="s">
        <v>1278</v>
      </c>
      <c r="AC1902" t="s">
        <v>2333</v>
      </c>
      <c r="AE1902">
        <v>1</v>
      </c>
      <c r="AO1902" t="s">
        <v>2712</v>
      </c>
      <c r="AP1902" t="s">
        <v>2401</v>
      </c>
    </row>
    <row r="1903" spans="1:42">
      <c r="A1903" t="s">
        <v>7693</v>
      </c>
      <c r="B1903" t="s">
        <v>2389</v>
      </c>
      <c r="C1903" t="s">
        <v>2390</v>
      </c>
      <c r="D1903" t="s">
        <v>2379</v>
      </c>
      <c r="E1903" t="s">
        <v>2452</v>
      </c>
      <c r="F1903" t="s">
        <v>7692</v>
      </c>
      <c r="G1903" t="s">
        <v>2452</v>
      </c>
      <c r="H1903" t="b">
        <v>1</v>
      </c>
      <c r="I1903" s="8">
        <v>45945.635844907411</v>
      </c>
      <c r="J1903" t="s">
        <v>2380</v>
      </c>
      <c r="K1903">
        <v>1202597</v>
      </c>
      <c r="L1903">
        <v>603410</v>
      </c>
      <c r="M1903" t="s">
        <v>2381</v>
      </c>
      <c r="P1903" t="s">
        <v>2394</v>
      </c>
      <c r="Q1903" t="s">
        <v>2383</v>
      </c>
      <c r="R1903">
        <v>1</v>
      </c>
      <c r="S1903" t="s">
        <v>2380</v>
      </c>
      <c r="T1903" t="s">
        <v>2383</v>
      </c>
      <c r="U1903" s="8">
        <v>45940.679618055554</v>
      </c>
      <c r="V1903" s="8">
        <v>45945.958333333336</v>
      </c>
      <c r="W1903">
        <v>1</v>
      </c>
      <c r="X1903">
        <v>2.9562268519999999</v>
      </c>
      <c r="Y1903" t="s">
        <v>7433</v>
      </c>
      <c r="Z1903" t="s">
        <v>7694</v>
      </c>
      <c r="AA1903" t="s">
        <v>7695</v>
      </c>
      <c r="AB1903" t="s">
        <v>1278</v>
      </c>
      <c r="AC1903" t="s">
        <v>7696</v>
      </c>
      <c r="AD1903" t="s">
        <v>2708</v>
      </c>
      <c r="AE1903">
        <v>1</v>
      </c>
      <c r="AO1903" t="s">
        <v>2957</v>
      </c>
      <c r="AP1903" t="s">
        <v>2401</v>
      </c>
    </row>
    <row r="1904" spans="1:42">
      <c r="A1904" t="s">
        <v>6928</v>
      </c>
      <c r="B1904" t="s">
        <v>2389</v>
      </c>
      <c r="C1904" t="s">
        <v>2390</v>
      </c>
      <c r="D1904" t="s">
        <v>2379</v>
      </c>
      <c r="E1904" t="s">
        <v>2452</v>
      </c>
      <c r="F1904" t="s">
        <v>2578</v>
      </c>
      <c r="G1904" t="s">
        <v>2452</v>
      </c>
      <c r="H1904" t="b">
        <v>1</v>
      </c>
      <c r="I1904" s="8">
        <v>45945.641770833332</v>
      </c>
      <c r="J1904" t="s">
        <v>2380</v>
      </c>
      <c r="K1904">
        <v>1202604</v>
      </c>
      <c r="L1904">
        <v>602145</v>
      </c>
      <c r="M1904" t="s">
        <v>2381</v>
      </c>
      <c r="P1904" t="s">
        <v>2394</v>
      </c>
      <c r="Q1904" t="s">
        <v>2383</v>
      </c>
      <c r="R1904">
        <v>1</v>
      </c>
      <c r="S1904" t="s">
        <v>2380</v>
      </c>
      <c r="T1904" t="s">
        <v>2383</v>
      </c>
      <c r="U1904" s="8">
        <v>45940.68309027778</v>
      </c>
      <c r="V1904" s="8">
        <v>45945.958333333336</v>
      </c>
      <c r="W1904">
        <v>1</v>
      </c>
      <c r="X1904">
        <v>2.958680556</v>
      </c>
      <c r="Y1904" t="s">
        <v>2579</v>
      </c>
      <c r="Z1904" t="s">
        <v>6929</v>
      </c>
      <c r="AA1904" t="s">
        <v>6930</v>
      </c>
      <c r="AB1904" t="s">
        <v>1278</v>
      </c>
      <c r="AC1904" t="s">
        <v>6931</v>
      </c>
      <c r="AD1904" t="s">
        <v>2708</v>
      </c>
      <c r="AE1904">
        <v>1</v>
      </c>
      <c r="AO1904" t="s">
        <v>2388</v>
      </c>
      <c r="AP1904" t="s">
        <v>2401</v>
      </c>
    </row>
    <row r="1905" spans="1:42">
      <c r="A1905" t="s">
        <v>3826</v>
      </c>
      <c r="B1905" t="s">
        <v>2389</v>
      </c>
      <c r="C1905" t="s">
        <v>2438</v>
      </c>
      <c r="D1905" t="s">
        <v>2379</v>
      </c>
      <c r="E1905" t="s">
        <v>33</v>
      </c>
      <c r="F1905" t="s">
        <v>3747</v>
      </c>
      <c r="G1905" t="s">
        <v>33</v>
      </c>
      <c r="H1905" t="b">
        <v>1</v>
      </c>
      <c r="I1905" s="8">
        <v>45943.464108796295</v>
      </c>
      <c r="J1905" t="s">
        <v>2380</v>
      </c>
      <c r="L1905">
        <v>606849</v>
      </c>
      <c r="M1905" t="s">
        <v>2381</v>
      </c>
      <c r="P1905" t="s">
        <v>2394</v>
      </c>
      <c r="Q1905" t="s">
        <v>2383</v>
      </c>
      <c r="R1905">
        <v>1</v>
      </c>
      <c r="S1905" t="s">
        <v>2380</v>
      </c>
      <c r="T1905" t="s">
        <v>2383</v>
      </c>
      <c r="U1905" s="8">
        <v>45940.690833333334</v>
      </c>
      <c r="V1905" s="8">
        <v>45945.958333333336</v>
      </c>
      <c r="W1905">
        <v>1</v>
      </c>
      <c r="X1905">
        <v>0.77327546300000005</v>
      </c>
      <c r="Y1905" t="s">
        <v>3748</v>
      </c>
      <c r="Z1905" t="s">
        <v>3827</v>
      </c>
      <c r="AA1905" t="s">
        <v>3755</v>
      </c>
      <c r="AB1905" t="s">
        <v>1278</v>
      </c>
      <c r="AC1905" t="s">
        <v>3828</v>
      </c>
      <c r="AE1905">
        <v>1</v>
      </c>
      <c r="AO1905" t="s">
        <v>2712</v>
      </c>
      <c r="AP1905" t="s">
        <v>2401</v>
      </c>
    </row>
    <row r="1906" spans="1:42">
      <c r="A1906" t="s">
        <v>7703</v>
      </c>
      <c r="B1906" t="s">
        <v>2389</v>
      </c>
      <c r="C1906" t="s">
        <v>2390</v>
      </c>
      <c r="D1906" t="s">
        <v>2379</v>
      </c>
      <c r="E1906" t="s">
        <v>2452</v>
      </c>
      <c r="F1906" t="s">
        <v>2578</v>
      </c>
      <c r="G1906" t="s">
        <v>2452</v>
      </c>
      <c r="H1906" t="b">
        <v>1</v>
      </c>
      <c r="I1906" s="8">
        <v>45945.66</v>
      </c>
      <c r="J1906" t="s">
        <v>2380</v>
      </c>
      <c r="K1906">
        <v>1202610</v>
      </c>
      <c r="L1906">
        <v>602864</v>
      </c>
      <c r="M1906" t="s">
        <v>2381</v>
      </c>
      <c r="P1906" t="s">
        <v>2394</v>
      </c>
      <c r="Q1906" t="s">
        <v>2383</v>
      </c>
      <c r="R1906">
        <v>1</v>
      </c>
      <c r="S1906" t="s">
        <v>2380</v>
      </c>
      <c r="T1906" t="s">
        <v>2383</v>
      </c>
      <c r="U1906" s="8">
        <v>45940.697164351855</v>
      </c>
      <c r="V1906" s="8">
        <v>45945.958333333336</v>
      </c>
      <c r="W1906">
        <v>1</v>
      </c>
      <c r="X1906">
        <v>2.962835648</v>
      </c>
      <c r="Y1906" t="s">
        <v>2579</v>
      </c>
      <c r="Z1906" t="s">
        <v>7704</v>
      </c>
      <c r="AA1906" t="s">
        <v>7705</v>
      </c>
      <c r="AB1906" t="s">
        <v>1278</v>
      </c>
      <c r="AC1906" t="s">
        <v>7706</v>
      </c>
      <c r="AD1906" t="s">
        <v>2708</v>
      </c>
      <c r="AE1906">
        <v>1</v>
      </c>
      <c r="AO1906" t="s">
        <v>2957</v>
      </c>
      <c r="AP1906" t="s">
        <v>2401</v>
      </c>
    </row>
    <row r="1907" spans="1:42">
      <c r="A1907" t="s">
        <v>3829</v>
      </c>
      <c r="B1907" t="s">
        <v>2389</v>
      </c>
      <c r="C1907" t="s">
        <v>2438</v>
      </c>
      <c r="D1907" t="s">
        <v>2379</v>
      </c>
      <c r="E1907" t="s">
        <v>33</v>
      </c>
      <c r="F1907" t="s">
        <v>3747</v>
      </c>
      <c r="G1907" t="s">
        <v>33</v>
      </c>
      <c r="H1907" t="b">
        <v>1</v>
      </c>
      <c r="I1907" s="8">
        <v>45943.462754629632</v>
      </c>
      <c r="J1907" t="s">
        <v>2380</v>
      </c>
      <c r="L1907">
        <v>606849</v>
      </c>
      <c r="M1907" t="s">
        <v>2381</v>
      </c>
      <c r="P1907" t="s">
        <v>2394</v>
      </c>
      <c r="Q1907" t="s">
        <v>2383</v>
      </c>
      <c r="R1907">
        <v>1</v>
      </c>
      <c r="S1907" t="s">
        <v>2380</v>
      </c>
      <c r="T1907" t="s">
        <v>2383</v>
      </c>
      <c r="U1907" s="8">
        <v>45940.701412037037</v>
      </c>
      <c r="V1907" s="8">
        <v>45945.958333333336</v>
      </c>
      <c r="W1907">
        <v>1</v>
      </c>
      <c r="X1907">
        <v>0.76134259299999996</v>
      </c>
      <c r="Y1907" t="s">
        <v>3748</v>
      </c>
      <c r="Z1907" t="s">
        <v>3830</v>
      </c>
      <c r="AA1907" t="s">
        <v>3755</v>
      </c>
      <c r="AB1907" t="s">
        <v>1278</v>
      </c>
      <c r="AC1907" t="s">
        <v>3831</v>
      </c>
      <c r="AE1907">
        <v>1</v>
      </c>
      <c r="AO1907" t="s">
        <v>2712</v>
      </c>
      <c r="AP1907" t="s">
        <v>2401</v>
      </c>
    </row>
    <row r="1908" spans="1:42">
      <c r="A1908" t="s">
        <v>7335</v>
      </c>
      <c r="B1908" t="s">
        <v>2389</v>
      </c>
      <c r="C1908" t="s">
        <v>2438</v>
      </c>
      <c r="D1908" t="s">
        <v>2379</v>
      </c>
      <c r="E1908" t="s">
        <v>25</v>
      </c>
      <c r="F1908" t="s">
        <v>2627</v>
      </c>
      <c r="G1908" t="s">
        <v>25</v>
      </c>
      <c r="H1908" t="b">
        <v>1</v>
      </c>
      <c r="I1908" s="8">
        <v>45943.471365740741</v>
      </c>
      <c r="J1908" t="s">
        <v>2380</v>
      </c>
      <c r="K1908">
        <v>1201789</v>
      </c>
      <c r="L1908">
        <v>603952</v>
      </c>
      <c r="M1908" t="s">
        <v>2381</v>
      </c>
      <c r="N1908">
        <v>5</v>
      </c>
      <c r="P1908" t="s">
        <v>2394</v>
      </c>
      <c r="Q1908" t="s">
        <v>2383</v>
      </c>
      <c r="R1908">
        <v>1</v>
      </c>
      <c r="S1908" t="s">
        <v>2380</v>
      </c>
      <c r="T1908" t="s">
        <v>2383</v>
      </c>
      <c r="U1908" s="8">
        <v>45940.704861111109</v>
      </c>
      <c r="V1908" s="8">
        <v>45945.958333333336</v>
      </c>
      <c r="W1908">
        <v>1</v>
      </c>
      <c r="X1908">
        <v>0.76650463000000002</v>
      </c>
      <c r="Y1908" t="s">
        <v>2628</v>
      </c>
      <c r="Z1908" t="s">
        <v>7336</v>
      </c>
      <c r="AA1908" t="s">
        <v>6758</v>
      </c>
      <c r="AB1908" t="s">
        <v>1278</v>
      </c>
      <c r="AC1908" t="s">
        <v>7337</v>
      </c>
      <c r="AD1908" t="s">
        <v>2708</v>
      </c>
      <c r="AE1908">
        <v>1</v>
      </c>
      <c r="AO1908" t="s">
        <v>2388</v>
      </c>
      <c r="AP1908" t="s">
        <v>2401</v>
      </c>
    </row>
    <row r="1909" spans="1:42">
      <c r="A1909" t="s">
        <v>9137</v>
      </c>
      <c r="B1909" t="s">
        <v>2389</v>
      </c>
      <c r="C1909" t="s">
        <v>2390</v>
      </c>
      <c r="D1909" t="s">
        <v>2379</v>
      </c>
      <c r="E1909" t="s">
        <v>33</v>
      </c>
      <c r="F1909" t="s">
        <v>8109</v>
      </c>
      <c r="G1909" t="s">
        <v>33</v>
      </c>
      <c r="H1909" t="b">
        <v>1</v>
      </c>
      <c r="I1909" s="8">
        <v>45945.644317129627</v>
      </c>
      <c r="J1909" t="s">
        <v>2380</v>
      </c>
      <c r="K1909">
        <v>1201776</v>
      </c>
      <c r="L1909">
        <v>604185</v>
      </c>
      <c r="M1909" t="s">
        <v>2381</v>
      </c>
      <c r="P1909" t="s">
        <v>2394</v>
      </c>
      <c r="Q1909" t="s">
        <v>2395</v>
      </c>
      <c r="R1909">
        <v>1</v>
      </c>
      <c r="S1909" t="s">
        <v>2380</v>
      </c>
      <c r="T1909" t="s">
        <v>2383</v>
      </c>
      <c r="U1909" s="8">
        <v>45940.705520833333</v>
      </c>
      <c r="V1909" s="8">
        <v>45945.958333333336</v>
      </c>
      <c r="W1909">
        <v>1</v>
      </c>
      <c r="X1909">
        <v>2.938796296</v>
      </c>
      <c r="Y1909" t="s">
        <v>8110</v>
      </c>
      <c r="Z1909" t="s">
        <v>9138</v>
      </c>
      <c r="AA1909" t="s">
        <v>8113</v>
      </c>
      <c r="AB1909" t="s">
        <v>1278</v>
      </c>
      <c r="AC1909" t="s">
        <v>9139</v>
      </c>
      <c r="AD1909" t="s">
        <v>2708</v>
      </c>
      <c r="AE1909">
        <v>1</v>
      </c>
      <c r="AH1909" t="s">
        <v>12</v>
      </c>
      <c r="AI1909" s="8">
        <v>45945.643263888887</v>
      </c>
      <c r="AK1909" t="s">
        <v>2719</v>
      </c>
      <c r="AL1909" t="s">
        <v>2719</v>
      </c>
      <c r="AO1909" t="s">
        <v>4137</v>
      </c>
      <c r="AP1909" t="s">
        <v>2401</v>
      </c>
    </row>
    <row r="1910" spans="1:42">
      <c r="A1910" t="s">
        <v>9340</v>
      </c>
      <c r="B1910" t="s">
        <v>2389</v>
      </c>
      <c r="C1910" t="s">
        <v>2443</v>
      </c>
      <c r="D1910" t="s">
        <v>2443</v>
      </c>
      <c r="E1910" t="s">
        <v>33</v>
      </c>
      <c r="F1910" t="s">
        <v>3891</v>
      </c>
      <c r="G1910" t="s">
        <v>33</v>
      </c>
      <c r="H1910" t="b">
        <v>1</v>
      </c>
      <c r="I1910" s="8">
        <v>45946.609305555554</v>
      </c>
      <c r="J1910" t="s">
        <v>2380</v>
      </c>
      <c r="K1910">
        <v>1202412</v>
      </c>
      <c r="L1910">
        <v>604434</v>
      </c>
      <c r="M1910" t="s">
        <v>2381</v>
      </c>
      <c r="P1910" t="s">
        <v>2394</v>
      </c>
      <c r="Q1910" t="s">
        <v>2395</v>
      </c>
      <c r="R1910">
        <v>1</v>
      </c>
      <c r="S1910" t="s">
        <v>2380</v>
      </c>
      <c r="T1910" t="s">
        <v>2383</v>
      </c>
      <c r="U1910" s="8">
        <v>45940.707673611112</v>
      </c>
      <c r="V1910" s="8">
        <v>45945.958333333336</v>
      </c>
      <c r="W1910">
        <v>1</v>
      </c>
      <c r="X1910">
        <v>3.901631944</v>
      </c>
      <c r="Y1910" t="s">
        <v>3892</v>
      </c>
      <c r="Z1910" t="s">
        <v>9341</v>
      </c>
      <c r="AA1910" t="s">
        <v>8532</v>
      </c>
      <c r="AB1910" t="s">
        <v>1278</v>
      </c>
      <c r="AC1910" t="s">
        <v>9342</v>
      </c>
      <c r="AD1910" t="s">
        <v>2708</v>
      </c>
      <c r="AE1910">
        <v>1</v>
      </c>
      <c r="AF1910">
        <v>2</v>
      </c>
      <c r="AH1910" t="s">
        <v>2723</v>
      </c>
      <c r="AI1910" s="8">
        <v>45946.603171296294</v>
      </c>
      <c r="AK1910" t="s">
        <v>2719</v>
      </c>
      <c r="AL1910" t="s">
        <v>2724</v>
      </c>
      <c r="AO1910" t="s">
        <v>4137</v>
      </c>
      <c r="AP1910" t="s">
        <v>2401</v>
      </c>
    </row>
    <row r="1911" spans="1:42">
      <c r="A1911" t="s">
        <v>3203</v>
      </c>
      <c r="B1911" t="s">
        <v>2377</v>
      </c>
      <c r="C1911" t="s">
        <v>2438</v>
      </c>
      <c r="D1911" t="s">
        <v>2379</v>
      </c>
      <c r="E1911" t="s">
        <v>307</v>
      </c>
      <c r="F1911" t="s">
        <v>2578</v>
      </c>
      <c r="G1911" t="s">
        <v>307</v>
      </c>
      <c r="H1911" t="b">
        <v>1</v>
      </c>
      <c r="I1911" s="8">
        <v>45943.576423611114</v>
      </c>
      <c r="J1911" t="s">
        <v>2380</v>
      </c>
      <c r="L1911">
        <v>608020</v>
      </c>
      <c r="M1911" t="s">
        <v>2381</v>
      </c>
      <c r="Q1911" t="s">
        <v>2383</v>
      </c>
      <c r="R1911">
        <v>1</v>
      </c>
      <c r="S1911" t="s">
        <v>2380</v>
      </c>
      <c r="T1911" t="s">
        <v>2383</v>
      </c>
      <c r="U1911" s="8">
        <v>45940.711122685185</v>
      </c>
      <c r="V1911" s="8">
        <v>45945.958333333336</v>
      </c>
      <c r="W1911">
        <v>1</v>
      </c>
      <c r="X1911">
        <v>0.86530092599999997</v>
      </c>
      <c r="Y1911" t="s">
        <v>2579</v>
      </c>
      <c r="Z1911" t="s">
        <v>3204</v>
      </c>
      <c r="AA1911" t="s">
        <v>1293</v>
      </c>
      <c r="AB1911" t="s">
        <v>1278</v>
      </c>
      <c r="AC1911" t="s">
        <v>3205</v>
      </c>
      <c r="AE1911">
        <v>1</v>
      </c>
      <c r="AO1911" t="s">
        <v>2388</v>
      </c>
      <c r="AP1911" t="s">
        <v>2401</v>
      </c>
    </row>
    <row r="1912" spans="1:42">
      <c r="A1912" t="s">
        <v>7338</v>
      </c>
      <c r="B1912" t="s">
        <v>2389</v>
      </c>
      <c r="C1912" t="s">
        <v>2438</v>
      </c>
      <c r="D1912" t="s">
        <v>2379</v>
      </c>
      <c r="E1912" t="s">
        <v>25</v>
      </c>
      <c r="F1912" t="s">
        <v>2627</v>
      </c>
      <c r="G1912" t="s">
        <v>25</v>
      </c>
      <c r="H1912" t="b">
        <v>1</v>
      </c>
      <c r="I1912" s="8">
        <v>45943.464907407404</v>
      </c>
      <c r="J1912" t="s">
        <v>2380</v>
      </c>
      <c r="K1912">
        <v>1201783</v>
      </c>
      <c r="L1912">
        <v>603952</v>
      </c>
      <c r="M1912" t="s">
        <v>2381</v>
      </c>
      <c r="N1912">
        <v>5</v>
      </c>
      <c r="P1912" t="s">
        <v>2394</v>
      </c>
      <c r="Q1912" t="s">
        <v>2383</v>
      </c>
      <c r="R1912">
        <v>1</v>
      </c>
      <c r="S1912" t="s">
        <v>2380</v>
      </c>
      <c r="T1912" t="s">
        <v>2383</v>
      </c>
      <c r="U1912" s="8">
        <v>45940.718229166669</v>
      </c>
      <c r="V1912" s="8">
        <v>45945.958333333336</v>
      </c>
      <c r="W1912">
        <v>1</v>
      </c>
      <c r="X1912">
        <v>0.74667824100000002</v>
      </c>
      <c r="Y1912" t="s">
        <v>2628</v>
      </c>
      <c r="Z1912" t="s">
        <v>7339</v>
      </c>
      <c r="AA1912" t="s">
        <v>6758</v>
      </c>
      <c r="AB1912" t="s">
        <v>1278</v>
      </c>
      <c r="AC1912" t="s">
        <v>7340</v>
      </c>
      <c r="AD1912" t="s">
        <v>2708</v>
      </c>
      <c r="AE1912">
        <v>1</v>
      </c>
      <c r="AO1912" t="s">
        <v>2388</v>
      </c>
      <c r="AP1912" t="s">
        <v>2401</v>
      </c>
    </row>
    <row r="1913" spans="1:42">
      <c r="A1913" t="s">
        <v>9140</v>
      </c>
      <c r="B1913" t="s">
        <v>2389</v>
      </c>
      <c r="C1913" t="s">
        <v>2390</v>
      </c>
      <c r="D1913" t="s">
        <v>2379</v>
      </c>
      <c r="E1913" t="s">
        <v>33</v>
      </c>
      <c r="F1913" t="s">
        <v>8109</v>
      </c>
      <c r="G1913" t="s">
        <v>33</v>
      </c>
      <c r="H1913" t="b">
        <v>1</v>
      </c>
      <c r="I1913" s="8">
        <v>45945.652569444443</v>
      </c>
      <c r="J1913" t="s">
        <v>2380</v>
      </c>
      <c r="K1913">
        <v>1201777</v>
      </c>
      <c r="L1913">
        <v>604185</v>
      </c>
      <c r="M1913" t="s">
        <v>2381</v>
      </c>
      <c r="P1913" t="s">
        <v>2394</v>
      </c>
      <c r="Q1913" t="s">
        <v>2395</v>
      </c>
      <c r="R1913">
        <v>1</v>
      </c>
      <c r="S1913" t="s">
        <v>2380</v>
      </c>
      <c r="T1913" t="s">
        <v>2383</v>
      </c>
      <c r="U1913" s="8">
        <v>45940.77138888889</v>
      </c>
      <c r="V1913" s="8">
        <v>45945.958333333336</v>
      </c>
      <c r="W1913">
        <v>1</v>
      </c>
      <c r="X1913">
        <v>2.8811805559999999</v>
      </c>
      <c r="Y1913" t="s">
        <v>8110</v>
      </c>
      <c r="Z1913" t="s">
        <v>9141</v>
      </c>
      <c r="AA1913" t="s">
        <v>8113</v>
      </c>
      <c r="AB1913" t="s">
        <v>1278</v>
      </c>
      <c r="AC1913" t="s">
        <v>9142</v>
      </c>
      <c r="AD1913" t="s">
        <v>2708</v>
      </c>
      <c r="AE1913">
        <v>1</v>
      </c>
      <c r="AH1913" t="s">
        <v>12</v>
      </c>
      <c r="AI1913" s="8">
        <v>45945.646840277775</v>
      </c>
      <c r="AK1913" t="s">
        <v>2719</v>
      </c>
      <c r="AL1913" t="s">
        <v>2719</v>
      </c>
      <c r="AO1913" t="s">
        <v>4137</v>
      </c>
      <c r="AP1913" t="s">
        <v>2401</v>
      </c>
    </row>
    <row r="1914" spans="1:42">
      <c r="A1914" t="s">
        <v>9315</v>
      </c>
      <c r="B1914" t="s">
        <v>2389</v>
      </c>
      <c r="C1914" t="s">
        <v>2443</v>
      </c>
      <c r="D1914" t="s">
        <v>2443</v>
      </c>
      <c r="E1914" t="s">
        <v>2452</v>
      </c>
      <c r="F1914" t="s">
        <v>2541</v>
      </c>
      <c r="G1914" t="s">
        <v>2452</v>
      </c>
      <c r="H1914" t="b">
        <v>1</v>
      </c>
      <c r="I1914" s="8">
        <v>45946.608472222222</v>
      </c>
      <c r="J1914" t="s">
        <v>2380</v>
      </c>
      <c r="K1914">
        <v>1202647</v>
      </c>
      <c r="L1914">
        <v>601096</v>
      </c>
      <c r="M1914" t="s">
        <v>2381</v>
      </c>
      <c r="P1914" t="s">
        <v>2427</v>
      </c>
      <c r="Q1914" t="s">
        <v>2383</v>
      </c>
      <c r="R1914">
        <v>1</v>
      </c>
      <c r="S1914" t="s">
        <v>2380</v>
      </c>
      <c r="T1914" t="s">
        <v>2383</v>
      </c>
      <c r="U1914" s="8">
        <v>45941.38994212963</v>
      </c>
      <c r="V1914" s="8">
        <v>45945.958333333336</v>
      </c>
      <c r="W1914">
        <v>1</v>
      </c>
      <c r="X1914">
        <v>3.218530093</v>
      </c>
      <c r="Y1914" t="s">
        <v>2542</v>
      </c>
      <c r="Z1914" t="s">
        <v>9316</v>
      </c>
      <c r="AA1914" t="s">
        <v>2888</v>
      </c>
      <c r="AB1914" t="s">
        <v>1278</v>
      </c>
      <c r="AC1914" t="s">
        <v>9317</v>
      </c>
      <c r="AD1914" t="s">
        <v>2708</v>
      </c>
      <c r="AE1914">
        <v>1</v>
      </c>
      <c r="AF1914">
        <v>2</v>
      </c>
      <c r="AH1914" t="s">
        <v>2723</v>
      </c>
      <c r="AI1914" s="8">
        <v>45946.605821759258</v>
      </c>
      <c r="AK1914" t="s">
        <v>2719</v>
      </c>
      <c r="AL1914" t="s">
        <v>2724</v>
      </c>
      <c r="AO1914" t="s">
        <v>2547</v>
      </c>
      <c r="AP1914" t="s">
        <v>2401</v>
      </c>
    </row>
    <row r="1915" spans="1:42">
      <c r="A1915" t="s">
        <v>630</v>
      </c>
      <c r="B1915" t="s">
        <v>2377</v>
      </c>
      <c r="C1915" t="s">
        <v>2438</v>
      </c>
      <c r="D1915" t="s">
        <v>2379</v>
      </c>
      <c r="E1915" t="s">
        <v>12</v>
      </c>
      <c r="F1915" t="s">
        <v>2588</v>
      </c>
      <c r="G1915" t="s">
        <v>12</v>
      </c>
      <c r="H1915" t="b">
        <v>1</v>
      </c>
      <c r="I1915" s="8">
        <v>45944.375092592592</v>
      </c>
      <c r="J1915" t="s">
        <v>2380</v>
      </c>
      <c r="L1915">
        <v>609713</v>
      </c>
      <c r="M1915" t="s">
        <v>2381</v>
      </c>
      <c r="Q1915" t="s">
        <v>2383</v>
      </c>
      <c r="R1915">
        <v>1</v>
      </c>
      <c r="S1915" t="s">
        <v>2380</v>
      </c>
      <c r="T1915" t="s">
        <v>2383</v>
      </c>
      <c r="U1915" s="8">
        <v>45941.394375000003</v>
      </c>
      <c r="V1915" s="8">
        <v>45945.958333333336</v>
      </c>
      <c r="W1915">
        <v>1</v>
      </c>
      <c r="X1915">
        <v>0.98071759300000005</v>
      </c>
      <c r="Y1915" t="s">
        <v>2579</v>
      </c>
      <c r="Z1915" t="s">
        <v>9746</v>
      </c>
      <c r="AA1915" t="s">
        <v>9747</v>
      </c>
      <c r="AB1915" t="s">
        <v>1278</v>
      </c>
      <c r="AC1915" t="s">
        <v>9748</v>
      </c>
      <c r="AD1915" t="s">
        <v>2708</v>
      </c>
      <c r="AE1915">
        <v>1</v>
      </c>
      <c r="AO1915" t="s">
        <v>3644</v>
      </c>
      <c r="AP1915" t="s">
        <v>2401</v>
      </c>
    </row>
    <row r="1916" spans="1:42">
      <c r="A1916" t="s">
        <v>423</v>
      </c>
      <c r="B1916" t="s">
        <v>2377</v>
      </c>
      <c r="C1916" t="s">
        <v>2390</v>
      </c>
      <c r="D1916" t="s">
        <v>2379</v>
      </c>
      <c r="E1916" t="s">
        <v>33</v>
      </c>
      <c r="F1916">
        <v>4390</v>
      </c>
      <c r="G1916" t="s">
        <v>33</v>
      </c>
      <c r="H1916" t="b">
        <v>1</v>
      </c>
      <c r="I1916" s="8">
        <v>45945.652557870373</v>
      </c>
      <c r="J1916" t="s">
        <v>2380</v>
      </c>
      <c r="L1916">
        <v>609743</v>
      </c>
      <c r="M1916" t="s">
        <v>2381</v>
      </c>
      <c r="Q1916" t="s">
        <v>2383</v>
      </c>
      <c r="R1916">
        <v>1</v>
      </c>
      <c r="S1916" t="s">
        <v>2380</v>
      </c>
      <c r="T1916" t="s">
        <v>2383</v>
      </c>
      <c r="U1916" s="8">
        <v>45941.483495370368</v>
      </c>
      <c r="V1916" s="8">
        <v>45945.958333333336</v>
      </c>
      <c r="W1916">
        <v>1</v>
      </c>
      <c r="X1916">
        <v>2.1690624999999999</v>
      </c>
      <c r="Y1916" t="s">
        <v>3428</v>
      </c>
      <c r="Z1916" t="s">
        <v>5178</v>
      </c>
      <c r="AA1916" t="s">
        <v>3431</v>
      </c>
      <c r="AB1916" t="s">
        <v>1278</v>
      </c>
      <c r="AC1916" t="s">
        <v>5179</v>
      </c>
      <c r="AD1916" t="s">
        <v>2708</v>
      </c>
      <c r="AE1916">
        <v>1</v>
      </c>
      <c r="AH1916" t="s">
        <v>12</v>
      </c>
      <c r="AI1916" s="8">
        <v>45945.438657407409</v>
      </c>
      <c r="AK1916" t="s">
        <v>2719</v>
      </c>
      <c r="AL1916" t="s">
        <v>5161</v>
      </c>
      <c r="AM1916" t="s">
        <v>5174</v>
      </c>
      <c r="AO1916" t="s">
        <v>2388</v>
      </c>
      <c r="AP1916" t="s">
        <v>2401</v>
      </c>
    </row>
    <row r="1917" spans="1:42">
      <c r="A1917" t="s">
        <v>6700</v>
      </c>
      <c r="B1917" t="s">
        <v>2389</v>
      </c>
      <c r="C1917" t="s">
        <v>2438</v>
      </c>
      <c r="D1917" t="s">
        <v>2379</v>
      </c>
      <c r="E1917" t="s">
        <v>307</v>
      </c>
      <c r="F1917" t="s">
        <v>6698</v>
      </c>
      <c r="G1917" t="s">
        <v>307</v>
      </c>
      <c r="H1917" t="b">
        <v>1</v>
      </c>
      <c r="I1917" s="8">
        <v>45942.53765046296</v>
      </c>
      <c r="J1917" t="s">
        <v>2380</v>
      </c>
      <c r="K1917">
        <v>1201734</v>
      </c>
      <c r="L1917">
        <v>601039</v>
      </c>
      <c r="M1917" t="s">
        <v>2381</v>
      </c>
      <c r="Q1917" t="s">
        <v>2383</v>
      </c>
      <c r="R1917">
        <v>1</v>
      </c>
      <c r="S1917" t="s">
        <v>2380</v>
      </c>
      <c r="T1917" t="s">
        <v>2383</v>
      </c>
      <c r="U1917" s="8">
        <v>45942.520833333336</v>
      </c>
      <c r="V1917" s="8">
        <v>45945.958333333336</v>
      </c>
      <c r="W1917">
        <v>1</v>
      </c>
      <c r="X1917">
        <v>1.681713E-2</v>
      </c>
      <c r="Y1917" t="s">
        <v>6699</v>
      </c>
      <c r="Z1917" t="s">
        <v>6701</v>
      </c>
      <c r="AA1917" t="s">
        <v>6702</v>
      </c>
      <c r="AB1917" t="s">
        <v>1278</v>
      </c>
      <c r="AC1917" t="s">
        <v>6703</v>
      </c>
      <c r="AD1917" t="s">
        <v>2708</v>
      </c>
      <c r="AE1917">
        <v>1</v>
      </c>
      <c r="AO1917" t="s">
        <v>2388</v>
      </c>
      <c r="AP1917" t="s">
        <v>2401</v>
      </c>
    </row>
    <row r="1918" spans="1:42">
      <c r="A1918" t="s">
        <v>7749</v>
      </c>
      <c r="B1918" t="s">
        <v>2389</v>
      </c>
      <c r="C1918" t="s">
        <v>2378</v>
      </c>
      <c r="D1918" t="s">
        <v>2379</v>
      </c>
      <c r="E1918" t="s">
        <v>2452</v>
      </c>
      <c r="F1918" t="s">
        <v>7743</v>
      </c>
      <c r="G1918" t="s">
        <v>2452</v>
      </c>
      <c r="H1918" t="b">
        <v>1</v>
      </c>
      <c r="I1918" s="8">
        <v>45946.540393518517</v>
      </c>
      <c r="J1918" t="s">
        <v>2380</v>
      </c>
      <c r="K1918">
        <v>1202776</v>
      </c>
      <c r="L1918">
        <v>602352</v>
      </c>
      <c r="M1918" t="s">
        <v>2381</v>
      </c>
      <c r="P1918" t="s">
        <v>2394</v>
      </c>
      <c r="Q1918" t="s">
        <v>2383</v>
      </c>
      <c r="R1918">
        <v>1</v>
      </c>
      <c r="S1918" t="s">
        <v>2380</v>
      </c>
      <c r="T1918" t="s">
        <v>2383</v>
      </c>
      <c r="U1918" s="8">
        <v>45942.577048611114</v>
      </c>
      <c r="V1918" s="8">
        <v>45951.958333333336</v>
      </c>
      <c r="W1918">
        <v>1</v>
      </c>
      <c r="X1918">
        <v>3.9633449070000002</v>
      </c>
      <c r="Y1918" t="s">
        <v>7744</v>
      </c>
      <c r="Z1918" t="s">
        <v>7750</v>
      </c>
      <c r="AA1918" t="s">
        <v>7747</v>
      </c>
      <c r="AB1918" t="s">
        <v>1278</v>
      </c>
      <c r="AC1918" t="s">
        <v>7751</v>
      </c>
      <c r="AD1918" t="s">
        <v>2708</v>
      </c>
      <c r="AE1918">
        <v>1</v>
      </c>
      <c r="AO1918" t="s">
        <v>2957</v>
      </c>
      <c r="AP1918" t="s">
        <v>2401</v>
      </c>
    </row>
    <row r="1919" spans="1:42">
      <c r="A1919" t="s">
        <v>10084</v>
      </c>
      <c r="B1919" t="s">
        <v>2389</v>
      </c>
      <c r="C1919" t="s">
        <v>2443</v>
      </c>
      <c r="D1919" t="s">
        <v>2443</v>
      </c>
      <c r="E1919" t="s">
        <v>2452</v>
      </c>
      <c r="F1919" t="s">
        <v>3218</v>
      </c>
      <c r="G1919" t="s">
        <v>2452</v>
      </c>
      <c r="H1919" t="b">
        <v>1</v>
      </c>
      <c r="I1919" s="8">
        <v>45952.528252314813</v>
      </c>
      <c r="J1919" t="s">
        <v>2380</v>
      </c>
      <c r="L1919">
        <v>603437</v>
      </c>
      <c r="M1919" t="s">
        <v>2381</v>
      </c>
      <c r="P1919" t="s">
        <v>2394</v>
      </c>
      <c r="Q1919" t="s">
        <v>2383</v>
      </c>
      <c r="R1919">
        <v>1</v>
      </c>
      <c r="S1919" t="s">
        <v>2380</v>
      </c>
      <c r="T1919" t="s">
        <v>2383</v>
      </c>
      <c r="U1919" s="8">
        <v>45942.709027777775</v>
      </c>
      <c r="V1919" s="8">
        <v>45951.958333333336</v>
      </c>
      <c r="W1919">
        <v>1</v>
      </c>
      <c r="X1919">
        <v>7.8192245370000002</v>
      </c>
      <c r="Y1919" t="s">
        <v>3219</v>
      </c>
      <c r="Z1919" t="s">
        <v>10085</v>
      </c>
      <c r="AA1919" t="s">
        <v>9574</v>
      </c>
      <c r="AB1919" t="s">
        <v>1278</v>
      </c>
      <c r="AC1919" t="s">
        <v>10086</v>
      </c>
      <c r="AE1919">
        <v>1</v>
      </c>
      <c r="AO1919" t="s">
        <v>2957</v>
      </c>
      <c r="AP1919" t="s">
        <v>2401</v>
      </c>
    </row>
    <row r="1920" spans="1:42">
      <c r="A1920" t="s">
        <v>6184</v>
      </c>
      <c r="B1920" t="s">
        <v>2389</v>
      </c>
      <c r="C1920" t="s">
        <v>2390</v>
      </c>
      <c r="D1920" t="s">
        <v>2379</v>
      </c>
      <c r="E1920" t="s">
        <v>25</v>
      </c>
      <c r="F1920" t="s">
        <v>2578</v>
      </c>
      <c r="G1920" t="s">
        <v>25</v>
      </c>
      <c r="H1920" t="b">
        <v>1</v>
      </c>
      <c r="I1920" s="8">
        <v>45945.635879629626</v>
      </c>
      <c r="J1920" t="s">
        <v>2380</v>
      </c>
      <c r="K1920">
        <v>1202598</v>
      </c>
      <c r="L1920">
        <v>602543</v>
      </c>
      <c r="M1920" t="s">
        <v>2381</v>
      </c>
      <c r="N1920">
        <v>5</v>
      </c>
      <c r="P1920" t="s">
        <v>2394</v>
      </c>
      <c r="Q1920" t="s">
        <v>2383</v>
      </c>
      <c r="R1920">
        <v>1</v>
      </c>
      <c r="S1920" t="s">
        <v>2380</v>
      </c>
      <c r="T1920" t="s">
        <v>2383</v>
      </c>
      <c r="U1920" s="8">
        <v>45943.362766203703</v>
      </c>
      <c r="V1920" s="8">
        <v>45946.958333333336</v>
      </c>
      <c r="W1920">
        <v>1</v>
      </c>
      <c r="X1920">
        <v>2.2731134260000001</v>
      </c>
      <c r="Y1920" t="s">
        <v>2579</v>
      </c>
      <c r="Z1920" t="s">
        <v>6185</v>
      </c>
      <c r="AA1920" t="s">
        <v>6048</v>
      </c>
      <c r="AB1920" t="s">
        <v>1278</v>
      </c>
      <c r="AC1920" t="s">
        <v>6186</v>
      </c>
      <c r="AD1920" t="s">
        <v>2708</v>
      </c>
      <c r="AE1920">
        <v>1</v>
      </c>
      <c r="AO1920" t="s">
        <v>2547</v>
      </c>
      <c r="AP1920" t="s">
        <v>2401</v>
      </c>
    </row>
    <row r="1921" spans="1:42">
      <c r="A1921" t="s">
        <v>10097</v>
      </c>
      <c r="B1921" t="s">
        <v>2389</v>
      </c>
      <c r="C1921" t="s">
        <v>2378</v>
      </c>
      <c r="D1921" t="s">
        <v>2379</v>
      </c>
      <c r="E1921" t="s">
        <v>2452</v>
      </c>
      <c r="F1921" t="s">
        <v>3613</v>
      </c>
      <c r="G1921" t="s">
        <v>2452</v>
      </c>
      <c r="H1921" t="b">
        <v>1</v>
      </c>
      <c r="I1921" s="8">
        <v>45946.408125000002</v>
      </c>
      <c r="J1921" t="s">
        <v>2380</v>
      </c>
      <c r="K1921">
        <v>3604239</v>
      </c>
      <c r="L1921">
        <v>606814</v>
      </c>
      <c r="M1921" t="s">
        <v>2381</v>
      </c>
      <c r="P1921" t="s">
        <v>2394</v>
      </c>
      <c r="Q1921" t="s">
        <v>2383</v>
      </c>
      <c r="R1921">
        <v>1</v>
      </c>
      <c r="S1921" t="s">
        <v>2380</v>
      </c>
      <c r="T1921" t="s">
        <v>2383</v>
      </c>
      <c r="U1921" s="8">
        <v>45943.389386574076</v>
      </c>
      <c r="V1921" s="8">
        <v>45946.958333333336</v>
      </c>
      <c r="W1921">
        <v>1</v>
      </c>
      <c r="X1921">
        <v>3.0187384260000001</v>
      </c>
      <c r="Y1921" t="s">
        <v>3614</v>
      </c>
      <c r="Z1921" t="s">
        <v>10098</v>
      </c>
      <c r="AA1921" t="s">
        <v>7784</v>
      </c>
      <c r="AB1921" t="s">
        <v>1278</v>
      </c>
      <c r="AC1921" t="s">
        <v>10099</v>
      </c>
      <c r="AE1921">
        <v>1</v>
      </c>
      <c r="AO1921" t="s">
        <v>2957</v>
      </c>
      <c r="AP1921" t="s">
        <v>2401</v>
      </c>
    </row>
    <row r="1922" spans="1:42">
      <c r="A1922" t="s">
        <v>6997</v>
      </c>
      <c r="B1922" t="s">
        <v>2389</v>
      </c>
      <c r="C1922" t="s">
        <v>2378</v>
      </c>
      <c r="D1922" t="s">
        <v>2379</v>
      </c>
      <c r="E1922" t="s">
        <v>2452</v>
      </c>
      <c r="F1922" t="s">
        <v>3514</v>
      </c>
      <c r="G1922" t="s">
        <v>2452</v>
      </c>
      <c r="H1922" t="b">
        <v>1</v>
      </c>
      <c r="I1922" s="8">
        <v>45946.429618055554</v>
      </c>
      <c r="J1922" t="s">
        <v>2380</v>
      </c>
      <c r="K1922">
        <v>1202659</v>
      </c>
      <c r="L1922">
        <v>606958</v>
      </c>
      <c r="M1922" t="s">
        <v>2381</v>
      </c>
      <c r="P1922" t="s">
        <v>2394</v>
      </c>
      <c r="Q1922" t="s">
        <v>2383</v>
      </c>
      <c r="R1922">
        <v>1</v>
      </c>
      <c r="S1922" t="s">
        <v>2380</v>
      </c>
      <c r="T1922" t="s">
        <v>2383</v>
      </c>
      <c r="U1922" s="8">
        <v>45943.405555555553</v>
      </c>
      <c r="V1922" s="8">
        <v>45946.958333333336</v>
      </c>
      <c r="W1922">
        <v>1</v>
      </c>
      <c r="X1922">
        <v>3.0240624999999999</v>
      </c>
      <c r="Y1922" t="s">
        <v>3515</v>
      </c>
      <c r="Z1922" t="s">
        <v>6998</v>
      </c>
      <c r="AA1922" t="s">
        <v>4489</v>
      </c>
      <c r="AB1922" t="s">
        <v>1278</v>
      </c>
      <c r="AC1922" t="s">
        <v>6999</v>
      </c>
      <c r="AD1922" t="s">
        <v>2708</v>
      </c>
      <c r="AE1922">
        <v>1</v>
      </c>
      <c r="AO1922" t="s">
        <v>2388</v>
      </c>
      <c r="AP1922" t="s">
        <v>2401</v>
      </c>
    </row>
    <row r="1923" spans="1:42">
      <c r="A1923" t="s">
        <v>3206</v>
      </c>
      <c r="B1923" t="s">
        <v>2377</v>
      </c>
      <c r="C1923" t="s">
        <v>2438</v>
      </c>
      <c r="D1923" t="s">
        <v>2379</v>
      </c>
      <c r="E1923" t="s">
        <v>307</v>
      </c>
      <c r="F1923" t="s">
        <v>2578</v>
      </c>
      <c r="G1923" t="s">
        <v>307</v>
      </c>
      <c r="H1923" t="b">
        <v>1</v>
      </c>
      <c r="I1923" s="8">
        <v>45943.759583333333</v>
      </c>
      <c r="J1923" t="s">
        <v>2380</v>
      </c>
      <c r="L1923">
        <v>608020</v>
      </c>
      <c r="M1923" t="s">
        <v>2381</v>
      </c>
      <c r="Q1923" t="s">
        <v>2383</v>
      </c>
      <c r="R1923">
        <v>1</v>
      </c>
      <c r="S1923" t="s">
        <v>2380</v>
      </c>
      <c r="T1923" t="s">
        <v>2383</v>
      </c>
      <c r="U1923" s="8">
        <v>45943.405752314815</v>
      </c>
      <c r="V1923" s="8">
        <v>45946.958333333336</v>
      </c>
      <c r="W1923">
        <v>1</v>
      </c>
      <c r="X1923">
        <v>0.35383101900000002</v>
      </c>
      <c r="Y1923" t="s">
        <v>2579</v>
      </c>
      <c r="Z1923" t="s">
        <v>3207</v>
      </c>
      <c r="AA1923" t="s">
        <v>1293</v>
      </c>
      <c r="AB1923" t="s">
        <v>1278</v>
      </c>
      <c r="AC1923" t="s">
        <v>3208</v>
      </c>
      <c r="AE1923">
        <v>1</v>
      </c>
      <c r="AO1923" t="s">
        <v>2388</v>
      </c>
      <c r="AP1923" t="s">
        <v>2401</v>
      </c>
    </row>
    <row r="1924" spans="1:42">
      <c r="A1924" t="s">
        <v>4038</v>
      </c>
      <c r="B1924" t="s">
        <v>2389</v>
      </c>
      <c r="C1924" t="s">
        <v>2415</v>
      </c>
      <c r="D1924" t="s">
        <v>2379</v>
      </c>
      <c r="E1924" t="s">
        <v>33</v>
      </c>
      <c r="F1924" t="s">
        <v>3747</v>
      </c>
      <c r="G1924" t="s">
        <v>33</v>
      </c>
      <c r="H1924" t="b">
        <v>1</v>
      </c>
      <c r="I1924" s="8">
        <v>45944.456863425927</v>
      </c>
      <c r="J1924" t="s">
        <v>2380</v>
      </c>
      <c r="K1924">
        <v>1202293</v>
      </c>
      <c r="L1924">
        <v>602272</v>
      </c>
      <c r="M1924" t="s">
        <v>2381</v>
      </c>
      <c r="P1924" t="s">
        <v>2394</v>
      </c>
      <c r="Q1924" t="s">
        <v>2383</v>
      </c>
      <c r="R1924">
        <v>1</v>
      </c>
      <c r="S1924" t="s">
        <v>2380</v>
      </c>
      <c r="T1924" t="s">
        <v>2383</v>
      </c>
      <c r="U1924" s="8">
        <v>45943.413298611114</v>
      </c>
      <c r="V1924" s="8">
        <v>45946.958333333336</v>
      </c>
      <c r="W1924">
        <v>1</v>
      </c>
      <c r="X1924">
        <v>1.0435648150000001</v>
      </c>
      <c r="Y1924" t="s">
        <v>3748</v>
      </c>
      <c r="Z1924" t="s">
        <v>4039</v>
      </c>
      <c r="AA1924" t="s">
        <v>3824</v>
      </c>
      <c r="AB1924" t="s">
        <v>1278</v>
      </c>
      <c r="AC1924" t="s">
        <v>4040</v>
      </c>
      <c r="AD1924" t="s">
        <v>2708</v>
      </c>
      <c r="AE1924">
        <v>1</v>
      </c>
      <c r="AO1924" t="s">
        <v>2712</v>
      </c>
      <c r="AP1924" t="s">
        <v>2401</v>
      </c>
    </row>
    <row r="1925" spans="1:42">
      <c r="A1925" t="s">
        <v>9032</v>
      </c>
      <c r="B1925" t="s">
        <v>2389</v>
      </c>
      <c r="C1925" t="s">
        <v>2378</v>
      </c>
      <c r="D1925" t="s">
        <v>2379</v>
      </c>
      <c r="E1925" t="s">
        <v>25</v>
      </c>
      <c r="F1925" t="s">
        <v>2541</v>
      </c>
      <c r="G1925" t="s">
        <v>25</v>
      </c>
      <c r="H1925" t="b">
        <v>1</v>
      </c>
      <c r="I1925" s="8">
        <v>45946.472650462965</v>
      </c>
      <c r="J1925" t="s">
        <v>2380</v>
      </c>
      <c r="K1925">
        <v>1202611</v>
      </c>
      <c r="L1925">
        <v>608626</v>
      </c>
      <c r="M1925" t="s">
        <v>2381</v>
      </c>
      <c r="N1925">
        <v>5</v>
      </c>
      <c r="P1925" t="s">
        <v>2548</v>
      </c>
      <c r="Q1925" t="s">
        <v>2383</v>
      </c>
      <c r="R1925">
        <v>1</v>
      </c>
      <c r="S1925" t="s">
        <v>2380</v>
      </c>
      <c r="T1925" t="s">
        <v>2383</v>
      </c>
      <c r="U1925" s="8">
        <v>45943.428182870368</v>
      </c>
      <c r="V1925" s="8">
        <v>45946.958333333336</v>
      </c>
      <c r="W1925">
        <v>1</v>
      </c>
      <c r="X1925">
        <v>3.0444675929999998</v>
      </c>
      <c r="Y1925" t="s">
        <v>2542</v>
      </c>
      <c r="Z1925" t="s">
        <v>9033</v>
      </c>
      <c r="AA1925" t="s">
        <v>2551</v>
      </c>
      <c r="AB1925" t="s">
        <v>1278</v>
      </c>
      <c r="AC1925" t="s">
        <v>9034</v>
      </c>
      <c r="AD1925" t="s">
        <v>2708</v>
      </c>
      <c r="AE1925">
        <v>1</v>
      </c>
      <c r="AH1925" t="s">
        <v>24</v>
      </c>
      <c r="AI1925" s="8">
        <v>45946.460532407407</v>
      </c>
      <c r="AK1925" t="s">
        <v>2719</v>
      </c>
      <c r="AL1925" t="s">
        <v>2719</v>
      </c>
      <c r="AO1925" t="s">
        <v>2547</v>
      </c>
      <c r="AP1925" t="s">
        <v>2401</v>
      </c>
    </row>
    <row r="1926" spans="1:42">
      <c r="A1926" t="s">
        <v>7714</v>
      </c>
      <c r="B1926" t="s">
        <v>2389</v>
      </c>
      <c r="C1926" t="s">
        <v>2378</v>
      </c>
      <c r="D1926" t="s">
        <v>2379</v>
      </c>
      <c r="E1926" t="s">
        <v>2452</v>
      </c>
      <c r="F1926" t="s">
        <v>3514</v>
      </c>
      <c r="G1926" t="s">
        <v>2452</v>
      </c>
      <c r="H1926" t="b">
        <v>1</v>
      </c>
      <c r="I1926" s="8">
        <v>45946.439918981479</v>
      </c>
      <c r="J1926" t="s">
        <v>2380</v>
      </c>
      <c r="K1926">
        <v>1202691</v>
      </c>
      <c r="L1926">
        <v>603695</v>
      </c>
      <c r="M1926" t="s">
        <v>2381</v>
      </c>
      <c r="P1926" t="s">
        <v>2394</v>
      </c>
      <c r="Q1926" t="s">
        <v>2383</v>
      </c>
      <c r="R1926">
        <v>1</v>
      </c>
      <c r="S1926" t="s">
        <v>2380</v>
      </c>
      <c r="T1926" t="s">
        <v>2383</v>
      </c>
      <c r="U1926" s="8">
        <v>45943.430381944447</v>
      </c>
      <c r="V1926" s="8">
        <v>45946.958333333336</v>
      </c>
      <c r="W1926">
        <v>1</v>
      </c>
      <c r="X1926">
        <v>3.0095370369999999</v>
      </c>
      <c r="Y1926" t="s">
        <v>3515</v>
      </c>
      <c r="Z1926" t="s">
        <v>7715</v>
      </c>
      <c r="AA1926" t="s">
        <v>3518</v>
      </c>
      <c r="AB1926" t="s">
        <v>1278</v>
      </c>
      <c r="AC1926" t="s">
        <v>7716</v>
      </c>
      <c r="AD1926" t="s">
        <v>2708</v>
      </c>
      <c r="AE1926">
        <v>1</v>
      </c>
      <c r="AO1926" t="s">
        <v>2957</v>
      </c>
      <c r="AP1926" t="s">
        <v>2401</v>
      </c>
    </row>
    <row r="1927" spans="1:42">
      <c r="A1927" t="s">
        <v>5274</v>
      </c>
      <c r="B1927" t="s">
        <v>2389</v>
      </c>
      <c r="C1927" t="s">
        <v>2390</v>
      </c>
      <c r="D1927" t="s">
        <v>2379</v>
      </c>
      <c r="E1927" t="s">
        <v>2601</v>
      </c>
      <c r="F1927" t="s">
        <v>2477</v>
      </c>
      <c r="G1927" t="s">
        <v>2601</v>
      </c>
      <c r="H1927" t="b">
        <v>1</v>
      </c>
      <c r="I1927" s="8">
        <v>45946.394641203704</v>
      </c>
      <c r="J1927" t="s">
        <v>2380</v>
      </c>
      <c r="K1927">
        <v>1202649</v>
      </c>
      <c r="L1927">
        <v>603573</v>
      </c>
      <c r="M1927" t="s">
        <v>2381</v>
      </c>
      <c r="P1927" t="s">
        <v>2394</v>
      </c>
      <c r="Q1927" t="s">
        <v>2383</v>
      </c>
      <c r="R1927">
        <v>1</v>
      </c>
      <c r="S1927" t="s">
        <v>2380</v>
      </c>
      <c r="T1927" t="s">
        <v>2383</v>
      </c>
      <c r="U1927" s="8">
        <v>45943.431018518517</v>
      </c>
      <c r="V1927" s="8">
        <v>45946.958333333336</v>
      </c>
      <c r="W1927">
        <v>1</v>
      </c>
      <c r="X1927">
        <v>2.9636226849999998</v>
      </c>
      <c r="Y1927" t="s">
        <v>2403</v>
      </c>
      <c r="Z1927" t="s">
        <v>5275</v>
      </c>
      <c r="AA1927" t="s">
        <v>2850</v>
      </c>
      <c r="AB1927" t="s">
        <v>1278</v>
      </c>
      <c r="AC1927" t="s">
        <v>5276</v>
      </c>
      <c r="AD1927" t="s">
        <v>2708</v>
      </c>
      <c r="AE1927">
        <v>1</v>
      </c>
      <c r="AO1927" t="s">
        <v>2408</v>
      </c>
      <c r="AP1927" t="s">
        <v>2401</v>
      </c>
    </row>
    <row r="1928" spans="1:42">
      <c r="A1928" t="s">
        <v>6239</v>
      </c>
      <c r="B1928" t="s">
        <v>2389</v>
      </c>
      <c r="C1928" t="s">
        <v>2390</v>
      </c>
      <c r="D1928" t="s">
        <v>2379</v>
      </c>
      <c r="E1928" t="s">
        <v>25</v>
      </c>
      <c r="F1928" t="s">
        <v>2541</v>
      </c>
      <c r="G1928" t="s">
        <v>25</v>
      </c>
      <c r="H1928" t="b">
        <v>1</v>
      </c>
      <c r="I1928" s="8">
        <v>45945.653553240743</v>
      </c>
      <c r="J1928" t="s">
        <v>2380</v>
      </c>
      <c r="K1928">
        <v>1202609</v>
      </c>
      <c r="L1928">
        <v>601441</v>
      </c>
      <c r="M1928" t="s">
        <v>2381</v>
      </c>
      <c r="N1928">
        <v>5</v>
      </c>
      <c r="P1928" t="s">
        <v>2548</v>
      </c>
      <c r="Q1928" t="s">
        <v>2383</v>
      </c>
      <c r="R1928">
        <v>1</v>
      </c>
      <c r="S1928" t="s">
        <v>2380</v>
      </c>
      <c r="T1928" t="s">
        <v>2383</v>
      </c>
      <c r="U1928" s="8">
        <v>45943.438738425924</v>
      </c>
      <c r="V1928" s="8">
        <v>45946.958333333336</v>
      </c>
      <c r="W1928">
        <v>1</v>
      </c>
      <c r="X1928">
        <v>2.214814815</v>
      </c>
      <c r="Y1928" t="s">
        <v>2542</v>
      </c>
      <c r="Z1928" t="s">
        <v>6240</v>
      </c>
      <c r="AA1928" t="s">
        <v>2884</v>
      </c>
      <c r="AB1928" t="s">
        <v>1278</v>
      </c>
      <c r="AC1928" t="s">
        <v>6241</v>
      </c>
      <c r="AD1928" t="s">
        <v>2708</v>
      </c>
      <c r="AE1928">
        <v>1</v>
      </c>
      <c r="AO1928" t="s">
        <v>2547</v>
      </c>
      <c r="AP1928" t="s">
        <v>2401</v>
      </c>
    </row>
    <row r="1929" spans="1:42">
      <c r="A1929" t="s">
        <v>5539</v>
      </c>
      <c r="B1929" t="s">
        <v>2389</v>
      </c>
      <c r="C1929" t="s">
        <v>2390</v>
      </c>
      <c r="D1929" t="s">
        <v>2379</v>
      </c>
      <c r="E1929" t="s">
        <v>25</v>
      </c>
      <c r="F1929" t="s">
        <v>2431</v>
      </c>
      <c r="G1929" t="s">
        <v>25</v>
      </c>
      <c r="H1929" t="b">
        <v>1</v>
      </c>
      <c r="I1929" s="8">
        <v>45946.39806712963</v>
      </c>
      <c r="J1929" t="s">
        <v>2380</v>
      </c>
      <c r="K1929">
        <v>1202650</v>
      </c>
      <c r="L1929">
        <v>603887</v>
      </c>
      <c r="M1929" t="s">
        <v>2381</v>
      </c>
      <c r="N1929">
        <v>5</v>
      </c>
      <c r="P1929" t="s">
        <v>2394</v>
      </c>
      <c r="Q1929" t="s">
        <v>2383</v>
      </c>
      <c r="R1929">
        <v>1</v>
      </c>
      <c r="S1929" t="s">
        <v>2380</v>
      </c>
      <c r="T1929" t="s">
        <v>2383</v>
      </c>
      <c r="U1929" s="8">
        <v>45943.451562499999</v>
      </c>
      <c r="V1929" s="8">
        <v>45946.958333333336</v>
      </c>
      <c r="W1929">
        <v>1</v>
      </c>
      <c r="X1929">
        <v>2.9465046300000002</v>
      </c>
      <c r="Y1929" t="s">
        <v>2433</v>
      </c>
      <c r="Z1929" t="s">
        <v>5540</v>
      </c>
      <c r="AA1929" t="s">
        <v>5508</v>
      </c>
      <c r="AB1929" t="s">
        <v>1278</v>
      </c>
      <c r="AC1929" t="s">
        <v>5541</v>
      </c>
      <c r="AD1929" t="s">
        <v>2708</v>
      </c>
      <c r="AE1929">
        <v>1</v>
      </c>
      <c r="AO1929" t="s">
        <v>2408</v>
      </c>
      <c r="AP1929" t="s">
        <v>2401</v>
      </c>
    </row>
    <row r="1930" spans="1:42">
      <c r="A1930" t="s">
        <v>889</v>
      </c>
      <c r="B1930" t="s">
        <v>2377</v>
      </c>
      <c r="C1930" t="s">
        <v>2438</v>
      </c>
      <c r="D1930" t="s">
        <v>2379</v>
      </c>
      <c r="E1930" t="s">
        <v>15</v>
      </c>
      <c r="F1930" t="s">
        <v>3445</v>
      </c>
      <c r="G1930" t="s">
        <v>15</v>
      </c>
      <c r="H1930" t="b">
        <v>1</v>
      </c>
      <c r="I1930" s="8">
        <v>45943.626793981479</v>
      </c>
      <c r="J1930" t="s">
        <v>2393</v>
      </c>
      <c r="L1930">
        <v>605387</v>
      </c>
      <c r="M1930" t="s">
        <v>2381</v>
      </c>
      <c r="Q1930" t="s">
        <v>2383</v>
      </c>
      <c r="R1930">
        <v>1</v>
      </c>
      <c r="S1930" t="s">
        <v>2393</v>
      </c>
      <c r="T1930" t="s">
        <v>2383</v>
      </c>
      <c r="U1930" s="8">
        <v>45943.46230324074</v>
      </c>
      <c r="V1930" s="8">
        <v>45946.958333333336</v>
      </c>
      <c r="W1930">
        <v>1</v>
      </c>
      <c r="X1930">
        <v>0.164490741</v>
      </c>
      <c r="Y1930" t="s">
        <v>4126</v>
      </c>
      <c r="Z1930" t="s">
        <v>5193</v>
      </c>
      <c r="AA1930" t="s">
        <v>4636</v>
      </c>
      <c r="AB1930" t="s">
        <v>1278</v>
      </c>
      <c r="AC1930" t="s">
        <v>888</v>
      </c>
      <c r="AD1930" t="s">
        <v>2708</v>
      </c>
      <c r="AE1930">
        <v>1</v>
      </c>
      <c r="AH1930" t="s">
        <v>84</v>
      </c>
      <c r="AI1930" s="8">
        <v>45943.626296296294</v>
      </c>
      <c r="AK1930" t="s">
        <v>2719</v>
      </c>
      <c r="AL1930" t="s">
        <v>2719</v>
      </c>
      <c r="AO1930" t="s">
        <v>2400</v>
      </c>
      <c r="AP1930" t="s">
        <v>2401</v>
      </c>
    </row>
    <row r="1931" spans="1:42">
      <c r="A1931" t="s">
        <v>7563</v>
      </c>
      <c r="B1931" t="s">
        <v>2389</v>
      </c>
      <c r="C1931" t="s">
        <v>2438</v>
      </c>
      <c r="D1931" t="s">
        <v>2379</v>
      </c>
      <c r="E1931" t="s">
        <v>307</v>
      </c>
      <c r="F1931" t="s">
        <v>7539</v>
      </c>
      <c r="G1931" t="s">
        <v>307</v>
      </c>
      <c r="H1931" t="b">
        <v>1</v>
      </c>
      <c r="I1931" s="8">
        <v>45943.684386574074</v>
      </c>
      <c r="J1931" t="s">
        <v>2380</v>
      </c>
      <c r="K1931">
        <v>1202152</v>
      </c>
      <c r="L1931">
        <v>603531</v>
      </c>
      <c r="M1931" t="s">
        <v>2381</v>
      </c>
      <c r="P1931" t="s">
        <v>2394</v>
      </c>
      <c r="Q1931" t="s">
        <v>2383</v>
      </c>
      <c r="R1931">
        <v>1</v>
      </c>
      <c r="S1931" t="s">
        <v>2380</v>
      </c>
      <c r="T1931" t="s">
        <v>2383</v>
      </c>
      <c r="U1931" s="8">
        <v>45943.466307870367</v>
      </c>
      <c r="V1931" s="8">
        <v>45946.958333333336</v>
      </c>
      <c r="W1931">
        <v>1</v>
      </c>
      <c r="X1931">
        <v>0.21807870400000001</v>
      </c>
      <c r="Y1931" t="s">
        <v>7540</v>
      </c>
      <c r="Z1931" t="s">
        <v>7564</v>
      </c>
      <c r="AA1931" t="s">
        <v>7543</v>
      </c>
      <c r="AB1931" t="s">
        <v>1278</v>
      </c>
      <c r="AC1931" t="s">
        <v>7565</v>
      </c>
      <c r="AD1931" t="s">
        <v>2708</v>
      </c>
      <c r="AE1931">
        <v>1</v>
      </c>
      <c r="AO1931" t="s">
        <v>2957</v>
      </c>
      <c r="AP1931" t="s">
        <v>2401</v>
      </c>
    </row>
    <row r="1932" spans="1:42">
      <c r="A1932" t="s">
        <v>3288</v>
      </c>
      <c r="B1932" t="s">
        <v>2389</v>
      </c>
      <c r="C1932" t="s">
        <v>2443</v>
      </c>
      <c r="D1932" t="s">
        <v>2443</v>
      </c>
      <c r="E1932" t="s">
        <v>25</v>
      </c>
      <c r="F1932" t="s">
        <v>3261</v>
      </c>
      <c r="G1932" t="s">
        <v>25</v>
      </c>
      <c r="H1932" t="b">
        <v>1</v>
      </c>
      <c r="I1932" s="8">
        <v>45947.341666666667</v>
      </c>
      <c r="J1932" t="s">
        <v>2380</v>
      </c>
      <c r="L1932">
        <v>602998</v>
      </c>
      <c r="M1932" t="s">
        <v>2381</v>
      </c>
      <c r="P1932" t="s">
        <v>2394</v>
      </c>
      <c r="Q1932" t="s">
        <v>2383</v>
      </c>
      <c r="R1932">
        <v>1</v>
      </c>
      <c r="S1932" t="s">
        <v>2380</v>
      </c>
      <c r="T1932" t="s">
        <v>2383</v>
      </c>
      <c r="U1932" s="8">
        <v>45943.466307870367</v>
      </c>
      <c r="V1932" s="8">
        <v>45946.958333333336</v>
      </c>
      <c r="W1932">
        <v>1</v>
      </c>
      <c r="X1932">
        <v>3.875358796</v>
      </c>
      <c r="Y1932" t="s">
        <v>3262</v>
      </c>
      <c r="Z1932" t="s">
        <v>3289</v>
      </c>
      <c r="AA1932" t="s">
        <v>3265</v>
      </c>
      <c r="AB1932" t="s">
        <v>1278</v>
      </c>
      <c r="AC1932" t="s">
        <v>3290</v>
      </c>
      <c r="AE1932">
        <v>1</v>
      </c>
      <c r="AO1932" t="s">
        <v>2388</v>
      </c>
      <c r="AP1932" t="s">
        <v>2401</v>
      </c>
    </row>
    <row r="1933" spans="1:42">
      <c r="A1933" t="s">
        <v>3291</v>
      </c>
      <c r="B1933" t="s">
        <v>2389</v>
      </c>
      <c r="C1933" t="s">
        <v>2390</v>
      </c>
      <c r="D1933" t="s">
        <v>2379</v>
      </c>
      <c r="E1933" t="s">
        <v>25</v>
      </c>
      <c r="F1933" t="s">
        <v>3261</v>
      </c>
      <c r="G1933" t="s">
        <v>25</v>
      </c>
      <c r="H1933" t="b">
        <v>1</v>
      </c>
      <c r="I1933" s="8">
        <v>45945.60769675926</v>
      </c>
      <c r="J1933" t="s">
        <v>2380</v>
      </c>
      <c r="L1933">
        <v>602998</v>
      </c>
      <c r="M1933" t="s">
        <v>2381</v>
      </c>
      <c r="P1933" t="s">
        <v>2394</v>
      </c>
      <c r="Q1933" t="s">
        <v>2383</v>
      </c>
      <c r="R1933">
        <v>1</v>
      </c>
      <c r="S1933" t="s">
        <v>2380</v>
      </c>
      <c r="T1933" t="s">
        <v>2383</v>
      </c>
      <c r="U1933" s="8">
        <v>45943.469050925924</v>
      </c>
      <c r="V1933" s="8">
        <v>45946.958333333336</v>
      </c>
      <c r="W1933">
        <v>1</v>
      </c>
      <c r="X1933">
        <v>2.138645833</v>
      </c>
      <c r="Y1933" t="s">
        <v>3262</v>
      </c>
      <c r="Z1933" t="s">
        <v>3292</v>
      </c>
      <c r="AA1933" t="s">
        <v>3265</v>
      </c>
      <c r="AB1933" t="s">
        <v>1278</v>
      </c>
      <c r="AC1933" t="s">
        <v>3293</v>
      </c>
      <c r="AE1933">
        <v>1</v>
      </c>
      <c r="AO1933" t="s">
        <v>2388</v>
      </c>
      <c r="AP1933" t="s">
        <v>2401</v>
      </c>
    </row>
    <row r="1934" spans="1:42">
      <c r="A1934" t="s">
        <v>10143</v>
      </c>
      <c r="B1934" t="s">
        <v>2377</v>
      </c>
      <c r="C1934" t="s">
        <v>2378</v>
      </c>
      <c r="D1934" t="s">
        <v>2379</v>
      </c>
      <c r="E1934" t="s">
        <v>25</v>
      </c>
      <c r="F1934" t="s">
        <v>4122</v>
      </c>
      <c r="G1934" t="s">
        <v>25</v>
      </c>
      <c r="H1934" t="b">
        <v>1</v>
      </c>
      <c r="I1934" s="8">
        <v>45944.44358796296</v>
      </c>
      <c r="J1934" t="s">
        <v>2380</v>
      </c>
      <c r="L1934">
        <v>602375</v>
      </c>
      <c r="M1934" t="s">
        <v>2381</v>
      </c>
      <c r="Q1934" t="s">
        <v>2383</v>
      </c>
      <c r="R1934">
        <v>1</v>
      </c>
      <c r="S1934" t="s">
        <v>2380</v>
      </c>
      <c r="T1934" t="s">
        <v>2383</v>
      </c>
      <c r="U1934" s="8">
        <v>45939.359826388885</v>
      </c>
      <c r="V1934" s="8">
        <v>45944.958333333336</v>
      </c>
      <c r="W1934">
        <v>1</v>
      </c>
      <c r="X1934">
        <v>3.0837615739999999</v>
      </c>
      <c r="Y1934" t="s">
        <v>1352</v>
      </c>
      <c r="Z1934" t="s">
        <v>10144</v>
      </c>
      <c r="AA1934" t="s">
        <v>8087</v>
      </c>
      <c r="AB1934" t="s">
        <v>1278</v>
      </c>
      <c r="AC1934" t="s">
        <v>10145</v>
      </c>
      <c r="AE1934">
        <v>1</v>
      </c>
      <c r="AO1934" t="s">
        <v>4121</v>
      </c>
      <c r="AP1934" t="s">
        <v>2401</v>
      </c>
    </row>
    <row r="1935" spans="1:42">
      <c r="A1935" t="s">
        <v>10160</v>
      </c>
      <c r="B1935" t="s">
        <v>2389</v>
      </c>
      <c r="C1935" t="s">
        <v>2390</v>
      </c>
      <c r="D1935" t="s">
        <v>2379</v>
      </c>
      <c r="E1935" t="s">
        <v>2452</v>
      </c>
      <c r="F1935" t="s">
        <v>2417</v>
      </c>
      <c r="G1935" t="s">
        <v>2452</v>
      </c>
      <c r="H1935" t="b">
        <v>1</v>
      </c>
      <c r="I1935" s="8">
        <v>45946.452222222222</v>
      </c>
      <c r="J1935" t="s">
        <v>2380</v>
      </c>
      <c r="L1935">
        <v>603452</v>
      </c>
      <c r="M1935" t="s">
        <v>2381</v>
      </c>
      <c r="P1935" t="s">
        <v>2394</v>
      </c>
      <c r="Q1935" t="s">
        <v>2383</v>
      </c>
      <c r="R1935">
        <v>1</v>
      </c>
      <c r="S1935" t="s">
        <v>2380</v>
      </c>
      <c r="T1935" t="s">
        <v>2383</v>
      </c>
      <c r="U1935" s="8">
        <v>45943.485960648148</v>
      </c>
      <c r="V1935" s="8">
        <v>45946.958333333336</v>
      </c>
      <c r="W1935">
        <v>1</v>
      </c>
      <c r="X1935">
        <v>2.9662615739999998</v>
      </c>
      <c r="Y1935" t="s">
        <v>2418</v>
      </c>
      <c r="Z1935" t="s">
        <v>10161</v>
      </c>
      <c r="AA1935" t="s">
        <v>10162</v>
      </c>
      <c r="AB1935" t="s">
        <v>1278</v>
      </c>
      <c r="AC1935" t="s">
        <v>10163</v>
      </c>
      <c r="AE1935">
        <v>1</v>
      </c>
      <c r="AO1935" t="s">
        <v>4121</v>
      </c>
      <c r="AP1935" t="s">
        <v>2401</v>
      </c>
    </row>
    <row r="1936" spans="1:42">
      <c r="A1936" t="s">
        <v>9640</v>
      </c>
      <c r="B1936" t="s">
        <v>2389</v>
      </c>
      <c r="C1936" t="s">
        <v>2443</v>
      </c>
      <c r="D1936" t="s">
        <v>2443</v>
      </c>
      <c r="E1936" t="s">
        <v>307</v>
      </c>
      <c r="F1936" t="s">
        <v>3636</v>
      </c>
      <c r="G1936" t="s">
        <v>307</v>
      </c>
      <c r="H1936" t="b">
        <v>1</v>
      </c>
      <c r="I1936" s="8">
        <v>45947.589895833335</v>
      </c>
      <c r="J1936" t="s">
        <v>2380</v>
      </c>
      <c r="K1936">
        <v>1203221</v>
      </c>
      <c r="L1936">
        <v>602383</v>
      </c>
      <c r="M1936" t="s">
        <v>2381</v>
      </c>
      <c r="P1936" t="s">
        <v>2394</v>
      </c>
      <c r="Q1936" t="s">
        <v>2383</v>
      </c>
      <c r="R1936">
        <v>1</v>
      </c>
      <c r="S1936" t="s">
        <v>2380</v>
      </c>
      <c r="T1936" t="s">
        <v>2383</v>
      </c>
      <c r="U1936" s="8">
        <v>45943.490277777775</v>
      </c>
      <c r="V1936" s="8">
        <v>45946.958333333336</v>
      </c>
      <c r="W1936">
        <v>1</v>
      </c>
      <c r="X1936">
        <v>4.0996180559999997</v>
      </c>
      <c r="Y1936" t="s">
        <v>2628</v>
      </c>
      <c r="Z1936" t="s">
        <v>9641</v>
      </c>
      <c r="AA1936" t="s">
        <v>3639</v>
      </c>
      <c r="AB1936" t="s">
        <v>1278</v>
      </c>
      <c r="AD1936" t="s">
        <v>2708</v>
      </c>
      <c r="AE1936">
        <v>1</v>
      </c>
      <c r="AO1936" t="s">
        <v>3608</v>
      </c>
      <c r="AP1936" t="s">
        <v>2401</v>
      </c>
    </row>
    <row r="1937" spans="1:42">
      <c r="A1937" t="s">
        <v>9555</v>
      </c>
      <c r="B1937" t="s">
        <v>2377</v>
      </c>
      <c r="C1937" t="s">
        <v>2390</v>
      </c>
      <c r="D1937" t="s">
        <v>2379</v>
      </c>
      <c r="E1937" t="s">
        <v>33</v>
      </c>
      <c r="F1937" t="s">
        <v>3539</v>
      </c>
      <c r="G1937" t="s">
        <v>33</v>
      </c>
      <c r="H1937" t="b">
        <v>1</v>
      </c>
      <c r="I1937" s="8">
        <v>45946.399027777778</v>
      </c>
      <c r="J1937" t="s">
        <v>2380</v>
      </c>
      <c r="L1937">
        <v>603782</v>
      </c>
      <c r="M1937" t="s">
        <v>2381</v>
      </c>
      <c r="Q1937" t="s">
        <v>2383</v>
      </c>
      <c r="R1937">
        <v>1</v>
      </c>
      <c r="S1937" t="s">
        <v>2380</v>
      </c>
      <c r="T1937" t="s">
        <v>2383</v>
      </c>
      <c r="U1937" s="8">
        <v>45943.494050925925</v>
      </c>
      <c r="V1937" s="8">
        <v>45946.958333333336</v>
      </c>
      <c r="W1937">
        <v>1</v>
      </c>
      <c r="X1937">
        <v>2.9049768519999999</v>
      </c>
      <c r="Y1937" t="s">
        <v>3521</v>
      </c>
      <c r="Z1937" t="s">
        <v>9556</v>
      </c>
      <c r="AA1937" t="s">
        <v>9557</v>
      </c>
      <c r="AB1937" t="s">
        <v>1278</v>
      </c>
      <c r="AC1937" t="s">
        <v>9558</v>
      </c>
      <c r="AE1937">
        <v>1</v>
      </c>
      <c r="AH1937" t="s">
        <v>24</v>
      </c>
      <c r="AI1937" s="8">
        <v>45945.69798611111</v>
      </c>
      <c r="AK1937" t="s">
        <v>2719</v>
      </c>
      <c r="AL1937" t="s">
        <v>2719</v>
      </c>
      <c r="AO1937" t="s">
        <v>2957</v>
      </c>
      <c r="AP1937" t="s">
        <v>2401</v>
      </c>
    </row>
    <row r="1938" spans="1:42">
      <c r="A1938" t="s">
        <v>7303</v>
      </c>
      <c r="B1938" t="s">
        <v>2389</v>
      </c>
      <c r="C1938" t="s">
        <v>2390</v>
      </c>
      <c r="D1938" t="s">
        <v>2379</v>
      </c>
      <c r="E1938" t="s">
        <v>25</v>
      </c>
      <c r="F1938" t="s">
        <v>2588</v>
      </c>
      <c r="G1938" t="s">
        <v>25</v>
      </c>
      <c r="H1938" t="b">
        <v>1</v>
      </c>
      <c r="I1938" s="8">
        <v>45945.645335648151</v>
      </c>
      <c r="J1938" t="s">
        <v>2380</v>
      </c>
      <c r="K1938">
        <v>1202606</v>
      </c>
      <c r="L1938">
        <v>602492</v>
      </c>
      <c r="M1938" t="s">
        <v>2381</v>
      </c>
      <c r="N1938">
        <v>5</v>
      </c>
      <c r="P1938" t="s">
        <v>2394</v>
      </c>
      <c r="Q1938" t="s">
        <v>2383</v>
      </c>
      <c r="R1938">
        <v>1</v>
      </c>
      <c r="S1938" t="s">
        <v>2380</v>
      </c>
      <c r="T1938" t="s">
        <v>2383</v>
      </c>
      <c r="U1938" s="8">
        <v>45943.494583333333</v>
      </c>
      <c r="V1938" s="8">
        <v>45946.958333333336</v>
      </c>
      <c r="W1938">
        <v>1</v>
      </c>
      <c r="X1938">
        <v>2.1507523150000001</v>
      </c>
      <c r="Y1938" t="s">
        <v>2579</v>
      </c>
      <c r="Z1938" t="s">
        <v>7304</v>
      </c>
      <c r="AA1938" t="s">
        <v>7295</v>
      </c>
      <c r="AB1938" t="s">
        <v>1278</v>
      </c>
      <c r="AC1938" t="s">
        <v>7305</v>
      </c>
      <c r="AD1938" t="s">
        <v>2708</v>
      </c>
      <c r="AE1938">
        <v>1</v>
      </c>
      <c r="AO1938" t="s">
        <v>2388</v>
      </c>
      <c r="AP1938" t="s">
        <v>2401</v>
      </c>
    </row>
    <row r="1939" spans="1:42">
      <c r="A1939" t="s">
        <v>3362</v>
      </c>
      <c r="B1939" t="s">
        <v>2389</v>
      </c>
      <c r="C1939" t="s">
        <v>2378</v>
      </c>
      <c r="D1939" t="s">
        <v>2379</v>
      </c>
      <c r="E1939" t="s">
        <v>2452</v>
      </c>
      <c r="F1939" t="s">
        <v>2578</v>
      </c>
      <c r="G1939" t="s">
        <v>2452</v>
      </c>
      <c r="H1939" t="b">
        <v>1</v>
      </c>
      <c r="I1939" s="8">
        <v>45946.498333333337</v>
      </c>
      <c r="J1939" t="s">
        <v>2380</v>
      </c>
      <c r="K1939">
        <v>1170461</v>
      </c>
      <c r="L1939">
        <v>603118</v>
      </c>
      <c r="M1939" t="s">
        <v>2381</v>
      </c>
      <c r="P1939" t="s">
        <v>2394</v>
      </c>
      <c r="Q1939" t="s">
        <v>2383</v>
      </c>
      <c r="R1939">
        <v>1</v>
      </c>
      <c r="S1939" t="s">
        <v>2380</v>
      </c>
      <c r="T1939" t="s">
        <v>2383</v>
      </c>
      <c r="U1939" s="8">
        <v>45943.497384259259</v>
      </c>
      <c r="V1939" s="8">
        <v>45946.958333333336</v>
      </c>
      <c r="W1939">
        <v>1</v>
      </c>
      <c r="X1939">
        <v>3.0009490740000002</v>
      </c>
      <c r="Y1939" t="s">
        <v>2579</v>
      </c>
      <c r="Z1939" t="s">
        <v>3363</v>
      </c>
      <c r="AA1939" t="s">
        <v>3364</v>
      </c>
      <c r="AB1939" t="s">
        <v>1278</v>
      </c>
      <c r="AC1939" t="s">
        <v>3365</v>
      </c>
      <c r="AE1939">
        <v>1</v>
      </c>
      <c r="AO1939" t="s">
        <v>2388</v>
      </c>
      <c r="AP1939" t="s">
        <v>2401</v>
      </c>
    </row>
    <row r="1940" spans="1:42">
      <c r="A1940" t="s">
        <v>8187</v>
      </c>
      <c r="B1940" t="s">
        <v>2389</v>
      </c>
      <c r="C1940" t="s">
        <v>2438</v>
      </c>
      <c r="D1940" t="s">
        <v>2379</v>
      </c>
      <c r="E1940" t="s">
        <v>307</v>
      </c>
      <c r="F1940" t="s">
        <v>2578</v>
      </c>
      <c r="G1940" t="s">
        <v>307</v>
      </c>
      <c r="H1940" t="b">
        <v>1</v>
      </c>
      <c r="I1940" s="8">
        <v>45943.773148148146</v>
      </c>
      <c r="J1940" t="s">
        <v>2380</v>
      </c>
      <c r="K1940">
        <v>1202174</v>
      </c>
      <c r="L1940">
        <v>604317</v>
      </c>
      <c r="M1940" t="s">
        <v>2381</v>
      </c>
      <c r="P1940" t="s">
        <v>2394</v>
      </c>
      <c r="Q1940" t="s">
        <v>2395</v>
      </c>
      <c r="R1940">
        <v>1</v>
      </c>
      <c r="S1940" t="s">
        <v>2380</v>
      </c>
      <c r="T1940" t="s">
        <v>2383</v>
      </c>
      <c r="U1940" s="8">
        <v>45943.507210648146</v>
      </c>
      <c r="V1940" s="8">
        <v>45946.958333333336</v>
      </c>
      <c r="W1940">
        <v>1</v>
      </c>
      <c r="X1940">
        <v>0.26593749999999999</v>
      </c>
      <c r="Y1940" t="s">
        <v>2579</v>
      </c>
      <c r="Z1940" t="s">
        <v>8188</v>
      </c>
      <c r="AA1940" t="s">
        <v>8189</v>
      </c>
      <c r="AB1940" t="s">
        <v>1278</v>
      </c>
      <c r="AC1940" t="s">
        <v>8190</v>
      </c>
      <c r="AD1940" t="s">
        <v>2708</v>
      </c>
      <c r="AE1940">
        <v>1</v>
      </c>
      <c r="AO1940" t="s">
        <v>4137</v>
      </c>
      <c r="AP1940" t="s">
        <v>2401</v>
      </c>
    </row>
    <row r="1941" spans="1:42">
      <c r="A1941" t="s">
        <v>7306</v>
      </c>
      <c r="B1941" t="s">
        <v>2389</v>
      </c>
      <c r="C1941" t="s">
        <v>2447</v>
      </c>
      <c r="D1941" t="s">
        <v>2379</v>
      </c>
      <c r="E1941" t="s">
        <v>25</v>
      </c>
      <c r="F1941" t="s">
        <v>2578</v>
      </c>
      <c r="G1941" t="s">
        <v>25</v>
      </c>
      <c r="H1941" t="b">
        <v>1</v>
      </c>
      <c r="I1941" s="8">
        <v>45947.662245370368</v>
      </c>
      <c r="J1941" t="s">
        <v>2380</v>
      </c>
      <c r="K1941">
        <v>1203295</v>
      </c>
      <c r="L1941">
        <v>606878</v>
      </c>
      <c r="M1941" t="s">
        <v>2381</v>
      </c>
      <c r="N1941">
        <v>5</v>
      </c>
      <c r="P1941" t="s">
        <v>2394</v>
      </c>
      <c r="Q1941" t="s">
        <v>2383</v>
      </c>
      <c r="R1941">
        <v>1</v>
      </c>
      <c r="S1941" t="s">
        <v>2380</v>
      </c>
      <c r="T1941" t="s">
        <v>2383</v>
      </c>
      <c r="U1941" s="8">
        <v>45943.509467592594</v>
      </c>
      <c r="V1941" s="8">
        <v>45952.958333333336</v>
      </c>
      <c r="W1941">
        <v>1</v>
      </c>
      <c r="X1941">
        <v>4.1527777779999999</v>
      </c>
      <c r="Y1941" t="s">
        <v>2579</v>
      </c>
      <c r="Z1941" t="s">
        <v>7307</v>
      </c>
      <c r="AA1941" t="s">
        <v>7308</v>
      </c>
      <c r="AB1941" t="s">
        <v>1278</v>
      </c>
      <c r="AC1941" t="s">
        <v>7309</v>
      </c>
      <c r="AD1941" t="s">
        <v>2708</v>
      </c>
      <c r="AE1941">
        <v>1</v>
      </c>
      <c r="AO1941" t="s">
        <v>2388</v>
      </c>
      <c r="AP1941" t="s">
        <v>2401</v>
      </c>
    </row>
    <row r="1942" spans="1:42">
      <c r="A1942" t="s">
        <v>10136</v>
      </c>
      <c r="B1942" t="s">
        <v>2389</v>
      </c>
      <c r="C1942" t="s">
        <v>2443</v>
      </c>
      <c r="D1942" t="s">
        <v>2443</v>
      </c>
      <c r="E1942" t="s">
        <v>8023</v>
      </c>
      <c r="F1942" t="s">
        <v>2588</v>
      </c>
      <c r="G1942" t="s">
        <v>8023</v>
      </c>
      <c r="H1942" t="b">
        <v>1</v>
      </c>
      <c r="I1942" s="8">
        <v>45950.71638888889</v>
      </c>
      <c r="J1942" t="s">
        <v>2942</v>
      </c>
      <c r="L1942">
        <v>607241</v>
      </c>
      <c r="M1942" t="s">
        <v>2381</v>
      </c>
      <c r="P1942" t="s">
        <v>2394</v>
      </c>
      <c r="Q1942" t="s">
        <v>2943</v>
      </c>
      <c r="R1942">
        <v>1</v>
      </c>
      <c r="S1942" t="s">
        <v>2942</v>
      </c>
      <c r="T1942" t="s">
        <v>2383</v>
      </c>
      <c r="U1942" s="8">
        <v>45943.539675925924</v>
      </c>
      <c r="V1942" s="8">
        <v>45946.958333333336</v>
      </c>
      <c r="W1942">
        <v>1</v>
      </c>
      <c r="X1942">
        <v>5.1767129629999999</v>
      </c>
      <c r="Y1942" t="s">
        <v>2579</v>
      </c>
      <c r="Z1942" t="s">
        <v>10137</v>
      </c>
      <c r="AA1942" t="s">
        <v>10138</v>
      </c>
      <c r="AB1942" t="s">
        <v>1278</v>
      </c>
      <c r="AC1942" t="s">
        <v>10139</v>
      </c>
      <c r="AE1942">
        <v>1</v>
      </c>
      <c r="AO1942" t="s">
        <v>2949</v>
      </c>
      <c r="AP1942" t="s">
        <v>2401</v>
      </c>
    </row>
    <row r="1943" spans="1:42">
      <c r="A1943" t="s">
        <v>9246</v>
      </c>
      <c r="B1943" t="s">
        <v>2389</v>
      </c>
      <c r="C1943" t="s">
        <v>2415</v>
      </c>
      <c r="D1943" t="s">
        <v>2379</v>
      </c>
      <c r="E1943" t="s">
        <v>33</v>
      </c>
      <c r="F1943" t="s">
        <v>3747</v>
      </c>
      <c r="G1943" t="s">
        <v>33</v>
      </c>
      <c r="H1943" t="b">
        <v>1</v>
      </c>
      <c r="I1943" s="8">
        <v>45945.45616898148</v>
      </c>
      <c r="J1943" t="s">
        <v>2380</v>
      </c>
      <c r="K1943">
        <v>1202295</v>
      </c>
      <c r="L1943">
        <v>602272</v>
      </c>
      <c r="M1943" t="s">
        <v>2381</v>
      </c>
      <c r="P1943" t="s">
        <v>2394</v>
      </c>
      <c r="Q1943" t="s">
        <v>2383</v>
      </c>
      <c r="R1943">
        <v>1</v>
      </c>
      <c r="S1943" t="s">
        <v>2380</v>
      </c>
      <c r="T1943" t="s">
        <v>2383</v>
      </c>
      <c r="U1943" s="8">
        <v>45943.550856481481</v>
      </c>
      <c r="V1943" s="8">
        <v>45946.958333333336</v>
      </c>
      <c r="W1943">
        <v>1</v>
      </c>
      <c r="X1943">
        <v>1.9053125</v>
      </c>
      <c r="Y1943" t="s">
        <v>3748</v>
      </c>
      <c r="Z1943" t="s">
        <v>9247</v>
      </c>
      <c r="AA1943" t="s">
        <v>3824</v>
      </c>
      <c r="AB1943" t="s">
        <v>1278</v>
      </c>
      <c r="AC1943" t="s">
        <v>9248</v>
      </c>
      <c r="AD1943" t="s">
        <v>2708</v>
      </c>
      <c r="AE1943">
        <v>1</v>
      </c>
      <c r="AH1943" t="s">
        <v>24</v>
      </c>
      <c r="AI1943" s="8">
        <v>45945.440474537034</v>
      </c>
      <c r="AK1943" t="s">
        <v>2719</v>
      </c>
      <c r="AL1943" t="s">
        <v>2719</v>
      </c>
      <c r="AO1943" t="s">
        <v>2712</v>
      </c>
      <c r="AP1943" t="s">
        <v>2401</v>
      </c>
    </row>
    <row r="1944" spans="1:42">
      <c r="A1944" t="s">
        <v>9096</v>
      </c>
      <c r="B1944" t="s">
        <v>2389</v>
      </c>
      <c r="C1944" t="s">
        <v>2378</v>
      </c>
      <c r="D1944" t="s">
        <v>2379</v>
      </c>
      <c r="E1944" t="s">
        <v>25</v>
      </c>
      <c r="F1944" t="s">
        <v>2627</v>
      </c>
      <c r="G1944" t="s">
        <v>25</v>
      </c>
      <c r="H1944" t="b">
        <v>1</v>
      </c>
      <c r="I1944" s="8">
        <v>45943.654722222222</v>
      </c>
      <c r="J1944" t="s">
        <v>2380</v>
      </c>
      <c r="K1944">
        <v>1201938</v>
      </c>
      <c r="L1944">
        <v>605016</v>
      </c>
      <c r="M1944" t="s">
        <v>2381</v>
      </c>
      <c r="P1944" t="s">
        <v>2394</v>
      </c>
      <c r="Q1944" t="s">
        <v>2383</v>
      </c>
      <c r="R1944">
        <v>1</v>
      </c>
      <c r="S1944" t="s">
        <v>2380</v>
      </c>
      <c r="T1944" t="s">
        <v>2383</v>
      </c>
      <c r="U1944" s="8">
        <v>45938.426770833335</v>
      </c>
      <c r="V1944" s="8">
        <v>45943.958333333336</v>
      </c>
      <c r="W1944">
        <v>1</v>
      </c>
      <c r="X1944">
        <v>3.2279513889999998</v>
      </c>
      <c r="Y1944" t="s">
        <v>2628</v>
      </c>
      <c r="Z1944" t="s">
        <v>9097</v>
      </c>
      <c r="AA1944" t="s">
        <v>7512</v>
      </c>
      <c r="AB1944" t="s">
        <v>1278</v>
      </c>
      <c r="AC1944" t="s">
        <v>9098</v>
      </c>
      <c r="AD1944" t="s">
        <v>2708</v>
      </c>
      <c r="AE1944">
        <v>1</v>
      </c>
      <c r="AH1944" t="s">
        <v>33</v>
      </c>
      <c r="AI1944" s="8">
        <v>45943.637337962966</v>
      </c>
      <c r="AK1944" t="s">
        <v>2719</v>
      </c>
      <c r="AL1944" t="s">
        <v>2719</v>
      </c>
      <c r="AO1944" t="s">
        <v>2957</v>
      </c>
      <c r="AP1944" t="s">
        <v>2401</v>
      </c>
    </row>
    <row r="1945" spans="1:42">
      <c r="A1945" t="s">
        <v>5108</v>
      </c>
      <c r="B1945" t="s">
        <v>2389</v>
      </c>
      <c r="C1945" t="s">
        <v>2390</v>
      </c>
      <c r="D1945" t="s">
        <v>2379</v>
      </c>
      <c r="E1945" t="s">
        <v>12</v>
      </c>
      <c r="F1945" t="s">
        <v>5085</v>
      </c>
      <c r="G1945" t="s">
        <v>12</v>
      </c>
      <c r="H1945" t="b">
        <v>1</v>
      </c>
      <c r="I1945" s="8">
        <v>45945.59783564815</v>
      </c>
      <c r="J1945" t="s">
        <v>2380</v>
      </c>
      <c r="K1945">
        <v>1202546</v>
      </c>
      <c r="L1945">
        <v>602945</v>
      </c>
      <c r="M1945" t="s">
        <v>2381</v>
      </c>
      <c r="P1945" t="s">
        <v>5107</v>
      </c>
      <c r="Q1945" t="s">
        <v>2383</v>
      </c>
      <c r="R1945">
        <v>1</v>
      </c>
      <c r="S1945" t="s">
        <v>2380</v>
      </c>
      <c r="T1945" t="s">
        <v>5086</v>
      </c>
      <c r="U1945" s="8">
        <v>45943.553032407406</v>
      </c>
      <c r="V1945" s="8">
        <v>45946.958333333336</v>
      </c>
      <c r="W1945">
        <v>1</v>
      </c>
      <c r="X1945">
        <v>2.0448032409999999</v>
      </c>
      <c r="Y1945" t="s">
        <v>5087</v>
      </c>
      <c r="Z1945" t="s">
        <v>5109</v>
      </c>
      <c r="AA1945" t="s">
        <v>5090</v>
      </c>
      <c r="AB1945" t="s">
        <v>1278</v>
      </c>
      <c r="AC1945" t="s">
        <v>5110</v>
      </c>
      <c r="AD1945" t="s">
        <v>2708</v>
      </c>
      <c r="AE1945">
        <v>1</v>
      </c>
      <c r="AO1945" t="s">
        <v>2720</v>
      </c>
      <c r="AP1945" t="s">
        <v>2401</v>
      </c>
    </row>
    <row r="1946" spans="1:42">
      <c r="A1946" t="s">
        <v>4041</v>
      </c>
      <c r="B1946" t="s">
        <v>2389</v>
      </c>
      <c r="C1946" t="s">
        <v>2438</v>
      </c>
      <c r="D1946" t="s">
        <v>2379</v>
      </c>
      <c r="E1946" t="s">
        <v>33</v>
      </c>
      <c r="F1946" t="s">
        <v>3747</v>
      </c>
      <c r="G1946" t="s">
        <v>33</v>
      </c>
      <c r="H1946" t="b">
        <v>1</v>
      </c>
      <c r="I1946" s="8">
        <v>45944.459710648145</v>
      </c>
      <c r="J1946" t="s">
        <v>2380</v>
      </c>
      <c r="K1946">
        <v>1202296</v>
      </c>
      <c r="L1946">
        <v>602272</v>
      </c>
      <c r="M1946" t="s">
        <v>2381</v>
      </c>
      <c r="P1946" t="s">
        <v>2394</v>
      </c>
      <c r="Q1946" t="s">
        <v>2383</v>
      </c>
      <c r="R1946">
        <v>1</v>
      </c>
      <c r="S1946" t="s">
        <v>2380</v>
      </c>
      <c r="T1946" t="s">
        <v>2383</v>
      </c>
      <c r="U1946" s="8">
        <v>45943.562118055554</v>
      </c>
      <c r="V1946" s="8">
        <v>45946.958333333336</v>
      </c>
      <c r="W1946">
        <v>1</v>
      </c>
      <c r="X1946">
        <v>0.89759259300000005</v>
      </c>
      <c r="Y1946" t="s">
        <v>3748</v>
      </c>
      <c r="Z1946" t="s">
        <v>4042</v>
      </c>
      <c r="AA1946" t="s">
        <v>3824</v>
      </c>
      <c r="AB1946" t="s">
        <v>1278</v>
      </c>
      <c r="AC1946" t="s">
        <v>4043</v>
      </c>
      <c r="AD1946" t="s">
        <v>2708</v>
      </c>
      <c r="AE1946">
        <v>1</v>
      </c>
      <c r="AO1946" t="s">
        <v>2712</v>
      </c>
      <c r="AP1946" t="s">
        <v>2401</v>
      </c>
    </row>
    <row r="1947" spans="1:42">
      <c r="A1947" t="s">
        <v>5515</v>
      </c>
      <c r="B1947" t="s">
        <v>2389</v>
      </c>
      <c r="C1947" t="s">
        <v>2443</v>
      </c>
      <c r="D1947" t="s">
        <v>2443</v>
      </c>
      <c r="E1947" t="s">
        <v>25</v>
      </c>
      <c r="F1947" t="s">
        <v>2417</v>
      </c>
      <c r="G1947" t="s">
        <v>25</v>
      </c>
      <c r="H1947" t="b">
        <v>1</v>
      </c>
      <c r="I1947" s="8">
        <v>45943.660416666666</v>
      </c>
      <c r="J1947" t="s">
        <v>2380</v>
      </c>
      <c r="K1947">
        <v>1202046</v>
      </c>
      <c r="L1947">
        <v>603558</v>
      </c>
      <c r="M1947" t="s">
        <v>2381</v>
      </c>
      <c r="N1947">
        <v>5</v>
      </c>
      <c r="Q1947" t="s">
        <v>2383</v>
      </c>
      <c r="R1947">
        <v>1</v>
      </c>
      <c r="S1947" t="s">
        <v>2380</v>
      </c>
      <c r="T1947" t="s">
        <v>2383</v>
      </c>
      <c r="U1947" s="8">
        <v>45937.688217592593</v>
      </c>
      <c r="V1947" s="8">
        <v>45940.958333333336</v>
      </c>
      <c r="W1947">
        <v>1</v>
      </c>
      <c r="X1947">
        <v>3.9721990740000002</v>
      </c>
      <c r="Y1947" t="s">
        <v>2418</v>
      </c>
      <c r="Z1947" t="s">
        <v>5516</v>
      </c>
      <c r="AA1947" t="s">
        <v>2989</v>
      </c>
      <c r="AB1947" t="s">
        <v>1278</v>
      </c>
      <c r="AC1947" t="s">
        <v>5517</v>
      </c>
      <c r="AD1947" t="s">
        <v>2708</v>
      </c>
      <c r="AE1947">
        <v>1</v>
      </c>
      <c r="AO1947" t="s">
        <v>2408</v>
      </c>
      <c r="AP1947" t="s">
        <v>2401</v>
      </c>
    </row>
    <row r="1948" spans="1:42">
      <c r="A1948" t="s">
        <v>10103</v>
      </c>
      <c r="B1948" t="s">
        <v>2389</v>
      </c>
      <c r="C1948" t="s">
        <v>2390</v>
      </c>
      <c r="D1948" t="s">
        <v>2379</v>
      </c>
      <c r="E1948" t="s">
        <v>2452</v>
      </c>
      <c r="F1948" t="s">
        <v>4768</v>
      </c>
      <c r="G1948" t="s">
        <v>2452</v>
      </c>
      <c r="H1948" t="b">
        <v>1</v>
      </c>
      <c r="I1948" s="8">
        <v>45946.502766203703</v>
      </c>
      <c r="J1948" t="s">
        <v>2380</v>
      </c>
      <c r="L1948">
        <v>603844</v>
      </c>
      <c r="M1948" t="s">
        <v>2381</v>
      </c>
      <c r="P1948" t="s">
        <v>2394</v>
      </c>
      <c r="Q1948" t="s">
        <v>2383</v>
      </c>
      <c r="R1948">
        <v>1</v>
      </c>
      <c r="S1948" t="s">
        <v>2380</v>
      </c>
      <c r="T1948" t="s">
        <v>2383</v>
      </c>
      <c r="U1948" s="8">
        <v>45943.575370370374</v>
      </c>
      <c r="V1948" s="8">
        <v>45946.958333333336</v>
      </c>
      <c r="W1948">
        <v>1</v>
      </c>
      <c r="X1948">
        <v>2.9273958329999998</v>
      </c>
      <c r="Y1948" t="s">
        <v>4769</v>
      </c>
      <c r="Z1948" t="s">
        <v>10104</v>
      </c>
      <c r="AA1948" t="s">
        <v>7794</v>
      </c>
      <c r="AB1948" t="s">
        <v>1278</v>
      </c>
      <c r="AC1948" t="s">
        <v>10105</v>
      </c>
      <c r="AE1948">
        <v>1</v>
      </c>
      <c r="AO1948" t="s">
        <v>2957</v>
      </c>
      <c r="AP1948" t="s">
        <v>2401</v>
      </c>
    </row>
    <row r="1949" spans="1:42">
      <c r="A1949" t="s">
        <v>6242</v>
      </c>
      <c r="B1949" t="s">
        <v>2389</v>
      </c>
      <c r="C1949" t="s">
        <v>2390</v>
      </c>
      <c r="D1949" t="s">
        <v>2379</v>
      </c>
      <c r="E1949" t="s">
        <v>25</v>
      </c>
      <c r="F1949" t="s">
        <v>2541</v>
      </c>
      <c r="G1949" t="s">
        <v>25</v>
      </c>
      <c r="H1949" t="b">
        <v>1</v>
      </c>
      <c r="I1949" s="8">
        <v>45946.447858796295</v>
      </c>
      <c r="J1949" t="s">
        <v>2380</v>
      </c>
      <c r="K1949">
        <v>1202692</v>
      </c>
      <c r="L1949">
        <v>608236</v>
      </c>
      <c r="M1949" t="s">
        <v>2381</v>
      </c>
      <c r="N1949">
        <v>5</v>
      </c>
      <c r="P1949" t="s">
        <v>2548</v>
      </c>
      <c r="Q1949" t="s">
        <v>2383</v>
      </c>
      <c r="R1949">
        <v>1</v>
      </c>
      <c r="S1949" t="s">
        <v>2380</v>
      </c>
      <c r="T1949" t="s">
        <v>2383</v>
      </c>
      <c r="U1949" s="8">
        <v>45943.584016203706</v>
      </c>
      <c r="V1949" s="8">
        <v>45946.958333333336</v>
      </c>
      <c r="W1949">
        <v>1</v>
      </c>
      <c r="X1949">
        <v>2.8638425930000002</v>
      </c>
      <c r="Y1949" t="s">
        <v>2542</v>
      </c>
      <c r="Z1949" t="s">
        <v>6243</v>
      </c>
      <c r="AA1949" t="s">
        <v>2564</v>
      </c>
      <c r="AB1949" t="s">
        <v>1278</v>
      </c>
      <c r="AC1949" t="s">
        <v>6244</v>
      </c>
      <c r="AD1949" t="s">
        <v>2708</v>
      </c>
      <c r="AE1949">
        <v>1</v>
      </c>
      <c r="AO1949" t="s">
        <v>2547</v>
      </c>
      <c r="AP1949" t="s">
        <v>2401</v>
      </c>
    </row>
    <row r="1950" spans="1:42">
      <c r="A1950" t="s">
        <v>8252</v>
      </c>
      <c r="B1950" t="s">
        <v>2389</v>
      </c>
      <c r="C1950" t="s">
        <v>2443</v>
      </c>
      <c r="D1950" t="s">
        <v>2443</v>
      </c>
      <c r="E1950" t="s">
        <v>25</v>
      </c>
      <c r="F1950">
        <v>3801</v>
      </c>
      <c r="G1950" t="s">
        <v>25</v>
      </c>
      <c r="H1950" t="b">
        <v>1</v>
      </c>
      <c r="I1950" s="8">
        <v>45950.483541666668</v>
      </c>
      <c r="J1950" t="s">
        <v>2380</v>
      </c>
      <c r="K1950">
        <v>1203575</v>
      </c>
      <c r="L1950">
        <v>604334</v>
      </c>
      <c r="M1950" t="s">
        <v>2381</v>
      </c>
      <c r="N1950">
        <v>5</v>
      </c>
      <c r="P1950" t="s">
        <v>2394</v>
      </c>
      <c r="Q1950" t="s">
        <v>2395</v>
      </c>
      <c r="R1950">
        <v>1</v>
      </c>
      <c r="S1950" t="s">
        <v>2380</v>
      </c>
      <c r="T1950" t="s">
        <v>2383</v>
      </c>
      <c r="U1950" s="8">
        <v>45943.590231481481</v>
      </c>
      <c r="V1950" s="8">
        <v>45946.958333333336</v>
      </c>
      <c r="W1950">
        <v>1</v>
      </c>
      <c r="X1950">
        <v>4.8933101849999998</v>
      </c>
      <c r="Y1950" t="s">
        <v>3318</v>
      </c>
      <c r="Z1950" t="s">
        <v>8253</v>
      </c>
      <c r="AA1950" t="s">
        <v>8250</v>
      </c>
      <c r="AB1950" t="s">
        <v>1278</v>
      </c>
      <c r="AC1950" t="s">
        <v>8254</v>
      </c>
      <c r="AD1950" t="s">
        <v>2708</v>
      </c>
      <c r="AE1950">
        <v>1</v>
      </c>
      <c r="AO1950" t="s">
        <v>4137</v>
      </c>
      <c r="AP1950" t="s">
        <v>2401</v>
      </c>
    </row>
    <row r="1951" spans="1:42">
      <c r="A1951" t="s">
        <v>7616</v>
      </c>
      <c r="B1951" t="s">
        <v>2389</v>
      </c>
      <c r="C1951" t="s">
        <v>2438</v>
      </c>
      <c r="D1951" t="s">
        <v>2379</v>
      </c>
      <c r="E1951" t="s">
        <v>2452</v>
      </c>
      <c r="F1951" t="s">
        <v>3485</v>
      </c>
      <c r="G1951" t="s">
        <v>2452</v>
      </c>
      <c r="H1951" t="b">
        <v>1</v>
      </c>
      <c r="I1951" s="8">
        <v>45943.607210648152</v>
      </c>
      <c r="J1951" t="s">
        <v>2380</v>
      </c>
      <c r="K1951">
        <v>1201949</v>
      </c>
      <c r="L1951">
        <v>601554</v>
      </c>
      <c r="M1951" t="s">
        <v>2381</v>
      </c>
      <c r="Q1951" t="s">
        <v>2383</v>
      </c>
      <c r="R1951">
        <v>1</v>
      </c>
      <c r="S1951" t="s">
        <v>2380</v>
      </c>
      <c r="T1951" t="s">
        <v>2383</v>
      </c>
      <c r="U1951" s="8">
        <v>45943.591180555559</v>
      </c>
      <c r="V1951" s="8">
        <v>45946.958333333336</v>
      </c>
      <c r="W1951">
        <v>1</v>
      </c>
      <c r="X1951">
        <v>1.6030092999999999E-2</v>
      </c>
      <c r="Y1951" t="s">
        <v>3486</v>
      </c>
      <c r="Z1951" t="s">
        <v>7617</v>
      </c>
      <c r="AA1951" t="s">
        <v>3489</v>
      </c>
      <c r="AB1951" t="s">
        <v>1278</v>
      </c>
      <c r="AC1951" t="s">
        <v>7618</v>
      </c>
      <c r="AD1951" t="s">
        <v>2708</v>
      </c>
      <c r="AE1951">
        <v>1</v>
      </c>
      <c r="AO1951" t="s">
        <v>2957</v>
      </c>
      <c r="AP1951" t="s">
        <v>2401</v>
      </c>
    </row>
    <row r="1952" spans="1:42">
      <c r="A1952" t="s">
        <v>7619</v>
      </c>
      <c r="B1952" t="s">
        <v>2389</v>
      </c>
      <c r="C1952" t="s">
        <v>2415</v>
      </c>
      <c r="D1952" t="s">
        <v>2379</v>
      </c>
      <c r="E1952" t="s">
        <v>2452</v>
      </c>
      <c r="F1952" t="s">
        <v>3485</v>
      </c>
      <c r="G1952" t="s">
        <v>2452</v>
      </c>
      <c r="H1952" t="b">
        <v>1</v>
      </c>
      <c r="I1952" s="8">
        <v>45945.350289351853</v>
      </c>
      <c r="J1952" t="s">
        <v>2380</v>
      </c>
      <c r="K1952">
        <v>1202409</v>
      </c>
      <c r="L1952">
        <v>601554</v>
      </c>
      <c r="M1952" t="s">
        <v>2381</v>
      </c>
      <c r="Q1952" t="s">
        <v>2383</v>
      </c>
      <c r="R1952">
        <v>1</v>
      </c>
      <c r="S1952" t="s">
        <v>2380</v>
      </c>
      <c r="T1952" t="s">
        <v>2383</v>
      </c>
      <c r="U1952" s="8">
        <v>45943.591585648152</v>
      </c>
      <c r="V1952" s="8">
        <v>45947.958333333336</v>
      </c>
      <c r="W1952">
        <v>1</v>
      </c>
      <c r="X1952">
        <v>1.758703704</v>
      </c>
      <c r="Y1952" t="s">
        <v>3486</v>
      </c>
      <c r="Z1952" t="s">
        <v>7620</v>
      </c>
      <c r="AA1952" t="s">
        <v>3489</v>
      </c>
      <c r="AB1952" t="s">
        <v>1278</v>
      </c>
      <c r="AC1952" t="s">
        <v>7621</v>
      </c>
      <c r="AD1952" t="s">
        <v>2708</v>
      </c>
      <c r="AE1952">
        <v>1</v>
      </c>
      <c r="AO1952" t="s">
        <v>2957</v>
      </c>
      <c r="AP1952" t="s">
        <v>2401</v>
      </c>
    </row>
    <row r="1953" spans="1:42">
      <c r="A1953" t="s">
        <v>7622</v>
      </c>
      <c r="B1953" t="s">
        <v>2389</v>
      </c>
      <c r="C1953" t="s">
        <v>2438</v>
      </c>
      <c r="D1953" t="s">
        <v>2379</v>
      </c>
      <c r="E1953" t="s">
        <v>2452</v>
      </c>
      <c r="F1953" t="s">
        <v>3485</v>
      </c>
      <c r="G1953" t="s">
        <v>2452</v>
      </c>
      <c r="H1953" t="b">
        <v>1</v>
      </c>
      <c r="I1953" s="8">
        <v>45943.617013888892</v>
      </c>
      <c r="J1953" t="s">
        <v>2380</v>
      </c>
      <c r="K1953">
        <v>1201962</v>
      </c>
      <c r="L1953">
        <v>601554</v>
      </c>
      <c r="M1953" t="s">
        <v>2381</v>
      </c>
      <c r="Q1953" t="s">
        <v>2383</v>
      </c>
      <c r="R1953">
        <v>1</v>
      </c>
      <c r="S1953" t="s">
        <v>2380</v>
      </c>
      <c r="T1953" t="s">
        <v>2383</v>
      </c>
      <c r="U1953" s="8">
        <v>45943.59202546296</v>
      </c>
      <c r="V1953" s="8">
        <v>45946.958333333336</v>
      </c>
      <c r="W1953">
        <v>1</v>
      </c>
      <c r="X1953">
        <v>2.4988426000000001E-2</v>
      </c>
      <c r="Y1953" t="s">
        <v>3486</v>
      </c>
      <c r="Z1953" t="s">
        <v>7623</v>
      </c>
      <c r="AA1953" t="s">
        <v>3489</v>
      </c>
      <c r="AB1953" t="s">
        <v>1278</v>
      </c>
      <c r="AC1953" t="s">
        <v>7624</v>
      </c>
      <c r="AD1953" t="s">
        <v>2708</v>
      </c>
      <c r="AE1953">
        <v>1</v>
      </c>
      <c r="AO1953" t="s">
        <v>2957</v>
      </c>
      <c r="AP1953" t="s">
        <v>2401</v>
      </c>
    </row>
    <row r="1954" spans="1:42">
      <c r="A1954" t="s">
        <v>7625</v>
      </c>
      <c r="B1954" t="s">
        <v>2389</v>
      </c>
      <c r="C1954" t="s">
        <v>2438</v>
      </c>
      <c r="D1954" t="s">
        <v>2379</v>
      </c>
      <c r="E1954" t="s">
        <v>2452</v>
      </c>
      <c r="F1954" t="s">
        <v>3485</v>
      </c>
      <c r="G1954" t="s">
        <v>2452</v>
      </c>
      <c r="H1954" t="b">
        <v>1</v>
      </c>
      <c r="I1954" s="8">
        <v>45943.623159722221</v>
      </c>
      <c r="J1954" t="s">
        <v>2380</v>
      </c>
      <c r="K1954">
        <v>1202000</v>
      </c>
      <c r="L1954">
        <v>601554</v>
      </c>
      <c r="M1954" t="s">
        <v>2381</v>
      </c>
      <c r="Q1954" t="s">
        <v>2383</v>
      </c>
      <c r="R1954">
        <v>1</v>
      </c>
      <c r="S1954" t="s">
        <v>2380</v>
      </c>
      <c r="T1954" t="s">
        <v>2383</v>
      </c>
      <c r="U1954" s="8">
        <v>45943.592395833337</v>
      </c>
      <c r="V1954" s="8">
        <v>45946.958333333336</v>
      </c>
      <c r="W1954">
        <v>1</v>
      </c>
      <c r="X1954">
        <v>3.0763888999999999E-2</v>
      </c>
      <c r="Y1954" t="s">
        <v>3486</v>
      </c>
      <c r="Z1954" t="s">
        <v>7626</v>
      </c>
      <c r="AA1954" t="s">
        <v>3489</v>
      </c>
      <c r="AB1954" t="s">
        <v>1278</v>
      </c>
      <c r="AC1954" t="s">
        <v>7627</v>
      </c>
      <c r="AD1954" t="s">
        <v>2708</v>
      </c>
      <c r="AE1954">
        <v>1</v>
      </c>
      <c r="AO1954" t="s">
        <v>2957</v>
      </c>
      <c r="AP1954" t="s">
        <v>2401</v>
      </c>
    </row>
    <row r="1955" spans="1:42">
      <c r="A1955" t="s">
        <v>7628</v>
      </c>
      <c r="B1955" t="s">
        <v>2389</v>
      </c>
      <c r="C1955" t="s">
        <v>2438</v>
      </c>
      <c r="D1955" t="s">
        <v>2379</v>
      </c>
      <c r="E1955" t="s">
        <v>2452</v>
      </c>
      <c r="F1955" t="s">
        <v>3485</v>
      </c>
      <c r="G1955" t="s">
        <v>2452</v>
      </c>
      <c r="H1955" t="b">
        <v>1</v>
      </c>
      <c r="I1955" s="8">
        <v>45943.629652777781</v>
      </c>
      <c r="J1955" t="s">
        <v>2380</v>
      </c>
      <c r="K1955">
        <v>1202033</v>
      </c>
      <c r="L1955">
        <v>601554</v>
      </c>
      <c r="M1955" t="s">
        <v>2381</v>
      </c>
      <c r="Q1955" t="s">
        <v>2383</v>
      </c>
      <c r="R1955">
        <v>1</v>
      </c>
      <c r="S1955" t="s">
        <v>2380</v>
      </c>
      <c r="T1955" t="s">
        <v>2383</v>
      </c>
      <c r="U1955" s="8">
        <v>45943.592824074076</v>
      </c>
      <c r="V1955" s="8">
        <v>45946.958333333336</v>
      </c>
      <c r="W1955">
        <v>1</v>
      </c>
      <c r="X1955">
        <v>3.6828703999999997E-2</v>
      </c>
      <c r="Y1955" t="s">
        <v>3486</v>
      </c>
      <c r="Z1955" t="s">
        <v>7629</v>
      </c>
      <c r="AA1955" t="s">
        <v>3489</v>
      </c>
      <c r="AB1955" t="s">
        <v>1278</v>
      </c>
      <c r="AC1955" t="s">
        <v>7630</v>
      </c>
      <c r="AD1955" t="s">
        <v>2708</v>
      </c>
      <c r="AE1955">
        <v>1</v>
      </c>
      <c r="AO1955" t="s">
        <v>2957</v>
      </c>
      <c r="AP1955" t="s">
        <v>2401</v>
      </c>
    </row>
    <row r="1956" spans="1:42">
      <c r="A1956" t="s">
        <v>3791</v>
      </c>
      <c r="B1956" t="s">
        <v>2377</v>
      </c>
      <c r="C1956" t="s">
        <v>2438</v>
      </c>
      <c r="D1956" t="s">
        <v>2379</v>
      </c>
      <c r="E1956" t="s">
        <v>307</v>
      </c>
      <c r="F1956" t="s">
        <v>3747</v>
      </c>
      <c r="G1956" t="s">
        <v>307</v>
      </c>
      <c r="H1956" t="b">
        <v>1</v>
      </c>
      <c r="I1956" s="8">
        <v>45943.700162037036</v>
      </c>
      <c r="J1956" t="s">
        <v>2380</v>
      </c>
      <c r="L1956">
        <v>601335</v>
      </c>
      <c r="M1956" t="s">
        <v>2381</v>
      </c>
      <c r="P1956" t="s">
        <v>2394</v>
      </c>
      <c r="Q1956" t="s">
        <v>2383</v>
      </c>
      <c r="R1956">
        <v>1</v>
      </c>
      <c r="S1956" t="s">
        <v>2380</v>
      </c>
      <c r="T1956" t="s">
        <v>2383</v>
      </c>
      <c r="U1956" s="8">
        <v>45943.595821759256</v>
      </c>
      <c r="V1956" s="8">
        <v>45946.958333333336</v>
      </c>
      <c r="W1956">
        <v>1</v>
      </c>
      <c r="X1956">
        <v>0.10434027799999999</v>
      </c>
      <c r="Y1956" t="s">
        <v>3748</v>
      </c>
      <c r="Z1956" t="s">
        <v>3792</v>
      </c>
      <c r="AA1956" t="s">
        <v>3784</v>
      </c>
      <c r="AB1956" t="s">
        <v>1278</v>
      </c>
      <c r="AC1956" t="s">
        <v>2333</v>
      </c>
      <c r="AE1956">
        <v>1</v>
      </c>
      <c r="AO1956" t="s">
        <v>2712</v>
      </c>
      <c r="AP1956" t="s">
        <v>2401</v>
      </c>
    </row>
    <row r="1957" spans="1:42">
      <c r="A1957" t="s">
        <v>3303</v>
      </c>
      <c r="B1957" t="s">
        <v>2389</v>
      </c>
      <c r="C1957" t="s">
        <v>2438</v>
      </c>
      <c r="D1957" t="s">
        <v>2379</v>
      </c>
      <c r="E1957" t="s">
        <v>307</v>
      </c>
      <c r="F1957" t="s">
        <v>3301</v>
      </c>
      <c r="G1957" t="s">
        <v>307</v>
      </c>
      <c r="H1957" t="b">
        <v>1</v>
      </c>
      <c r="I1957" s="8">
        <v>45943.706759259258</v>
      </c>
      <c r="J1957" t="s">
        <v>2380</v>
      </c>
      <c r="L1957">
        <v>606876</v>
      </c>
      <c r="M1957" t="s">
        <v>2381</v>
      </c>
      <c r="P1957" t="s">
        <v>2394</v>
      </c>
      <c r="Q1957" t="s">
        <v>2383</v>
      </c>
      <c r="R1957">
        <v>1</v>
      </c>
      <c r="S1957" t="s">
        <v>2380</v>
      </c>
      <c r="T1957" t="s">
        <v>2383</v>
      </c>
      <c r="U1957" s="8">
        <v>45943.608425925922</v>
      </c>
      <c r="V1957" s="8">
        <v>45946.958333333336</v>
      </c>
      <c r="W1957">
        <v>1</v>
      </c>
      <c r="X1957">
        <v>9.8333332999999995E-2</v>
      </c>
      <c r="Y1957" t="s">
        <v>3302</v>
      </c>
      <c r="Z1957" t="s">
        <v>3304</v>
      </c>
      <c r="AA1957" t="s">
        <v>3302</v>
      </c>
      <c r="AB1957" t="s">
        <v>1278</v>
      </c>
      <c r="AC1957" t="s">
        <v>2333</v>
      </c>
      <c r="AE1957">
        <v>1</v>
      </c>
      <c r="AO1957" t="s">
        <v>2388</v>
      </c>
      <c r="AP1957" t="s">
        <v>2401</v>
      </c>
    </row>
    <row r="1958" spans="1:42">
      <c r="A1958" t="s">
        <v>8343</v>
      </c>
      <c r="B1958" t="s">
        <v>2389</v>
      </c>
      <c r="C1958" t="s">
        <v>2415</v>
      </c>
      <c r="D1958" t="s">
        <v>2379</v>
      </c>
      <c r="E1958" t="s">
        <v>25</v>
      </c>
      <c r="F1958" t="s">
        <v>4897</v>
      </c>
      <c r="G1958" t="s">
        <v>25</v>
      </c>
      <c r="H1958" t="b">
        <v>1</v>
      </c>
      <c r="I1958" s="8">
        <v>45945.599259259259</v>
      </c>
      <c r="J1958" t="s">
        <v>2380</v>
      </c>
      <c r="K1958">
        <v>1202548</v>
      </c>
      <c r="L1958">
        <v>604425</v>
      </c>
      <c r="M1958" t="s">
        <v>2381</v>
      </c>
      <c r="N1958">
        <v>5</v>
      </c>
      <c r="P1958" t="s">
        <v>2394</v>
      </c>
      <c r="Q1958" t="s">
        <v>2395</v>
      </c>
      <c r="R1958">
        <v>1</v>
      </c>
      <c r="S1958" t="s">
        <v>2380</v>
      </c>
      <c r="T1958" t="s">
        <v>2383</v>
      </c>
      <c r="U1958" s="8">
        <v>45943.617743055554</v>
      </c>
      <c r="V1958" s="8">
        <v>45946.958333333336</v>
      </c>
      <c r="W1958">
        <v>1</v>
      </c>
      <c r="X1958">
        <v>1.9815162040000001</v>
      </c>
      <c r="Y1958" t="s">
        <v>4898</v>
      </c>
      <c r="Z1958" t="s">
        <v>8344</v>
      </c>
      <c r="AA1958" t="s">
        <v>8345</v>
      </c>
      <c r="AB1958" t="s">
        <v>1278</v>
      </c>
      <c r="AC1958" t="s">
        <v>8346</v>
      </c>
      <c r="AD1958" t="s">
        <v>2708</v>
      </c>
      <c r="AE1958">
        <v>1</v>
      </c>
      <c r="AO1958" t="s">
        <v>4137</v>
      </c>
      <c r="AP1958" t="s">
        <v>2401</v>
      </c>
    </row>
    <row r="1959" spans="1:42">
      <c r="A1959" t="s">
        <v>3294</v>
      </c>
      <c r="B1959" t="s">
        <v>2389</v>
      </c>
      <c r="C1959" t="s">
        <v>2415</v>
      </c>
      <c r="D1959" t="s">
        <v>2379</v>
      </c>
      <c r="E1959" t="s">
        <v>25</v>
      </c>
      <c r="F1959" t="s">
        <v>3261</v>
      </c>
      <c r="G1959" t="s">
        <v>25</v>
      </c>
      <c r="H1959" t="b">
        <v>1</v>
      </c>
      <c r="I1959" s="8">
        <v>45945.606932870367</v>
      </c>
      <c r="J1959" t="s">
        <v>2380</v>
      </c>
      <c r="L1959">
        <v>602998</v>
      </c>
      <c r="M1959" t="s">
        <v>2381</v>
      </c>
      <c r="P1959" t="s">
        <v>2394</v>
      </c>
      <c r="Q1959" t="s">
        <v>2383</v>
      </c>
      <c r="R1959">
        <v>1</v>
      </c>
      <c r="S1959" t="s">
        <v>2380</v>
      </c>
      <c r="T1959" t="s">
        <v>2383</v>
      </c>
      <c r="U1959" s="8">
        <v>45943.633888888886</v>
      </c>
      <c r="V1959" s="8">
        <v>45946.958333333336</v>
      </c>
      <c r="W1959">
        <v>1</v>
      </c>
      <c r="X1959">
        <v>1.973043981</v>
      </c>
      <c r="Y1959" t="s">
        <v>3262</v>
      </c>
      <c r="Z1959" t="s">
        <v>3295</v>
      </c>
      <c r="AA1959" t="s">
        <v>3265</v>
      </c>
      <c r="AB1959" t="s">
        <v>1278</v>
      </c>
      <c r="AC1959" t="s">
        <v>2632</v>
      </c>
      <c r="AE1959">
        <v>1</v>
      </c>
      <c r="AO1959" t="s">
        <v>2388</v>
      </c>
      <c r="AP1959" t="s">
        <v>2401</v>
      </c>
    </row>
    <row r="1960" spans="1:42">
      <c r="A1960" t="s">
        <v>3296</v>
      </c>
      <c r="B1960" t="s">
        <v>2389</v>
      </c>
      <c r="C1960" t="s">
        <v>2415</v>
      </c>
      <c r="D1960" t="s">
        <v>2379</v>
      </c>
      <c r="E1960" t="s">
        <v>25</v>
      </c>
      <c r="F1960" t="s">
        <v>3261</v>
      </c>
      <c r="G1960" t="s">
        <v>25</v>
      </c>
      <c r="H1960" t="b">
        <v>1</v>
      </c>
      <c r="I1960" s="8">
        <v>45945.60528935185</v>
      </c>
      <c r="J1960" t="s">
        <v>2380</v>
      </c>
      <c r="L1960">
        <v>602998</v>
      </c>
      <c r="M1960" t="s">
        <v>2381</v>
      </c>
      <c r="P1960" t="s">
        <v>2394</v>
      </c>
      <c r="Q1960" t="s">
        <v>2383</v>
      </c>
      <c r="R1960">
        <v>1</v>
      </c>
      <c r="S1960" t="s">
        <v>2380</v>
      </c>
      <c r="T1960" t="s">
        <v>2383</v>
      </c>
      <c r="U1960" s="8">
        <v>45943.648356481484</v>
      </c>
      <c r="V1960" s="8">
        <v>45946.958333333336</v>
      </c>
      <c r="W1960">
        <v>1</v>
      </c>
      <c r="X1960">
        <v>1.9569328699999999</v>
      </c>
      <c r="Y1960" t="s">
        <v>3262</v>
      </c>
      <c r="Z1960" t="s">
        <v>3297</v>
      </c>
      <c r="AA1960" t="s">
        <v>3265</v>
      </c>
      <c r="AB1960" t="s">
        <v>1278</v>
      </c>
      <c r="AC1960" t="s">
        <v>3298</v>
      </c>
      <c r="AE1960">
        <v>1</v>
      </c>
      <c r="AO1960" t="s">
        <v>2388</v>
      </c>
      <c r="AP1960" t="s">
        <v>2401</v>
      </c>
    </row>
    <row r="1961" spans="1:42">
      <c r="A1961" t="s">
        <v>3760</v>
      </c>
      <c r="B1961" t="s">
        <v>2377</v>
      </c>
      <c r="C1961" t="s">
        <v>2390</v>
      </c>
      <c r="D1961" t="s">
        <v>2379</v>
      </c>
      <c r="E1961" t="s">
        <v>24</v>
      </c>
      <c r="F1961" t="s">
        <v>3747</v>
      </c>
      <c r="G1961" t="s">
        <v>24</v>
      </c>
      <c r="H1961" t="b">
        <v>1</v>
      </c>
      <c r="I1961" s="8">
        <v>45946.489687499998</v>
      </c>
      <c r="J1961" t="s">
        <v>2380</v>
      </c>
      <c r="L1961">
        <v>601357</v>
      </c>
      <c r="M1961" t="s">
        <v>2381</v>
      </c>
      <c r="P1961" t="s">
        <v>2427</v>
      </c>
      <c r="Q1961" t="s">
        <v>2383</v>
      </c>
      <c r="R1961">
        <v>1</v>
      </c>
      <c r="S1961" t="s">
        <v>2380</v>
      </c>
      <c r="T1961" t="s">
        <v>2383</v>
      </c>
      <c r="U1961" s="8">
        <v>45943.650254629632</v>
      </c>
      <c r="V1961" s="8">
        <v>45946.958333333336</v>
      </c>
      <c r="W1961">
        <v>1</v>
      </c>
      <c r="X1961">
        <v>2.83943287</v>
      </c>
      <c r="Y1961" t="s">
        <v>3748</v>
      </c>
      <c r="Z1961" t="s">
        <v>3761</v>
      </c>
      <c r="AA1961" t="s">
        <v>3762</v>
      </c>
      <c r="AB1961" t="s">
        <v>1278</v>
      </c>
      <c r="AC1961" t="s">
        <v>2414</v>
      </c>
      <c r="AE1961">
        <v>1</v>
      </c>
      <c r="AO1961" t="s">
        <v>2712</v>
      </c>
      <c r="AP1961" t="s">
        <v>2401</v>
      </c>
    </row>
    <row r="1962" spans="1:42">
      <c r="A1962" t="s">
        <v>7554</v>
      </c>
      <c r="B1962" t="s">
        <v>2389</v>
      </c>
      <c r="C1962" t="s">
        <v>2438</v>
      </c>
      <c r="D1962" t="s">
        <v>2379</v>
      </c>
      <c r="E1962" t="s">
        <v>307</v>
      </c>
      <c r="F1962" t="s">
        <v>7539</v>
      </c>
      <c r="G1962" t="s">
        <v>307</v>
      </c>
      <c r="H1962" t="b">
        <v>1</v>
      </c>
      <c r="I1962" s="8">
        <v>45943.687719907408</v>
      </c>
      <c r="J1962" t="s">
        <v>2380</v>
      </c>
      <c r="K1962">
        <v>1202160</v>
      </c>
      <c r="L1962">
        <v>603531</v>
      </c>
      <c r="M1962" t="s">
        <v>2381</v>
      </c>
      <c r="Q1962" t="s">
        <v>2383</v>
      </c>
      <c r="R1962">
        <v>1</v>
      </c>
      <c r="S1962" t="s">
        <v>2380</v>
      </c>
      <c r="T1962" t="s">
        <v>2383</v>
      </c>
      <c r="U1962" s="8">
        <v>45943.664537037039</v>
      </c>
      <c r="V1962" s="8">
        <v>45946.958333333336</v>
      </c>
      <c r="W1962">
        <v>1</v>
      </c>
      <c r="X1962">
        <v>2.3182870000000001E-2</v>
      </c>
      <c r="Y1962" t="s">
        <v>7540</v>
      </c>
      <c r="Z1962" t="s">
        <v>7555</v>
      </c>
      <c r="AA1962" t="s">
        <v>7543</v>
      </c>
      <c r="AB1962" t="s">
        <v>1278</v>
      </c>
      <c r="AC1962" t="s">
        <v>7556</v>
      </c>
      <c r="AD1962" t="s">
        <v>2708</v>
      </c>
      <c r="AE1962">
        <v>1</v>
      </c>
      <c r="AO1962" t="s">
        <v>2957</v>
      </c>
      <c r="AP1962" t="s">
        <v>2401</v>
      </c>
    </row>
    <row r="1963" spans="1:42">
      <c r="A1963" t="s">
        <v>7557</v>
      </c>
      <c r="B1963" t="s">
        <v>2389</v>
      </c>
      <c r="C1963" t="s">
        <v>2438</v>
      </c>
      <c r="D1963" t="s">
        <v>2379</v>
      </c>
      <c r="E1963" t="s">
        <v>307</v>
      </c>
      <c r="F1963" t="s">
        <v>7539</v>
      </c>
      <c r="G1963" t="s">
        <v>307</v>
      </c>
      <c r="H1963" t="b">
        <v>1</v>
      </c>
      <c r="I1963" s="8">
        <v>45943.68241898148</v>
      </c>
      <c r="J1963" t="s">
        <v>2380</v>
      </c>
      <c r="K1963">
        <v>1202159</v>
      </c>
      <c r="L1963">
        <v>603531</v>
      </c>
      <c r="M1963" t="s">
        <v>2381</v>
      </c>
      <c r="Q1963" t="s">
        <v>2383</v>
      </c>
      <c r="R1963">
        <v>1</v>
      </c>
      <c r="S1963" t="s">
        <v>2380</v>
      </c>
      <c r="T1963" t="s">
        <v>2383</v>
      </c>
      <c r="U1963" s="8">
        <v>45943.664953703701</v>
      </c>
      <c r="V1963" s="8">
        <v>45946.958333333336</v>
      </c>
      <c r="W1963">
        <v>1</v>
      </c>
      <c r="X1963">
        <v>1.7465278000000001E-2</v>
      </c>
      <c r="Y1963" t="s">
        <v>7540</v>
      </c>
      <c r="Z1963" t="s">
        <v>7558</v>
      </c>
      <c r="AA1963" t="s">
        <v>7543</v>
      </c>
      <c r="AB1963" t="s">
        <v>1278</v>
      </c>
      <c r="AC1963" t="s">
        <v>7559</v>
      </c>
      <c r="AD1963" t="s">
        <v>2708</v>
      </c>
      <c r="AE1963">
        <v>1</v>
      </c>
      <c r="AO1963" t="s">
        <v>2957</v>
      </c>
      <c r="AP1963" t="s">
        <v>2401</v>
      </c>
    </row>
    <row r="1964" spans="1:42">
      <c r="A1964" t="s">
        <v>7560</v>
      </c>
      <c r="B1964" t="s">
        <v>2389</v>
      </c>
      <c r="C1964" t="s">
        <v>2438</v>
      </c>
      <c r="D1964" t="s">
        <v>2379</v>
      </c>
      <c r="E1964" t="s">
        <v>307</v>
      </c>
      <c r="F1964" t="s">
        <v>7539</v>
      </c>
      <c r="G1964" t="s">
        <v>307</v>
      </c>
      <c r="H1964" t="b">
        <v>1</v>
      </c>
      <c r="I1964" s="8">
        <v>45943.678263888891</v>
      </c>
      <c r="J1964" t="s">
        <v>2380</v>
      </c>
      <c r="K1964">
        <v>1202157</v>
      </c>
      <c r="L1964">
        <v>603531</v>
      </c>
      <c r="M1964" t="s">
        <v>2381</v>
      </c>
      <c r="Q1964" t="s">
        <v>2383</v>
      </c>
      <c r="R1964">
        <v>1</v>
      </c>
      <c r="S1964" t="s">
        <v>2380</v>
      </c>
      <c r="T1964" t="s">
        <v>2383</v>
      </c>
      <c r="U1964" s="8">
        <v>45943.665856481479</v>
      </c>
      <c r="V1964" s="8">
        <v>45946.958333333336</v>
      </c>
      <c r="W1964">
        <v>1</v>
      </c>
      <c r="X1964">
        <v>1.2407407000000001E-2</v>
      </c>
      <c r="Y1964" t="s">
        <v>7540</v>
      </c>
      <c r="Z1964" t="s">
        <v>7561</v>
      </c>
      <c r="AA1964" t="s">
        <v>7543</v>
      </c>
      <c r="AB1964" t="s">
        <v>1278</v>
      </c>
      <c r="AC1964" t="s">
        <v>7562</v>
      </c>
      <c r="AD1964" t="s">
        <v>2708</v>
      </c>
      <c r="AE1964">
        <v>1</v>
      </c>
      <c r="AO1964" t="s">
        <v>2957</v>
      </c>
      <c r="AP1964" t="s">
        <v>2401</v>
      </c>
    </row>
    <row r="1965" spans="1:42">
      <c r="A1965" t="s">
        <v>9949</v>
      </c>
      <c r="B1965" t="s">
        <v>2377</v>
      </c>
      <c r="C1965" t="s">
        <v>2390</v>
      </c>
      <c r="D1965" t="s">
        <v>2379</v>
      </c>
      <c r="E1965" t="s">
        <v>24</v>
      </c>
      <c r="F1965" t="s">
        <v>3472</v>
      </c>
      <c r="G1965" t="s">
        <v>24</v>
      </c>
      <c r="H1965" t="b">
        <v>1</v>
      </c>
      <c r="I1965" s="8">
        <v>45946.489930555559</v>
      </c>
      <c r="J1965" t="s">
        <v>2380</v>
      </c>
      <c r="L1965">
        <v>603685</v>
      </c>
      <c r="M1965" t="s">
        <v>2381</v>
      </c>
      <c r="P1965" t="s">
        <v>2427</v>
      </c>
      <c r="Q1965" t="s">
        <v>2383</v>
      </c>
      <c r="R1965">
        <v>1</v>
      </c>
      <c r="S1965" t="s">
        <v>2380</v>
      </c>
      <c r="T1965" t="s">
        <v>2383</v>
      </c>
      <c r="U1965" s="8">
        <v>45943.67324074074</v>
      </c>
      <c r="V1965" s="8">
        <v>45946.958333333336</v>
      </c>
      <c r="W1965">
        <v>1</v>
      </c>
      <c r="X1965">
        <v>2.8166898150000002</v>
      </c>
      <c r="Y1965" t="s">
        <v>3473</v>
      </c>
      <c r="Z1965" t="s">
        <v>9950</v>
      </c>
      <c r="AA1965" t="s">
        <v>1136</v>
      </c>
      <c r="AB1965" t="s">
        <v>1278</v>
      </c>
      <c r="AC1965" t="s">
        <v>9951</v>
      </c>
      <c r="AE1965">
        <v>1</v>
      </c>
      <c r="AO1965" t="s">
        <v>2957</v>
      </c>
      <c r="AP1965" t="s">
        <v>2401</v>
      </c>
    </row>
    <row r="1966" spans="1:42">
      <c r="A1966" t="s">
        <v>6882</v>
      </c>
      <c r="B1966" t="s">
        <v>2389</v>
      </c>
      <c r="C1966" t="s">
        <v>2390</v>
      </c>
      <c r="D1966" t="s">
        <v>2379</v>
      </c>
      <c r="E1966" t="s">
        <v>2452</v>
      </c>
      <c r="F1966" t="s">
        <v>6738</v>
      </c>
      <c r="G1966" t="s">
        <v>2452</v>
      </c>
      <c r="H1966" t="b">
        <v>1</v>
      </c>
      <c r="I1966" s="8">
        <v>45946.510671296295</v>
      </c>
      <c r="J1966" t="s">
        <v>2380</v>
      </c>
      <c r="K1966">
        <v>1202755</v>
      </c>
      <c r="L1966">
        <v>606905</v>
      </c>
      <c r="M1966" t="s">
        <v>2381</v>
      </c>
      <c r="P1966" t="s">
        <v>2394</v>
      </c>
      <c r="Q1966" t="s">
        <v>2383</v>
      </c>
      <c r="R1966">
        <v>1</v>
      </c>
      <c r="S1966" t="s">
        <v>2380</v>
      </c>
      <c r="T1966" t="s">
        <v>2383</v>
      </c>
      <c r="U1966" s="8">
        <v>45943.700844907406</v>
      </c>
      <c r="V1966" s="8">
        <v>45946.958333333336</v>
      </c>
      <c r="W1966">
        <v>1</v>
      </c>
      <c r="X1966">
        <v>2.8098263889999999</v>
      </c>
      <c r="Y1966" t="s">
        <v>6739</v>
      </c>
      <c r="Z1966" t="s">
        <v>6883</v>
      </c>
      <c r="AA1966" t="s">
        <v>6871</v>
      </c>
      <c r="AB1966" t="s">
        <v>1278</v>
      </c>
      <c r="AC1966" t="s">
        <v>6884</v>
      </c>
      <c r="AD1966" t="s">
        <v>2708</v>
      </c>
      <c r="AE1966">
        <v>1</v>
      </c>
      <c r="AO1966" t="s">
        <v>2388</v>
      </c>
      <c r="AP1966" t="s">
        <v>2401</v>
      </c>
    </row>
    <row r="1967" spans="1:42">
      <c r="A1967" t="s">
        <v>3727</v>
      </c>
      <c r="B1967" t="s">
        <v>2377</v>
      </c>
      <c r="C1967" t="s">
        <v>2390</v>
      </c>
      <c r="D1967" t="s">
        <v>2379</v>
      </c>
      <c r="E1967" t="s">
        <v>12</v>
      </c>
      <c r="F1967" t="s">
        <v>2588</v>
      </c>
      <c r="G1967" t="s">
        <v>12</v>
      </c>
      <c r="H1967" t="b">
        <v>1</v>
      </c>
      <c r="I1967" s="8">
        <v>45946.503912037035</v>
      </c>
      <c r="J1967" t="s">
        <v>2380</v>
      </c>
      <c r="L1967">
        <v>603123</v>
      </c>
      <c r="M1967" t="s">
        <v>2381</v>
      </c>
      <c r="Q1967" t="s">
        <v>2383</v>
      </c>
      <c r="R1967">
        <v>1</v>
      </c>
      <c r="S1967" t="s">
        <v>2380</v>
      </c>
      <c r="T1967" t="s">
        <v>2383</v>
      </c>
      <c r="U1967" s="8">
        <v>45944.284942129627</v>
      </c>
      <c r="V1967" s="8">
        <v>45946.958333333336</v>
      </c>
      <c r="W1967">
        <v>1</v>
      </c>
      <c r="X1967">
        <v>2.218969907</v>
      </c>
      <c r="Y1967" t="s">
        <v>2579</v>
      </c>
      <c r="Z1967" t="s">
        <v>3728</v>
      </c>
      <c r="AA1967" t="s">
        <v>3729</v>
      </c>
      <c r="AB1967" t="s">
        <v>1278</v>
      </c>
      <c r="AC1967" t="s">
        <v>3730</v>
      </c>
      <c r="AE1967">
        <v>1</v>
      </c>
      <c r="AO1967" t="s">
        <v>2720</v>
      </c>
      <c r="AP1967" t="s">
        <v>2401</v>
      </c>
    </row>
    <row r="1968" spans="1:42">
      <c r="A1968" t="s">
        <v>3615</v>
      </c>
      <c r="B1968" t="s">
        <v>2389</v>
      </c>
      <c r="C1968" t="s">
        <v>2438</v>
      </c>
      <c r="D1968" t="s">
        <v>2379</v>
      </c>
      <c r="E1968" t="s">
        <v>2452</v>
      </c>
      <c r="F1968" t="s">
        <v>3613</v>
      </c>
      <c r="G1968" t="s">
        <v>2452</v>
      </c>
      <c r="H1968" t="b">
        <v>1</v>
      </c>
      <c r="I1968" s="8">
        <v>45944.36917824074</v>
      </c>
      <c r="J1968" t="s">
        <v>2380</v>
      </c>
      <c r="L1968">
        <v>605352</v>
      </c>
      <c r="M1968" t="s">
        <v>2381</v>
      </c>
      <c r="Q1968" t="s">
        <v>2383</v>
      </c>
      <c r="R1968">
        <v>1</v>
      </c>
      <c r="S1968" t="s">
        <v>2380</v>
      </c>
      <c r="T1968" t="s">
        <v>2383</v>
      </c>
      <c r="U1968" s="8">
        <v>45944.360254629632</v>
      </c>
      <c r="V1968" s="8">
        <v>45947.958333333336</v>
      </c>
      <c r="W1968">
        <v>1</v>
      </c>
      <c r="X1968">
        <v>8.9236109999999997E-3</v>
      </c>
      <c r="Y1968" t="s">
        <v>3614</v>
      </c>
      <c r="Z1968" t="s">
        <v>3616</v>
      </c>
      <c r="AA1968" t="s">
        <v>3617</v>
      </c>
      <c r="AB1968" t="s">
        <v>1278</v>
      </c>
      <c r="AC1968" t="s">
        <v>3618</v>
      </c>
      <c r="AE1968">
        <v>1</v>
      </c>
      <c r="AO1968" t="s">
        <v>3608</v>
      </c>
      <c r="AP1968" t="s">
        <v>2401</v>
      </c>
    </row>
    <row r="1969" spans="1:42">
      <c r="A1969" t="s">
        <v>6932</v>
      </c>
      <c r="B1969" t="s">
        <v>2389</v>
      </c>
      <c r="C1969" t="s">
        <v>2390</v>
      </c>
      <c r="D1969" t="s">
        <v>2379</v>
      </c>
      <c r="E1969" t="s">
        <v>2452</v>
      </c>
      <c r="F1969" t="s">
        <v>2588</v>
      </c>
      <c r="G1969" t="s">
        <v>2452</v>
      </c>
      <c r="H1969" t="b">
        <v>1</v>
      </c>
      <c r="I1969" s="8">
        <v>45946.635763888888</v>
      </c>
      <c r="J1969" t="s">
        <v>2380</v>
      </c>
      <c r="K1969">
        <v>1202985</v>
      </c>
      <c r="L1969">
        <v>603421</v>
      </c>
      <c r="M1969" t="s">
        <v>2381</v>
      </c>
      <c r="P1969" t="s">
        <v>2394</v>
      </c>
      <c r="Q1969" t="s">
        <v>2383</v>
      </c>
      <c r="R1969">
        <v>1</v>
      </c>
      <c r="S1969" t="s">
        <v>2380</v>
      </c>
      <c r="T1969" t="s">
        <v>2383</v>
      </c>
      <c r="U1969" s="8">
        <v>45944.369699074072</v>
      </c>
      <c r="V1969" s="8">
        <v>45947.958333333336</v>
      </c>
      <c r="W1969">
        <v>1</v>
      </c>
      <c r="X1969">
        <v>2.266064815</v>
      </c>
      <c r="Y1969" t="s">
        <v>2579</v>
      </c>
      <c r="Z1969" t="s">
        <v>6933</v>
      </c>
      <c r="AA1969" t="s">
        <v>6934</v>
      </c>
      <c r="AB1969" t="s">
        <v>1278</v>
      </c>
      <c r="AC1969" t="s">
        <v>6935</v>
      </c>
      <c r="AD1969" t="s">
        <v>2708</v>
      </c>
      <c r="AE1969">
        <v>1</v>
      </c>
      <c r="AO1969" t="s">
        <v>2388</v>
      </c>
      <c r="AP1969" t="s">
        <v>2401</v>
      </c>
    </row>
    <row r="1970" spans="1:42">
      <c r="A1970" t="s">
        <v>8347</v>
      </c>
      <c r="B1970" t="s">
        <v>2389</v>
      </c>
      <c r="C1970" t="s">
        <v>2390</v>
      </c>
      <c r="D1970" t="s">
        <v>2379</v>
      </c>
      <c r="E1970" t="s">
        <v>25</v>
      </c>
      <c r="F1970" t="s">
        <v>8218</v>
      </c>
      <c r="G1970" t="s">
        <v>25</v>
      </c>
      <c r="H1970" t="b">
        <v>1</v>
      </c>
      <c r="I1970" s="8">
        <v>45946.629918981482</v>
      </c>
      <c r="J1970" t="s">
        <v>2380</v>
      </c>
      <c r="K1970">
        <v>1202983</v>
      </c>
      <c r="L1970">
        <v>604303</v>
      </c>
      <c r="M1970" t="s">
        <v>2381</v>
      </c>
      <c r="N1970">
        <v>5</v>
      </c>
      <c r="P1970" t="s">
        <v>2394</v>
      </c>
      <c r="Q1970" t="s">
        <v>2395</v>
      </c>
      <c r="R1970">
        <v>1</v>
      </c>
      <c r="S1970" t="s">
        <v>2380</v>
      </c>
      <c r="T1970" t="s">
        <v>2383</v>
      </c>
      <c r="U1970" s="8">
        <v>45944.371759259258</v>
      </c>
      <c r="V1970" s="8">
        <v>45947.958333333336</v>
      </c>
      <c r="W1970">
        <v>1</v>
      </c>
      <c r="X1970">
        <v>2.2581597219999998</v>
      </c>
      <c r="Y1970" t="s">
        <v>3262</v>
      </c>
      <c r="Z1970" t="s">
        <v>8348</v>
      </c>
      <c r="AA1970" t="s">
        <v>8221</v>
      </c>
      <c r="AB1970" t="s">
        <v>1278</v>
      </c>
      <c r="AC1970" t="s">
        <v>8349</v>
      </c>
      <c r="AD1970" t="s">
        <v>2708</v>
      </c>
      <c r="AE1970">
        <v>1</v>
      </c>
      <c r="AO1970" t="s">
        <v>4137</v>
      </c>
      <c r="AP1970" t="s">
        <v>2401</v>
      </c>
    </row>
    <row r="1971" spans="1:42">
      <c r="A1971" t="s">
        <v>6936</v>
      </c>
      <c r="B1971" t="s">
        <v>2389</v>
      </c>
      <c r="C1971" t="s">
        <v>2390</v>
      </c>
      <c r="D1971" t="s">
        <v>2379</v>
      </c>
      <c r="E1971" t="s">
        <v>2452</v>
      </c>
      <c r="F1971" t="s">
        <v>2578</v>
      </c>
      <c r="G1971" t="s">
        <v>2452</v>
      </c>
      <c r="H1971" t="b">
        <v>1</v>
      </c>
      <c r="I1971" s="8">
        <v>45946.644259259258</v>
      </c>
      <c r="J1971" t="s">
        <v>2380</v>
      </c>
      <c r="K1971">
        <v>1203018</v>
      </c>
      <c r="L1971">
        <v>603444</v>
      </c>
      <c r="M1971" t="s">
        <v>2381</v>
      </c>
      <c r="P1971" t="s">
        <v>2394</v>
      </c>
      <c r="Q1971" t="s">
        <v>2383</v>
      </c>
      <c r="R1971">
        <v>1</v>
      </c>
      <c r="S1971" t="s">
        <v>2380</v>
      </c>
      <c r="T1971" t="s">
        <v>2383</v>
      </c>
      <c r="U1971" s="8">
        <v>45944.374652777777</v>
      </c>
      <c r="V1971" s="8">
        <v>45947.958333333336</v>
      </c>
      <c r="W1971">
        <v>1</v>
      </c>
      <c r="X1971">
        <v>2.2696064809999998</v>
      </c>
      <c r="Y1971" t="s">
        <v>2579</v>
      </c>
      <c r="Z1971" t="s">
        <v>6937</v>
      </c>
      <c r="AA1971" t="s">
        <v>6753</v>
      </c>
      <c r="AB1971" t="s">
        <v>1278</v>
      </c>
      <c r="AC1971" t="s">
        <v>6938</v>
      </c>
      <c r="AD1971" t="s">
        <v>2708</v>
      </c>
      <c r="AE1971">
        <v>1</v>
      </c>
      <c r="AO1971" t="s">
        <v>2388</v>
      </c>
      <c r="AP1971" t="s">
        <v>2401</v>
      </c>
    </row>
    <row r="1972" spans="1:42">
      <c r="A1972" t="s">
        <v>9667</v>
      </c>
      <c r="B1972" t="s">
        <v>2389</v>
      </c>
      <c r="C1972" t="s">
        <v>2390</v>
      </c>
      <c r="D1972" t="s">
        <v>2379</v>
      </c>
      <c r="E1972" t="s">
        <v>2452</v>
      </c>
      <c r="F1972" t="s">
        <v>3570</v>
      </c>
      <c r="G1972" t="s">
        <v>2452</v>
      </c>
      <c r="H1972" t="b">
        <v>1</v>
      </c>
      <c r="I1972" s="8">
        <v>45947.315960648149</v>
      </c>
      <c r="J1972" t="s">
        <v>2380</v>
      </c>
      <c r="K1972">
        <v>1203036</v>
      </c>
      <c r="L1972">
        <v>602348</v>
      </c>
      <c r="M1972" t="s">
        <v>2381</v>
      </c>
      <c r="P1972" t="s">
        <v>2394</v>
      </c>
      <c r="Q1972" t="s">
        <v>2383</v>
      </c>
      <c r="R1972">
        <v>1</v>
      </c>
      <c r="S1972" t="s">
        <v>2380</v>
      </c>
      <c r="T1972" t="s">
        <v>2383</v>
      </c>
      <c r="U1972" s="8">
        <v>45944.388807870368</v>
      </c>
      <c r="V1972" s="8">
        <v>45947.958333333336</v>
      </c>
      <c r="W1972">
        <v>1</v>
      </c>
      <c r="X1972">
        <v>2.927152778</v>
      </c>
      <c r="Y1972" t="s">
        <v>3572</v>
      </c>
      <c r="Z1972" t="s">
        <v>9668</v>
      </c>
      <c r="AA1972" t="s">
        <v>8591</v>
      </c>
      <c r="AB1972" t="s">
        <v>1278</v>
      </c>
      <c r="AC1972" t="s">
        <v>9669</v>
      </c>
      <c r="AD1972" t="s">
        <v>2708</v>
      </c>
      <c r="AE1972">
        <v>1</v>
      </c>
      <c r="AO1972" t="s">
        <v>3608</v>
      </c>
      <c r="AP1972" t="s">
        <v>2401</v>
      </c>
    </row>
    <row r="1973" spans="1:42">
      <c r="A1973" t="s">
        <v>7044</v>
      </c>
      <c r="B1973" t="s">
        <v>2389</v>
      </c>
      <c r="C1973" t="s">
        <v>2390</v>
      </c>
      <c r="D1973" t="s">
        <v>2379</v>
      </c>
      <c r="E1973" t="s">
        <v>2452</v>
      </c>
      <c r="F1973">
        <v>6397</v>
      </c>
      <c r="G1973" t="s">
        <v>2452</v>
      </c>
      <c r="H1973" t="b">
        <v>1</v>
      </c>
      <c r="I1973" s="8">
        <v>45947.323344907411</v>
      </c>
      <c r="J1973" t="s">
        <v>2380</v>
      </c>
      <c r="K1973">
        <v>1203037</v>
      </c>
      <c r="L1973">
        <v>606290</v>
      </c>
      <c r="M1973" t="s">
        <v>2381</v>
      </c>
      <c r="P1973" t="s">
        <v>2394</v>
      </c>
      <c r="Q1973" t="s">
        <v>2383</v>
      </c>
      <c r="R1973">
        <v>1</v>
      </c>
      <c r="S1973" t="s">
        <v>2380</v>
      </c>
      <c r="T1973" t="s">
        <v>2383</v>
      </c>
      <c r="U1973" s="8">
        <v>45944.39234953704</v>
      </c>
      <c r="V1973" s="8">
        <v>45947.958333333336</v>
      </c>
      <c r="W1973">
        <v>1</v>
      </c>
      <c r="X1973">
        <v>2.9309953700000002</v>
      </c>
      <c r="Y1973" t="s">
        <v>2607</v>
      </c>
      <c r="Z1973" t="s">
        <v>7045</v>
      </c>
      <c r="AA1973" t="s">
        <v>4462</v>
      </c>
      <c r="AB1973" t="s">
        <v>1278</v>
      </c>
      <c r="AC1973" t="s">
        <v>7046</v>
      </c>
      <c r="AD1973" t="s">
        <v>2708</v>
      </c>
      <c r="AE1973">
        <v>1</v>
      </c>
      <c r="AO1973" t="s">
        <v>2388</v>
      </c>
      <c r="AP1973" t="s">
        <v>2401</v>
      </c>
    </row>
    <row r="1974" spans="1:42">
      <c r="A1974" t="s">
        <v>3395</v>
      </c>
      <c r="B1974" t="s">
        <v>2389</v>
      </c>
      <c r="C1974" t="s">
        <v>2390</v>
      </c>
      <c r="D1974" t="s">
        <v>2379</v>
      </c>
      <c r="E1974" t="s">
        <v>2452</v>
      </c>
      <c r="F1974" t="s">
        <v>3261</v>
      </c>
      <c r="G1974" t="s">
        <v>2452</v>
      </c>
      <c r="H1974" t="b">
        <v>1</v>
      </c>
      <c r="I1974" s="8">
        <v>45947.325624999998</v>
      </c>
      <c r="J1974" t="s">
        <v>2380</v>
      </c>
      <c r="L1974">
        <v>602998</v>
      </c>
      <c r="M1974" t="s">
        <v>2381</v>
      </c>
      <c r="P1974" t="s">
        <v>2394</v>
      </c>
      <c r="Q1974" t="s">
        <v>2383</v>
      </c>
      <c r="R1974">
        <v>1</v>
      </c>
      <c r="S1974" t="s">
        <v>2380</v>
      </c>
      <c r="T1974" t="s">
        <v>2383</v>
      </c>
      <c r="U1974" s="8">
        <v>45944.399317129632</v>
      </c>
      <c r="V1974" s="8">
        <v>45947.958333333336</v>
      </c>
      <c r="W1974">
        <v>1</v>
      </c>
      <c r="X1974">
        <v>2.92630787</v>
      </c>
      <c r="Y1974" t="s">
        <v>3262</v>
      </c>
      <c r="Z1974" t="s">
        <v>3396</v>
      </c>
      <c r="AA1974" t="s">
        <v>3265</v>
      </c>
      <c r="AB1974" t="s">
        <v>1278</v>
      </c>
      <c r="AC1974" t="s">
        <v>3397</v>
      </c>
      <c r="AE1974">
        <v>1</v>
      </c>
      <c r="AO1974" t="s">
        <v>2388</v>
      </c>
      <c r="AP1974" t="s">
        <v>2401</v>
      </c>
    </row>
    <row r="1975" spans="1:42">
      <c r="A1975" t="s">
        <v>3398</v>
      </c>
      <c r="B1975" t="s">
        <v>2389</v>
      </c>
      <c r="C1975" t="s">
        <v>2390</v>
      </c>
      <c r="D1975" t="s">
        <v>2379</v>
      </c>
      <c r="E1975" t="s">
        <v>2452</v>
      </c>
      <c r="F1975" t="s">
        <v>3261</v>
      </c>
      <c r="G1975" t="s">
        <v>2452</v>
      </c>
      <c r="H1975" t="b">
        <v>1</v>
      </c>
      <c r="I1975" s="8">
        <v>45947.32885416667</v>
      </c>
      <c r="J1975" t="s">
        <v>2380</v>
      </c>
      <c r="L1975">
        <v>602998</v>
      </c>
      <c r="M1975" t="s">
        <v>2381</v>
      </c>
      <c r="P1975" t="s">
        <v>2394</v>
      </c>
      <c r="Q1975" t="s">
        <v>2383</v>
      </c>
      <c r="R1975">
        <v>1</v>
      </c>
      <c r="S1975" t="s">
        <v>2380</v>
      </c>
      <c r="T1975" t="s">
        <v>2383</v>
      </c>
      <c r="U1975" s="8">
        <v>45944.40425925926</v>
      </c>
      <c r="V1975" s="8">
        <v>45947.958333333336</v>
      </c>
      <c r="W1975">
        <v>1</v>
      </c>
      <c r="X1975">
        <v>2.9245949069999999</v>
      </c>
      <c r="Y1975" t="s">
        <v>3262</v>
      </c>
      <c r="Z1975" t="s">
        <v>3399</v>
      </c>
      <c r="AA1975" t="s">
        <v>3265</v>
      </c>
      <c r="AB1975" t="s">
        <v>1278</v>
      </c>
      <c r="AC1975" t="s">
        <v>3400</v>
      </c>
      <c r="AE1975">
        <v>1</v>
      </c>
      <c r="AO1975" t="s">
        <v>2388</v>
      </c>
      <c r="AP1975" t="s">
        <v>2401</v>
      </c>
    </row>
    <row r="1976" spans="1:42">
      <c r="A1976" t="s">
        <v>3861</v>
      </c>
      <c r="B1976" t="s">
        <v>2389</v>
      </c>
      <c r="C1976" t="s">
        <v>2390</v>
      </c>
      <c r="D1976" t="s">
        <v>2379</v>
      </c>
      <c r="E1976" t="s">
        <v>2452</v>
      </c>
      <c r="F1976" t="s">
        <v>3747</v>
      </c>
      <c r="G1976" t="s">
        <v>2452</v>
      </c>
      <c r="H1976" t="b">
        <v>1</v>
      </c>
      <c r="I1976" s="8">
        <v>45947.330208333333</v>
      </c>
      <c r="J1976" t="s">
        <v>2380</v>
      </c>
      <c r="L1976">
        <v>609918</v>
      </c>
      <c r="M1976" t="s">
        <v>2381</v>
      </c>
      <c r="P1976" t="s">
        <v>2394</v>
      </c>
      <c r="Q1976" t="s">
        <v>2383</v>
      </c>
      <c r="R1976">
        <v>1</v>
      </c>
      <c r="S1976" t="s">
        <v>2380</v>
      </c>
      <c r="T1976" t="s">
        <v>2383</v>
      </c>
      <c r="U1976" s="8">
        <v>45944.408472222225</v>
      </c>
      <c r="V1976" s="8">
        <v>45947.958333333336</v>
      </c>
      <c r="W1976">
        <v>1</v>
      </c>
      <c r="X1976">
        <v>2.921736111</v>
      </c>
      <c r="Y1976" t="s">
        <v>3748</v>
      </c>
      <c r="Z1976" t="s">
        <v>3862</v>
      </c>
      <c r="AA1976" t="s">
        <v>3807</v>
      </c>
      <c r="AB1976" t="s">
        <v>1278</v>
      </c>
      <c r="AC1976" t="s">
        <v>3863</v>
      </c>
      <c r="AE1976">
        <v>1</v>
      </c>
      <c r="AO1976" t="s">
        <v>2712</v>
      </c>
      <c r="AP1976" t="s">
        <v>2401</v>
      </c>
    </row>
    <row r="1977" spans="1:42">
      <c r="A1977" t="s">
        <v>1069</v>
      </c>
      <c r="B1977" t="s">
        <v>2377</v>
      </c>
      <c r="C1977" t="s">
        <v>2443</v>
      </c>
      <c r="D1977" t="s">
        <v>2443</v>
      </c>
      <c r="E1977" t="s">
        <v>25</v>
      </c>
      <c r="G1977" t="s">
        <v>25</v>
      </c>
      <c r="H1977" t="b">
        <v>1</v>
      </c>
      <c r="I1977" s="8">
        <v>45945.421249999999</v>
      </c>
      <c r="J1977" t="s">
        <v>2380</v>
      </c>
      <c r="L1977">
        <v>605268</v>
      </c>
      <c r="M1977" t="s">
        <v>2381</v>
      </c>
      <c r="N1977">
        <v>5</v>
      </c>
      <c r="P1977" t="s">
        <v>2716</v>
      </c>
      <c r="Q1977" t="s">
        <v>2383</v>
      </c>
      <c r="R1977">
        <v>1</v>
      </c>
      <c r="S1977" t="s">
        <v>2380</v>
      </c>
      <c r="T1977" t="s">
        <v>2383</v>
      </c>
      <c r="U1977" s="8">
        <v>45939.415300925924</v>
      </c>
      <c r="V1977" s="8">
        <v>45944.958333333336</v>
      </c>
      <c r="W1977">
        <v>1</v>
      </c>
      <c r="X1977">
        <v>4.0059490740000001</v>
      </c>
      <c r="Z1977" t="s">
        <v>2717</v>
      </c>
      <c r="AA1977" t="s">
        <v>1301</v>
      </c>
      <c r="AB1977" t="s">
        <v>1278</v>
      </c>
      <c r="AC1977" t="s">
        <v>2718</v>
      </c>
      <c r="AD1977" t="s">
        <v>2708</v>
      </c>
      <c r="AE1977">
        <v>1</v>
      </c>
      <c r="AH1977" t="s">
        <v>33</v>
      </c>
      <c r="AI1977" s="8">
        <v>45945.411851851852</v>
      </c>
      <c r="AK1977" t="s">
        <v>2719</v>
      </c>
      <c r="AL1977" t="s">
        <v>2719</v>
      </c>
      <c r="AO1977" t="s">
        <v>2720</v>
      </c>
    </row>
    <row r="1978" spans="1:42">
      <c r="A1978" t="s">
        <v>645</v>
      </c>
      <c r="B1978" t="s">
        <v>2377</v>
      </c>
      <c r="C1978" t="s">
        <v>2438</v>
      </c>
      <c r="D1978" t="s">
        <v>2379</v>
      </c>
      <c r="E1978" t="s">
        <v>33</v>
      </c>
      <c r="F1978" t="s">
        <v>2409</v>
      </c>
      <c r="G1978" t="s">
        <v>33</v>
      </c>
      <c r="H1978" t="b">
        <v>1</v>
      </c>
      <c r="I1978" s="8">
        <v>45944.517071759263</v>
      </c>
      <c r="J1978" t="s">
        <v>2380</v>
      </c>
      <c r="L1978">
        <v>608028</v>
      </c>
      <c r="M1978" t="s">
        <v>2381</v>
      </c>
      <c r="Q1978" t="s">
        <v>2383</v>
      </c>
      <c r="R1978">
        <v>1</v>
      </c>
      <c r="S1978" t="s">
        <v>2380</v>
      </c>
      <c r="T1978" t="s">
        <v>2383</v>
      </c>
      <c r="U1978" s="8">
        <v>45944.421261574076</v>
      </c>
      <c r="V1978" s="8">
        <v>45947.958333333336</v>
      </c>
      <c r="W1978">
        <v>1</v>
      </c>
      <c r="X1978">
        <v>9.5810185000000006E-2</v>
      </c>
      <c r="Y1978" t="s">
        <v>2410</v>
      </c>
      <c r="Z1978" t="s">
        <v>9203</v>
      </c>
      <c r="AA1978" t="s">
        <v>8806</v>
      </c>
      <c r="AB1978" t="s">
        <v>1278</v>
      </c>
      <c r="AC1978" t="s">
        <v>9204</v>
      </c>
      <c r="AD1978" t="s">
        <v>2708</v>
      </c>
      <c r="AE1978">
        <v>1</v>
      </c>
      <c r="AH1978" t="s">
        <v>24</v>
      </c>
      <c r="AI1978" s="8">
        <v>45944.51158564815</v>
      </c>
      <c r="AK1978" t="s">
        <v>2719</v>
      </c>
      <c r="AL1978" t="s">
        <v>2719</v>
      </c>
      <c r="AO1978" t="s">
        <v>3644</v>
      </c>
      <c r="AP1978" t="s">
        <v>2401</v>
      </c>
    </row>
    <row r="1979" spans="1:42">
      <c r="A1979" t="s">
        <v>7734</v>
      </c>
      <c r="B1979" t="s">
        <v>2389</v>
      </c>
      <c r="C1979" t="s">
        <v>2390</v>
      </c>
      <c r="D1979" t="s">
        <v>2379</v>
      </c>
      <c r="E1979" t="s">
        <v>2452</v>
      </c>
      <c r="F1979" t="s">
        <v>7539</v>
      </c>
      <c r="G1979" t="s">
        <v>2452</v>
      </c>
      <c r="H1979" t="b">
        <v>1</v>
      </c>
      <c r="I1979" s="8">
        <v>45947.335729166669</v>
      </c>
      <c r="J1979" t="s">
        <v>2380</v>
      </c>
      <c r="K1979">
        <v>1203038</v>
      </c>
      <c r="L1979">
        <v>603531</v>
      </c>
      <c r="M1979" t="s">
        <v>2381</v>
      </c>
      <c r="P1979" t="s">
        <v>2394</v>
      </c>
      <c r="Q1979" t="s">
        <v>2383</v>
      </c>
      <c r="R1979">
        <v>1</v>
      </c>
      <c r="S1979" t="s">
        <v>2380</v>
      </c>
      <c r="T1979" t="s">
        <v>2383</v>
      </c>
      <c r="U1979" s="8">
        <v>45944.423344907409</v>
      </c>
      <c r="V1979" s="8">
        <v>45947.958333333336</v>
      </c>
      <c r="W1979">
        <v>1</v>
      </c>
      <c r="X1979">
        <v>2.912384259</v>
      </c>
      <c r="Y1979" t="s">
        <v>7540</v>
      </c>
      <c r="Z1979" t="s">
        <v>7735</v>
      </c>
      <c r="AA1979" t="s">
        <v>7543</v>
      </c>
      <c r="AB1979" t="s">
        <v>1278</v>
      </c>
      <c r="AC1979" t="s">
        <v>7736</v>
      </c>
      <c r="AD1979" t="s">
        <v>2708</v>
      </c>
      <c r="AE1979">
        <v>1</v>
      </c>
      <c r="AO1979" t="s">
        <v>2957</v>
      </c>
      <c r="AP1979" t="s">
        <v>2401</v>
      </c>
    </row>
    <row r="1980" spans="1:42">
      <c r="A1980" t="s">
        <v>9855</v>
      </c>
      <c r="B1980" t="s">
        <v>2389</v>
      </c>
      <c r="C1980" t="s">
        <v>2390</v>
      </c>
      <c r="D1980" t="s">
        <v>2379</v>
      </c>
      <c r="E1980" t="s">
        <v>12</v>
      </c>
      <c r="F1980" t="s">
        <v>2588</v>
      </c>
      <c r="G1980" t="s">
        <v>12</v>
      </c>
      <c r="H1980" t="b">
        <v>1</v>
      </c>
      <c r="I1980" s="8">
        <v>45946.488368055558</v>
      </c>
      <c r="J1980" t="s">
        <v>2380</v>
      </c>
      <c r="K1980">
        <v>1202732</v>
      </c>
      <c r="L1980">
        <v>609706</v>
      </c>
      <c r="M1980" t="s">
        <v>2381</v>
      </c>
      <c r="P1980" t="s">
        <v>2427</v>
      </c>
      <c r="Q1980" t="s">
        <v>2383</v>
      </c>
      <c r="R1980">
        <v>1</v>
      </c>
      <c r="S1980" t="s">
        <v>2380</v>
      </c>
      <c r="T1980" t="s">
        <v>2383</v>
      </c>
      <c r="U1980" s="8">
        <v>45944.444791666669</v>
      </c>
      <c r="V1980" s="8">
        <v>45947.958333333336</v>
      </c>
      <c r="W1980">
        <v>1</v>
      </c>
      <c r="X1980">
        <v>2.043576389</v>
      </c>
      <c r="Y1980" t="s">
        <v>2579</v>
      </c>
      <c r="Z1980" t="s">
        <v>9856</v>
      </c>
      <c r="AA1980" t="s">
        <v>8825</v>
      </c>
      <c r="AB1980" t="s">
        <v>1278</v>
      </c>
      <c r="AC1980" t="s">
        <v>9857</v>
      </c>
      <c r="AD1980" t="s">
        <v>2708</v>
      </c>
      <c r="AE1980">
        <v>1</v>
      </c>
      <c r="AO1980" t="s">
        <v>3644</v>
      </c>
      <c r="AP1980" t="s">
        <v>2401</v>
      </c>
    </row>
    <row r="1981" spans="1:42">
      <c r="A1981" t="s">
        <v>10140</v>
      </c>
      <c r="B1981" t="s">
        <v>2377</v>
      </c>
      <c r="C1981" t="s">
        <v>2378</v>
      </c>
      <c r="D1981" t="s">
        <v>2379</v>
      </c>
      <c r="E1981" t="s">
        <v>24</v>
      </c>
      <c r="F1981" t="s">
        <v>2417</v>
      </c>
      <c r="G1981" t="s">
        <v>24</v>
      </c>
      <c r="H1981" t="b">
        <v>1</v>
      </c>
      <c r="I1981" s="8">
        <v>45947.473541666666</v>
      </c>
      <c r="J1981" t="s">
        <v>2380</v>
      </c>
      <c r="L1981">
        <v>603965</v>
      </c>
      <c r="M1981" t="s">
        <v>2381</v>
      </c>
      <c r="P1981" t="s">
        <v>2427</v>
      </c>
      <c r="Q1981" t="s">
        <v>2383</v>
      </c>
      <c r="R1981">
        <v>1</v>
      </c>
      <c r="S1981" t="s">
        <v>2380</v>
      </c>
      <c r="T1981" t="s">
        <v>2383</v>
      </c>
      <c r="U1981" s="8">
        <v>45944.444791666669</v>
      </c>
      <c r="V1981" s="8">
        <v>45947.958333333336</v>
      </c>
      <c r="W1981">
        <v>1</v>
      </c>
      <c r="X1981">
        <v>3.0287500000000001</v>
      </c>
      <c r="Y1981" t="s">
        <v>2418</v>
      </c>
      <c r="Z1981" t="s">
        <v>10141</v>
      </c>
      <c r="AA1981" t="s">
        <v>1591</v>
      </c>
      <c r="AB1981" t="s">
        <v>1278</v>
      </c>
      <c r="AC1981" t="s">
        <v>2437</v>
      </c>
      <c r="AE1981">
        <v>1</v>
      </c>
      <c r="AO1981" t="s">
        <v>4121</v>
      </c>
      <c r="AP1981" t="s">
        <v>2401</v>
      </c>
    </row>
    <row r="1982" spans="1:42">
      <c r="A1982" t="s">
        <v>8271</v>
      </c>
      <c r="B1982" t="s">
        <v>2389</v>
      </c>
      <c r="C1982" t="s">
        <v>2390</v>
      </c>
      <c r="D1982" t="s">
        <v>2379</v>
      </c>
      <c r="E1982" t="s">
        <v>25</v>
      </c>
      <c r="F1982" t="s">
        <v>8207</v>
      </c>
      <c r="G1982" t="s">
        <v>25</v>
      </c>
      <c r="H1982" t="b">
        <v>1</v>
      </c>
      <c r="I1982" s="8">
        <v>45946.638796296298</v>
      </c>
      <c r="J1982" t="s">
        <v>2380</v>
      </c>
      <c r="K1982">
        <v>1202986</v>
      </c>
      <c r="L1982">
        <v>604459</v>
      </c>
      <c r="M1982" t="s">
        <v>2381</v>
      </c>
      <c r="N1982">
        <v>5</v>
      </c>
      <c r="P1982" t="s">
        <v>2394</v>
      </c>
      <c r="Q1982" t="s">
        <v>2395</v>
      </c>
      <c r="R1982">
        <v>1</v>
      </c>
      <c r="S1982" t="s">
        <v>2380</v>
      </c>
      <c r="T1982" t="s">
        <v>2383</v>
      </c>
      <c r="U1982" s="8">
        <v>45944.449374999997</v>
      </c>
      <c r="V1982" s="8">
        <v>45947.958333333336</v>
      </c>
      <c r="W1982">
        <v>1</v>
      </c>
      <c r="X1982">
        <v>2.1894212959999999</v>
      </c>
      <c r="Y1982" t="s">
        <v>1277</v>
      </c>
      <c r="Z1982" t="s">
        <v>8272</v>
      </c>
      <c r="AA1982" t="s">
        <v>8273</v>
      </c>
      <c r="AB1982" t="s">
        <v>1278</v>
      </c>
      <c r="AC1982" t="s">
        <v>8274</v>
      </c>
      <c r="AD1982" t="s">
        <v>2708</v>
      </c>
      <c r="AE1982">
        <v>1</v>
      </c>
      <c r="AO1982" t="s">
        <v>4137</v>
      </c>
      <c r="AP1982" t="s">
        <v>2401</v>
      </c>
    </row>
    <row r="1983" spans="1:42">
      <c r="A1983" t="s">
        <v>10363</v>
      </c>
      <c r="B1983" t="s">
        <v>2389</v>
      </c>
      <c r="C1983" t="s">
        <v>2378</v>
      </c>
      <c r="D1983" t="s">
        <v>2379</v>
      </c>
      <c r="E1983" t="s">
        <v>2452</v>
      </c>
      <c r="F1983" t="s">
        <v>2541</v>
      </c>
      <c r="G1983" t="s">
        <v>2452</v>
      </c>
      <c r="H1983" t="b">
        <v>1</v>
      </c>
      <c r="I1983" s="8">
        <v>45947.582743055558</v>
      </c>
      <c r="J1983" t="s">
        <v>2380</v>
      </c>
      <c r="L1983">
        <v>601441</v>
      </c>
      <c r="M1983" t="s">
        <v>2381</v>
      </c>
      <c r="P1983" t="s">
        <v>3117</v>
      </c>
      <c r="Q1983" t="s">
        <v>2383</v>
      </c>
      <c r="R1983">
        <v>1</v>
      </c>
      <c r="S1983" t="s">
        <v>2380</v>
      </c>
      <c r="T1983" t="s">
        <v>2383</v>
      </c>
      <c r="U1983" s="8">
        <v>45944.452210648145</v>
      </c>
      <c r="V1983" s="8">
        <v>45947.958333333336</v>
      </c>
      <c r="W1983">
        <v>1</v>
      </c>
      <c r="X1983">
        <v>3.130532407</v>
      </c>
      <c r="Y1983" t="s">
        <v>2542</v>
      </c>
      <c r="Z1983" t="s">
        <v>10364</v>
      </c>
      <c r="AA1983" t="s">
        <v>2884</v>
      </c>
      <c r="AB1983" t="s">
        <v>1278</v>
      </c>
      <c r="AC1983" t="s">
        <v>10365</v>
      </c>
      <c r="AE1983">
        <v>1</v>
      </c>
      <c r="AO1983" t="s">
        <v>2547</v>
      </c>
      <c r="AP1983" t="s">
        <v>2401</v>
      </c>
    </row>
    <row r="1984" spans="1:42">
      <c r="A1984" t="s">
        <v>6172</v>
      </c>
      <c r="B1984" t="s">
        <v>2389</v>
      </c>
      <c r="C1984" t="s">
        <v>2691</v>
      </c>
      <c r="D1984" t="s">
        <v>2379</v>
      </c>
      <c r="E1984" t="s">
        <v>25</v>
      </c>
      <c r="F1984" t="s">
        <v>2541</v>
      </c>
      <c r="G1984" t="s">
        <v>25</v>
      </c>
      <c r="H1984" t="b">
        <v>1</v>
      </c>
      <c r="I1984" s="8">
        <v>45953.5078587963</v>
      </c>
      <c r="J1984" t="s">
        <v>2380</v>
      </c>
      <c r="K1984">
        <v>1204203</v>
      </c>
      <c r="L1984">
        <v>602299</v>
      </c>
      <c r="M1984" t="s">
        <v>2381</v>
      </c>
      <c r="N1984">
        <v>5</v>
      </c>
      <c r="P1984" t="s">
        <v>3117</v>
      </c>
      <c r="Q1984" t="s">
        <v>2383</v>
      </c>
      <c r="R1984">
        <v>1</v>
      </c>
      <c r="S1984" t="s">
        <v>2380</v>
      </c>
      <c r="T1984" t="s">
        <v>2383</v>
      </c>
      <c r="U1984" s="8">
        <v>45944.452291666668</v>
      </c>
      <c r="V1984" s="8">
        <v>45959.958333333336</v>
      </c>
      <c r="W1984">
        <v>1</v>
      </c>
      <c r="X1984">
        <v>7.05556713</v>
      </c>
      <c r="Y1984" t="s">
        <v>2542</v>
      </c>
      <c r="Z1984" t="s">
        <v>6173</v>
      </c>
      <c r="AA1984" t="s">
        <v>2927</v>
      </c>
      <c r="AB1984" t="s">
        <v>1278</v>
      </c>
      <c r="AC1984" t="s">
        <v>6174</v>
      </c>
      <c r="AD1984" t="s">
        <v>2708</v>
      </c>
      <c r="AE1984">
        <v>1</v>
      </c>
      <c r="AO1984" t="s">
        <v>2547</v>
      </c>
      <c r="AP1984" t="s">
        <v>2401</v>
      </c>
    </row>
    <row r="1985" spans="1:42">
      <c r="A1985" t="s">
        <v>3319</v>
      </c>
      <c r="B1985" t="s">
        <v>2389</v>
      </c>
      <c r="C1985" t="s">
        <v>2438</v>
      </c>
      <c r="D1985" t="s">
        <v>2379</v>
      </c>
      <c r="E1985" t="s">
        <v>2452</v>
      </c>
      <c r="F1985">
        <v>3801</v>
      </c>
      <c r="G1985" t="s">
        <v>2452</v>
      </c>
      <c r="H1985" t="b">
        <v>1</v>
      </c>
      <c r="I1985" s="8">
        <v>45944.458553240744</v>
      </c>
      <c r="J1985" t="s">
        <v>2380</v>
      </c>
      <c r="L1985">
        <v>603922</v>
      </c>
      <c r="M1985" t="s">
        <v>2381</v>
      </c>
      <c r="Q1985" t="s">
        <v>2383</v>
      </c>
      <c r="R1985">
        <v>1</v>
      </c>
      <c r="S1985" t="s">
        <v>2380</v>
      </c>
      <c r="T1985" t="s">
        <v>2383</v>
      </c>
      <c r="U1985" s="8">
        <v>45944.455381944441</v>
      </c>
      <c r="V1985" s="8">
        <v>45947.958333333336</v>
      </c>
      <c r="W1985">
        <v>1</v>
      </c>
      <c r="X1985">
        <v>3.1712960000000001E-3</v>
      </c>
      <c r="Y1985" t="s">
        <v>3318</v>
      </c>
      <c r="Z1985" t="s">
        <v>3320</v>
      </c>
      <c r="AA1985" t="s">
        <v>3321</v>
      </c>
      <c r="AB1985" t="s">
        <v>1278</v>
      </c>
      <c r="AC1985" t="s">
        <v>3322</v>
      </c>
      <c r="AE1985">
        <v>1</v>
      </c>
      <c r="AO1985" t="s">
        <v>2388</v>
      </c>
      <c r="AP1985" t="s">
        <v>2401</v>
      </c>
    </row>
    <row r="1986" spans="1:42">
      <c r="A1986" t="s">
        <v>3961</v>
      </c>
      <c r="B1986" t="s">
        <v>2389</v>
      </c>
      <c r="C1986" t="s">
        <v>2438</v>
      </c>
      <c r="D1986" t="s">
        <v>2379</v>
      </c>
      <c r="E1986" t="s">
        <v>33</v>
      </c>
      <c r="F1986" t="s">
        <v>3735</v>
      </c>
      <c r="G1986" t="s">
        <v>33</v>
      </c>
      <c r="H1986" t="b">
        <v>1</v>
      </c>
      <c r="I1986" s="8">
        <v>45944.471689814818</v>
      </c>
      <c r="J1986" t="s">
        <v>2380</v>
      </c>
      <c r="K1986">
        <v>1202301</v>
      </c>
      <c r="L1986">
        <v>601379</v>
      </c>
      <c r="M1986" t="s">
        <v>2381</v>
      </c>
      <c r="P1986" t="s">
        <v>2427</v>
      </c>
      <c r="Q1986" t="s">
        <v>2383</v>
      </c>
      <c r="R1986">
        <v>1</v>
      </c>
      <c r="S1986" t="s">
        <v>2380</v>
      </c>
      <c r="T1986" t="s">
        <v>2383</v>
      </c>
      <c r="U1986" s="8">
        <v>45944.464837962965</v>
      </c>
      <c r="V1986" s="8">
        <v>45947.958333333336</v>
      </c>
      <c r="W1986">
        <v>1</v>
      </c>
      <c r="X1986">
        <v>6.8518520000000003E-3</v>
      </c>
      <c r="Y1986" t="s">
        <v>1352</v>
      </c>
      <c r="Z1986" t="s">
        <v>3962</v>
      </c>
      <c r="AA1986" t="s">
        <v>3738</v>
      </c>
      <c r="AB1986" t="s">
        <v>1278</v>
      </c>
      <c r="AC1986" t="s">
        <v>3963</v>
      </c>
      <c r="AD1986" t="s">
        <v>2708</v>
      </c>
      <c r="AE1986">
        <v>1</v>
      </c>
      <c r="AO1986" t="s">
        <v>2720</v>
      </c>
      <c r="AP1986" t="s">
        <v>2401</v>
      </c>
    </row>
    <row r="1987" spans="1:42">
      <c r="A1987" t="s">
        <v>7071</v>
      </c>
      <c r="B1987" t="s">
        <v>2389</v>
      </c>
      <c r="C1987" t="s">
        <v>2390</v>
      </c>
      <c r="D1987" t="s">
        <v>2379</v>
      </c>
      <c r="E1987" t="s">
        <v>2452</v>
      </c>
      <c r="F1987">
        <v>6284</v>
      </c>
      <c r="G1987" t="s">
        <v>2452</v>
      </c>
      <c r="H1987" t="b">
        <v>1</v>
      </c>
      <c r="I1987" s="8">
        <v>45947.344560185185</v>
      </c>
      <c r="J1987" t="s">
        <v>2380</v>
      </c>
      <c r="K1987">
        <v>1203040</v>
      </c>
      <c r="L1987">
        <v>609976</v>
      </c>
      <c r="M1987" t="s">
        <v>2381</v>
      </c>
      <c r="P1987" t="s">
        <v>2427</v>
      </c>
      <c r="Q1987" t="s">
        <v>2383</v>
      </c>
      <c r="R1987">
        <v>1</v>
      </c>
      <c r="S1987" t="s">
        <v>2380</v>
      </c>
      <c r="T1987" t="s">
        <v>2383</v>
      </c>
      <c r="U1987" s="8">
        <v>45944.4684837963</v>
      </c>
      <c r="V1987" s="8">
        <v>45947.958333333336</v>
      </c>
      <c r="W1987">
        <v>1</v>
      </c>
      <c r="X1987">
        <v>2.8760763890000001</v>
      </c>
      <c r="Y1987" t="s">
        <v>7070</v>
      </c>
      <c r="Z1987" t="s">
        <v>7072</v>
      </c>
      <c r="AA1987" t="s">
        <v>7073</v>
      </c>
      <c r="AB1987" t="s">
        <v>1278</v>
      </c>
      <c r="AC1987" t="s">
        <v>7074</v>
      </c>
      <c r="AD1987" t="s">
        <v>2708</v>
      </c>
      <c r="AE1987">
        <v>1</v>
      </c>
      <c r="AO1987" t="s">
        <v>2388</v>
      </c>
      <c r="AP1987" t="s">
        <v>2401</v>
      </c>
    </row>
    <row r="1988" spans="1:42">
      <c r="A1988" t="s">
        <v>5302</v>
      </c>
      <c r="B1988" t="s">
        <v>2389</v>
      </c>
      <c r="C1988" t="s">
        <v>2438</v>
      </c>
      <c r="D1988" t="s">
        <v>2379</v>
      </c>
      <c r="E1988" t="s">
        <v>2452</v>
      </c>
      <c r="F1988" t="s">
        <v>2402</v>
      </c>
      <c r="G1988" t="s">
        <v>2452</v>
      </c>
      <c r="H1988" t="b">
        <v>1</v>
      </c>
      <c r="I1988" s="8">
        <v>45944.478900462964</v>
      </c>
      <c r="J1988" t="s">
        <v>2380</v>
      </c>
      <c r="K1988">
        <v>1202302</v>
      </c>
      <c r="L1988">
        <v>603485</v>
      </c>
      <c r="M1988" t="s">
        <v>2381</v>
      </c>
      <c r="Q1988" t="s">
        <v>2383</v>
      </c>
      <c r="R1988">
        <v>1</v>
      </c>
      <c r="S1988" t="s">
        <v>2380</v>
      </c>
      <c r="T1988" t="s">
        <v>2383</v>
      </c>
      <c r="U1988" s="8">
        <v>45944.47247685185</v>
      </c>
      <c r="V1988" s="8">
        <v>45947.958333333336</v>
      </c>
      <c r="W1988">
        <v>1</v>
      </c>
      <c r="X1988">
        <v>6.4236110000000001E-3</v>
      </c>
      <c r="Y1988" t="s">
        <v>2403</v>
      </c>
      <c r="Z1988" t="s">
        <v>5303</v>
      </c>
      <c r="AA1988" t="s">
        <v>2863</v>
      </c>
      <c r="AB1988" t="s">
        <v>1278</v>
      </c>
      <c r="AC1988" t="s">
        <v>5304</v>
      </c>
      <c r="AD1988" t="s">
        <v>2708</v>
      </c>
      <c r="AE1988">
        <v>1</v>
      </c>
      <c r="AO1988" t="s">
        <v>2408</v>
      </c>
      <c r="AP1988" t="s">
        <v>2401</v>
      </c>
    </row>
    <row r="1989" spans="1:42">
      <c r="A1989" t="s">
        <v>6062</v>
      </c>
      <c r="B1989" t="s">
        <v>2389</v>
      </c>
      <c r="C1989" t="s">
        <v>2390</v>
      </c>
      <c r="D1989" t="s">
        <v>2379</v>
      </c>
      <c r="E1989" t="s">
        <v>2452</v>
      </c>
      <c r="F1989" t="s">
        <v>2541</v>
      </c>
      <c r="G1989" t="s">
        <v>2452</v>
      </c>
      <c r="H1989" t="b">
        <v>1</v>
      </c>
      <c r="I1989" s="8">
        <v>45947.352453703701</v>
      </c>
      <c r="J1989" t="s">
        <v>2380</v>
      </c>
      <c r="K1989">
        <v>1203042</v>
      </c>
      <c r="L1989">
        <v>602299</v>
      </c>
      <c r="M1989" t="s">
        <v>2381</v>
      </c>
      <c r="P1989" t="s">
        <v>2548</v>
      </c>
      <c r="Q1989" t="s">
        <v>2383</v>
      </c>
      <c r="R1989">
        <v>1</v>
      </c>
      <c r="S1989" t="s">
        <v>2380</v>
      </c>
      <c r="T1989" t="s">
        <v>2383</v>
      </c>
      <c r="U1989" s="8">
        <v>45944.476400462961</v>
      </c>
      <c r="V1989" s="8">
        <v>45947.958333333336</v>
      </c>
      <c r="W1989">
        <v>1</v>
      </c>
      <c r="X1989">
        <v>2.8760532410000001</v>
      </c>
      <c r="Y1989" t="s">
        <v>2542</v>
      </c>
      <c r="Z1989" t="s">
        <v>6063</v>
      </c>
      <c r="AA1989" t="s">
        <v>2927</v>
      </c>
      <c r="AB1989" t="s">
        <v>1278</v>
      </c>
      <c r="AC1989" t="s">
        <v>6064</v>
      </c>
      <c r="AD1989" t="s">
        <v>2708</v>
      </c>
      <c r="AE1989">
        <v>1</v>
      </c>
      <c r="AO1989" t="s">
        <v>2547</v>
      </c>
      <c r="AP1989" t="s">
        <v>2401</v>
      </c>
    </row>
    <row r="1990" spans="1:42">
      <c r="A1990" t="s">
        <v>3793</v>
      </c>
      <c r="B1990" t="s">
        <v>2377</v>
      </c>
      <c r="C1990" t="s">
        <v>2390</v>
      </c>
      <c r="D1990" t="s">
        <v>2379</v>
      </c>
      <c r="E1990" t="s">
        <v>307</v>
      </c>
      <c r="F1990" t="s">
        <v>3747</v>
      </c>
      <c r="G1990" t="s">
        <v>307</v>
      </c>
      <c r="H1990" t="b">
        <v>1</v>
      </c>
      <c r="I1990" s="8">
        <v>45947.405856481484</v>
      </c>
      <c r="J1990" t="s">
        <v>2380</v>
      </c>
      <c r="L1990">
        <v>603532</v>
      </c>
      <c r="M1990" t="s">
        <v>2381</v>
      </c>
      <c r="P1990" t="s">
        <v>2394</v>
      </c>
      <c r="Q1990" t="s">
        <v>2383</v>
      </c>
      <c r="R1990">
        <v>1</v>
      </c>
      <c r="S1990" t="s">
        <v>2380</v>
      </c>
      <c r="T1990" t="s">
        <v>2383</v>
      </c>
      <c r="U1990" s="8">
        <v>45944.492407407408</v>
      </c>
      <c r="V1990" s="8">
        <v>45947.958333333336</v>
      </c>
      <c r="W1990">
        <v>1</v>
      </c>
      <c r="X1990">
        <v>2.9134490739999999</v>
      </c>
      <c r="Y1990" t="s">
        <v>3748</v>
      </c>
      <c r="Z1990" t="s">
        <v>3794</v>
      </c>
      <c r="AA1990" t="s">
        <v>3795</v>
      </c>
      <c r="AB1990" t="s">
        <v>1278</v>
      </c>
      <c r="AC1990" t="s">
        <v>3787</v>
      </c>
      <c r="AE1990">
        <v>1</v>
      </c>
      <c r="AO1990" t="s">
        <v>2712</v>
      </c>
      <c r="AP1990" t="s">
        <v>2401</v>
      </c>
    </row>
    <row r="1991" spans="1:42">
      <c r="A1991" t="s">
        <v>9647</v>
      </c>
      <c r="B1991" t="s">
        <v>2389</v>
      </c>
      <c r="C1991" t="s">
        <v>2415</v>
      </c>
      <c r="D1991" t="s">
        <v>2379</v>
      </c>
      <c r="E1991" t="s">
        <v>2601</v>
      </c>
      <c r="F1991" t="s">
        <v>3613</v>
      </c>
      <c r="G1991" t="s">
        <v>2601</v>
      </c>
      <c r="H1991" t="b">
        <v>1</v>
      </c>
      <c r="I1991" s="8">
        <v>45946.489942129629</v>
      </c>
      <c r="J1991" t="s">
        <v>2380</v>
      </c>
      <c r="K1991">
        <v>1202730</v>
      </c>
      <c r="L1991">
        <v>601927</v>
      </c>
      <c r="M1991" t="s">
        <v>2381</v>
      </c>
      <c r="P1991" t="s">
        <v>2394</v>
      </c>
      <c r="Q1991" t="s">
        <v>2383</v>
      </c>
      <c r="R1991">
        <v>1</v>
      </c>
      <c r="S1991" t="s">
        <v>2380</v>
      </c>
      <c r="T1991" t="s">
        <v>2383</v>
      </c>
      <c r="U1991" s="8">
        <v>45944.501469907409</v>
      </c>
      <c r="V1991" s="8">
        <v>45947.958333333336</v>
      </c>
      <c r="W1991">
        <v>1</v>
      </c>
      <c r="X1991">
        <v>1.988472222</v>
      </c>
      <c r="Y1991" t="s">
        <v>3614</v>
      </c>
      <c r="Z1991" t="s">
        <v>9648</v>
      </c>
      <c r="AA1991" t="s">
        <v>9649</v>
      </c>
      <c r="AB1991" t="s">
        <v>1278</v>
      </c>
      <c r="AC1991" t="s">
        <v>9650</v>
      </c>
      <c r="AD1991" t="s">
        <v>2708</v>
      </c>
      <c r="AE1991">
        <v>1</v>
      </c>
      <c r="AO1991" t="s">
        <v>3608</v>
      </c>
      <c r="AP1991" t="s">
        <v>2401</v>
      </c>
    </row>
    <row r="1992" spans="1:42">
      <c r="A1992" t="s">
        <v>9176</v>
      </c>
      <c r="B1992" t="s">
        <v>2389</v>
      </c>
      <c r="C1992" t="s">
        <v>2443</v>
      </c>
      <c r="D1992" t="s">
        <v>2443</v>
      </c>
      <c r="E1992" t="s">
        <v>25</v>
      </c>
      <c r="F1992" t="s">
        <v>8207</v>
      </c>
      <c r="G1992" t="s">
        <v>25</v>
      </c>
      <c r="H1992" t="b">
        <v>1</v>
      </c>
      <c r="I1992" s="8">
        <v>45945.421180555553</v>
      </c>
      <c r="J1992" t="s">
        <v>2380</v>
      </c>
      <c r="K1992">
        <v>1202394</v>
      </c>
      <c r="L1992">
        <v>604459</v>
      </c>
      <c r="M1992" t="s">
        <v>2381</v>
      </c>
      <c r="N1992">
        <v>5</v>
      </c>
      <c r="Q1992" t="s">
        <v>2395</v>
      </c>
      <c r="R1992">
        <v>1</v>
      </c>
      <c r="S1992" t="s">
        <v>2380</v>
      </c>
      <c r="T1992" t="s">
        <v>2383</v>
      </c>
      <c r="U1992" s="8">
        <v>45918.610752314817</v>
      </c>
      <c r="V1992" s="8">
        <v>45923.958333333336</v>
      </c>
      <c r="W1992">
        <v>1</v>
      </c>
      <c r="X1992">
        <v>18.810428241</v>
      </c>
      <c r="Y1992" t="s">
        <v>1277</v>
      </c>
      <c r="Z1992" t="s">
        <v>9177</v>
      </c>
      <c r="AA1992" t="s">
        <v>8273</v>
      </c>
      <c r="AB1992" t="s">
        <v>1278</v>
      </c>
      <c r="AC1992" t="s">
        <v>9178</v>
      </c>
      <c r="AD1992" t="s">
        <v>2708</v>
      </c>
      <c r="AE1992">
        <v>1</v>
      </c>
      <c r="AH1992" t="s">
        <v>33</v>
      </c>
      <c r="AI1992" s="8">
        <v>45945.411597222221</v>
      </c>
      <c r="AK1992" t="s">
        <v>2719</v>
      </c>
      <c r="AL1992" t="s">
        <v>2719</v>
      </c>
      <c r="AO1992" t="s">
        <v>4137</v>
      </c>
      <c r="AP1992" t="s">
        <v>2401</v>
      </c>
    </row>
    <row r="1993" spans="1:42">
      <c r="A1993" t="s">
        <v>8275</v>
      </c>
      <c r="B1993" t="s">
        <v>2389</v>
      </c>
      <c r="C1993" t="s">
        <v>2390</v>
      </c>
      <c r="D1993" t="s">
        <v>2379</v>
      </c>
      <c r="E1993" t="s">
        <v>25</v>
      </c>
      <c r="F1993" t="s">
        <v>8207</v>
      </c>
      <c r="G1993" t="s">
        <v>25</v>
      </c>
      <c r="H1993" t="b">
        <v>1</v>
      </c>
      <c r="I1993" s="8">
        <v>45946.635185185187</v>
      </c>
      <c r="J1993" t="s">
        <v>2380</v>
      </c>
      <c r="K1993">
        <v>1202984</v>
      </c>
      <c r="L1993">
        <v>604459</v>
      </c>
      <c r="M1993" t="s">
        <v>2381</v>
      </c>
      <c r="N1993">
        <v>5</v>
      </c>
      <c r="P1993" t="s">
        <v>2394</v>
      </c>
      <c r="Q1993" t="s">
        <v>2395</v>
      </c>
      <c r="R1993">
        <v>1</v>
      </c>
      <c r="S1993" t="s">
        <v>2380</v>
      </c>
      <c r="T1993" t="s">
        <v>2383</v>
      </c>
      <c r="U1993" s="8">
        <v>45944.505694444444</v>
      </c>
      <c r="V1993" s="8">
        <v>45947.958333333336</v>
      </c>
      <c r="W1993">
        <v>1</v>
      </c>
      <c r="X1993">
        <v>2.1294907410000001</v>
      </c>
      <c r="Y1993" t="s">
        <v>1277</v>
      </c>
      <c r="Z1993" t="s">
        <v>8276</v>
      </c>
      <c r="AA1993" t="s">
        <v>8273</v>
      </c>
      <c r="AB1993" t="s">
        <v>1278</v>
      </c>
      <c r="AC1993" t="s">
        <v>8277</v>
      </c>
      <c r="AD1993" t="s">
        <v>2708</v>
      </c>
      <c r="AE1993">
        <v>1</v>
      </c>
      <c r="AO1993" t="s">
        <v>4137</v>
      </c>
      <c r="AP1993" t="s">
        <v>2401</v>
      </c>
    </row>
    <row r="1994" spans="1:42">
      <c r="A1994" t="s">
        <v>3864</v>
      </c>
      <c r="B1994" t="s">
        <v>2389</v>
      </c>
      <c r="C1994" t="s">
        <v>2390</v>
      </c>
      <c r="D1994" t="s">
        <v>2379</v>
      </c>
      <c r="E1994" t="s">
        <v>2452</v>
      </c>
      <c r="F1994" t="s">
        <v>3747</v>
      </c>
      <c r="G1994" t="s">
        <v>2452</v>
      </c>
      <c r="H1994" t="b">
        <v>1</v>
      </c>
      <c r="I1994" s="8">
        <v>45947.352581018517</v>
      </c>
      <c r="J1994" t="s">
        <v>2380</v>
      </c>
      <c r="L1994">
        <v>609918</v>
      </c>
      <c r="M1994" t="s">
        <v>2381</v>
      </c>
      <c r="P1994" t="s">
        <v>2394</v>
      </c>
      <c r="Q1994" t="s">
        <v>2383</v>
      </c>
      <c r="R1994">
        <v>1</v>
      </c>
      <c r="S1994" t="s">
        <v>2380</v>
      </c>
      <c r="T1994" t="s">
        <v>2383</v>
      </c>
      <c r="U1994" s="8">
        <v>45944.506423611114</v>
      </c>
      <c r="V1994" s="8">
        <v>45947.958333333336</v>
      </c>
      <c r="W1994">
        <v>1</v>
      </c>
      <c r="X1994">
        <v>2.8461574070000002</v>
      </c>
      <c r="Y1994" t="s">
        <v>3748</v>
      </c>
      <c r="Z1994" t="s">
        <v>3865</v>
      </c>
      <c r="AA1994" t="s">
        <v>3807</v>
      </c>
      <c r="AB1994" t="s">
        <v>1278</v>
      </c>
      <c r="AC1994" t="s">
        <v>3866</v>
      </c>
      <c r="AE1994">
        <v>1</v>
      </c>
      <c r="AO1994" t="s">
        <v>2712</v>
      </c>
      <c r="AP1994" t="s">
        <v>2401</v>
      </c>
    </row>
    <row r="1995" spans="1:42">
      <c r="A1995" t="s">
        <v>9125</v>
      </c>
      <c r="B1995" t="s">
        <v>2389</v>
      </c>
      <c r="C1995" t="s">
        <v>2378</v>
      </c>
      <c r="D1995" t="s">
        <v>2379</v>
      </c>
      <c r="E1995" t="s">
        <v>33</v>
      </c>
      <c r="F1995">
        <v>4240</v>
      </c>
      <c r="G1995" t="s">
        <v>33</v>
      </c>
      <c r="H1995" t="b">
        <v>1</v>
      </c>
      <c r="I1995" s="8">
        <v>45947.612523148149</v>
      </c>
      <c r="J1995" t="s">
        <v>2380</v>
      </c>
      <c r="K1995">
        <v>1202545</v>
      </c>
      <c r="L1995">
        <v>604106</v>
      </c>
      <c r="M1995" t="s">
        <v>2381</v>
      </c>
      <c r="P1995" t="s">
        <v>2394</v>
      </c>
      <c r="Q1995" t="s">
        <v>2395</v>
      </c>
      <c r="R1995">
        <v>1</v>
      </c>
      <c r="S1995" t="s">
        <v>2380</v>
      </c>
      <c r="T1995" t="s">
        <v>2383</v>
      </c>
      <c r="U1995" s="8">
        <v>45944.517696759256</v>
      </c>
      <c r="V1995" s="8">
        <v>45947.958333333336</v>
      </c>
      <c r="W1995">
        <v>1</v>
      </c>
      <c r="X1995">
        <v>3.0948263890000001</v>
      </c>
      <c r="Y1995" t="s">
        <v>8134</v>
      </c>
      <c r="Z1995" t="s">
        <v>9126</v>
      </c>
      <c r="AA1995" t="s">
        <v>8137</v>
      </c>
      <c r="AB1995" t="s">
        <v>1278</v>
      </c>
      <c r="AC1995" t="s">
        <v>9127</v>
      </c>
      <c r="AD1995" t="s">
        <v>2708</v>
      </c>
      <c r="AE1995">
        <v>1</v>
      </c>
      <c r="AH1995" t="s">
        <v>24</v>
      </c>
      <c r="AI1995" s="8">
        <v>45947.611701388887</v>
      </c>
      <c r="AK1995" t="s">
        <v>2719</v>
      </c>
      <c r="AL1995" t="s">
        <v>2719</v>
      </c>
      <c r="AO1995" t="s">
        <v>4137</v>
      </c>
      <c r="AP1995" t="s">
        <v>2401</v>
      </c>
    </row>
    <row r="1996" spans="1:42">
      <c r="A1996" t="s">
        <v>10100</v>
      </c>
      <c r="B1996" t="s">
        <v>2389</v>
      </c>
      <c r="C1996" t="s">
        <v>2390</v>
      </c>
      <c r="D1996" t="s">
        <v>2379</v>
      </c>
      <c r="E1996" t="s">
        <v>2452</v>
      </c>
      <c r="F1996" t="s">
        <v>3613</v>
      </c>
      <c r="G1996" t="s">
        <v>2452</v>
      </c>
      <c r="H1996" t="b">
        <v>1</v>
      </c>
      <c r="I1996" s="8">
        <v>45947.355706018519</v>
      </c>
      <c r="J1996" t="s">
        <v>2380</v>
      </c>
      <c r="K1996">
        <v>3604239</v>
      </c>
      <c r="L1996">
        <v>606814</v>
      </c>
      <c r="M1996" t="s">
        <v>2381</v>
      </c>
      <c r="P1996" t="s">
        <v>2394</v>
      </c>
      <c r="Q1996" t="s">
        <v>2383</v>
      </c>
      <c r="R1996">
        <v>1</v>
      </c>
      <c r="S1996" t="s">
        <v>2380</v>
      </c>
      <c r="T1996" t="s">
        <v>2383</v>
      </c>
      <c r="U1996" s="8">
        <v>45944.53665509259</v>
      </c>
      <c r="V1996" s="8">
        <v>45947.958333333336</v>
      </c>
      <c r="W1996">
        <v>1</v>
      </c>
      <c r="X1996">
        <v>2.8190509260000001</v>
      </c>
      <c r="Y1996" t="s">
        <v>3614</v>
      </c>
      <c r="Z1996" t="s">
        <v>10101</v>
      </c>
      <c r="AA1996" t="s">
        <v>7784</v>
      </c>
      <c r="AB1996" t="s">
        <v>1278</v>
      </c>
      <c r="AC1996" t="s">
        <v>10102</v>
      </c>
      <c r="AE1996">
        <v>1</v>
      </c>
      <c r="AO1996" t="s">
        <v>2957</v>
      </c>
      <c r="AP1996" t="s">
        <v>2401</v>
      </c>
    </row>
    <row r="1997" spans="1:42">
      <c r="A1997" t="s">
        <v>6977</v>
      </c>
      <c r="B1997" t="s">
        <v>2389</v>
      </c>
      <c r="C1997" t="s">
        <v>2390</v>
      </c>
      <c r="D1997" t="s">
        <v>2379</v>
      </c>
      <c r="E1997" t="s">
        <v>2452</v>
      </c>
      <c r="F1997">
        <v>4056</v>
      </c>
      <c r="G1997" t="s">
        <v>2452</v>
      </c>
      <c r="H1997" t="b">
        <v>1</v>
      </c>
      <c r="I1997" s="8">
        <v>45947.361458333333</v>
      </c>
      <c r="J1997" t="s">
        <v>2380</v>
      </c>
      <c r="K1997">
        <v>1203043</v>
      </c>
      <c r="L1997">
        <v>603296</v>
      </c>
      <c r="M1997" t="s">
        <v>2381</v>
      </c>
      <c r="P1997" t="s">
        <v>2394</v>
      </c>
      <c r="Q1997" t="s">
        <v>2383</v>
      </c>
      <c r="R1997">
        <v>1</v>
      </c>
      <c r="S1997" t="s">
        <v>2380</v>
      </c>
      <c r="T1997" t="s">
        <v>2383</v>
      </c>
      <c r="U1997" s="8">
        <v>45944.552164351851</v>
      </c>
      <c r="V1997" s="8">
        <v>45947.958333333336</v>
      </c>
      <c r="W1997">
        <v>1</v>
      </c>
      <c r="X1997">
        <v>2.8092939810000002</v>
      </c>
      <c r="Y1997" t="s">
        <v>3379</v>
      </c>
      <c r="Z1997" t="s">
        <v>6978</v>
      </c>
      <c r="AA1997" t="s">
        <v>6568</v>
      </c>
      <c r="AB1997" t="s">
        <v>1278</v>
      </c>
      <c r="AC1997" t="s">
        <v>6979</v>
      </c>
      <c r="AD1997" t="s">
        <v>2708</v>
      </c>
      <c r="AE1997">
        <v>1</v>
      </c>
      <c r="AO1997" t="s">
        <v>2388</v>
      </c>
      <c r="AP1997" t="s">
        <v>2401</v>
      </c>
    </row>
    <row r="1998" spans="1:42">
      <c r="A1998" t="s">
        <v>6885</v>
      </c>
      <c r="B1998" t="s">
        <v>2389</v>
      </c>
      <c r="C1998" t="s">
        <v>2390</v>
      </c>
      <c r="D1998" t="s">
        <v>2379</v>
      </c>
      <c r="E1998" t="s">
        <v>2452</v>
      </c>
      <c r="F1998" t="s">
        <v>6738</v>
      </c>
      <c r="G1998" t="s">
        <v>2452</v>
      </c>
      <c r="H1998" t="b">
        <v>1</v>
      </c>
      <c r="I1998" s="8">
        <v>45947.422337962962</v>
      </c>
      <c r="J1998" t="s">
        <v>2380</v>
      </c>
      <c r="K1998">
        <v>1203168</v>
      </c>
      <c r="L1998">
        <v>606905</v>
      </c>
      <c r="M1998" t="s">
        <v>2381</v>
      </c>
      <c r="P1998" t="s">
        <v>2394</v>
      </c>
      <c r="Q1998" t="s">
        <v>2383</v>
      </c>
      <c r="R1998">
        <v>1</v>
      </c>
      <c r="S1998" t="s">
        <v>2380</v>
      </c>
      <c r="T1998" t="s">
        <v>2383</v>
      </c>
      <c r="U1998" s="8">
        <v>45944.569664351853</v>
      </c>
      <c r="V1998" s="8">
        <v>45952.958333333336</v>
      </c>
      <c r="W1998">
        <v>1</v>
      </c>
      <c r="X1998">
        <v>2.8526736110000002</v>
      </c>
      <c r="Y1998" t="s">
        <v>6739</v>
      </c>
      <c r="Z1998" t="s">
        <v>6886</v>
      </c>
      <c r="AA1998" t="s">
        <v>6871</v>
      </c>
      <c r="AB1998" t="s">
        <v>1278</v>
      </c>
      <c r="AC1998" t="s">
        <v>6887</v>
      </c>
      <c r="AD1998" t="s">
        <v>2708</v>
      </c>
      <c r="AE1998">
        <v>1</v>
      </c>
      <c r="AO1998" t="s">
        <v>2388</v>
      </c>
      <c r="AP1998" t="s">
        <v>2401</v>
      </c>
    </row>
    <row r="1999" spans="1:42">
      <c r="A1999" t="s">
        <v>3323</v>
      </c>
      <c r="B1999" t="s">
        <v>2389</v>
      </c>
      <c r="C1999" t="s">
        <v>2691</v>
      </c>
      <c r="D1999" t="s">
        <v>2379</v>
      </c>
      <c r="E1999" t="s">
        <v>2452</v>
      </c>
      <c r="F1999" t="s">
        <v>2588</v>
      </c>
      <c r="G1999" t="s">
        <v>2452</v>
      </c>
      <c r="H1999" t="b">
        <v>1</v>
      </c>
      <c r="I1999" s="8">
        <v>45952.633217592593</v>
      </c>
      <c r="J1999" t="s">
        <v>2380</v>
      </c>
      <c r="L1999">
        <v>602590</v>
      </c>
      <c r="M1999" t="s">
        <v>2381</v>
      </c>
      <c r="Q1999" t="s">
        <v>2383</v>
      </c>
      <c r="R1999">
        <v>1</v>
      </c>
      <c r="S1999" t="s">
        <v>2380</v>
      </c>
      <c r="T1999" t="s">
        <v>2383</v>
      </c>
      <c r="U1999" s="8">
        <v>45944.574444444443</v>
      </c>
      <c r="V1999" s="8">
        <v>45958.958333333336</v>
      </c>
      <c r="W1999">
        <v>1</v>
      </c>
      <c r="X1999">
        <v>6.0587731480000002</v>
      </c>
      <c r="Y1999" t="s">
        <v>2579</v>
      </c>
      <c r="Z1999" t="s">
        <v>3324</v>
      </c>
      <c r="AA1999" t="s">
        <v>3307</v>
      </c>
      <c r="AB1999" t="s">
        <v>1278</v>
      </c>
      <c r="AC1999" t="s">
        <v>3325</v>
      </c>
      <c r="AE1999">
        <v>1</v>
      </c>
      <c r="AO1999" t="s">
        <v>2388</v>
      </c>
      <c r="AP1999" t="s">
        <v>2401</v>
      </c>
    </row>
    <row r="2000" spans="1:42">
      <c r="A2000" t="s">
        <v>3326</v>
      </c>
      <c r="B2000" t="s">
        <v>2389</v>
      </c>
      <c r="C2000" t="s">
        <v>2691</v>
      </c>
      <c r="D2000" t="s">
        <v>2379</v>
      </c>
      <c r="E2000" t="s">
        <v>2452</v>
      </c>
      <c r="F2000" t="s">
        <v>2588</v>
      </c>
      <c r="G2000" t="s">
        <v>2452</v>
      </c>
      <c r="H2000" t="b">
        <v>1</v>
      </c>
      <c r="I2000" s="8">
        <v>45954.343310185184</v>
      </c>
      <c r="J2000" t="s">
        <v>2380</v>
      </c>
      <c r="L2000">
        <v>602590</v>
      </c>
      <c r="M2000" t="s">
        <v>2381</v>
      </c>
      <c r="Q2000" t="s">
        <v>2383</v>
      </c>
      <c r="R2000">
        <v>1</v>
      </c>
      <c r="S2000" t="s">
        <v>2380</v>
      </c>
      <c r="T2000" t="s">
        <v>2383</v>
      </c>
      <c r="U2000" s="8">
        <v>45944.575023148151</v>
      </c>
      <c r="V2000" s="8">
        <v>45954.958333333336</v>
      </c>
      <c r="W2000">
        <v>1</v>
      </c>
      <c r="X2000">
        <v>7.7682870370000003</v>
      </c>
      <c r="Y2000" t="s">
        <v>2579</v>
      </c>
      <c r="Z2000" t="s">
        <v>3327</v>
      </c>
      <c r="AA2000" t="s">
        <v>3307</v>
      </c>
      <c r="AB2000" t="s">
        <v>1278</v>
      </c>
      <c r="AC2000" t="s">
        <v>3328</v>
      </c>
      <c r="AE2000">
        <v>1</v>
      </c>
      <c r="AO2000" t="s">
        <v>2388</v>
      </c>
      <c r="AP2000" t="s">
        <v>2401</v>
      </c>
    </row>
    <row r="2001" spans="1:42">
      <c r="A2001" t="s">
        <v>9128</v>
      </c>
      <c r="B2001" t="s">
        <v>2389</v>
      </c>
      <c r="C2001" t="s">
        <v>2378</v>
      </c>
      <c r="D2001" t="s">
        <v>2379</v>
      </c>
      <c r="E2001" t="s">
        <v>33</v>
      </c>
      <c r="F2001">
        <v>4240</v>
      </c>
      <c r="G2001" t="s">
        <v>33</v>
      </c>
      <c r="H2001" t="b">
        <v>1</v>
      </c>
      <c r="I2001" s="8">
        <v>45947.612395833334</v>
      </c>
      <c r="J2001" t="s">
        <v>2380</v>
      </c>
      <c r="K2001">
        <v>1202547</v>
      </c>
      <c r="L2001">
        <v>604106</v>
      </c>
      <c r="M2001" t="s">
        <v>2381</v>
      </c>
      <c r="P2001" t="s">
        <v>2394</v>
      </c>
      <c r="Q2001" t="s">
        <v>2395</v>
      </c>
      <c r="R2001">
        <v>1</v>
      </c>
      <c r="S2001" t="s">
        <v>2380</v>
      </c>
      <c r="T2001" t="s">
        <v>2383</v>
      </c>
      <c r="U2001" s="8">
        <v>45944.587256944447</v>
      </c>
      <c r="V2001" s="8">
        <v>45947.958333333336</v>
      </c>
      <c r="W2001">
        <v>1</v>
      </c>
      <c r="X2001">
        <v>3.0251388889999999</v>
      </c>
      <c r="Y2001" t="s">
        <v>8134</v>
      </c>
      <c r="Z2001" t="s">
        <v>9129</v>
      </c>
      <c r="AA2001" t="s">
        <v>8137</v>
      </c>
      <c r="AB2001" t="s">
        <v>1278</v>
      </c>
      <c r="AC2001" t="s">
        <v>9130</v>
      </c>
      <c r="AD2001" t="s">
        <v>2708</v>
      </c>
      <c r="AE2001">
        <v>1</v>
      </c>
      <c r="AH2001" t="s">
        <v>24</v>
      </c>
      <c r="AI2001" s="8">
        <v>45947.611805555556</v>
      </c>
      <c r="AK2001" t="s">
        <v>2719</v>
      </c>
      <c r="AL2001" t="s">
        <v>2719</v>
      </c>
      <c r="AO2001" t="s">
        <v>4137</v>
      </c>
      <c r="AP2001" t="s">
        <v>2401</v>
      </c>
    </row>
    <row r="2002" spans="1:42">
      <c r="A2002" t="s">
        <v>6817</v>
      </c>
      <c r="B2002" t="s">
        <v>2389</v>
      </c>
      <c r="C2002" t="s">
        <v>2378</v>
      </c>
      <c r="D2002" t="s">
        <v>2379</v>
      </c>
      <c r="E2002" t="s">
        <v>2601</v>
      </c>
      <c r="F2002">
        <v>4256</v>
      </c>
      <c r="G2002" t="s">
        <v>2601</v>
      </c>
      <c r="H2002" t="b">
        <v>1</v>
      </c>
      <c r="I2002" s="8">
        <v>45947.649965277778</v>
      </c>
      <c r="J2002" t="s">
        <v>2380</v>
      </c>
      <c r="K2002">
        <v>1203287</v>
      </c>
      <c r="L2002">
        <v>603960</v>
      </c>
      <c r="M2002" t="s">
        <v>2381</v>
      </c>
      <c r="P2002" t="s">
        <v>2394</v>
      </c>
      <c r="Q2002" t="s">
        <v>2383</v>
      </c>
      <c r="R2002">
        <v>1</v>
      </c>
      <c r="S2002" t="s">
        <v>2380</v>
      </c>
      <c r="T2002" t="s">
        <v>2383</v>
      </c>
      <c r="U2002" s="8">
        <v>45944.591458333336</v>
      </c>
      <c r="V2002" s="8">
        <v>45947.958333333336</v>
      </c>
      <c r="W2002">
        <v>1</v>
      </c>
      <c r="X2002">
        <v>3.0585069439999999</v>
      </c>
      <c r="Y2002" t="s">
        <v>6764</v>
      </c>
      <c r="Z2002" t="s">
        <v>6818</v>
      </c>
      <c r="AA2002" t="s">
        <v>6819</v>
      </c>
      <c r="AB2002" t="s">
        <v>1278</v>
      </c>
      <c r="AC2002" t="s">
        <v>6820</v>
      </c>
      <c r="AD2002" t="s">
        <v>2708</v>
      </c>
      <c r="AE2002">
        <v>1</v>
      </c>
      <c r="AO2002" t="s">
        <v>2388</v>
      </c>
      <c r="AP2002" t="s">
        <v>2401</v>
      </c>
    </row>
    <row r="2003" spans="1:42">
      <c r="A2003" t="s">
        <v>9173</v>
      </c>
      <c r="B2003" t="s">
        <v>2389</v>
      </c>
      <c r="C2003" t="s">
        <v>2378</v>
      </c>
      <c r="D2003" t="s">
        <v>2379</v>
      </c>
      <c r="E2003" t="s">
        <v>25</v>
      </c>
      <c r="F2003" t="s">
        <v>8109</v>
      </c>
      <c r="G2003" t="s">
        <v>25</v>
      </c>
      <c r="H2003" t="b">
        <v>1</v>
      </c>
      <c r="I2003" s="8">
        <v>45947.637511574074</v>
      </c>
      <c r="J2003" t="s">
        <v>2380</v>
      </c>
      <c r="K2003">
        <v>1203051</v>
      </c>
      <c r="L2003">
        <v>604185</v>
      </c>
      <c r="M2003" t="s">
        <v>2381</v>
      </c>
      <c r="N2003">
        <v>5</v>
      </c>
      <c r="P2003" t="s">
        <v>2394</v>
      </c>
      <c r="Q2003" t="s">
        <v>2395</v>
      </c>
      <c r="R2003">
        <v>1</v>
      </c>
      <c r="S2003" t="s">
        <v>2380</v>
      </c>
      <c r="T2003" t="s">
        <v>2383</v>
      </c>
      <c r="U2003" s="8">
        <v>45944.601956018516</v>
      </c>
      <c r="V2003" s="8">
        <v>45947.958333333336</v>
      </c>
      <c r="W2003">
        <v>1</v>
      </c>
      <c r="X2003">
        <v>3.0355555559999998</v>
      </c>
      <c r="Y2003" t="s">
        <v>8110</v>
      </c>
      <c r="Z2003" t="s">
        <v>9174</v>
      </c>
      <c r="AA2003" t="s">
        <v>8113</v>
      </c>
      <c r="AB2003" t="s">
        <v>1278</v>
      </c>
      <c r="AC2003" t="s">
        <v>9175</v>
      </c>
      <c r="AD2003" t="s">
        <v>2708</v>
      </c>
      <c r="AE2003">
        <v>1</v>
      </c>
      <c r="AH2003" t="s">
        <v>24</v>
      </c>
      <c r="AI2003" s="8">
        <v>45947.61204861111</v>
      </c>
      <c r="AK2003" t="s">
        <v>2719</v>
      </c>
      <c r="AL2003" t="s">
        <v>2719</v>
      </c>
      <c r="AO2003" t="s">
        <v>4137</v>
      </c>
      <c r="AP2003" t="s">
        <v>2401</v>
      </c>
    </row>
    <row r="2004" spans="1:42">
      <c r="A2004" t="s">
        <v>714</v>
      </c>
      <c r="B2004" t="s">
        <v>2377</v>
      </c>
      <c r="C2004" t="s">
        <v>2390</v>
      </c>
      <c r="D2004" t="s">
        <v>2379</v>
      </c>
      <c r="E2004" t="s">
        <v>18</v>
      </c>
      <c r="F2004" t="s">
        <v>3891</v>
      </c>
      <c r="G2004" t="s">
        <v>2416</v>
      </c>
      <c r="H2004" t="b">
        <v>1</v>
      </c>
      <c r="I2004" s="8">
        <v>45947.425578703704</v>
      </c>
      <c r="J2004" t="s">
        <v>2380</v>
      </c>
      <c r="L2004">
        <v>609676</v>
      </c>
      <c r="M2004" t="s">
        <v>2381</v>
      </c>
      <c r="Q2004" t="s">
        <v>2383</v>
      </c>
      <c r="R2004">
        <v>1</v>
      </c>
      <c r="S2004" t="s">
        <v>2380</v>
      </c>
      <c r="T2004" t="s">
        <v>2383</v>
      </c>
      <c r="U2004" s="8">
        <v>45944.603796296295</v>
      </c>
      <c r="V2004" s="8">
        <v>45947.958333333336</v>
      </c>
      <c r="W2004">
        <v>1</v>
      </c>
      <c r="X2004">
        <v>2.8217824070000002</v>
      </c>
      <c r="Y2004" t="s">
        <v>3892</v>
      </c>
      <c r="Z2004" t="s">
        <v>4922</v>
      </c>
      <c r="AA2004" t="s">
        <v>4923</v>
      </c>
      <c r="AB2004" t="s">
        <v>1278</v>
      </c>
      <c r="AC2004" t="s">
        <v>4924</v>
      </c>
      <c r="AD2004" t="s">
        <v>2708</v>
      </c>
      <c r="AE2004">
        <v>1</v>
      </c>
      <c r="AO2004" t="s">
        <v>2715</v>
      </c>
      <c r="AP2004" t="s">
        <v>2401</v>
      </c>
    </row>
    <row r="2005" spans="1:42">
      <c r="A2005" t="s">
        <v>8230</v>
      </c>
      <c r="B2005" t="s">
        <v>2389</v>
      </c>
      <c r="C2005" t="s">
        <v>2390</v>
      </c>
      <c r="D2005" t="s">
        <v>2379</v>
      </c>
      <c r="E2005" t="s">
        <v>25</v>
      </c>
      <c r="F2005" t="s">
        <v>8109</v>
      </c>
      <c r="G2005" t="s">
        <v>25</v>
      </c>
      <c r="H2005" t="b">
        <v>1</v>
      </c>
      <c r="I2005" s="8">
        <v>45947.413344907407</v>
      </c>
      <c r="J2005" t="s">
        <v>2380</v>
      </c>
      <c r="K2005">
        <v>1203130</v>
      </c>
      <c r="L2005">
        <v>604185</v>
      </c>
      <c r="M2005" t="s">
        <v>2381</v>
      </c>
      <c r="N2005">
        <v>5</v>
      </c>
      <c r="P2005" t="s">
        <v>2394</v>
      </c>
      <c r="Q2005" t="s">
        <v>2395</v>
      </c>
      <c r="R2005">
        <v>1</v>
      </c>
      <c r="S2005" t="s">
        <v>2380</v>
      </c>
      <c r="T2005" t="s">
        <v>2383</v>
      </c>
      <c r="U2005" s="8">
        <v>45944.611875000002</v>
      </c>
      <c r="V2005" s="8">
        <v>45947.958333333336</v>
      </c>
      <c r="W2005">
        <v>1</v>
      </c>
      <c r="X2005">
        <v>2.801469907</v>
      </c>
      <c r="Y2005" t="s">
        <v>8110</v>
      </c>
      <c r="Z2005" t="s">
        <v>8231</v>
      </c>
      <c r="AA2005" t="s">
        <v>8113</v>
      </c>
      <c r="AB2005" t="s">
        <v>1278</v>
      </c>
      <c r="AC2005" t="s">
        <v>8232</v>
      </c>
      <c r="AD2005" t="s">
        <v>2708</v>
      </c>
      <c r="AE2005">
        <v>1</v>
      </c>
      <c r="AO2005" t="s">
        <v>4137</v>
      </c>
      <c r="AP2005" t="s">
        <v>2401</v>
      </c>
    </row>
    <row r="2006" spans="1:42">
      <c r="A2006" t="s">
        <v>8233</v>
      </c>
      <c r="B2006" t="s">
        <v>2389</v>
      </c>
      <c r="C2006" t="s">
        <v>2390</v>
      </c>
      <c r="D2006" t="s">
        <v>2379</v>
      </c>
      <c r="E2006" t="s">
        <v>25</v>
      </c>
      <c r="F2006" t="s">
        <v>8109</v>
      </c>
      <c r="G2006" t="s">
        <v>25</v>
      </c>
      <c r="H2006" t="b">
        <v>1</v>
      </c>
      <c r="I2006" s="8">
        <v>45947.414942129632</v>
      </c>
      <c r="J2006" t="s">
        <v>2380</v>
      </c>
      <c r="K2006">
        <v>1203165</v>
      </c>
      <c r="L2006">
        <v>604185</v>
      </c>
      <c r="M2006" t="s">
        <v>2381</v>
      </c>
      <c r="N2006">
        <v>5</v>
      </c>
      <c r="P2006" t="s">
        <v>2394</v>
      </c>
      <c r="Q2006" t="s">
        <v>2395</v>
      </c>
      <c r="R2006">
        <v>1</v>
      </c>
      <c r="S2006" t="s">
        <v>2380</v>
      </c>
      <c r="T2006" t="s">
        <v>2383</v>
      </c>
      <c r="U2006" s="8">
        <v>45944.617627314816</v>
      </c>
      <c r="V2006" s="8">
        <v>45947.958333333336</v>
      </c>
      <c r="W2006">
        <v>1</v>
      </c>
      <c r="X2006">
        <v>2.797314815</v>
      </c>
      <c r="Y2006" t="s">
        <v>8110</v>
      </c>
      <c r="Z2006" t="s">
        <v>8234</v>
      </c>
      <c r="AA2006" t="s">
        <v>8113</v>
      </c>
      <c r="AB2006" t="s">
        <v>1278</v>
      </c>
      <c r="AC2006" t="s">
        <v>8235</v>
      </c>
      <c r="AD2006" t="s">
        <v>2708</v>
      </c>
      <c r="AE2006">
        <v>1</v>
      </c>
      <c r="AO2006" t="s">
        <v>4137</v>
      </c>
      <c r="AP2006" t="s">
        <v>2401</v>
      </c>
    </row>
    <row r="2007" spans="1:42">
      <c r="A2007" t="s">
        <v>9651</v>
      </c>
      <c r="B2007" t="s">
        <v>2389</v>
      </c>
      <c r="C2007" t="s">
        <v>2378</v>
      </c>
      <c r="D2007" t="s">
        <v>2379</v>
      </c>
      <c r="E2007" t="s">
        <v>2601</v>
      </c>
      <c r="F2007" t="s">
        <v>3613</v>
      </c>
      <c r="G2007" t="s">
        <v>2601</v>
      </c>
      <c r="H2007" t="b">
        <v>1</v>
      </c>
      <c r="I2007" s="8">
        <v>45947.643865740742</v>
      </c>
      <c r="J2007" t="s">
        <v>2380</v>
      </c>
      <c r="K2007">
        <v>1203285</v>
      </c>
      <c r="L2007">
        <v>605352</v>
      </c>
      <c r="M2007" t="s">
        <v>2381</v>
      </c>
      <c r="P2007" t="s">
        <v>2394</v>
      </c>
      <c r="Q2007" t="s">
        <v>2383</v>
      </c>
      <c r="R2007">
        <v>1</v>
      </c>
      <c r="S2007" t="s">
        <v>2380</v>
      </c>
      <c r="T2007" t="s">
        <v>2383</v>
      </c>
      <c r="U2007" s="8">
        <v>45944.628240740742</v>
      </c>
      <c r="V2007" s="8">
        <v>45947.958333333336</v>
      </c>
      <c r="W2007">
        <v>1</v>
      </c>
      <c r="X2007">
        <v>3.015625</v>
      </c>
      <c r="Y2007" t="s">
        <v>3614</v>
      </c>
      <c r="Z2007" t="s">
        <v>9652</v>
      </c>
      <c r="AA2007" t="s">
        <v>3617</v>
      </c>
      <c r="AB2007" t="s">
        <v>1278</v>
      </c>
      <c r="AC2007" t="s">
        <v>9653</v>
      </c>
      <c r="AD2007" t="s">
        <v>2708</v>
      </c>
      <c r="AE2007">
        <v>1</v>
      </c>
      <c r="AO2007" t="s">
        <v>3608</v>
      </c>
      <c r="AP2007" t="s">
        <v>2401</v>
      </c>
    </row>
    <row r="2008" spans="1:42">
      <c r="A2008" t="s">
        <v>10078</v>
      </c>
      <c r="B2008" t="s">
        <v>2389</v>
      </c>
      <c r="C2008" t="s">
        <v>2390</v>
      </c>
      <c r="D2008" t="s">
        <v>2379</v>
      </c>
      <c r="E2008" t="s">
        <v>2452</v>
      </c>
      <c r="F2008" t="s">
        <v>3514</v>
      </c>
      <c r="G2008" t="s">
        <v>2452</v>
      </c>
      <c r="H2008" t="b">
        <v>1</v>
      </c>
      <c r="I2008" s="8">
        <v>45947.372476851851</v>
      </c>
      <c r="J2008" t="s">
        <v>2380</v>
      </c>
      <c r="K2008">
        <v>6611100</v>
      </c>
      <c r="L2008">
        <v>603695</v>
      </c>
      <c r="M2008" t="s">
        <v>2381</v>
      </c>
      <c r="P2008" t="s">
        <v>2394</v>
      </c>
      <c r="Q2008" t="s">
        <v>2383</v>
      </c>
      <c r="R2008">
        <v>1</v>
      </c>
      <c r="S2008" t="s">
        <v>2380</v>
      </c>
      <c r="T2008" t="s">
        <v>2383</v>
      </c>
      <c r="U2008" s="8">
        <v>45944.629548611112</v>
      </c>
      <c r="V2008" s="8">
        <v>45947.958333333336</v>
      </c>
      <c r="W2008">
        <v>1</v>
      </c>
      <c r="X2008">
        <v>2.742928241</v>
      </c>
      <c r="Y2008" t="s">
        <v>3515</v>
      </c>
      <c r="Z2008" t="s">
        <v>10079</v>
      </c>
      <c r="AA2008" t="s">
        <v>3518</v>
      </c>
      <c r="AB2008" t="s">
        <v>1278</v>
      </c>
      <c r="AC2008" t="s">
        <v>10080</v>
      </c>
      <c r="AE2008">
        <v>1</v>
      </c>
      <c r="AO2008" t="s">
        <v>2957</v>
      </c>
      <c r="AP2008" t="s">
        <v>2401</v>
      </c>
    </row>
    <row r="2009" spans="1:42">
      <c r="A2009" t="s">
        <v>431</v>
      </c>
      <c r="B2009" t="s">
        <v>2377</v>
      </c>
      <c r="C2009" t="s">
        <v>2415</v>
      </c>
      <c r="D2009" t="s">
        <v>2379</v>
      </c>
      <c r="E2009" t="s">
        <v>25</v>
      </c>
      <c r="F2009" t="s">
        <v>3747</v>
      </c>
      <c r="G2009" t="s">
        <v>25</v>
      </c>
      <c r="H2009" t="b">
        <v>1</v>
      </c>
      <c r="I2009" s="8">
        <v>45946.368622685186</v>
      </c>
      <c r="J2009" t="s">
        <v>2380</v>
      </c>
      <c r="L2009">
        <v>609121</v>
      </c>
      <c r="M2009" t="s">
        <v>2381</v>
      </c>
      <c r="Q2009" t="s">
        <v>2383</v>
      </c>
      <c r="R2009">
        <v>1</v>
      </c>
      <c r="S2009" t="s">
        <v>2380</v>
      </c>
      <c r="T2009" t="s">
        <v>2383</v>
      </c>
      <c r="U2009" s="8">
        <v>45944.641747685186</v>
      </c>
      <c r="V2009" s="8">
        <v>45947.958333333336</v>
      </c>
      <c r="W2009">
        <v>1</v>
      </c>
      <c r="X2009">
        <v>1.7268749999999999</v>
      </c>
      <c r="Y2009" t="s">
        <v>3748</v>
      </c>
      <c r="Z2009" t="s">
        <v>3994</v>
      </c>
      <c r="AA2009" t="s">
        <v>3751</v>
      </c>
      <c r="AB2009" t="s">
        <v>1278</v>
      </c>
      <c r="AC2009" t="s">
        <v>3995</v>
      </c>
      <c r="AD2009" t="s">
        <v>2708</v>
      </c>
      <c r="AE2009">
        <v>1</v>
      </c>
      <c r="AO2009" t="s">
        <v>2712</v>
      </c>
      <c r="AP2009" t="s">
        <v>2401</v>
      </c>
    </row>
    <row r="2010" spans="1:42">
      <c r="A2010" t="s">
        <v>10081</v>
      </c>
      <c r="B2010" t="s">
        <v>2389</v>
      </c>
      <c r="C2010" t="s">
        <v>2390</v>
      </c>
      <c r="D2010" t="s">
        <v>2379</v>
      </c>
      <c r="E2010" t="s">
        <v>2452</v>
      </c>
      <c r="F2010" t="s">
        <v>3514</v>
      </c>
      <c r="G2010" t="s">
        <v>2452</v>
      </c>
      <c r="H2010" t="b">
        <v>1</v>
      </c>
      <c r="I2010" s="8">
        <v>45947.40079861111</v>
      </c>
      <c r="J2010" t="s">
        <v>2380</v>
      </c>
      <c r="K2010">
        <v>6611100</v>
      </c>
      <c r="L2010">
        <v>603695</v>
      </c>
      <c r="M2010" t="s">
        <v>2381</v>
      </c>
      <c r="P2010" t="s">
        <v>2394</v>
      </c>
      <c r="Q2010" t="s">
        <v>2383</v>
      </c>
      <c r="R2010">
        <v>1</v>
      </c>
      <c r="S2010" t="s">
        <v>2380</v>
      </c>
      <c r="T2010" t="s">
        <v>2383</v>
      </c>
      <c r="U2010" s="8">
        <v>45944.64576388889</v>
      </c>
      <c r="V2010" s="8">
        <v>45947.958333333336</v>
      </c>
      <c r="W2010">
        <v>1</v>
      </c>
      <c r="X2010">
        <v>2.755034722</v>
      </c>
      <c r="Y2010" t="s">
        <v>3515</v>
      </c>
      <c r="Z2010" t="s">
        <v>10082</v>
      </c>
      <c r="AA2010" t="s">
        <v>3518</v>
      </c>
      <c r="AB2010" t="s">
        <v>1278</v>
      </c>
      <c r="AC2010" t="s">
        <v>10083</v>
      </c>
      <c r="AE2010">
        <v>1</v>
      </c>
      <c r="AO2010" t="s">
        <v>2957</v>
      </c>
      <c r="AP2010" t="s">
        <v>2401</v>
      </c>
    </row>
    <row r="2011" spans="1:42">
      <c r="A2011" t="s">
        <v>8211</v>
      </c>
      <c r="B2011" t="s">
        <v>2389</v>
      </c>
      <c r="C2011" t="s">
        <v>2415</v>
      </c>
      <c r="D2011" t="s">
        <v>2379</v>
      </c>
      <c r="E2011" t="s">
        <v>2601</v>
      </c>
      <c r="F2011">
        <v>4020</v>
      </c>
      <c r="G2011" t="s">
        <v>2601</v>
      </c>
      <c r="H2011" t="b">
        <v>1</v>
      </c>
      <c r="I2011" s="8">
        <v>45946.501006944447</v>
      </c>
      <c r="J2011" t="s">
        <v>2380</v>
      </c>
      <c r="K2011">
        <v>1202750</v>
      </c>
      <c r="L2011">
        <v>604047</v>
      </c>
      <c r="M2011" t="s">
        <v>2381</v>
      </c>
      <c r="P2011" t="s">
        <v>2394</v>
      </c>
      <c r="Q2011" t="s">
        <v>2395</v>
      </c>
      <c r="R2011">
        <v>1</v>
      </c>
      <c r="S2011" t="s">
        <v>2380</v>
      </c>
      <c r="T2011" t="s">
        <v>2383</v>
      </c>
      <c r="U2011" s="8">
        <v>45944.647928240738</v>
      </c>
      <c r="V2011" s="8">
        <v>45947.958333333336</v>
      </c>
      <c r="W2011">
        <v>1</v>
      </c>
      <c r="X2011">
        <v>1.8530787040000001</v>
      </c>
      <c r="Y2011" t="s">
        <v>8194</v>
      </c>
      <c r="Z2011" t="s">
        <v>8212</v>
      </c>
      <c r="AA2011" t="s">
        <v>8197</v>
      </c>
      <c r="AB2011" t="s">
        <v>1278</v>
      </c>
      <c r="AC2011" t="s">
        <v>8213</v>
      </c>
      <c r="AD2011" t="s">
        <v>2708</v>
      </c>
      <c r="AE2011">
        <v>1</v>
      </c>
      <c r="AO2011" t="s">
        <v>4137</v>
      </c>
      <c r="AP2011" t="s">
        <v>2401</v>
      </c>
    </row>
    <row r="2012" spans="1:42">
      <c r="A2012" t="s">
        <v>929</v>
      </c>
      <c r="B2012" t="s">
        <v>2377</v>
      </c>
      <c r="C2012" t="s">
        <v>2415</v>
      </c>
      <c r="D2012" t="s">
        <v>2379</v>
      </c>
      <c r="E2012" t="s">
        <v>24</v>
      </c>
      <c r="F2012" t="s">
        <v>2588</v>
      </c>
      <c r="G2012" t="s">
        <v>24</v>
      </c>
      <c r="H2012" t="b">
        <v>1</v>
      </c>
      <c r="I2012" s="8">
        <v>45946.499583333331</v>
      </c>
      <c r="J2012" t="s">
        <v>2380</v>
      </c>
      <c r="L2012">
        <v>602903</v>
      </c>
      <c r="M2012" t="s">
        <v>2381</v>
      </c>
      <c r="Q2012" t="s">
        <v>2383</v>
      </c>
      <c r="R2012">
        <v>1</v>
      </c>
      <c r="S2012" t="s">
        <v>2380</v>
      </c>
      <c r="T2012" t="s">
        <v>2383</v>
      </c>
      <c r="U2012" s="8">
        <v>45944.652256944442</v>
      </c>
      <c r="V2012" s="8">
        <v>45947.958333333336</v>
      </c>
      <c r="W2012">
        <v>1</v>
      </c>
      <c r="X2012">
        <v>1.847326389</v>
      </c>
      <c r="Y2012" t="s">
        <v>2579</v>
      </c>
      <c r="Z2012" t="s">
        <v>6542</v>
      </c>
      <c r="AA2012" t="s">
        <v>6543</v>
      </c>
      <c r="AB2012" t="s">
        <v>1278</v>
      </c>
      <c r="AC2012" t="s">
        <v>6544</v>
      </c>
      <c r="AD2012" t="s">
        <v>2708</v>
      </c>
      <c r="AE2012">
        <v>1</v>
      </c>
      <c r="AO2012" t="s">
        <v>2388</v>
      </c>
      <c r="AP2012" t="s">
        <v>2401</v>
      </c>
    </row>
    <row r="2013" spans="1:42">
      <c r="A2013" t="s">
        <v>6980</v>
      </c>
      <c r="B2013" t="s">
        <v>2389</v>
      </c>
      <c r="C2013" t="s">
        <v>2390</v>
      </c>
      <c r="D2013" t="s">
        <v>2379</v>
      </c>
      <c r="E2013" t="s">
        <v>2452</v>
      </c>
      <c r="F2013">
        <v>4056</v>
      </c>
      <c r="G2013" t="s">
        <v>2452</v>
      </c>
      <c r="H2013" t="b">
        <v>1</v>
      </c>
      <c r="I2013" s="8">
        <v>45947.410057870373</v>
      </c>
      <c r="J2013" t="s">
        <v>2380</v>
      </c>
      <c r="K2013">
        <v>1203057</v>
      </c>
      <c r="L2013">
        <v>603296</v>
      </c>
      <c r="M2013" t="s">
        <v>2381</v>
      </c>
      <c r="P2013" t="s">
        <v>2394</v>
      </c>
      <c r="Q2013" t="s">
        <v>2383</v>
      </c>
      <c r="R2013">
        <v>1</v>
      </c>
      <c r="S2013" t="s">
        <v>2380</v>
      </c>
      <c r="T2013" t="s">
        <v>2383</v>
      </c>
      <c r="U2013" s="8">
        <v>45944.65421296296</v>
      </c>
      <c r="V2013" s="8">
        <v>45947.958333333336</v>
      </c>
      <c r="W2013">
        <v>1</v>
      </c>
      <c r="X2013">
        <v>2.7558449070000002</v>
      </c>
      <c r="Y2013" t="s">
        <v>3379</v>
      </c>
      <c r="Z2013" t="s">
        <v>6981</v>
      </c>
      <c r="AA2013" t="s">
        <v>6568</v>
      </c>
      <c r="AB2013" t="s">
        <v>1278</v>
      </c>
      <c r="AC2013" t="s">
        <v>6982</v>
      </c>
      <c r="AD2013" t="s">
        <v>2708</v>
      </c>
      <c r="AE2013">
        <v>1</v>
      </c>
      <c r="AO2013" t="s">
        <v>2388</v>
      </c>
      <c r="AP2013" t="s">
        <v>2401</v>
      </c>
    </row>
    <row r="2014" spans="1:42">
      <c r="A2014" t="s">
        <v>9131</v>
      </c>
      <c r="B2014" t="s">
        <v>2389</v>
      </c>
      <c r="C2014" t="s">
        <v>2415</v>
      </c>
      <c r="D2014" t="s">
        <v>2379</v>
      </c>
      <c r="E2014" t="s">
        <v>33</v>
      </c>
      <c r="F2014">
        <v>4240</v>
      </c>
      <c r="G2014" t="s">
        <v>33</v>
      </c>
      <c r="H2014" t="b">
        <v>1</v>
      </c>
      <c r="I2014" s="8">
        <v>45946.460601851853</v>
      </c>
      <c r="J2014" t="s">
        <v>2380</v>
      </c>
      <c r="K2014">
        <v>1202549</v>
      </c>
      <c r="L2014">
        <v>604106</v>
      </c>
      <c r="M2014" t="s">
        <v>2381</v>
      </c>
      <c r="P2014" t="s">
        <v>2394</v>
      </c>
      <c r="Q2014" t="s">
        <v>2395</v>
      </c>
      <c r="R2014">
        <v>1</v>
      </c>
      <c r="S2014" t="s">
        <v>2380</v>
      </c>
      <c r="T2014" t="s">
        <v>2383</v>
      </c>
      <c r="U2014" s="8">
        <v>45944.658506944441</v>
      </c>
      <c r="V2014" s="8">
        <v>45947.958333333336</v>
      </c>
      <c r="W2014">
        <v>1</v>
      </c>
      <c r="X2014">
        <v>1.8020949070000001</v>
      </c>
      <c r="Y2014" t="s">
        <v>8134</v>
      </c>
      <c r="Z2014" t="s">
        <v>9132</v>
      </c>
      <c r="AA2014" t="s">
        <v>8137</v>
      </c>
      <c r="AB2014" t="s">
        <v>1278</v>
      </c>
      <c r="AC2014" t="s">
        <v>9133</v>
      </c>
      <c r="AD2014" t="s">
        <v>2708</v>
      </c>
      <c r="AE2014">
        <v>1</v>
      </c>
      <c r="AH2014" t="s">
        <v>24</v>
      </c>
      <c r="AI2014" s="8">
        <v>45946.459548611114</v>
      </c>
      <c r="AK2014" t="s">
        <v>2719</v>
      </c>
      <c r="AL2014" t="s">
        <v>2719</v>
      </c>
      <c r="AO2014" t="s">
        <v>4137</v>
      </c>
      <c r="AP2014" t="s">
        <v>2401</v>
      </c>
    </row>
    <row r="2015" spans="1:42">
      <c r="A2015" t="s">
        <v>6983</v>
      </c>
      <c r="B2015" t="s">
        <v>2389</v>
      </c>
      <c r="C2015" t="s">
        <v>2390</v>
      </c>
      <c r="D2015" t="s">
        <v>2379</v>
      </c>
      <c r="E2015" t="s">
        <v>2452</v>
      </c>
      <c r="F2015">
        <v>4056</v>
      </c>
      <c r="G2015" t="s">
        <v>2452</v>
      </c>
      <c r="H2015" t="b">
        <v>1</v>
      </c>
      <c r="I2015" s="8">
        <v>45947.419444444444</v>
      </c>
      <c r="J2015" t="s">
        <v>2380</v>
      </c>
      <c r="K2015">
        <v>1203166</v>
      </c>
      <c r="L2015">
        <v>603296</v>
      </c>
      <c r="M2015" t="s">
        <v>2381</v>
      </c>
      <c r="P2015" t="s">
        <v>2394</v>
      </c>
      <c r="Q2015" t="s">
        <v>2383</v>
      </c>
      <c r="R2015">
        <v>1</v>
      </c>
      <c r="S2015" t="s">
        <v>2380</v>
      </c>
      <c r="T2015" t="s">
        <v>2383</v>
      </c>
      <c r="U2015" s="8">
        <v>45944.667002314818</v>
      </c>
      <c r="V2015" s="8">
        <v>45947.958333333336</v>
      </c>
      <c r="W2015">
        <v>1</v>
      </c>
      <c r="X2015">
        <v>2.7524421299999999</v>
      </c>
      <c r="Y2015" t="s">
        <v>3379</v>
      </c>
      <c r="Z2015" t="s">
        <v>6984</v>
      </c>
      <c r="AA2015" t="s">
        <v>6568</v>
      </c>
      <c r="AB2015" t="s">
        <v>1278</v>
      </c>
      <c r="AC2015" t="s">
        <v>6985</v>
      </c>
      <c r="AD2015" t="s">
        <v>2708</v>
      </c>
      <c r="AE2015">
        <v>1</v>
      </c>
      <c r="AO2015" t="s">
        <v>2388</v>
      </c>
      <c r="AP2015" t="s">
        <v>2401</v>
      </c>
    </row>
    <row r="2016" spans="1:42">
      <c r="A2016" t="s">
        <v>7776</v>
      </c>
      <c r="B2016" t="s">
        <v>2389</v>
      </c>
      <c r="C2016" t="s">
        <v>2390</v>
      </c>
      <c r="D2016" t="s">
        <v>2379</v>
      </c>
      <c r="E2016" t="s">
        <v>2452</v>
      </c>
      <c r="F2016" t="s">
        <v>7765</v>
      </c>
      <c r="G2016" t="s">
        <v>2452</v>
      </c>
      <c r="H2016" t="b">
        <v>1</v>
      </c>
      <c r="I2016" s="8">
        <v>45947.431562500002</v>
      </c>
      <c r="J2016" t="s">
        <v>2380</v>
      </c>
      <c r="K2016">
        <v>1203174</v>
      </c>
      <c r="L2016">
        <v>609772</v>
      </c>
      <c r="M2016" t="s">
        <v>2381</v>
      </c>
      <c r="P2016" t="s">
        <v>2394</v>
      </c>
      <c r="Q2016" t="s">
        <v>2383</v>
      </c>
      <c r="R2016">
        <v>1</v>
      </c>
      <c r="S2016" t="s">
        <v>2380</v>
      </c>
      <c r="T2016" t="s">
        <v>2383</v>
      </c>
      <c r="U2016" s="8">
        <v>45944.673298611109</v>
      </c>
      <c r="V2016" s="8">
        <v>45947.958333333336</v>
      </c>
      <c r="W2016">
        <v>1</v>
      </c>
      <c r="X2016">
        <v>2.7582638890000002</v>
      </c>
      <c r="Y2016" t="s">
        <v>3521</v>
      </c>
      <c r="Z2016" t="s">
        <v>7777</v>
      </c>
      <c r="AA2016" t="s">
        <v>7768</v>
      </c>
      <c r="AB2016" t="s">
        <v>1278</v>
      </c>
      <c r="AC2016" t="s">
        <v>7778</v>
      </c>
      <c r="AD2016" t="s">
        <v>2708</v>
      </c>
      <c r="AE2016">
        <v>1</v>
      </c>
      <c r="AO2016" t="s">
        <v>2957</v>
      </c>
      <c r="AP2016" t="s">
        <v>2401</v>
      </c>
    </row>
    <row r="2017" spans="1:42">
      <c r="A2017" t="s">
        <v>9644</v>
      </c>
      <c r="B2017" t="s">
        <v>2389</v>
      </c>
      <c r="C2017" t="s">
        <v>2415</v>
      </c>
      <c r="D2017" t="s">
        <v>2379</v>
      </c>
      <c r="E2017" t="s">
        <v>2601</v>
      </c>
      <c r="F2017" t="s">
        <v>3472</v>
      </c>
      <c r="G2017" t="s">
        <v>2601</v>
      </c>
      <c r="H2017" t="b">
        <v>1</v>
      </c>
      <c r="I2017" s="8">
        <v>45946.58</v>
      </c>
      <c r="J2017" t="s">
        <v>2380</v>
      </c>
      <c r="K2017">
        <v>1202848</v>
      </c>
      <c r="L2017">
        <v>603593</v>
      </c>
      <c r="M2017" t="s">
        <v>2381</v>
      </c>
      <c r="P2017" t="s">
        <v>2394</v>
      </c>
      <c r="Q2017" t="s">
        <v>2383</v>
      </c>
      <c r="R2017">
        <v>1</v>
      </c>
      <c r="S2017" t="s">
        <v>2380</v>
      </c>
      <c r="T2017" t="s">
        <v>2383</v>
      </c>
      <c r="U2017" s="8">
        <v>45944.676886574074</v>
      </c>
      <c r="V2017" s="8">
        <v>45947.958333333336</v>
      </c>
      <c r="W2017">
        <v>1</v>
      </c>
      <c r="X2017">
        <v>1.903113426</v>
      </c>
      <c r="Y2017" t="s">
        <v>3473</v>
      </c>
      <c r="Z2017" t="s">
        <v>9645</v>
      </c>
      <c r="AA2017" t="s">
        <v>8564</v>
      </c>
      <c r="AB2017" t="s">
        <v>1278</v>
      </c>
      <c r="AC2017" t="s">
        <v>9646</v>
      </c>
      <c r="AD2017" t="s">
        <v>2708</v>
      </c>
      <c r="AE2017">
        <v>1</v>
      </c>
      <c r="AO2017" t="s">
        <v>3608</v>
      </c>
      <c r="AP2017" t="s">
        <v>2401</v>
      </c>
    </row>
    <row r="2018" spans="1:42">
      <c r="A2018" t="s">
        <v>9593</v>
      </c>
      <c r="B2018" t="s">
        <v>2389</v>
      </c>
      <c r="C2018" t="s">
        <v>2390</v>
      </c>
      <c r="D2018" t="s">
        <v>2379</v>
      </c>
      <c r="E2018" t="s">
        <v>25</v>
      </c>
      <c r="F2018">
        <v>3801</v>
      </c>
      <c r="G2018" t="s">
        <v>2723</v>
      </c>
      <c r="H2018" t="b">
        <v>1</v>
      </c>
      <c r="I2018" s="8">
        <v>45947.345509259256</v>
      </c>
      <c r="J2018" t="s">
        <v>2380</v>
      </c>
      <c r="K2018">
        <v>1203041</v>
      </c>
      <c r="L2018">
        <v>604334</v>
      </c>
      <c r="M2018" t="s">
        <v>2381</v>
      </c>
      <c r="N2018">
        <v>5</v>
      </c>
      <c r="P2018" t="s">
        <v>2394</v>
      </c>
      <c r="Q2018" t="s">
        <v>2395</v>
      </c>
      <c r="R2018">
        <v>1</v>
      </c>
      <c r="S2018" t="s">
        <v>2380</v>
      </c>
      <c r="T2018" t="s">
        <v>2383</v>
      </c>
      <c r="U2018" s="8">
        <v>45944.681157407409</v>
      </c>
      <c r="V2018" s="8">
        <v>45947.958333333336</v>
      </c>
      <c r="W2018">
        <v>1</v>
      </c>
      <c r="X2018">
        <v>2.6643518519999998</v>
      </c>
      <c r="Y2018" t="s">
        <v>3318</v>
      </c>
      <c r="Z2018" t="s">
        <v>9594</v>
      </c>
      <c r="AA2018" t="s">
        <v>8250</v>
      </c>
      <c r="AB2018" t="s">
        <v>1278</v>
      </c>
      <c r="AC2018" t="s">
        <v>9595</v>
      </c>
      <c r="AD2018" t="s">
        <v>2708</v>
      </c>
      <c r="AE2018">
        <v>1</v>
      </c>
      <c r="AO2018" t="s">
        <v>4137</v>
      </c>
      <c r="AP2018" t="s">
        <v>2401</v>
      </c>
    </row>
    <row r="2019" spans="1:42">
      <c r="A2019" t="s">
        <v>7600</v>
      </c>
      <c r="B2019" t="s">
        <v>2389</v>
      </c>
      <c r="C2019" t="s">
        <v>2390</v>
      </c>
      <c r="D2019" t="s">
        <v>2379</v>
      </c>
      <c r="E2019" t="s">
        <v>2601</v>
      </c>
      <c r="F2019" t="s">
        <v>3472</v>
      </c>
      <c r="G2019" t="s">
        <v>2601</v>
      </c>
      <c r="H2019" t="b">
        <v>1</v>
      </c>
      <c r="I2019" s="8">
        <v>45947.382361111115</v>
      </c>
      <c r="J2019" t="s">
        <v>2380</v>
      </c>
      <c r="K2019">
        <v>1203045</v>
      </c>
      <c r="L2019">
        <v>609747</v>
      </c>
      <c r="M2019" t="s">
        <v>2381</v>
      </c>
      <c r="P2019" t="s">
        <v>2394</v>
      </c>
      <c r="Q2019" t="s">
        <v>2383</v>
      </c>
      <c r="R2019">
        <v>1</v>
      </c>
      <c r="S2019" t="s">
        <v>2380</v>
      </c>
      <c r="T2019" t="s">
        <v>2383</v>
      </c>
      <c r="U2019" s="8">
        <v>45944.683807870373</v>
      </c>
      <c r="V2019" s="8">
        <v>45947.958333333336</v>
      </c>
      <c r="W2019">
        <v>1</v>
      </c>
      <c r="X2019">
        <v>2.6985532409999999</v>
      </c>
      <c r="Y2019" t="s">
        <v>3473</v>
      </c>
      <c r="Z2019" t="s">
        <v>7601</v>
      </c>
      <c r="AA2019" t="s">
        <v>3476</v>
      </c>
      <c r="AB2019" t="s">
        <v>1278</v>
      </c>
      <c r="AC2019" t="s">
        <v>7602</v>
      </c>
      <c r="AD2019" t="s">
        <v>2708</v>
      </c>
      <c r="AE2019">
        <v>1</v>
      </c>
      <c r="AO2019" t="s">
        <v>2957</v>
      </c>
      <c r="AP2019" t="s">
        <v>2401</v>
      </c>
    </row>
    <row r="2020" spans="1:42">
      <c r="A2020" t="s">
        <v>4973</v>
      </c>
      <c r="B2020" t="s">
        <v>2389</v>
      </c>
      <c r="C2020" t="s">
        <v>2390</v>
      </c>
      <c r="D2020" t="s">
        <v>2379</v>
      </c>
      <c r="E2020" t="s">
        <v>307</v>
      </c>
      <c r="F2020" t="s">
        <v>4112</v>
      </c>
      <c r="G2020" t="s">
        <v>2601</v>
      </c>
      <c r="H2020" t="b">
        <v>1</v>
      </c>
      <c r="I2020" s="8">
        <v>45947.654305555552</v>
      </c>
      <c r="J2020" t="s">
        <v>2380</v>
      </c>
      <c r="K2020">
        <v>1203288</v>
      </c>
      <c r="L2020">
        <v>603681</v>
      </c>
      <c r="M2020" t="s">
        <v>2381</v>
      </c>
      <c r="P2020" t="s">
        <v>2394</v>
      </c>
      <c r="Q2020" t="s">
        <v>2383</v>
      </c>
      <c r="R2020">
        <v>1</v>
      </c>
      <c r="S2020" t="s">
        <v>2380</v>
      </c>
      <c r="T2020" t="s">
        <v>2383</v>
      </c>
      <c r="U2020" s="8">
        <v>45944.721053240741</v>
      </c>
      <c r="V2020" s="8">
        <v>45947.958333333336</v>
      </c>
      <c r="W2020">
        <v>1</v>
      </c>
      <c r="X2020">
        <v>2.9332523149999998</v>
      </c>
      <c r="Y2020" t="s">
        <v>3901</v>
      </c>
      <c r="Z2020" t="s">
        <v>4974</v>
      </c>
      <c r="AA2020" t="s">
        <v>4975</v>
      </c>
      <c r="AB2020" t="s">
        <v>1278</v>
      </c>
      <c r="AC2020" t="s">
        <v>4976</v>
      </c>
      <c r="AD2020" t="s">
        <v>2708</v>
      </c>
      <c r="AE2020">
        <v>1</v>
      </c>
      <c r="AO2020" t="s">
        <v>2715</v>
      </c>
      <c r="AP2020" t="s">
        <v>2401</v>
      </c>
    </row>
    <row r="2021" spans="1:42">
      <c r="A2021" t="s">
        <v>7998</v>
      </c>
      <c r="B2021" t="s">
        <v>2389</v>
      </c>
      <c r="C2021" t="s">
        <v>2390</v>
      </c>
      <c r="D2021" t="s">
        <v>2379</v>
      </c>
      <c r="E2021" t="s">
        <v>25</v>
      </c>
      <c r="F2021" t="s">
        <v>4697</v>
      </c>
      <c r="G2021" t="s">
        <v>25</v>
      </c>
      <c r="H2021" t="b">
        <v>1</v>
      </c>
      <c r="I2021" s="8">
        <v>45947.654826388891</v>
      </c>
      <c r="J2021" t="s">
        <v>2380</v>
      </c>
      <c r="K2021">
        <v>1203289</v>
      </c>
      <c r="L2021">
        <v>603752</v>
      </c>
      <c r="M2021" t="s">
        <v>2381</v>
      </c>
      <c r="N2021">
        <v>5</v>
      </c>
      <c r="P2021" t="s">
        <v>2394</v>
      </c>
      <c r="Q2021" t="s">
        <v>2383</v>
      </c>
      <c r="R2021">
        <v>1</v>
      </c>
      <c r="S2021" t="s">
        <v>2380</v>
      </c>
      <c r="T2021" t="s">
        <v>2383</v>
      </c>
      <c r="U2021" s="8">
        <v>45944.721805555557</v>
      </c>
      <c r="V2021" s="8">
        <v>45947.958333333336</v>
      </c>
      <c r="W2021">
        <v>1</v>
      </c>
      <c r="X2021">
        <v>2.933020833</v>
      </c>
      <c r="Y2021" t="s">
        <v>4698</v>
      </c>
      <c r="Z2021" t="s">
        <v>7999</v>
      </c>
      <c r="AA2021" t="s">
        <v>4748</v>
      </c>
      <c r="AB2021" t="s">
        <v>1278</v>
      </c>
      <c r="AC2021" t="s">
        <v>8000</v>
      </c>
      <c r="AD2021" t="s">
        <v>2708</v>
      </c>
      <c r="AE2021">
        <v>1</v>
      </c>
      <c r="AO2021" t="s">
        <v>2957</v>
      </c>
      <c r="AP2021" t="s">
        <v>2401</v>
      </c>
    </row>
    <row r="2022" spans="1:42">
      <c r="A2022" t="s">
        <v>8204</v>
      </c>
      <c r="B2022" t="s">
        <v>2389</v>
      </c>
      <c r="C2022" t="s">
        <v>2415</v>
      </c>
      <c r="D2022" t="s">
        <v>2379</v>
      </c>
      <c r="E2022" t="s">
        <v>2601</v>
      </c>
      <c r="F2022" t="s">
        <v>2578</v>
      </c>
      <c r="G2022" t="s">
        <v>2601</v>
      </c>
      <c r="H2022" t="b">
        <v>1</v>
      </c>
      <c r="I2022" s="8">
        <v>45946.561666666668</v>
      </c>
      <c r="J2022" t="s">
        <v>2380</v>
      </c>
      <c r="K2022">
        <v>1202844</v>
      </c>
      <c r="L2022">
        <v>604253</v>
      </c>
      <c r="M2022" t="s">
        <v>2381</v>
      </c>
      <c r="P2022" t="s">
        <v>2394</v>
      </c>
      <c r="Q2022" t="s">
        <v>2395</v>
      </c>
      <c r="R2022">
        <v>1</v>
      </c>
      <c r="S2022" t="s">
        <v>2380</v>
      </c>
      <c r="T2022" t="s">
        <v>2383</v>
      </c>
      <c r="U2022" s="8">
        <v>45944.724583333336</v>
      </c>
      <c r="V2022" s="8">
        <v>45947.958333333336</v>
      </c>
      <c r="W2022">
        <v>1</v>
      </c>
      <c r="X2022">
        <v>1.837083333</v>
      </c>
      <c r="Y2022" t="s">
        <v>2579</v>
      </c>
      <c r="Z2022" t="s">
        <v>8205</v>
      </c>
      <c r="AA2022" t="s">
        <v>8193</v>
      </c>
      <c r="AB2022" t="s">
        <v>1278</v>
      </c>
      <c r="AC2022" t="s">
        <v>8206</v>
      </c>
      <c r="AD2022" t="s">
        <v>2708</v>
      </c>
      <c r="AE2022">
        <v>1</v>
      </c>
      <c r="AO2022" t="s">
        <v>4137</v>
      </c>
      <c r="AP2022" t="s">
        <v>2401</v>
      </c>
    </row>
    <row r="2023" spans="1:42">
      <c r="A2023" t="s">
        <v>6046</v>
      </c>
      <c r="B2023" t="s">
        <v>2389</v>
      </c>
      <c r="C2023" t="s">
        <v>2447</v>
      </c>
      <c r="D2023" t="s">
        <v>2379</v>
      </c>
      <c r="E2023" t="s">
        <v>2452</v>
      </c>
      <c r="F2023" t="s">
        <v>2578</v>
      </c>
      <c r="G2023" t="s">
        <v>2452</v>
      </c>
      <c r="H2023" t="b">
        <v>1</v>
      </c>
      <c r="I2023" s="8">
        <v>45951.617361111108</v>
      </c>
      <c r="J2023" t="s">
        <v>2380</v>
      </c>
      <c r="K2023">
        <v>1203842</v>
      </c>
      <c r="L2023">
        <v>602543</v>
      </c>
      <c r="M2023" t="s">
        <v>2381</v>
      </c>
      <c r="P2023" t="s">
        <v>2394</v>
      </c>
      <c r="Q2023" t="s">
        <v>2383</v>
      </c>
      <c r="R2023">
        <v>1</v>
      </c>
      <c r="S2023" t="s">
        <v>2380</v>
      </c>
      <c r="T2023" t="s">
        <v>2383</v>
      </c>
      <c r="U2023" s="8">
        <v>45944.73164351852</v>
      </c>
      <c r="V2023" s="8">
        <v>45954.958333333336</v>
      </c>
      <c r="W2023">
        <v>1</v>
      </c>
      <c r="X2023">
        <v>4.8857175929999999</v>
      </c>
      <c r="Y2023" t="s">
        <v>2579</v>
      </c>
      <c r="Z2023" t="s">
        <v>6047</v>
      </c>
      <c r="AA2023" t="s">
        <v>6048</v>
      </c>
      <c r="AB2023" t="s">
        <v>1278</v>
      </c>
      <c r="AC2023" t="s">
        <v>6049</v>
      </c>
      <c r="AD2023" t="s">
        <v>2708</v>
      </c>
      <c r="AE2023">
        <v>1</v>
      </c>
      <c r="AO2023" t="s">
        <v>2547</v>
      </c>
      <c r="AP2023" t="s">
        <v>2401</v>
      </c>
    </row>
    <row r="2024" spans="1:42">
      <c r="A2024" t="s">
        <v>9402</v>
      </c>
      <c r="B2024" t="s">
        <v>2389</v>
      </c>
      <c r="C2024" t="s">
        <v>2443</v>
      </c>
      <c r="D2024" t="s">
        <v>2443</v>
      </c>
      <c r="E2024" t="s">
        <v>33</v>
      </c>
      <c r="F2024">
        <v>6415</v>
      </c>
      <c r="G2024" t="s">
        <v>33</v>
      </c>
      <c r="H2024" t="b">
        <v>1</v>
      </c>
      <c r="I2024" s="8">
        <v>45950.495023148149</v>
      </c>
      <c r="J2024" t="s">
        <v>2380</v>
      </c>
      <c r="K2024">
        <v>1203451</v>
      </c>
      <c r="L2024">
        <v>604475</v>
      </c>
      <c r="M2024" t="s">
        <v>2381</v>
      </c>
      <c r="P2024" t="s">
        <v>2394</v>
      </c>
      <c r="Q2024" t="s">
        <v>2395</v>
      </c>
      <c r="R2024">
        <v>1</v>
      </c>
      <c r="S2024" t="s">
        <v>2380</v>
      </c>
      <c r="T2024" t="s">
        <v>2383</v>
      </c>
      <c r="U2024" s="8">
        <v>45944.795312499999</v>
      </c>
      <c r="V2024" s="8">
        <v>45947.958333333336</v>
      </c>
      <c r="W2024">
        <v>1</v>
      </c>
      <c r="X2024">
        <v>3.6997106479999999</v>
      </c>
      <c r="Y2024" t="s">
        <v>8176</v>
      </c>
      <c r="Z2024" t="s">
        <v>9403</v>
      </c>
      <c r="AA2024" t="s">
        <v>8179</v>
      </c>
      <c r="AB2024" t="s">
        <v>1278</v>
      </c>
      <c r="AC2024" t="s">
        <v>9404</v>
      </c>
      <c r="AD2024" t="s">
        <v>2708</v>
      </c>
      <c r="AE2024">
        <v>1</v>
      </c>
      <c r="AH2024" t="s">
        <v>33</v>
      </c>
      <c r="AI2024" s="8">
        <v>45950.493090277778</v>
      </c>
      <c r="AK2024" t="s">
        <v>2719</v>
      </c>
      <c r="AL2024" t="s">
        <v>18</v>
      </c>
      <c r="AO2024" t="s">
        <v>4137</v>
      </c>
      <c r="AP2024" t="s">
        <v>2401</v>
      </c>
    </row>
    <row r="2025" spans="1:42">
      <c r="A2025" t="s">
        <v>3641</v>
      </c>
      <c r="B2025" t="s">
        <v>2377</v>
      </c>
      <c r="C2025" t="s">
        <v>2390</v>
      </c>
      <c r="D2025" t="s">
        <v>2379</v>
      </c>
      <c r="E2025" t="s">
        <v>24</v>
      </c>
      <c r="F2025" t="s">
        <v>2588</v>
      </c>
      <c r="G2025" t="s">
        <v>24</v>
      </c>
      <c r="H2025" t="b">
        <v>1</v>
      </c>
      <c r="I2025" s="8">
        <v>45947.433854166666</v>
      </c>
      <c r="J2025" t="s">
        <v>2380</v>
      </c>
      <c r="L2025">
        <v>603616</v>
      </c>
      <c r="M2025" t="s">
        <v>2381</v>
      </c>
      <c r="Q2025" t="s">
        <v>2383</v>
      </c>
      <c r="R2025">
        <v>1</v>
      </c>
      <c r="S2025" t="s">
        <v>2380</v>
      </c>
      <c r="T2025" t="s">
        <v>2383</v>
      </c>
      <c r="U2025" s="8">
        <v>45945.284942129627</v>
      </c>
      <c r="V2025" s="8">
        <v>45947.958333333336</v>
      </c>
      <c r="W2025">
        <v>1</v>
      </c>
      <c r="X2025">
        <v>2.1489120370000001</v>
      </c>
      <c r="Y2025" t="s">
        <v>2579</v>
      </c>
      <c r="Z2025" t="s">
        <v>3642</v>
      </c>
      <c r="AA2025" t="s">
        <v>3643</v>
      </c>
      <c r="AB2025" t="s">
        <v>1278</v>
      </c>
      <c r="AC2025" t="s">
        <v>2414</v>
      </c>
      <c r="AE2025">
        <v>1</v>
      </c>
      <c r="AO2025" t="s">
        <v>3644</v>
      </c>
      <c r="AP2025" t="s">
        <v>2401</v>
      </c>
    </row>
    <row r="2026" spans="1:42">
      <c r="A2026" t="s">
        <v>8135</v>
      </c>
      <c r="B2026" t="s">
        <v>2389</v>
      </c>
      <c r="C2026" t="s">
        <v>2443</v>
      </c>
      <c r="D2026" t="s">
        <v>2443</v>
      </c>
      <c r="E2026" t="s">
        <v>33</v>
      </c>
      <c r="F2026">
        <v>4240</v>
      </c>
      <c r="G2026" t="s">
        <v>33</v>
      </c>
      <c r="H2026" t="b">
        <v>1</v>
      </c>
      <c r="I2026" s="8">
        <v>45953.561967592592</v>
      </c>
      <c r="J2026" t="s">
        <v>2380</v>
      </c>
      <c r="K2026">
        <v>1204221</v>
      </c>
      <c r="L2026">
        <v>604106</v>
      </c>
      <c r="M2026" t="s">
        <v>2381</v>
      </c>
      <c r="P2026" t="s">
        <v>2394</v>
      </c>
      <c r="Q2026" t="s">
        <v>2395</v>
      </c>
      <c r="R2026">
        <v>1</v>
      </c>
      <c r="S2026" t="s">
        <v>2380</v>
      </c>
      <c r="T2026" t="s">
        <v>2383</v>
      </c>
      <c r="U2026" s="8">
        <v>45945.381319444445</v>
      </c>
      <c r="V2026" s="8">
        <v>45950.958333333336</v>
      </c>
      <c r="W2026">
        <v>1</v>
      </c>
      <c r="X2026">
        <v>6.1806481480000004</v>
      </c>
      <c r="Y2026" t="s">
        <v>8134</v>
      </c>
      <c r="Z2026" t="s">
        <v>8136</v>
      </c>
      <c r="AA2026" t="s">
        <v>8137</v>
      </c>
      <c r="AB2026" t="s">
        <v>1278</v>
      </c>
      <c r="AC2026" t="s">
        <v>8138</v>
      </c>
      <c r="AD2026" t="s">
        <v>2708</v>
      </c>
      <c r="AE2026">
        <v>1</v>
      </c>
      <c r="AO2026" t="s">
        <v>4137</v>
      </c>
      <c r="AP2026" t="s">
        <v>2401</v>
      </c>
    </row>
    <row r="2027" spans="1:42">
      <c r="A2027" t="s">
        <v>9638</v>
      </c>
      <c r="B2027" t="s">
        <v>2389</v>
      </c>
      <c r="C2027" t="s">
        <v>2390</v>
      </c>
      <c r="D2027" t="s">
        <v>2379</v>
      </c>
      <c r="E2027" t="s">
        <v>307</v>
      </c>
      <c r="F2027" t="s">
        <v>3570</v>
      </c>
      <c r="G2027" t="s">
        <v>307</v>
      </c>
      <c r="H2027" t="b">
        <v>1</v>
      </c>
      <c r="I2027" s="8">
        <v>45947.423206018517</v>
      </c>
      <c r="J2027" t="s">
        <v>2380</v>
      </c>
      <c r="K2027">
        <v>1203169</v>
      </c>
      <c r="L2027">
        <v>602348</v>
      </c>
      <c r="M2027" t="s">
        <v>2381</v>
      </c>
      <c r="P2027" t="s">
        <v>2394</v>
      </c>
      <c r="Q2027" t="s">
        <v>2383</v>
      </c>
      <c r="R2027">
        <v>1</v>
      </c>
      <c r="S2027" t="s">
        <v>2380</v>
      </c>
      <c r="T2027" t="s">
        <v>2383</v>
      </c>
      <c r="U2027" s="8">
        <v>45945.396886574075</v>
      </c>
      <c r="V2027" s="8">
        <v>45950.958333333336</v>
      </c>
      <c r="W2027">
        <v>1</v>
      </c>
      <c r="X2027">
        <v>2.0263194439999999</v>
      </c>
      <c r="Y2027" t="s">
        <v>3572</v>
      </c>
      <c r="Z2027" t="s">
        <v>9639</v>
      </c>
      <c r="AA2027" t="s">
        <v>8591</v>
      </c>
      <c r="AB2027" t="s">
        <v>1278</v>
      </c>
      <c r="AD2027" t="s">
        <v>2708</v>
      </c>
      <c r="AE2027">
        <v>1</v>
      </c>
      <c r="AO2027" t="s">
        <v>3608</v>
      </c>
      <c r="AP2027" t="s">
        <v>2401</v>
      </c>
    </row>
    <row r="2028" spans="1:42">
      <c r="A2028" t="s">
        <v>3796</v>
      </c>
      <c r="B2028" t="s">
        <v>2377</v>
      </c>
      <c r="C2028" t="s">
        <v>2390</v>
      </c>
      <c r="D2028" t="s">
        <v>2379</v>
      </c>
      <c r="E2028" t="s">
        <v>307</v>
      </c>
      <c r="F2028" t="s">
        <v>3747</v>
      </c>
      <c r="G2028" t="s">
        <v>307</v>
      </c>
      <c r="H2028" t="b">
        <v>1</v>
      </c>
      <c r="I2028" s="8">
        <v>45947.447418981479</v>
      </c>
      <c r="J2028" t="s">
        <v>2380</v>
      </c>
      <c r="L2028">
        <v>601183</v>
      </c>
      <c r="M2028" t="s">
        <v>2381</v>
      </c>
      <c r="P2028" t="s">
        <v>2394</v>
      </c>
      <c r="Q2028" t="s">
        <v>2383</v>
      </c>
      <c r="R2028">
        <v>1</v>
      </c>
      <c r="S2028" t="s">
        <v>2380</v>
      </c>
      <c r="T2028" t="s">
        <v>2383</v>
      </c>
      <c r="U2028" s="8">
        <v>45945.399722222224</v>
      </c>
      <c r="V2028" s="8">
        <v>45950.958333333336</v>
      </c>
      <c r="W2028">
        <v>1</v>
      </c>
      <c r="X2028">
        <v>2.0476967589999999</v>
      </c>
      <c r="Y2028" t="s">
        <v>3748</v>
      </c>
      <c r="Z2028" t="s">
        <v>3797</v>
      </c>
      <c r="AA2028" t="s">
        <v>3798</v>
      </c>
      <c r="AB2028" t="s">
        <v>1278</v>
      </c>
      <c r="AC2028" t="s">
        <v>3787</v>
      </c>
      <c r="AE2028">
        <v>1</v>
      </c>
      <c r="AO2028" t="s">
        <v>2712</v>
      </c>
      <c r="AP2028" t="s">
        <v>2401</v>
      </c>
    </row>
    <row r="2029" spans="1:42">
      <c r="A2029" t="s">
        <v>9337</v>
      </c>
      <c r="B2029" t="s">
        <v>2389</v>
      </c>
      <c r="C2029" t="s">
        <v>2378</v>
      </c>
      <c r="D2029" t="s">
        <v>2379</v>
      </c>
      <c r="E2029" t="s">
        <v>33</v>
      </c>
      <c r="F2029" t="s">
        <v>4112</v>
      </c>
      <c r="G2029" t="s">
        <v>33</v>
      </c>
      <c r="H2029" t="b">
        <v>1</v>
      </c>
      <c r="I2029" s="8">
        <v>45950.494363425925</v>
      </c>
      <c r="J2029" t="s">
        <v>2380</v>
      </c>
      <c r="K2029">
        <v>1203495</v>
      </c>
      <c r="L2029">
        <v>604472</v>
      </c>
      <c r="M2029" t="s">
        <v>2381</v>
      </c>
      <c r="P2029" t="s">
        <v>2394</v>
      </c>
      <c r="Q2029" t="s">
        <v>2395</v>
      </c>
      <c r="R2029">
        <v>1</v>
      </c>
      <c r="S2029" t="s">
        <v>2380</v>
      </c>
      <c r="T2029" t="s">
        <v>2383</v>
      </c>
      <c r="U2029" s="8">
        <v>45945.40384259259</v>
      </c>
      <c r="V2029" s="8">
        <v>45950.958333333336</v>
      </c>
      <c r="W2029">
        <v>1</v>
      </c>
      <c r="X2029">
        <v>3.0905208329999998</v>
      </c>
      <c r="Y2029" t="s">
        <v>3901</v>
      </c>
      <c r="Z2029" t="s">
        <v>9338</v>
      </c>
      <c r="AA2029" t="s">
        <v>8216</v>
      </c>
      <c r="AB2029" t="s">
        <v>1278</v>
      </c>
      <c r="AC2029" t="s">
        <v>9339</v>
      </c>
      <c r="AD2029" t="s">
        <v>2708</v>
      </c>
      <c r="AE2029">
        <v>1</v>
      </c>
      <c r="AF2029">
        <v>2</v>
      </c>
      <c r="AH2029" t="s">
        <v>2723</v>
      </c>
      <c r="AI2029" s="8">
        <v>45950.488518518519</v>
      </c>
      <c r="AK2029" t="s">
        <v>2719</v>
      </c>
      <c r="AL2029" t="s">
        <v>2724</v>
      </c>
      <c r="AO2029" t="s">
        <v>4137</v>
      </c>
      <c r="AP2029" t="s">
        <v>2401</v>
      </c>
    </row>
    <row r="2030" spans="1:42">
      <c r="A2030" t="s">
        <v>6756</v>
      </c>
      <c r="B2030" t="s">
        <v>2389</v>
      </c>
      <c r="C2030" t="s">
        <v>2390</v>
      </c>
      <c r="D2030" t="s">
        <v>2379</v>
      </c>
      <c r="E2030" t="s">
        <v>307</v>
      </c>
      <c r="F2030" t="s">
        <v>2627</v>
      </c>
      <c r="G2030" t="s">
        <v>307</v>
      </c>
      <c r="H2030" t="b">
        <v>1</v>
      </c>
      <c r="I2030" s="8">
        <v>45947.6559837963</v>
      </c>
      <c r="J2030" t="s">
        <v>2380</v>
      </c>
      <c r="K2030">
        <v>1203290</v>
      </c>
      <c r="L2030">
        <v>603952</v>
      </c>
      <c r="M2030" t="s">
        <v>2381</v>
      </c>
      <c r="P2030" t="s">
        <v>2394</v>
      </c>
      <c r="Q2030" t="s">
        <v>2383</v>
      </c>
      <c r="R2030">
        <v>1</v>
      </c>
      <c r="S2030" t="s">
        <v>2380</v>
      </c>
      <c r="T2030" t="s">
        <v>2383</v>
      </c>
      <c r="U2030" s="8">
        <v>45945.404594907406</v>
      </c>
      <c r="V2030" s="8">
        <v>45950.958333333336</v>
      </c>
      <c r="W2030">
        <v>1</v>
      </c>
      <c r="X2030">
        <v>2.2513888889999998</v>
      </c>
      <c r="Y2030" t="s">
        <v>2628</v>
      </c>
      <c r="Z2030" t="s">
        <v>6757</v>
      </c>
      <c r="AA2030" t="s">
        <v>6758</v>
      </c>
      <c r="AB2030" t="s">
        <v>1278</v>
      </c>
      <c r="AD2030" t="s">
        <v>2708</v>
      </c>
      <c r="AE2030">
        <v>1</v>
      </c>
      <c r="AO2030" t="s">
        <v>2388</v>
      </c>
      <c r="AP2030" t="s">
        <v>2401</v>
      </c>
    </row>
    <row r="2031" spans="1:42">
      <c r="A2031" t="s">
        <v>5865</v>
      </c>
      <c r="B2031" t="s">
        <v>2389</v>
      </c>
      <c r="C2031" t="s">
        <v>2378</v>
      </c>
      <c r="D2031" t="s">
        <v>2379</v>
      </c>
      <c r="E2031" t="s">
        <v>307</v>
      </c>
      <c r="F2031" t="s">
        <v>2541</v>
      </c>
      <c r="G2031" t="s">
        <v>307</v>
      </c>
      <c r="H2031" t="b">
        <v>1</v>
      </c>
      <c r="I2031" s="8">
        <v>45950.654444444444</v>
      </c>
      <c r="J2031" t="s">
        <v>2380</v>
      </c>
      <c r="K2031">
        <v>1203670</v>
      </c>
      <c r="L2031">
        <v>608816</v>
      </c>
      <c r="M2031" t="s">
        <v>2381</v>
      </c>
      <c r="P2031" t="s">
        <v>3117</v>
      </c>
      <c r="Q2031" t="s">
        <v>2383</v>
      </c>
      <c r="R2031">
        <v>1</v>
      </c>
      <c r="S2031" t="s">
        <v>2380</v>
      </c>
      <c r="T2031" t="s">
        <v>2383</v>
      </c>
      <c r="U2031" s="8">
        <v>45945.407962962963</v>
      </c>
      <c r="V2031" s="8">
        <v>45951.958333333336</v>
      </c>
      <c r="W2031">
        <v>1</v>
      </c>
      <c r="X2031">
        <v>3.246481481</v>
      </c>
      <c r="Y2031" t="s">
        <v>2542</v>
      </c>
      <c r="Z2031" t="s">
        <v>5866</v>
      </c>
      <c r="AA2031" t="s">
        <v>2568</v>
      </c>
      <c r="AB2031" t="s">
        <v>1278</v>
      </c>
      <c r="AC2031" t="s">
        <v>5867</v>
      </c>
      <c r="AD2031" t="s">
        <v>2708</v>
      </c>
      <c r="AE2031">
        <v>1</v>
      </c>
      <c r="AO2031" t="s">
        <v>2547</v>
      </c>
      <c r="AP2031" t="s">
        <v>2401</v>
      </c>
    </row>
    <row r="2032" spans="1:42">
      <c r="A2032" t="s">
        <v>9001</v>
      </c>
      <c r="B2032" t="s">
        <v>2389</v>
      </c>
      <c r="C2032" t="s">
        <v>2390</v>
      </c>
      <c r="D2032" t="s">
        <v>2379</v>
      </c>
      <c r="E2032" t="s">
        <v>2452</v>
      </c>
      <c r="F2032" t="s">
        <v>2541</v>
      </c>
      <c r="G2032" t="s">
        <v>2452</v>
      </c>
      <c r="H2032" t="b">
        <v>1</v>
      </c>
      <c r="I2032" s="8">
        <v>45947.609050925923</v>
      </c>
      <c r="J2032" t="s">
        <v>2380</v>
      </c>
      <c r="K2032">
        <v>1203228</v>
      </c>
      <c r="L2032">
        <v>608626</v>
      </c>
      <c r="M2032" t="s">
        <v>2381</v>
      </c>
      <c r="P2032" t="s">
        <v>3117</v>
      </c>
      <c r="Q2032" t="s">
        <v>2383</v>
      </c>
      <c r="R2032">
        <v>1</v>
      </c>
      <c r="S2032" t="s">
        <v>2380</v>
      </c>
      <c r="T2032" t="s">
        <v>2383</v>
      </c>
      <c r="U2032" s="8">
        <v>45945.407986111109</v>
      </c>
      <c r="V2032" s="8">
        <v>45950.958333333336</v>
      </c>
      <c r="W2032">
        <v>1</v>
      </c>
      <c r="X2032">
        <v>2.2010648150000001</v>
      </c>
      <c r="Y2032" t="s">
        <v>2542</v>
      </c>
      <c r="Z2032" t="s">
        <v>9002</v>
      </c>
      <c r="AA2032" t="s">
        <v>2551</v>
      </c>
      <c r="AB2032" t="s">
        <v>1278</v>
      </c>
      <c r="AC2032" t="s">
        <v>9003</v>
      </c>
      <c r="AD2032" t="s">
        <v>2708</v>
      </c>
      <c r="AE2032">
        <v>1</v>
      </c>
      <c r="AH2032" t="s">
        <v>33</v>
      </c>
      <c r="AI2032" s="8">
        <v>45947.605520833335</v>
      </c>
      <c r="AK2032" t="s">
        <v>2719</v>
      </c>
      <c r="AL2032" t="s">
        <v>2719</v>
      </c>
      <c r="AO2032" t="s">
        <v>2547</v>
      </c>
      <c r="AP2032" t="s">
        <v>2401</v>
      </c>
    </row>
    <row r="2033" spans="1:42">
      <c r="A2033" t="s">
        <v>6175</v>
      </c>
      <c r="B2033" t="s">
        <v>2389</v>
      </c>
      <c r="C2033" t="s">
        <v>2390</v>
      </c>
      <c r="D2033" t="s">
        <v>2379</v>
      </c>
      <c r="E2033" t="s">
        <v>25</v>
      </c>
      <c r="F2033" t="s">
        <v>2541</v>
      </c>
      <c r="G2033" t="s">
        <v>25</v>
      </c>
      <c r="H2033" t="b">
        <v>1</v>
      </c>
      <c r="I2033" s="8">
        <v>45948.351180555554</v>
      </c>
      <c r="J2033" t="s">
        <v>2380</v>
      </c>
      <c r="K2033">
        <v>1203308</v>
      </c>
      <c r="L2033">
        <v>601096</v>
      </c>
      <c r="M2033" t="s">
        <v>2381</v>
      </c>
      <c r="N2033">
        <v>5</v>
      </c>
      <c r="P2033" t="s">
        <v>3117</v>
      </c>
      <c r="Q2033" t="s">
        <v>2383</v>
      </c>
      <c r="R2033">
        <v>1</v>
      </c>
      <c r="S2033" t="s">
        <v>2380</v>
      </c>
      <c r="T2033" t="s">
        <v>2383</v>
      </c>
      <c r="U2033" s="8">
        <v>45945.407997685186</v>
      </c>
      <c r="V2033" s="8">
        <v>45950.958333333336</v>
      </c>
      <c r="W2033">
        <v>1</v>
      </c>
      <c r="X2033">
        <v>2.9431828699999998</v>
      </c>
      <c r="Y2033" t="s">
        <v>2542</v>
      </c>
      <c r="Z2033" t="s">
        <v>6176</v>
      </c>
      <c r="AA2033" t="s">
        <v>2888</v>
      </c>
      <c r="AB2033" t="s">
        <v>1278</v>
      </c>
      <c r="AC2033" t="s">
        <v>6177</v>
      </c>
      <c r="AD2033" t="s">
        <v>2708</v>
      </c>
      <c r="AE2033">
        <v>1</v>
      </c>
      <c r="AO2033" t="s">
        <v>2547</v>
      </c>
      <c r="AP2033" t="s">
        <v>2401</v>
      </c>
    </row>
    <row r="2034" spans="1:42">
      <c r="A2034" t="s">
        <v>10053</v>
      </c>
      <c r="B2034" t="s">
        <v>2389</v>
      </c>
      <c r="C2034" t="s">
        <v>2390</v>
      </c>
      <c r="D2034" t="s">
        <v>2379</v>
      </c>
      <c r="E2034" t="s">
        <v>2452</v>
      </c>
      <c r="F2034" t="s">
        <v>7743</v>
      </c>
      <c r="G2034" t="s">
        <v>2452</v>
      </c>
      <c r="H2034" t="b">
        <v>1</v>
      </c>
      <c r="I2034" s="8">
        <v>45947.572997685187</v>
      </c>
      <c r="J2034" t="s">
        <v>2380</v>
      </c>
      <c r="L2034">
        <v>602352</v>
      </c>
      <c r="M2034" t="s">
        <v>2381</v>
      </c>
      <c r="P2034" t="s">
        <v>6706</v>
      </c>
      <c r="Q2034" t="s">
        <v>2383</v>
      </c>
      <c r="R2034">
        <v>1</v>
      </c>
      <c r="S2034" t="s">
        <v>2380</v>
      </c>
      <c r="T2034" t="s">
        <v>2383</v>
      </c>
      <c r="U2034" s="8">
        <v>45945.417013888888</v>
      </c>
      <c r="V2034" s="8">
        <v>45952.958333333336</v>
      </c>
      <c r="W2034">
        <v>1</v>
      </c>
      <c r="X2034">
        <v>2.1559837960000001</v>
      </c>
      <c r="Y2034" t="s">
        <v>7744</v>
      </c>
      <c r="Z2034" t="s">
        <v>10054</v>
      </c>
      <c r="AA2034" t="s">
        <v>7747</v>
      </c>
      <c r="AB2034" t="s">
        <v>1278</v>
      </c>
      <c r="AC2034" t="s">
        <v>10055</v>
      </c>
      <c r="AE2034">
        <v>1</v>
      </c>
      <c r="AO2034" t="s">
        <v>2957</v>
      </c>
      <c r="AP2034" t="s">
        <v>2401</v>
      </c>
    </row>
    <row r="2035" spans="1:42">
      <c r="A2035" t="s">
        <v>10056</v>
      </c>
      <c r="B2035" t="s">
        <v>2389</v>
      </c>
      <c r="C2035" t="s">
        <v>2390</v>
      </c>
      <c r="D2035" t="s">
        <v>2379</v>
      </c>
      <c r="E2035" t="s">
        <v>2452</v>
      </c>
      <c r="F2035" t="s">
        <v>7743</v>
      </c>
      <c r="G2035" t="s">
        <v>2452</v>
      </c>
      <c r="H2035" t="b">
        <v>1</v>
      </c>
      <c r="I2035" s="8">
        <v>45947.585474537038</v>
      </c>
      <c r="J2035" t="s">
        <v>2380</v>
      </c>
      <c r="L2035">
        <v>602352</v>
      </c>
      <c r="M2035" t="s">
        <v>2381</v>
      </c>
      <c r="P2035" t="s">
        <v>6706</v>
      </c>
      <c r="Q2035" t="s">
        <v>2383</v>
      </c>
      <c r="R2035">
        <v>1</v>
      </c>
      <c r="S2035" t="s">
        <v>2380</v>
      </c>
      <c r="T2035" t="s">
        <v>2383</v>
      </c>
      <c r="U2035" s="8">
        <v>45945.417013888888</v>
      </c>
      <c r="V2035" s="8">
        <v>45950.958333333336</v>
      </c>
      <c r="W2035">
        <v>1</v>
      </c>
      <c r="X2035">
        <v>2.1684606479999999</v>
      </c>
      <c r="Y2035" t="s">
        <v>7744</v>
      </c>
      <c r="Z2035" t="s">
        <v>10057</v>
      </c>
      <c r="AA2035" t="s">
        <v>7747</v>
      </c>
      <c r="AB2035" t="s">
        <v>1278</v>
      </c>
      <c r="AC2035" t="s">
        <v>10058</v>
      </c>
      <c r="AE2035">
        <v>1</v>
      </c>
      <c r="AO2035" t="s">
        <v>2957</v>
      </c>
      <c r="AP2035" t="s">
        <v>2401</v>
      </c>
    </row>
    <row r="2036" spans="1:42">
      <c r="A2036" t="s">
        <v>8063</v>
      </c>
      <c r="B2036" t="s">
        <v>2389</v>
      </c>
      <c r="C2036" t="s">
        <v>2390</v>
      </c>
      <c r="D2036" t="s">
        <v>2379</v>
      </c>
      <c r="E2036" t="s">
        <v>307</v>
      </c>
      <c r="F2036" t="s">
        <v>2417</v>
      </c>
      <c r="G2036" t="s">
        <v>307</v>
      </c>
      <c r="H2036" t="b">
        <v>1</v>
      </c>
      <c r="I2036" s="8">
        <v>45947.475358796299</v>
      </c>
      <c r="J2036" t="s">
        <v>2380</v>
      </c>
      <c r="K2036">
        <v>1203191</v>
      </c>
      <c r="L2036">
        <v>603050</v>
      </c>
      <c r="M2036" t="s">
        <v>2381</v>
      </c>
      <c r="P2036" t="s">
        <v>2394</v>
      </c>
      <c r="Q2036" t="s">
        <v>2383</v>
      </c>
      <c r="R2036">
        <v>1</v>
      </c>
      <c r="S2036" t="s">
        <v>2380</v>
      </c>
      <c r="T2036" t="s">
        <v>2383</v>
      </c>
      <c r="U2036" s="8">
        <v>45945.421550925923</v>
      </c>
      <c r="V2036" s="8">
        <v>45950.958333333336</v>
      </c>
      <c r="W2036">
        <v>1</v>
      </c>
      <c r="X2036">
        <v>2.05380787</v>
      </c>
      <c r="Y2036" t="s">
        <v>2418</v>
      </c>
      <c r="Z2036" t="s">
        <v>8064</v>
      </c>
      <c r="AA2036" t="s">
        <v>8065</v>
      </c>
      <c r="AB2036" t="s">
        <v>1278</v>
      </c>
      <c r="AD2036" t="s">
        <v>2708</v>
      </c>
      <c r="AE2036">
        <v>1</v>
      </c>
      <c r="AO2036" t="s">
        <v>4121</v>
      </c>
      <c r="AP2036" t="s">
        <v>2401</v>
      </c>
    </row>
    <row r="2037" spans="1:42">
      <c r="A2037" t="s">
        <v>3645</v>
      </c>
      <c r="B2037" t="s">
        <v>2377</v>
      </c>
      <c r="C2037" t="s">
        <v>2415</v>
      </c>
      <c r="D2037" t="s">
        <v>2379</v>
      </c>
      <c r="E2037" t="s">
        <v>12</v>
      </c>
      <c r="F2037" t="s">
        <v>2588</v>
      </c>
      <c r="G2037" t="s">
        <v>12</v>
      </c>
      <c r="H2037" t="b">
        <v>1</v>
      </c>
      <c r="I2037" s="8">
        <v>45946.63685185185</v>
      </c>
      <c r="J2037" t="s">
        <v>2380</v>
      </c>
      <c r="L2037">
        <v>603950</v>
      </c>
      <c r="M2037" t="s">
        <v>2381</v>
      </c>
      <c r="Q2037" t="s">
        <v>2383</v>
      </c>
      <c r="R2037">
        <v>1</v>
      </c>
      <c r="S2037" t="s">
        <v>2380</v>
      </c>
      <c r="T2037" t="s">
        <v>2383</v>
      </c>
      <c r="U2037" s="8">
        <v>45945.433958333335</v>
      </c>
      <c r="V2037" s="8">
        <v>45950.958333333336</v>
      </c>
      <c r="W2037">
        <v>1</v>
      </c>
      <c r="X2037">
        <v>1.2028935190000001</v>
      </c>
      <c r="Y2037" t="s">
        <v>2579</v>
      </c>
      <c r="Z2037" t="s">
        <v>3646</v>
      </c>
      <c r="AA2037" t="s">
        <v>3647</v>
      </c>
      <c r="AB2037" t="s">
        <v>1278</v>
      </c>
      <c r="AC2037" t="s">
        <v>3648</v>
      </c>
      <c r="AE2037">
        <v>1</v>
      </c>
      <c r="AO2037" t="s">
        <v>3644</v>
      </c>
      <c r="AP2037" t="s">
        <v>2401</v>
      </c>
    </row>
    <row r="2038" spans="1:42">
      <c r="A2038" t="s">
        <v>989</v>
      </c>
      <c r="B2038" t="s">
        <v>2377</v>
      </c>
      <c r="C2038" t="s">
        <v>2447</v>
      </c>
      <c r="D2038" t="s">
        <v>2379</v>
      </c>
      <c r="E2038" t="s">
        <v>33</v>
      </c>
      <c r="F2038" t="s">
        <v>3900</v>
      </c>
      <c r="G2038" t="s">
        <v>33</v>
      </c>
      <c r="H2038" t="b">
        <v>1</v>
      </c>
      <c r="I2038" s="8">
        <v>45952.412986111114</v>
      </c>
      <c r="J2038" t="s">
        <v>2380</v>
      </c>
      <c r="L2038">
        <v>609069</v>
      </c>
      <c r="M2038" t="s">
        <v>2381</v>
      </c>
      <c r="Q2038" t="s">
        <v>2383</v>
      </c>
      <c r="R2038">
        <v>1</v>
      </c>
      <c r="S2038" t="s">
        <v>2380</v>
      </c>
      <c r="T2038" t="s">
        <v>2383</v>
      </c>
      <c r="U2038" s="8">
        <v>45945.436076388891</v>
      </c>
      <c r="V2038" s="8">
        <v>45952.958333333336</v>
      </c>
      <c r="W2038">
        <v>1</v>
      </c>
      <c r="X2038">
        <v>4.9769097220000003</v>
      </c>
      <c r="Y2038" t="s">
        <v>3901</v>
      </c>
      <c r="Z2038" t="s">
        <v>9364</v>
      </c>
      <c r="AA2038" t="s">
        <v>3904</v>
      </c>
      <c r="AB2038" t="s">
        <v>1278</v>
      </c>
      <c r="AC2038" t="s">
        <v>9365</v>
      </c>
      <c r="AD2038" t="s">
        <v>2708</v>
      </c>
      <c r="AE2038">
        <v>1</v>
      </c>
      <c r="AF2038">
        <v>2</v>
      </c>
      <c r="AH2038" t="s">
        <v>2723</v>
      </c>
      <c r="AI2038" s="8">
        <v>45952.405162037037</v>
      </c>
      <c r="AK2038" t="s">
        <v>2719</v>
      </c>
      <c r="AL2038" t="s">
        <v>2724</v>
      </c>
      <c r="AO2038" t="s">
        <v>2715</v>
      </c>
      <c r="AP2038" t="s">
        <v>2401</v>
      </c>
    </row>
    <row r="2039" spans="1:42">
      <c r="A2039" t="s">
        <v>8208</v>
      </c>
      <c r="B2039" t="s">
        <v>2389</v>
      </c>
      <c r="C2039" t="s">
        <v>2390</v>
      </c>
      <c r="D2039" t="s">
        <v>2379</v>
      </c>
      <c r="E2039" t="s">
        <v>2601</v>
      </c>
      <c r="F2039" t="s">
        <v>8207</v>
      </c>
      <c r="G2039" t="s">
        <v>2601</v>
      </c>
      <c r="H2039" t="b">
        <v>1</v>
      </c>
      <c r="I2039" s="8">
        <v>45947.60229166667</v>
      </c>
      <c r="J2039" t="s">
        <v>2380</v>
      </c>
      <c r="K2039">
        <v>1203224</v>
      </c>
      <c r="L2039">
        <v>604909</v>
      </c>
      <c r="M2039" t="s">
        <v>2381</v>
      </c>
      <c r="P2039" t="s">
        <v>2394</v>
      </c>
      <c r="Q2039" t="s">
        <v>2395</v>
      </c>
      <c r="R2039">
        <v>1</v>
      </c>
      <c r="S2039" t="s">
        <v>2380</v>
      </c>
      <c r="T2039" t="s">
        <v>2383</v>
      </c>
      <c r="U2039" s="8">
        <v>45945.44327546296</v>
      </c>
      <c r="V2039" s="8">
        <v>45950.958333333336</v>
      </c>
      <c r="W2039">
        <v>1</v>
      </c>
      <c r="X2039">
        <v>2.1590162039999998</v>
      </c>
      <c r="Y2039" t="s">
        <v>1277</v>
      </c>
      <c r="Z2039" t="s">
        <v>8209</v>
      </c>
      <c r="AA2039" t="s">
        <v>8210</v>
      </c>
      <c r="AB2039" t="s">
        <v>1278</v>
      </c>
      <c r="AD2039" t="s">
        <v>2708</v>
      </c>
      <c r="AE2039">
        <v>1</v>
      </c>
      <c r="AO2039" t="s">
        <v>4137</v>
      </c>
      <c r="AP2039" t="s">
        <v>2401</v>
      </c>
    </row>
    <row r="2040" spans="1:42">
      <c r="A2040" t="s">
        <v>8289</v>
      </c>
      <c r="B2040" t="s">
        <v>2389</v>
      </c>
      <c r="C2040" t="s">
        <v>2390</v>
      </c>
      <c r="D2040" t="s">
        <v>2379</v>
      </c>
      <c r="E2040" t="s">
        <v>25</v>
      </c>
      <c r="F2040">
        <v>4240</v>
      </c>
      <c r="G2040" t="s">
        <v>25</v>
      </c>
      <c r="H2040" t="b">
        <v>1</v>
      </c>
      <c r="I2040" s="8">
        <v>45947.538194444445</v>
      </c>
      <c r="J2040" t="s">
        <v>2380</v>
      </c>
      <c r="K2040">
        <v>1203197</v>
      </c>
      <c r="L2040">
        <v>604106</v>
      </c>
      <c r="M2040" t="s">
        <v>2381</v>
      </c>
      <c r="N2040">
        <v>5</v>
      </c>
      <c r="P2040" t="s">
        <v>2394</v>
      </c>
      <c r="Q2040" t="s">
        <v>2395</v>
      </c>
      <c r="R2040">
        <v>1</v>
      </c>
      <c r="S2040" t="s">
        <v>2380</v>
      </c>
      <c r="T2040" t="s">
        <v>2383</v>
      </c>
      <c r="U2040" s="8">
        <v>45945.456030092595</v>
      </c>
      <c r="V2040" s="8">
        <v>45950.958333333336</v>
      </c>
      <c r="W2040">
        <v>1</v>
      </c>
      <c r="X2040">
        <v>2.0821643519999999</v>
      </c>
      <c r="Y2040" t="s">
        <v>8134</v>
      </c>
      <c r="Z2040" t="s">
        <v>8290</v>
      </c>
      <c r="AA2040" t="s">
        <v>8137</v>
      </c>
      <c r="AB2040" t="s">
        <v>1278</v>
      </c>
      <c r="AC2040" t="s">
        <v>8291</v>
      </c>
      <c r="AD2040" t="s">
        <v>2708</v>
      </c>
      <c r="AE2040">
        <v>1</v>
      </c>
      <c r="AO2040" t="s">
        <v>4137</v>
      </c>
      <c r="AP2040" t="s">
        <v>2401</v>
      </c>
    </row>
    <row r="2041" spans="1:42">
      <c r="A2041" t="s">
        <v>8292</v>
      </c>
      <c r="B2041" t="s">
        <v>2389</v>
      </c>
      <c r="C2041" t="s">
        <v>2390</v>
      </c>
      <c r="D2041" t="s">
        <v>2379</v>
      </c>
      <c r="E2041" t="s">
        <v>25</v>
      </c>
      <c r="F2041">
        <v>4240</v>
      </c>
      <c r="G2041" t="s">
        <v>25</v>
      </c>
      <c r="H2041" t="b">
        <v>1</v>
      </c>
      <c r="I2041" s="8">
        <v>45947.542662037034</v>
      </c>
      <c r="J2041" t="s">
        <v>2380</v>
      </c>
      <c r="K2041">
        <v>1203199</v>
      </c>
      <c r="L2041">
        <v>604106</v>
      </c>
      <c r="M2041" t="s">
        <v>2381</v>
      </c>
      <c r="N2041">
        <v>5</v>
      </c>
      <c r="P2041" t="s">
        <v>2394</v>
      </c>
      <c r="Q2041" t="s">
        <v>2395</v>
      </c>
      <c r="R2041">
        <v>1</v>
      </c>
      <c r="S2041" t="s">
        <v>2380</v>
      </c>
      <c r="T2041" t="s">
        <v>2383</v>
      </c>
      <c r="U2041" s="8">
        <v>45945.458854166667</v>
      </c>
      <c r="V2041" s="8">
        <v>45950.958333333336</v>
      </c>
      <c r="W2041">
        <v>1</v>
      </c>
      <c r="X2041">
        <v>2.0838078699999998</v>
      </c>
      <c r="Y2041" t="s">
        <v>8134</v>
      </c>
      <c r="Z2041" t="s">
        <v>8293</v>
      </c>
      <c r="AA2041" t="s">
        <v>8137</v>
      </c>
      <c r="AB2041" t="s">
        <v>1278</v>
      </c>
      <c r="AC2041" t="s">
        <v>8294</v>
      </c>
      <c r="AD2041" t="s">
        <v>2708</v>
      </c>
      <c r="AE2041">
        <v>1</v>
      </c>
      <c r="AO2041" t="s">
        <v>4137</v>
      </c>
      <c r="AP2041" t="s">
        <v>2401</v>
      </c>
    </row>
    <row r="2042" spans="1:42">
      <c r="A2042" t="s">
        <v>9937</v>
      </c>
      <c r="B2042" t="s">
        <v>2377</v>
      </c>
      <c r="C2042" t="s">
        <v>2390</v>
      </c>
      <c r="D2042" t="s">
        <v>2379</v>
      </c>
      <c r="E2042" t="s">
        <v>24</v>
      </c>
      <c r="F2042" t="s">
        <v>4141</v>
      </c>
      <c r="G2042" t="s">
        <v>24</v>
      </c>
      <c r="H2042" t="b">
        <v>1</v>
      </c>
      <c r="I2042" s="8">
        <v>45950.452106481483</v>
      </c>
      <c r="J2042" t="s">
        <v>2380</v>
      </c>
      <c r="L2042">
        <v>605256</v>
      </c>
      <c r="M2042" t="s">
        <v>2381</v>
      </c>
      <c r="P2042" t="s">
        <v>2394</v>
      </c>
      <c r="Q2042" t="s">
        <v>2383</v>
      </c>
      <c r="R2042">
        <v>1</v>
      </c>
      <c r="S2042" t="s">
        <v>2380</v>
      </c>
      <c r="T2042" t="s">
        <v>2383</v>
      </c>
      <c r="U2042" s="8">
        <v>45945.461168981485</v>
      </c>
      <c r="V2042" s="8">
        <v>45950.958333333336</v>
      </c>
      <c r="W2042">
        <v>1</v>
      </c>
      <c r="X2042">
        <v>2.9909374999999998</v>
      </c>
      <c r="Y2042" t="s">
        <v>4142</v>
      </c>
      <c r="Z2042" t="s">
        <v>9938</v>
      </c>
      <c r="AA2042" t="s">
        <v>9078</v>
      </c>
      <c r="AB2042" t="s">
        <v>1278</v>
      </c>
      <c r="AC2042" t="s">
        <v>3187</v>
      </c>
      <c r="AE2042">
        <v>1</v>
      </c>
      <c r="AO2042" t="s">
        <v>2957</v>
      </c>
      <c r="AP2042" t="s">
        <v>2401</v>
      </c>
    </row>
    <row r="2043" spans="1:42">
      <c r="A2043" t="s">
        <v>9939</v>
      </c>
      <c r="B2043" t="s">
        <v>2377</v>
      </c>
      <c r="C2043" t="s">
        <v>2390</v>
      </c>
      <c r="D2043" t="s">
        <v>2379</v>
      </c>
      <c r="E2043" t="s">
        <v>24</v>
      </c>
      <c r="F2043" t="s">
        <v>4141</v>
      </c>
      <c r="G2043" t="s">
        <v>24</v>
      </c>
      <c r="H2043" t="b">
        <v>1</v>
      </c>
      <c r="I2043" s="8">
        <v>45950.450983796298</v>
      </c>
      <c r="J2043" t="s">
        <v>2380</v>
      </c>
      <c r="L2043">
        <v>605054</v>
      </c>
      <c r="M2043" t="s">
        <v>2381</v>
      </c>
      <c r="P2043" t="s">
        <v>2394</v>
      </c>
      <c r="Q2043" t="s">
        <v>2383</v>
      </c>
      <c r="R2043">
        <v>1</v>
      </c>
      <c r="S2043" t="s">
        <v>2380</v>
      </c>
      <c r="T2043" t="s">
        <v>2383</v>
      </c>
      <c r="U2043" s="8">
        <v>45945.461828703701</v>
      </c>
      <c r="V2043" s="8">
        <v>45950.958333333336</v>
      </c>
      <c r="W2043">
        <v>1</v>
      </c>
      <c r="X2043">
        <v>2.9891550929999999</v>
      </c>
      <c r="Y2043" t="s">
        <v>4142</v>
      </c>
      <c r="Z2043" t="s">
        <v>9940</v>
      </c>
      <c r="AA2043" t="s">
        <v>7416</v>
      </c>
      <c r="AB2043" t="s">
        <v>1278</v>
      </c>
      <c r="AC2043" t="s">
        <v>3187</v>
      </c>
      <c r="AE2043">
        <v>1</v>
      </c>
      <c r="AO2043" t="s">
        <v>2957</v>
      </c>
      <c r="AP2043" t="s">
        <v>2401</v>
      </c>
    </row>
    <row r="2044" spans="1:42">
      <c r="A2044" t="s">
        <v>9941</v>
      </c>
      <c r="B2044" t="s">
        <v>2377</v>
      </c>
      <c r="C2044" t="s">
        <v>2390</v>
      </c>
      <c r="D2044" t="s">
        <v>2379</v>
      </c>
      <c r="E2044" t="s">
        <v>24</v>
      </c>
      <c r="F2044" t="s">
        <v>4141</v>
      </c>
      <c r="G2044" t="s">
        <v>24</v>
      </c>
      <c r="H2044" t="b">
        <v>1</v>
      </c>
      <c r="I2044" s="8">
        <v>45950.453483796293</v>
      </c>
      <c r="J2044" t="s">
        <v>2380</v>
      </c>
      <c r="L2044">
        <v>605033</v>
      </c>
      <c r="M2044" t="s">
        <v>2381</v>
      </c>
      <c r="P2044" t="s">
        <v>2394</v>
      </c>
      <c r="Q2044" t="s">
        <v>2383</v>
      </c>
      <c r="R2044">
        <v>1</v>
      </c>
      <c r="S2044" t="s">
        <v>2380</v>
      </c>
      <c r="T2044" t="s">
        <v>2383</v>
      </c>
      <c r="U2044" s="8">
        <v>45945.462372685186</v>
      </c>
      <c r="V2044" s="8">
        <v>45950.958333333336</v>
      </c>
      <c r="W2044">
        <v>1</v>
      </c>
      <c r="X2044">
        <v>2.9911111109999999</v>
      </c>
      <c r="Y2044" t="s">
        <v>4142</v>
      </c>
      <c r="Z2044" t="s">
        <v>9942</v>
      </c>
      <c r="AA2044" t="s">
        <v>7413</v>
      </c>
      <c r="AB2044" t="s">
        <v>1278</v>
      </c>
      <c r="AC2044" t="s">
        <v>3187</v>
      </c>
      <c r="AE2044">
        <v>1</v>
      </c>
      <c r="AO2044" t="s">
        <v>2957</v>
      </c>
      <c r="AP2044" t="s">
        <v>2401</v>
      </c>
    </row>
    <row r="2045" spans="1:42">
      <c r="A2045" t="s">
        <v>9943</v>
      </c>
      <c r="B2045" t="s">
        <v>2377</v>
      </c>
      <c r="C2045" t="s">
        <v>2390</v>
      </c>
      <c r="D2045" t="s">
        <v>2379</v>
      </c>
      <c r="E2045" t="s">
        <v>24</v>
      </c>
      <c r="F2045" t="s">
        <v>4141</v>
      </c>
      <c r="G2045" t="s">
        <v>24</v>
      </c>
      <c r="H2045" t="b">
        <v>1</v>
      </c>
      <c r="I2045" s="8">
        <v>45950.454224537039</v>
      </c>
      <c r="J2045" t="s">
        <v>2380</v>
      </c>
      <c r="L2045">
        <v>609881</v>
      </c>
      <c r="M2045" t="s">
        <v>2381</v>
      </c>
      <c r="P2045" t="s">
        <v>2394</v>
      </c>
      <c r="Q2045" t="s">
        <v>2383</v>
      </c>
      <c r="R2045">
        <v>1</v>
      </c>
      <c r="S2045" t="s">
        <v>2380</v>
      </c>
      <c r="T2045" t="s">
        <v>2383</v>
      </c>
      <c r="U2045" s="8">
        <v>45945.462500000001</v>
      </c>
      <c r="V2045" s="8">
        <v>45950.958333333336</v>
      </c>
      <c r="W2045">
        <v>1</v>
      </c>
      <c r="X2045">
        <v>2.9917245370000001</v>
      </c>
      <c r="Y2045" t="s">
        <v>4142</v>
      </c>
      <c r="Z2045" t="s">
        <v>9944</v>
      </c>
      <c r="AA2045" t="s">
        <v>7411</v>
      </c>
      <c r="AB2045" t="s">
        <v>1278</v>
      </c>
      <c r="AC2045" t="s">
        <v>2737</v>
      </c>
      <c r="AE2045">
        <v>1</v>
      </c>
      <c r="AO2045" t="s">
        <v>2957</v>
      </c>
      <c r="AP2045" t="s">
        <v>2401</v>
      </c>
    </row>
    <row r="2046" spans="1:42">
      <c r="A2046" t="s">
        <v>9971</v>
      </c>
      <c r="B2046" t="s">
        <v>2377</v>
      </c>
      <c r="C2046" t="s">
        <v>2390</v>
      </c>
      <c r="D2046" t="s">
        <v>2379</v>
      </c>
      <c r="E2046" t="s">
        <v>307</v>
      </c>
      <c r="F2046" t="s">
        <v>4141</v>
      </c>
      <c r="G2046" t="s">
        <v>307</v>
      </c>
      <c r="H2046" t="b">
        <v>1</v>
      </c>
      <c r="I2046" s="8">
        <v>45947.516631944447</v>
      </c>
      <c r="J2046" t="s">
        <v>2380</v>
      </c>
      <c r="L2046">
        <v>605254</v>
      </c>
      <c r="M2046" t="s">
        <v>2381</v>
      </c>
      <c r="P2046" t="s">
        <v>2394</v>
      </c>
      <c r="Q2046" t="s">
        <v>2383</v>
      </c>
      <c r="R2046">
        <v>1</v>
      </c>
      <c r="S2046" t="s">
        <v>2380</v>
      </c>
      <c r="T2046" t="s">
        <v>2383</v>
      </c>
      <c r="U2046" s="8">
        <v>45945.463148148148</v>
      </c>
      <c r="V2046" s="8">
        <v>45950.958333333336</v>
      </c>
      <c r="W2046">
        <v>1</v>
      </c>
      <c r="X2046">
        <v>2.0534837960000001</v>
      </c>
      <c r="Y2046" t="s">
        <v>4142</v>
      </c>
      <c r="Z2046" t="s">
        <v>9972</v>
      </c>
      <c r="AA2046" t="s">
        <v>9973</v>
      </c>
      <c r="AB2046" t="s">
        <v>1278</v>
      </c>
      <c r="AC2046" t="s">
        <v>3787</v>
      </c>
      <c r="AE2046">
        <v>1</v>
      </c>
      <c r="AO2046" t="s">
        <v>2957</v>
      </c>
      <c r="AP2046" t="s">
        <v>2401</v>
      </c>
    </row>
    <row r="2047" spans="1:42">
      <c r="A2047" t="s">
        <v>2701</v>
      </c>
      <c r="B2047" t="s">
        <v>2389</v>
      </c>
      <c r="C2047" t="s">
        <v>2443</v>
      </c>
      <c r="D2047" t="s">
        <v>2443</v>
      </c>
      <c r="E2047" t="s">
        <v>84</v>
      </c>
      <c r="G2047" t="s">
        <v>84</v>
      </c>
      <c r="H2047" t="b">
        <v>1</v>
      </c>
      <c r="I2047" s="8">
        <v>45955.372673611113</v>
      </c>
      <c r="J2047" t="s">
        <v>2393</v>
      </c>
      <c r="L2047">
        <v>605374</v>
      </c>
      <c r="M2047" t="s">
        <v>2381</v>
      </c>
      <c r="P2047" t="s">
        <v>2394</v>
      </c>
      <c r="Q2047" t="s">
        <v>2383</v>
      </c>
      <c r="R2047">
        <v>1</v>
      </c>
      <c r="S2047" t="s">
        <v>2393</v>
      </c>
      <c r="T2047" t="s">
        <v>2383</v>
      </c>
      <c r="U2047" s="8">
        <v>45945.463217592594</v>
      </c>
      <c r="V2047" s="8">
        <v>45950.958333333336</v>
      </c>
      <c r="W2047">
        <v>1</v>
      </c>
      <c r="X2047">
        <v>7.9094560190000003</v>
      </c>
      <c r="Z2047" t="s">
        <v>2702</v>
      </c>
      <c r="AB2047" t="s">
        <v>1278</v>
      </c>
      <c r="AC2047" t="s">
        <v>2703</v>
      </c>
      <c r="AE2047">
        <v>1</v>
      </c>
    </row>
    <row r="2048" spans="1:42">
      <c r="A2048" t="s">
        <v>6751</v>
      </c>
      <c r="B2048" t="s">
        <v>2389</v>
      </c>
      <c r="C2048" t="s">
        <v>2390</v>
      </c>
      <c r="D2048" t="s">
        <v>2379</v>
      </c>
      <c r="E2048" t="s">
        <v>307</v>
      </c>
      <c r="F2048" t="s">
        <v>2578</v>
      </c>
      <c r="G2048" t="s">
        <v>307</v>
      </c>
      <c r="H2048" t="b">
        <v>1</v>
      </c>
      <c r="I2048" s="8">
        <v>45947.533831018518</v>
      </c>
      <c r="J2048" t="s">
        <v>2380</v>
      </c>
      <c r="K2048">
        <v>1203196</v>
      </c>
      <c r="L2048">
        <v>603444</v>
      </c>
      <c r="M2048" t="s">
        <v>2381</v>
      </c>
      <c r="P2048" t="s">
        <v>2394</v>
      </c>
      <c r="Q2048" t="s">
        <v>2383</v>
      </c>
      <c r="R2048">
        <v>1</v>
      </c>
      <c r="S2048" t="s">
        <v>2380</v>
      </c>
      <c r="T2048" t="s">
        <v>2383</v>
      </c>
      <c r="U2048" s="8">
        <v>45945.464629629627</v>
      </c>
      <c r="V2048" s="8">
        <v>45950.958333333336</v>
      </c>
      <c r="W2048">
        <v>1</v>
      </c>
      <c r="X2048">
        <v>2.0692013889999998</v>
      </c>
      <c r="Y2048" t="s">
        <v>2579</v>
      </c>
      <c r="Z2048" t="s">
        <v>6752</v>
      </c>
      <c r="AA2048" t="s">
        <v>6753</v>
      </c>
      <c r="AB2048" t="s">
        <v>1278</v>
      </c>
      <c r="AD2048" t="s">
        <v>2708</v>
      </c>
      <c r="AE2048">
        <v>1</v>
      </c>
      <c r="AO2048" t="s">
        <v>2388</v>
      </c>
      <c r="AP2048" t="s">
        <v>2401</v>
      </c>
    </row>
    <row r="2049" spans="1:42">
      <c r="A2049" t="s">
        <v>9945</v>
      </c>
      <c r="B2049" t="s">
        <v>2377</v>
      </c>
      <c r="C2049" t="s">
        <v>2390</v>
      </c>
      <c r="D2049" t="s">
        <v>2379</v>
      </c>
      <c r="E2049" t="s">
        <v>24</v>
      </c>
      <c r="F2049" t="s">
        <v>4644</v>
      </c>
      <c r="G2049" t="s">
        <v>24</v>
      </c>
      <c r="H2049" t="b">
        <v>1</v>
      </c>
      <c r="I2049" s="8">
        <v>45950.449849537035</v>
      </c>
      <c r="J2049" t="s">
        <v>2380</v>
      </c>
      <c r="L2049">
        <v>603773</v>
      </c>
      <c r="M2049" t="s">
        <v>2381</v>
      </c>
      <c r="P2049" t="s">
        <v>2427</v>
      </c>
      <c r="Q2049" t="s">
        <v>2383</v>
      </c>
      <c r="R2049">
        <v>1</v>
      </c>
      <c r="S2049" t="s">
        <v>2380</v>
      </c>
      <c r="T2049" t="s">
        <v>2383</v>
      </c>
      <c r="U2049" s="8">
        <v>45945.465509259258</v>
      </c>
      <c r="V2049" s="8">
        <v>45950.958333333336</v>
      </c>
      <c r="W2049">
        <v>1</v>
      </c>
      <c r="X2049">
        <v>2.9843402779999999</v>
      </c>
      <c r="Y2049" t="s">
        <v>3578</v>
      </c>
      <c r="Z2049" t="s">
        <v>9946</v>
      </c>
      <c r="AA2049" t="s">
        <v>4647</v>
      </c>
      <c r="AB2049" t="s">
        <v>1278</v>
      </c>
      <c r="AC2049" t="s">
        <v>3187</v>
      </c>
      <c r="AE2049">
        <v>1</v>
      </c>
      <c r="AO2049" t="s">
        <v>2957</v>
      </c>
      <c r="AP2049" t="s">
        <v>2401</v>
      </c>
    </row>
    <row r="2050" spans="1:42">
      <c r="A2050" t="s">
        <v>5277</v>
      </c>
      <c r="B2050" t="s">
        <v>2389</v>
      </c>
      <c r="C2050" t="s">
        <v>2390</v>
      </c>
      <c r="D2050" t="s">
        <v>2379</v>
      </c>
      <c r="E2050" t="s">
        <v>2601</v>
      </c>
      <c r="F2050" t="s">
        <v>2477</v>
      </c>
      <c r="G2050" t="s">
        <v>2601</v>
      </c>
      <c r="H2050" t="b">
        <v>1</v>
      </c>
      <c r="I2050" s="8">
        <v>45947.550196759257</v>
      </c>
      <c r="J2050" t="s">
        <v>2380</v>
      </c>
      <c r="K2050">
        <v>1203202</v>
      </c>
      <c r="L2050">
        <v>606835</v>
      </c>
      <c r="M2050" t="s">
        <v>2381</v>
      </c>
      <c r="P2050" t="s">
        <v>2394</v>
      </c>
      <c r="Q2050" t="s">
        <v>2383</v>
      </c>
      <c r="R2050">
        <v>1</v>
      </c>
      <c r="S2050" t="s">
        <v>2380</v>
      </c>
      <c r="T2050" t="s">
        <v>2383</v>
      </c>
      <c r="U2050" s="8">
        <v>45945.482233796298</v>
      </c>
      <c r="V2050" s="8">
        <v>45950.958333333336</v>
      </c>
      <c r="W2050">
        <v>1</v>
      </c>
      <c r="X2050">
        <v>2.0679629629999998</v>
      </c>
      <c r="Y2050" t="s">
        <v>2403</v>
      </c>
      <c r="Z2050" t="s">
        <v>5278</v>
      </c>
      <c r="AA2050" t="s">
        <v>5279</v>
      </c>
      <c r="AB2050" t="s">
        <v>1278</v>
      </c>
      <c r="AC2050" t="s">
        <v>5280</v>
      </c>
      <c r="AD2050" t="s">
        <v>2708</v>
      </c>
      <c r="AE2050">
        <v>1</v>
      </c>
      <c r="AO2050" t="s">
        <v>2408</v>
      </c>
      <c r="AP2050" t="s">
        <v>2401</v>
      </c>
    </row>
    <row r="2051" spans="1:42">
      <c r="A2051" t="s">
        <v>5088</v>
      </c>
      <c r="B2051" t="s">
        <v>2389</v>
      </c>
      <c r="C2051" t="s">
        <v>2378</v>
      </c>
      <c r="D2051" t="s">
        <v>2379</v>
      </c>
      <c r="E2051" t="s">
        <v>12</v>
      </c>
      <c r="F2051" t="s">
        <v>5085</v>
      </c>
      <c r="G2051" t="s">
        <v>12</v>
      </c>
      <c r="H2051" t="b">
        <v>1</v>
      </c>
      <c r="I2051" s="8">
        <v>45950.58185185185</v>
      </c>
      <c r="J2051" t="s">
        <v>2380</v>
      </c>
      <c r="K2051">
        <v>1203622</v>
      </c>
      <c r="L2051">
        <v>602945</v>
      </c>
      <c r="M2051" t="s">
        <v>2381</v>
      </c>
      <c r="Q2051" t="s">
        <v>2383</v>
      </c>
      <c r="R2051">
        <v>1</v>
      </c>
      <c r="S2051" t="s">
        <v>2380</v>
      </c>
      <c r="T2051" t="s">
        <v>5086</v>
      </c>
      <c r="U2051" s="8">
        <v>45945.484502314815</v>
      </c>
      <c r="V2051" s="8">
        <v>45950.958333333336</v>
      </c>
      <c r="W2051">
        <v>1</v>
      </c>
      <c r="X2051">
        <v>3.0973495369999999</v>
      </c>
      <c r="Y2051" t="s">
        <v>5087</v>
      </c>
      <c r="Z2051" t="s">
        <v>5089</v>
      </c>
      <c r="AA2051" t="s">
        <v>5090</v>
      </c>
      <c r="AB2051" t="s">
        <v>1278</v>
      </c>
      <c r="AC2051" t="s">
        <v>5091</v>
      </c>
      <c r="AD2051" t="s">
        <v>2708</v>
      </c>
      <c r="AE2051">
        <v>1</v>
      </c>
      <c r="AO2051" t="s">
        <v>2720</v>
      </c>
      <c r="AP2051" t="s">
        <v>2401</v>
      </c>
    </row>
    <row r="2052" spans="1:42">
      <c r="A2052" t="s">
        <v>8278</v>
      </c>
      <c r="B2052" t="s">
        <v>2389</v>
      </c>
      <c r="C2052" t="s">
        <v>2415</v>
      </c>
      <c r="D2052" t="s">
        <v>2379</v>
      </c>
      <c r="E2052" t="s">
        <v>25</v>
      </c>
      <c r="F2052" t="s">
        <v>8207</v>
      </c>
      <c r="G2052" t="s">
        <v>25</v>
      </c>
      <c r="H2052" t="b">
        <v>1</v>
      </c>
      <c r="I2052" s="8">
        <v>45947.500694444447</v>
      </c>
      <c r="J2052" t="s">
        <v>2380</v>
      </c>
      <c r="K2052">
        <v>1203192</v>
      </c>
      <c r="L2052">
        <v>604459</v>
      </c>
      <c r="M2052" t="s">
        <v>2381</v>
      </c>
      <c r="N2052">
        <v>5</v>
      </c>
      <c r="P2052" t="s">
        <v>2394</v>
      </c>
      <c r="Q2052" t="s">
        <v>2395</v>
      </c>
      <c r="R2052">
        <v>1</v>
      </c>
      <c r="S2052" t="s">
        <v>2380</v>
      </c>
      <c r="T2052" t="s">
        <v>2383</v>
      </c>
      <c r="U2052" s="8">
        <v>45945.507685185185</v>
      </c>
      <c r="V2052" s="8">
        <v>45950.958333333336</v>
      </c>
      <c r="W2052">
        <v>1</v>
      </c>
      <c r="X2052">
        <v>1.9930092589999999</v>
      </c>
      <c r="Y2052" t="s">
        <v>1277</v>
      </c>
      <c r="Z2052" t="s">
        <v>8279</v>
      </c>
      <c r="AA2052" t="s">
        <v>8273</v>
      </c>
      <c r="AB2052" t="s">
        <v>1278</v>
      </c>
      <c r="AC2052" t="s">
        <v>8280</v>
      </c>
      <c r="AD2052" t="s">
        <v>2708</v>
      </c>
      <c r="AE2052">
        <v>1</v>
      </c>
      <c r="AO2052" t="s">
        <v>4137</v>
      </c>
      <c r="AP2052" t="s">
        <v>2401</v>
      </c>
    </row>
    <row r="2053" spans="1:42">
      <c r="A2053" t="s">
        <v>6625</v>
      </c>
      <c r="B2053" t="s">
        <v>2389</v>
      </c>
      <c r="C2053" t="s">
        <v>2443</v>
      </c>
      <c r="D2053" t="s">
        <v>2443</v>
      </c>
      <c r="E2053" t="s">
        <v>307</v>
      </c>
      <c r="F2053">
        <v>6397</v>
      </c>
      <c r="H2053" t="b">
        <v>1</v>
      </c>
      <c r="I2053" s="8">
        <v>45952.288321759261</v>
      </c>
      <c r="J2053" t="s">
        <v>2380</v>
      </c>
      <c r="K2053">
        <v>1203696</v>
      </c>
      <c r="L2053">
        <v>609828</v>
      </c>
      <c r="M2053" t="s">
        <v>2381</v>
      </c>
      <c r="P2053" t="s">
        <v>2394</v>
      </c>
      <c r="Q2053" t="s">
        <v>2383</v>
      </c>
      <c r="R2053">
        <v>1</v>
      </c>
      <c r="S2053" t="s">
        <v>2380</v>
      </c>
      <c r="T2053" t="s">
        <v>2383</v>
      </c>
      <c r="U2053" s="8">
        <v>45945.510462962964</v>
      </c>
      <c r="V2053" s="8">
        <v>45951.958333333336</v>
      </c>
      <c r="W2053">
        <v>1</v>
      </c>
      <c r="X2053">
        <v>4.7778587960000003</v>
      </c>
      <c r="Y2053" t="s">
        <v>2607</v>
      </c>
      <c r="Z2053" t="s">
        <v>6626</v>
      </c>
      <c r="AA2053" t="s">
        <v>2610</v>
      </c>
      <c r="AB2053" t="s">
        <v>1278</v>
      </c>
      <c r="AD2053" t="s">
        <v>2708</v>
      </c>
      <c r="AE2053">
        <v>1</v>
      </c>
      <c r="AO2053" t="s">
        <v>2388</v>
      </c>
      <c r="AP2053" t="s">
        <v>2401</v>
      </c>
    </row>
    <row r="2054" spans="1:42">
      <c r="A2054" t="s">
        <v>7047</v>
      </c>
      <c r="B2054" t="s">
        <v>2389</v>
      </c>
      <c r="C2054" t="s">
        <v>2390</v>
      </c>
      <c r="D2054" t="s">
        <v>2379</v>
      </c>
      <c r="E2054" t="s">
        <v>2452</v>
      </c>
      <c r="F2054">
        <v>6397</v>
      </c>
      <c r="G2054" t="s">
        <v>2452</v>
      </c>
      <c r="H2054" t="b">
        <v>1</v>
      </c>
      <c r="I2054" s="8">
        <v>45947.607673611114</v>
      </c>
      <c r="J2054" t="s">
        <v>2380</v>
      </c>
      <c r="K2054">
        <v>1203229</v>
      </c>
      <c r="L2054">
        <v>606290</v>
      </c>
      <c r="M2054" t="s">
        <v>2381</v>
      </c>
      <c r="P2054" t="s">
        <v>2394</v>
      </c>
      <c r="Q2054" t="s">
        <v>2383</v>
      </c>
      <c r="R2054">
        <v>1</v>
      </c>
      <c r="S2054" t="s">
        <v>2380</v>
      </c>
      <c r="T2054" t="s">
        <v>2383</v>
      </c>
      <c r="U2054" s="8">
        <v>45945.52238425926</v>
      </c>
      <c r="V2054" s="8">
        <v>45950.958333333336</v>
      </c>
      <c r="W2054">
        <v>1</v>
      </c>
      <c r="X2054">
        <v>2.0852893520000002</v>
      </c>
      <c r="Y2054" t="s">
        <v>2607</v>
      </c>
      <c r="Z2054" t="s">
        <v>7048</v>
      </c>
      <c r="AA2054" t="s">
        <v>4462</v>
      </c>
      <c r="AB2054" t="s">
        <v>1278</v>
      </c>
      <c r="AC2054" t="s">
        <v>7049</v>
      </c>
      <c r="AD2054" t="s">
        <v>2708</v>
      </c>
      <c r="AE2054">
        <v>1</v>
      </c>
      <c r="AO2054" t="s">
        <v>2388</v>
      </c>
      <c r="AP2054" t="s">
        <v>2401</v>
      </c>
    </row>
    <row r="2055" spans="1:42">
      <c r="A2055" t="s">
        <v>9452</v>
      </c>
      <c r="B2055" t="s">
        <v>2389</v>
      </c>
      <c r="C2055" t="s">
        <v>2415</v>
      </c>
      <c r="D2055" t="s">
        <v>2379</v>
      </c>
      <c r="E2055" t="s">
        <v>2601</v>
      </c>
      <c r="F2055">
        <v>6397</v>
      </c>
      <c r="G2055" t="s">
        <v>2601</v>
      </c>
      <c r="H2055" t="b">
        <v>1</v>
      </c>
      <c r="I2055" s="8">
        <v>45947.405335648145</v>
      </c>
      <c r="J2055" t="s">
        <v>2380</v>
      </c>
      <c r="K2055">
        <v>1203056</v>
      </c>
      <c r="L2055">
        <v>605547</v>
      </c>
      <c r="M2055" t="s">
        <v>2381</v>
      </c>
      <c r="P2055" t="s">
        <v>2394</v>
      </c>
      <c r="Q2055" t="s">
        <v>2383</v>
      </c>
      <c r="R2055">
        <v>1</v>
      </c>
      <c r="S2055" t="s">
        <v>2380</v>
      </c>
      <c r="T2055" t="s">
        <v>2383</v>
      </c>
      <c r="U2055" s="8">
        <v>45945.533576388887</v>
      </c>
      <c r="V2055" s="8">
        <v>45950.958333333336</v>
      </c>
      <c r="W2055">
        <v>1</v>
      </c>
      <c r="X2055">
        <v>1.8717592590000001</v>
      </c>
      <c r="Y2055" t="s">
        <v>2607</v>
      </c>
      <c r="Z2055" t="s">
        <v>9453</v>
      </c>
      <c r="AA2055" t="s">
        <v>9454</v>
      </c>
      <c r="AB2055" t="s">
        <v>1278</v>
      </c>
      <c r="AD2055" t="s">
        <v>2708</v>
      </c>
      <c r="AE2055">
        <v>1</v>
      </c>
      <c r="AO2055" t="s">
        <v>2388</v>
      </c>
      <c r="AP2055" t="s">
        <v>8931</v>
      </c>
    </row>
    <row r="2056" spans="1:42">
      <c r="A2056" t="s">
        <v>2817</v>
      </c>
      <c r="B2056" t="s">
        <v>2389</v>
      </c>
      <c r="C2056" t="s">
        <v>2390</v>
      </c>
      <c r="D2056" t="s">
        <v>2379</v>
      </c>
      <c r="E2056" t="s">
        <v>2452</v>
      </c>
      <c r="F2056" t="s">
        <v>2402</v>
      </c>
      <c r="G2056" t="s">
        <v>2452</v>
      </c>
      <c r="H2056" t="b">
        <v>1</v>
      </c>
      <c r="I2056" s="8">
        <v>45947.608055555553</v>
      </c>
      <c r="J2056" t="s">
        <v>2380</v>
      </c>
      <c r="L2056">
        <v>608027</v>
      </c>
      <c r="M2056" t="s">
        <v>2381</v>
      </c>
      <c r="P2056" t="s">
        <v>2394</v>
      </c>
      <c r="Q2056" t="s">
        <v>2383</v>
      </c>
      <c r="R2056">
        <v>1</v>
      </c>
      <c r="S2056" t="s">
        <v>2380</v>
      </c>
      <c r="T2056" t="s">
        <v>2383</v>
      </c>
      <c r="U2056" s="8">
        <v>45945.538530092592</v>
      </c>
      <c r="V2056" s="8">
        <v>45950.958333333336</v>
      </c>
      <c r="W2056">
        <v>1</v>
      </c>
      <c r="X2056">
        <v>2.0695254630000002</v>
      </c>
      <c r="Y2056" t="s">
        <v>2403</v>
      </c>
      <c r="Z2056" t="s">
        <v>2818</v>
      </c>
      <c r="AA2056" t="s">
        <v>2312</v>
      </c>
      <c r="AB2056" t="s">
        <v>1278</v>
      </c>
      <c r="AC2056" t="s">
        <v>2819</v>
      </c>
      <c r="AE2056">
        <v>1</v>
      </c>
      <c r="AO2056" t="s">
        <v>2408</v>
      </c>
      <c r="AP2056" t="s">
        <v>2401</v>
      </c>
    </row>
    <row r="2057" spans="1:42">
      <c r="A2057" t="s">
        <v>6831</v>
      </c>
      <c r="B2057" t="s">
        <v>2389</v>
      </c>
      <c r="C2057" t="s">
        <v>2415</v>
      </c>
      <c r="D2057" t="s">
        <v>2379</v>
      </c>
      <c r="E2057" t="s">
        <v>2601</v>
      </c>
      <c r="F2057">
        <v>6397</v>
      </c>
      <c r="G2057" t="s">
        <v>2601</v>
      </c>
      <c r="H2057" t="b">
        <v>1</v>
      </c>
      <c r="I2057" s="8">
        <v>45947.40116898148</v>
      </c>
      <c r="J2057" t="s">
        <v>2380</v>
      </c>
      <c r="K2057">
        <v>1203052</v>
      </c>
      <c r="L2057">
        <v>605127</v>
      </c>
      <c r="M2057" t="s">
        <v>2381</v>
      </c>
      <c r="P2057" t="s">
        <v>2394</v>
      </c>
      <c r="Q2057" t="s">
        <v>2383</v>
      </c>
      <c r="R2057">
        <v>1</v>
      </c>
      <c r="S2057" t="s">
        <v>2380</v>
      </c>
      <c r="T2057" t="s">
        <v>2383</v>
      </c>
      <c r="U2057" s="8">
        <v>45945.540717592594</v>
      </c>
      <c r="V2057" s="8">
        <v>45950.958333333336</v>
      </c>
      <c r="W2057">
        <v>1</v>
      </c>
      <c r="X2057">
        <v>1.8604513890000001</v>
      </c>
      <c r="Y2057" t="s">
        <v>2607</v>
      </c>
      <c r="Z2057" t="s">
        <v>6832</v>
      </c>
      <c r="AA2057" t="s">
        <v>6827</v>
      </c>
      <c r="AB2057" t="s">
        <v>1278</v>
      </c>
      <c r="AC2057" t="s">
        <v>6833</v>
      </c>
      <c r="AD2057" t="s">
        <v>2708</v>
      </c>
      <c r="AE2057">
        <v>1</v>
      </c>
      <c r="AO2057" t="s">
        <v>2388</v>
      </c>
      <c r="AP2057" t="s">
        <v>2401</v>
      </c>
    </row>
    <row r="2058" spans="1:42">
      <c r="A2058" t="s">
        <v>8295</v>
      </c>
      <c r="B2058" t="s">
        <v>2389</v>
      </c>
      <c r="C2058" t="s">
        <v>2415</v>
      </c>
      <c r="D2058" t="s">
        <v>2379</v>
      </c>
      <c r="E2058" t="s">
        <v>25</v>
      </c>
      <c r="F2058">
        <v>4240</v>
      </c>
      <c r="G2058" t="s">
        <v>25</v>
      </c>
      <c r="H2058" t="b">
        <v>1</v>
      </c>
      <c r="I2058" s="8">
        <v>45947.540671296294</v>
      </c>
      <c r="J2058" t="s">
        <v>2380</v>
      </c>
      <c r="K2058">
        <v>1203198</v>
      </c>
      <c r="L2058">
        <v>604106</v>
      </c>
      <c r="M2058" t="s">
        <v>2381</v>
      </c>
      <c r="N2058">
        <v>5</v>
      </c>
      <c r="P2058" t="s">
        <v>2394</v>
      </c>
      <c r="Q2058" t="s">
        <v>2395</v>
      </c>
      <c r="R2058">
        <v>1</v>
      </c>
      <c r="S2058" t="s">
        <v>2380</v>
      </c>
      <c r="T2058" t="s">
        <v>2383</v>
      </c>
      <c r="U2058" s="8">
        <v>45945.542986111112</v>
      </c>
      <c r="V2058" s="8">
        <v>45950.958333333336</v>
      </c>
      <c r="W2058">
        <v>1</v>
      </c>
      <c r="X2058">
        <v>1.9976851849999999</v>
      </c>
      <c r="Y2058" t="s">
        <v>8134</v>
      </c>
      <c r="Z2058" t="s">
        <v>8296</v>
      </c>
      <c r="AA2058" t="s">
        <v>8137</v>
      </c>
      <c r="AB2058" t="s">
        <v>1278</v>
      </c>
      <c r="AC2058" t="s">
        <v>8297</v>
      </c>
      <c r="AD2058" t="s">
        <v>2708</v>
      </c>
      <c r="AE2058">
        <v>1</v>
      </c>
      <c r="AO2058" t="s">
        <v>4137</v>
      </c>
      <c r="AP2058" t="s">
        <v>2401</v>
      </c>
    </row>
    <row r="2059" spans="1:42">
      <c r="A2059" t="s">
        <v>3867</v>
      </c>
      <c r="B2059" t="s">
        <v>2389</v>
      </c>
      <c r="C2059" t="s">
        <v>2390</v>
      </c>
      <c r="D2059" t="s">
        <v>2379</v>
      </c>
      <c r="E2059" t="s">
        <v>2452</v>
      </c>
      <c r="F2059" t="s">
        <v>3747</v>
      </c>
      <c r="G2059" t="s">
        <v>2452</v>
      </c>
      <c r="H2059" t="b">
        <v>1</v>
      </c>
      <c r="I2059" s="8">
        <v>45947.615787037037</v>
      </c>
      <c r="J2059" t="s">
        <v>2380</v>
      </c>
      <c r="L2059">
        <v>601299</v>
      </c>
      <c r="M2059" t="s">
        <v>2381</v>
      </c>
      <c r="P2059" t="s">
        <v>2394</v>
      </c>
      <c r="Q2059" t="s">
        <v>2383</v>
      </c>
      <c r="R2059">
        <v>1</v>
      </c>
      <c r="S2059" t="s">
        <v>2380</v>
      </c>
      <c r="T2059" t="s">
        <v>2383</v>
      </c>
      <c r="U2059" s="8">
        <v>45945.563252314816</v>
      </c>
      <c r="V2059" s="8">
        <v>45950.958333333336</v>
      </c>
      <c r="W2059">
        <v>1</v>
      </c>
      <c r="X2059">
        <v>2.0525347219999999</v>
      </c>
      <c r="Y2059" t="s">
        <v>3748</v>
      </c>
      <c r="Z2059" t="s">
        <v>3868</v>
      </c>
      <c r="AA2059" t="s">
        <v>3758</v>
      </c>
      <c r="AB2059" t="s">
        <v>1278</v>
      </c>
      <c r="AC2059" t="s">
        <v>3869</v>
      </c>
      <c r="AE2059">
        <v>1</v>
      </c>
      <c r="AO2059" t="s">
        <v>2712</v>
      </c>
      <c r="AP2059" t="s">
        <v>2401</v>
      </c>
    </row>
    <row r="2060" spans="1:42">
      <c r="A2060" t="s">
        <v>6765</v>
      </c>
      <c r="B2060" t="s">
        <v>2389</v>
      </c>
      <c r="C2060" t="s">
        <v>2390</v>
      </c>
      <c r="D2060" t="s">
        <v>2379</v>
      </c>
      <c r="E2060" t="s">
        <v>307</v>
      </c>
      <c r="F2060">
        <v>4256</v>
      </c>
      <c r="G2060" t="s">
        <v>307</v>
      </c>
      <c r="H2060" t="b">
        <v>1</v>
      </c>
      <c r="I2060" s="8">
        <v>45948.471099537041</v>
      </c>
      <c r="J2060" t="s">
        <v>2380</v>
      </c>
      <c r="K2060">
        <v>1203388</v>
      </c>
      <c r="L2060">
        <v>609727</v>
      </c>
      <c r="M2060" t="s">
        <v>2381</v>
      </c>
      <c r="P2060" t="s">
        <v>2394</v>
      </c>
      <c r="Q2060" t="s">
        <v>2383</v>
      </c>
      <c r="R2060">
        <v>1</v>
      </c>
      <c r="S2060" t="s">
        <v>2380</v>
      </c>
      <c r="T2060" t="s">
        <v>2383</v>
      </c>
      <c r="U2060" s="8">
        <v>45945.568854166668</v>
      </c>
      <c r="V2060" s="8">
        <v>45950.958333333336</v>
      </c>
      <c r="W2060">
        <v>1</v>
      </c>
      <c r="X2060">
        <v>2.9022453700000002</v>
      </c>
      <c r="Y2060" t="s">
        <v>6764</v>
      </c>
      <c r="Z2060" t="s">
        <v>6766</v>
      </c>
      <c r="AA2060" t="s">
        <v>6767</v>
      </c>
      <c r="AB2060" t="s">
        <v>1278</v>
      </c>
      <c r="AD2060" t="s">
        <v>2708</v>
      </c>
      <c r="AE2060">
        <v>1</v>
      </c>
      <c r="AO2060" t="s">
        <v>2388</v>
      </c>
      <c r="AP2060" t="s">
        <v>2401</v>
      </c>
    </row>
    <row r="2061" spans="1:42">
      <c r="A2061" t="s">
        <v>10342</v>
      </c>
      <c r="B2061" t="s">
        <v>2389</v>
      </c>
      <c r="C2061" t="s">
        <v>2390</v>
      </c>
      <c r="D2061" t="s">
        <v>2379</v>
      </c>
      <c r="E2061" t="s">
        <v>2452</v>
      </c>
      <c r="F2061" t="s">
        <v>4112</v>
      </c>
      <c r="G2061" t="s">
        <v>2452</v>
      </c>
      <c r="H2061" t="b">
        <v>1</v>
      </c>
      <c r="I2061" s="8">
        <v>45947.62773148148</v>
      </c>
      <c r="J2061" t="s">
        <v>2380</v>
      </c>
      <c r="L2061">
        <v>603681</v>
      </c>
      <c r="M2061" t="s">
        <v>2381</v>
      </c>
      <c r="P2061" t="s">
        <v>2394</v>
      </c>
      <c r="Q2061" t="s">
        <v>2383</v>
      </c>
      <c r="R2061">
        <v>1</v>
      </c>
      <c r="S2061" t="s">
        <v>2380</v>
      </c>
      <c r="T2061" t="s">
        <v>2383</v>
      </c>
      <c r="U2061" s="8">
        <v>45945.580810185187</v>
      </c>
      <c r="V2061" s="8">
        <v>45950.958333333336</v>
      </c>
      <c r="W2061">
        <v>1</v>
      </c>
      <c r="X2061">
        <v>2.0469212959999998</v>
      </c>
      <c r="Y2061" t="s">
        <v>3901</v>
      </c>
      <c r="Z2061" t="s">
        <v>10343</v>
      </c>
      <c r="AA2061" t="s">
        <v>4975</v>
      </c>
      <c r="AB2061" t="s">
        <v>1278</v>
      </c>
      <c r="AC2061" t="s">
        <v>10344</v>
      </c>
      <c r="AE2061">
        <v>1</v>
      </c>
      <c r="AO2061" t="s">
        <v>2715</v>
      </c>
      <c r="AP2061" t="s">
        <v>2401</v>
      </c>
    </row>
    <row r="2062" spans="1:42">
      <c r="A2062" t="s">
        <v>9406</v>
      </c>
      <c r="B2062" t="s">
        <v>2389</v>
      </c>
      <c r="C2062" t="s">
        <v>2443</v>
      </c>
      <c r="D2062" t="s">
        <v>2443</v>
      </c>
      <c r="E2062" t="s">
        <v>9405</v>
      </c>
      <c r="F2062" t="s">
        <v>2588</v>
      </c>
      <c r="G2062" t="s">
        <v>9405</v>
      </c>
      <c r="H2062" t="b">
        <v>1</v>
      </c>
      <c r="I2062" s="8">
        <v>45947.70722222222</v>
      </c>
      <c r="J2062" t="s">
        <v>2380</v>
      </c>
      <c r="K2062">
        <v>1202544</v>
      </c>
      <c r="L2062">
        <v>602197</v>
      </c>
      <c r="M2062" t="s">
        <v>2381</v>
      </c>
      <c r="Q2062" t="s">
        <v>2383</v>
      </c>
      <c r="R2062">
        <v>1</v>
      </c>
      <c r="S2062" t="s">
        <v>2380</v>
      </c>
      <c r="T2062" t="s">
        <v>2383</v>
      </c>
      <c r="U2062" s="8">
        <v>45898.628784722219</v>
      </c>
      <c r="V2062" s="8">
        <v>45903.958333333336</v>
      </c>
      <c r="W2062">
        <v>1</v>
      </c>
      <c r="X2062">
        <v>35.0784375</v>
      </c>
      <c r="Y2062" t="s">
        <v>2579</v>
      </c>
      <c r="Z2062" t="s">
        <v>9407</v>
      </c>
      <c r="AA2062" t="s">
        <v>8804</v>
      </c>
      <c r="AB2062" t="s">
        <v>1278</v>
      </c>
      <c r="AC2062" t="s">
        <v>9408</v>
      </c>
      <c r="AD2062" t="s">
        <v>2708</v>
      </c>
      <c r="AE2062">
        <v>1</v>
      </c>
      <c r="AH2062" t="s">
        <v>2416</v>
      </c>
      <c r="AI2062" s="8">
        <v>45947.665092592593</v>
      </c>
      <c r="AK2062" t="s">
        <v>2719</v>
      </c>
      <c r="AL2062" t="s">
        <v>18</v>
      </c>
      <c r="AO2062" t="s">
        <v>3644</v>
      </c>
      <c r="AP2062" t="s">
        <v>2401</v>
      </c>
    </row>
    <row r="2063" spans="1:42">
      <c r="A2063" t="s">
        <v>700</v>
      </c>
      <c r="B2063" t="s">
        <v>2377</v>
      </c>
      <c r="C2063" t="s">
        <v>2438</v>
      </c>
      <c r="D2063" t="s">
        <v>2379</v>
      </c>
      <c r="E2063" t="s">
        <v>33</v>
      </c>
      <c r="F2063" t="s">
        <v>3261</v>
      </c>
      <c r="G2063" t="s">
        <v>33</v>
      </c>
      <c r="H2063" t="b">
        <v>1</v>
      </c>
      <c r="I2063" s="8">
        <v>45946.40587962963</v>
      </c>
      <c r="J2063" t="s">
        <v>2380</v>
      </c>
      <c r="L2063">
        <v>603691</v>
      </c>
      <c r="M2063" t="s">
        <v>2381</v>
      </c>
      <c r="Q2063" t="s">
        <v>2383</v>
      </c>
      <c r="R2063">
        <v>1</v>
      </c>
      <c r="S2063" t="s">
        <v>2380</v>
      </c>
      <c r="T2063" t="s">
        <v>2383</v>
      </c>
      <c r="U2063" s="8">
        <v>45945.590821759259</v>
      </c>
      <c r="V2063" s="8">
        <v>45950.958333333336</v>
      </c>
      <c r="W2063">
        <v>1</v>
      </c>
      <c r="X2063">
        <v>0.81505786999999996</v>
      </c>
      <c r="Y2063" t="s">
        <v>3262</v>
      </c>
      <c r="Z2063" t="s">
        <v>9071</v>
      </c>
      <c r="AA2063" t="s">
        <v>7508</v>
      </c>
      <c r="AB2063" t="s">
        <v>1278</v>
      </c>
      <c r="AC2063" t="s">
        <v>9072</v>
      </c>
      <c r="AD2063" t="s">
        <v>2708</v>
      </c>
      <c r="AE2063">
        <v>1</v>
      </c>
      <c r="AH2063" t="s">
        <v>24</v>
      </c>
      <c r="AI2063" s="8">
        <v>45945.698958333334</v>
      </c>
      <c r="AK2063" t="s">
        <v>2719</v>
      </c>
      <c r="AL2063" t="s">
        <v>2719</v>
      </c>
      <c r="AO2063" t="s">
        <v>2957</v>
      </c>
      <c r="AP2063" t="s">
        <v>2401</v>
      </c>
    </row>
    <row r="2064" spans="1:42">
      <c r="A2064" t="s">
        <v>6768</v>
      </c>
      <c r="B2064" t="s">
        <v>2389</v>
      </c>
      <c r="C2064" t="s">
        <v>2390</v>
      </c>
      <c r="D2064" t="s">
        <v>2379</v>
      </c>
      <c r="E2064" t="s">
        <v>307</v>
      </c>
      <c r="F2064">
        <v>4256</v>
      </c>
      <c r="G2064" t="s">
        <v>307</v>
      </c>
      <c r="H2064" t="b">
        <v>1</v>
      </c>
      <c r="I2064" s="8">
        <v>45948.439571759256</v>
      </c>
      <c r="J2064" t="s">
        <v>2380</v>
      </c>
      <c r="K2064">
        <v>1203380</v>
      </c>
      <c r="L2064">
        <v>603071</v>
      </c>
      <c r="M2064" t="s">
        <v>2381</v>
      </c>
      <c r="P2064" t="s">
        <v>2394</v>
      </c>
      <c r="Q2064" t="s">
        <v>2383</v>
      </c>
      <c r="R2064">
        <v>1</v>
      </c>
      <c r="S2064" t="s">
        <v>2380</v>
      </c>
      <c r="T2064" t="s">
        <v>2383</v>
      </c>
      <c r="U2064" s="8">
        <v>45945.593506944446</v>
      </c>
      <c r="V2064" s="8">
        <v>45950.958333333336</v>
      </c>
      <c r="W2064">
        <v>1</v>
      </c>
      <c r="X2064">
        <v>2.8460648150000001</v>
      </c>
      <c r="Y2064" t="s">
        <v>6764</v>
      </c>
      <c r="Z2064" t="s">
        <v>6769</v>
      </c>
      <c r="AA2064" t="s">
        <v>6770</v>
      </c>
      <c r="AB2064" t="s">
        <v>1278</v>
      </c>
      <c r="AD2064" t="s">
        <v>2708</v>
      </c>
      <c r="AE2064">
        <v>1</v>
      </c>
      <c r="AO2064" t="s">
        <v>2388</v>
      </c>
      <c r="AP2064" t="s">
        <v>2401</v>
      </c>
    </row>
    <row r="2065" spans="1:42">
      <c r="A2065" t="s">
        <v>2899</v>
      </c>
      <c r="B2065" t="s">
        <v>2389</v>
      </c>
      <c r="C2065" t="s">
        <v>2415</v>
      </c>
      <c r="D2065" t="s">
        <v>2379</v>
      </c>
      <c r="E2065" t="s">
        <v>307</v>
      </c>
      <c r="F2065" t="s">
        <v>2541</v>
      </c>
      <c r="G2065" t="s">
        <v>307</v>
      </c>
      <c r="H2065" t="b">
        <v>1</v>
      </c>
      <c r="I2065" s="8">
        <v>45947.491631944446</v>
      </c>
      <c r="J2065" t="s">
        <v>2380</v>
      </c>
      <c r="L2065">
        <v>601096</v>
      </c>
      <c r="M2065" t="s">
        <v>2381</v>
      </c>
      <c r="Q2065" t="s">
        <v>2383</v>
      </c>
      <c r="R2065">
        <v>1</v>
      </c>
      <c r="S2065" t="s">
        <v>2380</v>
      </c>
      <c r="T2065" t="s">
        <v>2383</v>
      </c>
      <c r="U2065" s="8">
        <v>45945.599722222221</v>
      </c>
      <c r="V2065" s="8">
        <v>45950.958333333336</v>
      </c>
      <c r="W2065">
        <v>1</v>
      </c>
      <c r="X2065">
        <v>1.8919097220000001</v>
      </c>
      <c r="Y2065" t="s">
        <v>2542</v>
      </c>
      <c r="Z2065" t="s">
        <v>2900</v>
      </c>
      <c r="AA2065" t="s">
        <v>2888</v>
      </c>
      <c r="AB2065" t="s">
        <v>1278</v>
      </c>
      <c r="AC2065" t="s">
        <v>2901</v>
      </c>
      <c r="AE2065">
        <v>1</v>
      </c>
      <c r="AO2065" t="s">
        <v>2547</v>
      </c>
      <c r="AP2065" t="s">
        <v>2401</v>
      </c>
    </row>
    <row r="2066" spans="1:42">
      <c r="A2066" t="s">
        <v>6754</v>
      </c>
      <c r="B2066" t="s">
        <v>2389</v>
      </c>
      <c r="C2066" t="s">
        <v>2390</v>
      </c>
      <c r="D2066" t="s">
        <v>2379</v>
      </c>
      <c r="E2066" t="s">
        <v>307</v>
      </c>
      <c r="F2066">
        <v>6343</v>
      </c>
      <c r="G2066" t="s">
        <v>307</v>
      </c>
      <c r="H2066" t="b">
        <v>1</v>
      </c>
      <c r="I2066" s="8">
        <v>45948.539907407408</v>
      </c>
      <c r="J2066" t="s">
        <v>2380</v>
      </c>
      <c r="K2066">
        <v>1203409</v>
      </c>
      <c r="L2066">
        <v>602129</v>
      </c>
      <c r="M2066" t="s">
        <v>2381</v>
      </c>
      <c r="P2066" t="s">
        <v>2394</v>
      </c>
      <c r="Q2066" t="s">
        <v>2383</v>
      </c>
      <c r="R2066">
        <v>1</v>
      </c>
      <c r="S2066" t="s">
        <v>2380</v>
      </c>
      <c r="T2066" t="s">
        <v>2383</v>
      </c>
      <c r="U2066" s="8">
        <v>45945.611724537041</v>
      </c>
      <c r="V2066" s="8">
        <v>45950.958333333336</v>
      </c>
      <c r="W2066">
        <v>1</v>
      </c>
      <c r="X2066">
        <v>2.9281828700000001</v>
      </c>
      <c r="Y2066" t="s">
        <v>2662</v>
      </c>
      <c r="Z2066" t="s">
        <v>6755</v>
      </c>
      <c r="AA2066" t="s">
        <v>2665</v>
      </c>
      <c r="AB2066" t="s">
        <v>1278</v>
      </c>
      <c r="AD2066" t="s">
        <v>2708</v>
      </c>
      <c r="AE2066">
        <v>1</v>
      </c>
      <c r="AO2066" t="s">
        <v>2388</v>
      </c>
      <c r="AP2066" t="s">
        <v>2401</v>
      </c>
    </row>
    <row r="2067" spans="1:42">
      <c r="A2067" t="s">
        <v>3366</v>
      </c>
      <c r="B2067" t="s">
        <v>2389</v>
      </c>
      <c r="C2067" t="s">
        <v>2691</v>
      </c>
      <c r="D2067" t="s">
        <v>2379</v>
      </c>
      <c r="E2067" t="s">
        <v>2452</v>
      </c>
      <c r="F2067" t="s">
        <v>2578</v>
      </c>
      <c r="G2067" t="s">
        <v>2452</v>
      </c>
      <c r="H2067" t="b">
        <v>1</v>
      </c>
      <c r="I2067" s="8">
        <v>45953.682835648149</v>
      </c>
      <c r="J2067" t="s">
        <v>2380</v>
      </c>
      <c r="L2067">
        <v>606871</v>
      </c>
      <c r="M2067" t="s">
        <v>2381</v>
      </c>
      <c r="P2067" t="s">
        <v>2394</v>
      </c>
      <c r="Q2067" t="s">
        <v>2383</v>
      </c>
      <c r="R2067">
        <v>1</v>
      </c>
      <c r="S2067" t="s">
        <v>2380</v>
      </c>
      <c r="T2067" t="s">
        <v>2383</v>
      </c>
      <c r="U2067" s="8">
        <v>45945.614537037036</v>
      </c>
      <c r="V2067" s="8">
        <v>45953.958333333336</v>
      </c>
      <c r="W2067">
        <v>1</v>
      </c>
      <c r="X2067">
        <v>6.0682986110000003</v>
      </c>
      <c r="Y2067" t="s">
        <v>2579</v>
      </c>
      <c r="Z2067" t="s">
        <v>3367</v>
      </c>
      <c r="AA2067" t="s">
        <v>3283</v>
      </c>
      <c r="AB2067" t="s">
        <v>1278</v>
      </c>
      <c r="AC2067" t="s">
        <v>3368</v>
      </c>
      <c r="AE2067">
        <v>1</v>
      </c>
      <c r="AO2067" t="s">
        <v>2388</v>
      </c>
      <c r="AP2067" t="s">
        <v>2401</v>
      </c>
    </row>
    <row r="2068" spans="1:42">
      <c r="A2068" t="s">
        <v>8281</v>
      </c>
      <c r="B2068" t="s">
        <v>2389</v>
      </c>
      <c r="C2068" t="s">
        <v>2415</v>
      </c>
      <c r="D2068" t="s">
        <v>2379</v>
      </c>
      <c r="E2068" t="s">
        <v>25</v>
      </c>
      <c r="F2068" t="s">
        <v>8207</v>
      </c>
      <c r="G2068" t="s">
        <v>25</v>
      </c>
      <c r="H2068" t="b">
        <v>1</v>
      </c>
      <c r="I2068" s="8">
        <v>45947.503935185188</v>
      </c>
      <c r="J2068" t="s">
        <v>2380</v>
      </c>
      <c r="K2068">
        <v>1203193</v>
      </c>
      <c r="L2068">
        <v>604459</v>
      </c>
      <c r="M2068" t="s">
        <v>2381</v>
      </c>
      <c r="N2068">
        <v>5</v>
      </c>
      <c r="P2068" t="s">
        <v>2394</v>
      </c>
      <c r="Q2068" t="s">
        <v>2395</v>
      </c>
      <c r="R2068">
        <v>1</v>
      </c>
      <c r="S2068" t="s">
        <v>2380</v>
      </c>
      <c r="T2068" t="s">
        <v>2383</v>
      </c>
      <c r="U2068" s="8">
        <v>45945.622349537036</v>
      </c>
      <c r="V2068" s="8">
        <v>45950.958333333336</v>
      </c>
      <c r="W2068">
        <v>1</v>
      </c>
      <c r="X2068">
        <v>1.8815856479999999</v>
      </c>
      <c r="Y2068" t="s">
        <v>1277</v>
      </c>
      <c r="Z2068" t="s">
        <v>8282</v>
      </c>
      <c r="AA2068" t="s">
        <v>8273</v>
      </c>
      <c r="AB2068" t="s">
        <v>1278</v>
      </c>
      <c r="AC2068" t="s">
        <v>8283</v>
      </c>
      <c r="AD2068" t="s">
        <v>2708</v>
      </c>
      <c r="AE2068">
        <v>1</v>
      </c>
      <c r="AO2068" t="s">
        <v>4137</v>
      </c>
      <c r="AP2068" t="s">
        <v>2401</v>
      </c>
    </row>
    <row r="2069" spans="1:42">
      <c r="A2069" t="s">
        <v>8298</v>
      </c>
      <c r="B2069" t="s">
        <v>2389</v>
      </c>
      <c r="C2069" t="s">
        <v>2415</v>
      </c>
      <c r="D2069" t="s">
        <v>2379</v>
      </c>
      <c r="E2069" t="s">
        <v>25</v>
      </c>
      <c r="F2069">
        <v>4240</v>
      </c>
      <c r="G2069" t="s">
        <v>25</v>
      </c>
      <c r="H2069" t="b">
        <v>1</v>
      </c>
      <c r="I2069" s="8">
        <v>45947.546956018516</v>
      </c>
      <c r="J2069" t="s">
        <v>2380</v>
      </c>
      <c r="K2069">
        <v>1203201</v>
      </c>
      <c r="L2069">
        <v>604106</v>
      </c>
      <c r="M2069" t="s">
        <v>2381</v>
      </c>
      <c r="N2069">
        <v>5</v>
      </c>
      <c r="P2069" t="s">
        <v>2394</v>
      </c>
      <c r="Q2069" t="s">
        <v>2395</v>
      </c>
      <c r="R2069">
        <v>1</v>
      </c>
      <c r="S2069" t="s">
        <v>2380</v>
      </c>
      <c r="T2069" t="s">
        <v>2383</v>
      </c>
      <c r="U2069" s="8">
        <v>45945.625300925924</v>
      </c>
      <c r="V2069" s="8">
        <v>45950.958333333336</v>
      </c>
      <c r="W2069">
        <v>1</v>
      </c>
      <c r="X2069">
        <v>1.921655093</v>
      </c>
      <c r="Y2069" t="s">
        <v>8134</v>
      </c>
      <c r="Z2069" t="s">
        <v>8299</v>
      </c>
      <c r="AA2069" t="s">
        <v>8137</v>
      </c>
      <c r="AB2069" t="s">
        <v>1278</v>
      </c>
      <c r="AC2069" t="s">
        <v>8300</v>
      </c>
      <c r="AD2069" t="s">
        <v>2708</v>
      </c>
      <c r="AE2069">
        <v>1</v>
      </c>
      <c r="AO2069" t="s">
        <v>4137</v>
      </c>
      <c r="AP2069" t="s">
        <v>2401</v>
      </c>
    </row>
    <row r="2070" spans="1:42">
      <c r="A2070" t="s">
        <v>6939</v>
      </c>
      <c r="B2070" t="s">
        <v>2389</v>
      </c>
      <c r="C2070" t="s">
        <v>2390</v>
      </c>
      <c r="D2070" t="s">
        <v>2379</v>
      </c>
      <c r="E2070" t="s">
        <v>2452</v>
      </c>
      <c r="F2070" t="s">
        <v>2578</v>
      </c>
      <c r="G2070" t="s">
        <v>2452</v>
      </c>
      <c r="H2070" t="b">
        <v>1</v>
      </c>
      <c r="I2070" s="8">
        <v>45947.664131944446</v>
      </c>
      <c r="J2070" t="s">
        <v>2380</v>
      </c>
      <c r="K2070">
        <v>1203294</v>
      </c>
      <c r="L2070">
        <v>606871</v>
      </c>
      <c r="M2070" t="s">
        <v>2381</v>
      </c>
      <c r="P2070" t="s">
        <v>2394</v>
      </c>
      <c r="Q2070" t="s">
        <v>2383</v>
      </c>
      <c r="R2070">
        <v>1</v>
      </c>
      <c r="S2070" t="s">
        <v>2380</v>
      </c>
      <c r="T2070" t="s">
        <v>2383</v>
      </c>
      <c r="U2070" s="8">
        <v>45945.625844907408</v>
      </c>
      <c r="V2070" s="8">
        <v>45950.958333333336</v>
      </c>
      <c r="W2070">
        <v>1</v>
      </c>
      <c r="X2070">
        <v>2.0382870369999999</v>
      </c>
      <c r="Y2070" t="s">
        <v>2579</v>
      </c>
      <c r="Z2070" t="s">
        <v>6940</v>
      </c>
      <c r="AA2070" t="s">
        <v>3283</v>
      </c>
      <c r="AB2070" t="s">
        <v>1278</v>
      </c>
      <c r="AC2070" t="s">
        <v>6941</v>
      </c>
      <c r="AD2070" t="s">
        <v>2708</v>
      </c>
      <c r="AE2070">
        <v>1</v>
      </c>
      <c r="AO2070" t="s">
        <v>2388</v>
      </c>
      <c r="AP2070" t="s">
        <v>2401</v>
      </c>
    </row>
    <row r="2071" spans="1:42">
      <c r="A2071" t="s">
        <v>8016</v>
      </c>
      <c r="B2071" t="s">
        <v>2389</v>
      </c>
      <c r="C2071" t="s">
        <v>2415</v>
      </c>
      <c r="D2071" t="s">
        <v>2379</v>
      </c>
      <c r="E2071" t="s">
        <v>25</v>
      </c>
      <c r="F2071" t="s">
        <v>4697</v>
      </c>
      <c r="G2071" t="s">
        <v>25</v>
      </c>
      <c r="H2071" t="b">
        <v>1</v>
      </c>
      <c r="I2071" s="8">
        <v>45947.584293981483</v>
      </c>
      <c r="J2071" t="s">
        <v>2380</v>
      </c>
      <c r="K2071">
        <v>1203219</v>
      </c>
      <c r="L2071">
        <v>603948</v>
      </c>
      <c r="M2071" t="s">
        <v>2381</v>
      </c>
      <c r="N2071">
        <v>5555</v>
      </c>
      <c r="P2071" t="s">
        <v>2394</v>
      </c>
      <c r="Q2071" t="s">
        <v>2383</v>
      </c>
      <c r="R2071">
        <v>1</v>
      </c>
      <c r="S2071" t="s">
        <v>2380</v>
      </c>
      <c r="T2071" t="s">
        <v>2383</v>
      </c>
      <c r="U2071" s="8">
        <v>45945.626597222225</v>
      </c>
      <c r="V2071" s="8">
        <v>45950.958333333336</v>
      </c>
      <c r="W2071">
        <v>1</v>
      </c>
      <c r="X2071">
        <v>1.9576967590000001</v>
      </c>
      <c r="Y2071" t="s">
        <v>4698</v>
      </c>
      <c r="Z2071" t="s">
        <v>8017</v>
      </c>
      <c r="AA2071" t="s">
        <v>4701</v>
      </c>
      <c r="AB2071" t="s">
        <v>1278</v>
      </c>
      <c r="AC2071" t="s">
        <v>8018</v>
      </c>
      <c r="AD2071" t="s">
        <v>2708</v>
      </c>
      <c r="AE2071">
        <v>1</v>
      </c>
      <c r="AO2071" t="s">
        <v>2957</v>
      </c>
      <c r="AP2071" t="s">
        <v>2401</v>
      </c>
    </row>
    <row r="2072" spans="1:42">
      <c r="A2072" t="s">
        <v>4132</v>
      </c>
      <c r="B2072" t="s">
        <v>2377</v>
      </c>
      <c r="C2072" t="s">
        <v>2390</v>
      </c>
      <c r="D2072" t="s">
        <v>2379</v>
      </c>
      <c r="E2072" t="s">
        <v>33</v>
      </c>
      <c r="F2072" t="s">
        <v>2588</v>
      </c>
      <c r="G2072" t="s">
        <v>33</v>
      </c>
      <c r="H2072" t="b">
        <v>1</v>
      </c>
      <c r="I2072" s="8">
        <v>45950.494537037041</v>
      </c>
      <c r="J2072" t="s">
        <v>2380</v>
      </c>
      <c r="L2072">
        <v>603616</v>
      </c>
      <c r="M2072" t="s">
        <v>2381</v>
      </c>
      <c r="P2072" t="s">
        <v>2704</v>
      </c>
      <c r="Q2072" t="s">
        <v>2383</v>
      </c>
      <c r="R2072">
        <v>1</v>
      </c>
      <c r="S2072" t="s">
        <v>2380</v>
      </c>
      <c r="T2072" t="s">
        <v>2383</v>
      </c>
      <c r="U2072" s="8">
        <v>45945.613217592596</v>
      </c>
      <c r="V2072" s="8">
        <v>45950.958333333336</v>
      </c>
      <c r="W2072">
        <v>1</v>
      </c>
      <c r="X2072">
        <v>2.8813194439999998</v>
      </c>
      <c r="Y2072" t="s">
        <v>2579</v>
      </c>
      <c r="Z2072" t="s">
        <v>4133</v>
      </c>
      <c r="AA2072" t="s">
        <v>3643</v>
      </c>
      <c r="AB2072" t="s">
        <v>1278</v>
      </c>
      <c r="AC2072" t="s">
        <v>4134</v>
      </c>
      <c r="AE2072">
        <v>1</v>
      </c>
      <c r="AF2072">
        <v>5</v>
      </c>
      <c r="AH2072" t="s">
        <v>2723</v>
      </c>
      <c r="AI2072" s="8">
        <v>45950.493541666663</v>
      </c>
      <c r="AK2072" t="s">
        <v>2719</v>
      </c>
      <c r="AL2072" t="s">
        <v>2724</v>
      </c>
      <c r="AO2072" t="s">
        <v>3644</v>
      </c>
      <c r="AP2072" t="s">
        <v>2401</v>
      </c>
    </row>
    <row r="2073" spans="1:42">
      <c r="A2073" t="s">
        <v>6942</v>
      </c>
      <c r="B2073" t="s">
        <v>2389</v>
      </c>
      <c r="C2073" t="s">
        <v>2390</v>
      </c>
      <c r="D2073" t="s">
        <v>2379</v>
      </c>
      <c r="E2073" t="s">
        <v>2452</v>
      </c>
      <c r="F2073" t="s">
        <v>2578</v>
      </c>
      <c r="G2073" t="s">
        <v>2452</v>
      </c>
      <c r="H2073" t="b">
        <v>1</v>
      </c>
      <c r="I2073" s="8">
        <v>45947.670740740738</v>
      </c>
      <c r="J2073" t="s">
        <v>2380</v>
      </c>
      <c r="K2073">
        <v>1203298</v>
      </c>
      <c r="L2073">
        <v>606871</v>
      </c>
      <c r="M2073" t="s">
        <v>2381</v>
      </c>
      <c r="P2073" t="s">
        <v>2394</v>
      </c>
      <c r="Q2073" t="s">
        <v>2383</v>
      </c>
      <c r="R2073">
        <v>1</v>
      </c>
      <c r="S2073" t="s">
        <v>2380</v>
      </c>
      <c r="T2073" t="s">
        <v>2383</v>
      </c>
      <c r="U2073" s="8">
        <v>45945.62872685185</v>
      </c>
      <c r="V2073" s="8">
        <v>45950.958333333336</v>
      </c>
      <c r="W2073">
        <v>1</v>
      </c>
      <c r="X2073">
        <v>2.0420138890000001</v>
      </c>
      <c r="Y2073" t="s">
        <v>2579</v>
      </c>
      <c r="Z2073" t="s">
        <v>6943</v>
      </c>
      <c r="AA2073" t="s">
        <v>3283</v>
      </c>
      <c r="AB2073" t="s">
        <v>1278</v>
      </c>
      <c r="AC2073" t="s">
        <v>6944</v>
      </c>
      <c r="AD2073" t="s">
        <v>2708</v>
      </c>
      <c r="AE2073">
        <v>1</v>
      </c>
      <c r="AO2073" t="s">
        <v>2388</v>
      </c>
      <c r="AP2073" t="s">
        <v>2401</v>
      </c>
    </row>
    <row r="2074" spans="1:42">
      <c r="A2074" t="s">
        <v>8001</v>
      </c>
      <c r="B2074" t="s">
        <v>2389</v>
      </c>
      <c r="C2074" t="s">
        <v>2415</v>
      </c>
      <c r="D2074" t="s">
        <v>2379</v>
      </c>
      <c r="E2074" t="s">
        <v>25</v>
      </c>
      <c r="F2074" t="s">
        <v>4697</v>
      </c>
      <c r="G2074" t="s">
        <v>25</v>
      </c>
      <c r="H2074" t="b">
        <v>1</v>
      </c>
      <c r="I2074" s="8">
        <v>45947.587870370371</v>
      </c>
      <c r="J2074" t="s">
        <v>2380</v>
      </c>
      <c r="K2074">
        <v>1203222</v>
      </c>
      <c r="L2074">
        <v>603948</v>
      </c>
      <c r="M2074" t="s">
        <v>2381</v>
      </c>
      <c r="N2074">
        <v>5</v>
      </c>
      <c r="P2074" t="s">
        <v>2394</v>
      </c>
      <c r="Q2074" t="s">
        <v>2383</v>
      </c>
      <c r="R2074">
        <v>1</v>
      </c>
      <c r="S2074" t="s">
        <v>2380</v>
      </c>
      <c r="T2074" t="s">
        <v>2383</v>
      </c>
      <c r="U2074" s="8">
        <v>45945.630162037036</v>
      </c>
      <c r="V2074" s="8">
        <v>45950.958333333336</v>
      </c>
      <c r="W2074">
        <v>1</v>
      </c>
      <c r="X2074">
        <v>1.957708333</v>
      </c>
      <c r="Y2074" t="s">
        <v>4698</v>
      </c>
      <c r="Z2074" t="s">
        <v>8002</v>
      </c>
      <c r="AA2074" t="s">
        <v>4701</v>
      </c>
      <c r="AB2074" t="s">
        <v>1278</v>
      </c>
      <c r="AC2074" t="s">
        <v>8003</v>
      </c>
      <c r="AD2074" t="s">
        <v>2708</v>
      </c>
      <c r="AE2074">
        <v>1</v>
      </c>
      <c r="AO2074" t="s">
        <v>2957</v>
      </c>
      <c r="AP2074" t="s">
        <v>2401</v>
      </c>
    </row>
    <row r="2075" spans="1:42">
      <c r="A2075" t="s">
        <v>9512</v>
      </c>
      <c r="B2075" t="s">
        <v>2389</v>
      </c>
      <c r="C2075" t="s">
        <v>2390</v>
      </c>
      <c r="D2075" t="s">
        <v>2379</v>
      </c>
      <c r="E2075" t="s">
        <v>25</v>
      </c>
      <c r="F2075">
        <v>6343</v>
      </c>
      <c r="G2075" t="s">
        <v>25</v>
      </c>
      <c r="H2075" t="b">
        <v>1</v>
      </c>
      <c r="I2075" s="8">
        <v>45947.637187499997</v>
      </c>
      <c r="J2075" t="s">
        <v>2380</v>
      </c>
      <c r="K2075">
        <v>1203204</v>
      </c>
      <c r="L2075">
        <v>605693</v>
      </c>
      <c r="M2075" t="s">
        <v>2381</v>
      </c>
      <c r="N2075">
        <v>5</v>
      </c>
      <c r="P2075" t="s">
        <v>2394</v>
      </c>
      <c r="Q2075" t="s">
        <v>2383</v>
      </c>
      <c r="R2075">
        <v>1</v>
      </c>
      <c r="S2075" t="s">
        <v>2380</v>
      </c>
      <c r="T2075" t="s">
        <v>2383</v>
      </c>
      <c r="U2075" s="8">
        <v>45945.634386574071</v>
      </c>
      <c r="V2075" s="8">
        <v>45950.958333333336</v>
      </c>
      <c r="W2075">
        <v>1</v>
      </c>
      <c r="X2075">
        <v>2.0028009259999999</v>
      </c>
      <c r="Y2075" t="s">
        <v>2662</v>
      </c>
      <c r="Z2075" t="s">
        <v>9513</v>
      </c>
      <c r="AA2075" t="s">
        <v>8934</v>
      </c>
      <c r="AB2075" t="s">
        <v>1278</v>
      </c>
      <c r="AC2075" t="s">
        <v>9514</v>
      </c>
      <c r="AD2075" t="s">
        <v>2708</v>
      </c>
      <c r="AE2075">
        <v>1</v>
      </c>
      <c r="AH2075" t="s">
        <v>24</v>
      </c>
      <c r="AI2075" s="8">
        <v>45947.60800925926</v>
      </c>
      <c r="AK2075" t="s">
        <v>2719</v>
      </c>
      <c r="AL2075" t="s">
        <v>2719</v>
      </c>
      <c r="AO2075" t="s">
        <v>2388</v>
      </c>
      <c r="AP2075" t="s">
        <v>8931</v>
      </c>
    </row>
    <row r="2076" spans="1:42">
      <c r="A2076" t="s">
        <v>7597</v>
      </c>
      <c r="B2076" t="s">
        <v>2389</v>
      </c>
      <c r="C2076" t="s">
        <v>2415</v>
      </c>
      <c r="D2076" t="s">
        <v>2379</v>
      </c>
      <c r="E2076" t="s">
        <v>2601</v>
      </c>
      <c r="F2076" t="s">
        <v>4697</v>
      </c>
      <c r="G2076" t="s">
        <v>2601</v>
      </c>
      <c r="H2076" t="b">
        <v>1</v>
      </c>
      <c r="I2076" s="8">
        <v>45947.608912037038</v>
      </c>
      <c r="J2076" t="s">
        <v>2380</v>
      </c>
      <c r="K2076">
        <v>1203230</v>
      </c>
      <c r="L2076">
        <v>603752</v>
      </c>
      <c r="M2076" t="s">
        <v>2381</v>
      </c>
      <c r="P2076" t="s">
        <v>2394</v>
      </c>
      <c r="Q2076" t="s">
        <v>2383</v>
      </c>
      <c r="R2076">
        <v>1</v>
      </c>
      <c r="S2076" t="s">
        <v>2380</v>
      </c>
      <c r="T2076" t="s">
        <v>2383</v>
      </c>
      <c r="U2076" s="8">
        <v>45945.635104166664</v>
      </c>
      <c r="V2076" s="8">
        <v>45950.958333333336</v>
      </c>
      <c r="W2076">
        <v>1</v>
      </c>
      <c r="X2076">
        <v>1.9738078699999999</v>
      </c>
      <c r="Y2076" t="s">
        <v>4698</v>
      </c>
      <c r="Z2076" t="s">
        <v>7598</v>
      </c>
      <c r="AA2076" t="s">
        <v>4748</v>
      </c>
      <c r="AB2076" t="s">
        <v>1278</v>
      </c>
      <c r="AC2076" t="s">
        <v>7599</v>
      </c>
      <c r="AD2076" t="s">
        <v>2708</v>
      </c>
      <c r="AE2076">
        <v>1</v>
      </c>
      <c r="AO2076" t="s">
        <v>2957</v>
      </c>
      <c r="AP2076" t="s">
        <v>2401</v>
      </c>
    </row>
    <row r="2077" spans="1:42">
      <c r="A2077" t="s">
        <v>3238</v>
      </c>
      <c r="B2077" t="s">
        <v>2389</v>
      </c>
      <c r="C2077" t="s">
        <v>2438</v>
      </c>
      <c r="D2077" t="s">
        <v>2379</v>
      </c>
      <c r="E2077" t="s">
        <v>24</v>
      </c>
      <c r="F2077" t="s">
        <v>2578</v>
      </c>
      <c r="G2077" t="s">
        <v>24</v>
      </c>
      <c r="H2077" t="b">
        <v>1</v>
      </c>
      <c r="I2077" s="8">
        <v>45945.643611111111</v>
      </c>
      <c r="J2077" t="s">
        <v>2380</v>
      </c>
      <c r="L2077">
        <v>606840</v>
      </c>
      <c r="M2077" t="s">
        <v>2381</v>
      </c>
      <c r="Q2077" t="s">
        <v>2383</v>
      </c>
      <c r="R2077">
        <v>1</v>
      </c>
      <c r="S2077" t="s">
        <v>2380</v>
      </c>
      <c r="T2077" t="s">
        <v>2383</v>
      </c>
      <c r="U2077" s="8">
        <v>45945.638877314814</v>
      </c>
      <c r="V2077" s="8">
        <v>45950.958333333336</v>
      </c>
      <c r="W2077">
        <v>1</v>
      </c>
      <c r="X2077">
        <v>4.7337960000000002E-3</v>
      </c>
      <c r="Y2077" t="s">
        <v>2579</v>
      </c>
      <c r="Z2077" t="s">
        <v>3239</v>
      </c>
      <c r="AA2077" t="s">
        <v>3240</v>
      </c>
      <c r="AB2077" t="s">
        <v>1278</v>
      </c>
      <c r="AE2077">
        <v>1</v>
      </c>
      <c r="AO2077" t="s">
        <v>2388</v>
      </c>
      <c r="AP2077" t="s">
        <v>2401</v>
      </c>
    </row>
    <row r="2078" spans="1:42">
      <c r="A2078" t="s">
        <v>8284</v>
      </c>
      <c r="B2078" t="s">
        <v>2389</v>
      </c>
      <c r="C2078" t="s">
        <v>2415</v>
      </c>
      <c r="D2078" t="s">
        <v>2379</v>
      </c>
      <c r="E2078" t="s">
        <v>25</v>
      </c>
      <c r="F2078" t="s">
        <v>8207</v>
      </c>
      <c r="G2078" t="s">
        <v>25</v>
      </c>
      <c r="H2078" t="b">
        <v>1</v>
      </c>
      <c r="I2078" s="8">
        <v>45947.508298611108</v>
      </c>
      <c r="J2078" t="s">
        <v>2380</v>
      </c>
      <c r="K2078">
        <v>1203194</v>
      </c>
      <c r="L2078">
        <v>604459</v>
      </c>
      <c r="M2078" t="s">
        <v>2381</v>
      </c>
      <c r="N2078">
        <v>5</v>
      </c>
      <c r="P2078" t="s">
        <v>2394</v>
      </c>
      <c r="Q2078" t="s">
        <v>2395</v>
      </c>
      <c r="R2078">
        <v>1</v>
      </c>
      <c r="S2078" t="s">
        <v>2380</v>
      </c>
      <c r="T2078" t="s">
        <v>2383</v>
      </c>
      <c r="U2078" s="8">
        <v>45945.644224537034</v>
      </c>
      <c r="V2078" s="8">
        <v>45950.958333333336</v>
      </c>
      <c r="W2078">
        <v>1</v>
      </c>
      <c r="X2078">
        <v>1.8640740739999999</v>
      </c>
      <c r="Y2078" t="s">
        <v>1277</v>
      </c>
      <c r="Z2078" t="s">
        <v>8285</v>
      </c>
      <c r="AA2078" t="s">
        <v>8273</v>
      </c>
      <c r="AB2078" t="s">
        <v>1278</v>
      </c>
      <c r="AD2078" t="s">
        <v>2708</v>
      </c>
      <c r="AE2078">
        <v>1</v>
      </c>
      <c r="AO2078" t="s">
        <v>4137</v>
      </c>
      <c r="AP2078" t="s">
        <v>2401</v>
      </c>
    </row>
    <row r="2079" spans="1:42">
      <c r="A2079" t="s">
        <v>5154</v>
      </c>
      <c r="B2079" t="s">
        <v>2389</v>
      </c>
      <c r="C2079" t="s">
        <v>2390</v>
      </c>
      <c r="D2079" t="s">
        <v>2379</v>
      </c>
      <c r="E2079" t="s">
        <v>12</v>
      </c>
      <c r="F2079" t="s">
        <v>5085</v>
      </c>
      <c r="G2079" t="s">
        <v>12</v>
      </c>
      <c r="H2079" t="b">
        <v>1</v>
      </c>
      <c r="I2079" s="8">
        <v>45950.578657407408</v>
      </c>
      <c r="J2079" t="s">
        <v>2380</v>
      </c>
      <c r="K2079">
        <v>1203620</v>
      </c>
      <c r="L2079">
        <v>602945</v>
      </c>
      <c r="M2079" t="s">
        <v>2381</v>
      </c>
      <c r="P2079" t="s">
        <v>5107</v>
      </c>
      <c r="Q2079" t="s">
        <v>2383</v>
      </c>
      <c r="R2079">
        <v>1</v>
      </c>
      <c r="S2079" t="s">
        <v>2380</v>
      </c>
      <c r="T2079" t="s">
        <v>5117</v>
      </c>
      <c r="U2079" s="8">
        <v>45945.657500000001</v>
      </c>
      <c r="V2079" s="8">
        <v>45950.958333333336</v>
      </c>
      <c r="W2079">
        <v>1</v>
      </c>
      <c r="X2079">
        <v>2.9211574069999999</v>
      </c>
      <c r="Y2079" t="s">
        <v>5087</v>
      </c>
      <c r="Z2079" t="s">
        <v>5155</v>
      </c>
      <c r="AA2079" t="s">
        <v>5090</v>
      </c>
      <c r="AB2079" t="s">
        <v>1278</v>
      </c>
      <c r="AC2079" t="s">
        <v>5156</v>
      </c>
      <c r="AD2079" t="s">
        <v>2708</v>
      </c>
      <c r="AE2079">
        <v>1</v>
      </c>
      <c r="AO2079" t="s">
        <v>2720</v>
      </c>
      <c r="AP2079" t="s">
        <v>2401</v>
      </c>
    </row>
    <row r="2080" spans="1:42">
      <c r="A2080" t="s">
        <v>7717</v>
      </c>
      <c r="B2080" t="s">
        <v>2389</v>
      </c>
      <c r="C2080" t="s">
        <v>2390</v>
      </c>
      <c r="D2080" t="s">
        <v>2379</v>
      </c>
      <c r="E2080" t="s">
        <v>2452</v>
      </c>
      <c r="F2080" t="s">
        <v>3514</v>
      </c>
      <c r="G2080" t="s">
        <v>2452</v>
      </c>
      <c r="H2080" t="b">
        <v>1</v>
      </c>
      <c r="I2080" s="8">
        <v>45948.470810185187</v>
      </c>
      <c r="J2080" t="s">
        <v>2380</v>
      </c>
      <c r="K2080">
        <v>1203387</v>
      </c>
      <c r="L2080">
        <v>603695</v>
      </c>
      <c r="M2080" t="s">
        <v>2381</v>
      </c>
      <c r="P2080" t="s">
        <v>2394</v>
      </c>
      <c r="Q2080" t="s">
        <v>2383</v>
      </c>
      <c r="R2080">
        <v>1</v>
      </c>
      <c r="S2080" t="s">
        <v>2380</v>
      </c>
      <c r="T2080" t="s">
        <v>2383</v>
      </c>
      <c r="U2080" s="8">
        <v>45945.661099537036</v>
      </c>
      <c r="V2080" s="8">
        <v>45950.958333333336</v>
      </c>
      <c r="W2080">
        <v>1</v>
      </c>
      <c r="X2080">
        <v>2.8097106479999998</v>
      </c>
      <c r="Y2080" t="s">
        <v>3515</v>
      </c>
      <c r="Z2080" t="s">
        <v>7718</v>
      </c>
      <c r="AA2080" t="s">
        <v>3518</v>
      </c>
      <c r="AB2080" t="s">
        <v>1278</v>
      </c>
      <c r="AC2080" t="s">
        <v>7719</v>
      </c>
      <c r="AD2080" t="s">
        <v>2708</v>
      </c>
      <c r="AE2080">
        <v>1</v>
      </c>
      <c r="AO2080" t="s">
        <v>2957</v>
      </c>
      <c r="AP2080" t="s">
        <v>2401</v>
      </c>
    </row>
    <row r="2081" spans="1:42">
      <c r="A2081" t="s">
        <v>7720</v>
      </c>
      <c r="B2081" t="s">
        <v>2389</v>
      </c>
      <c r="C2081" t="s">
        <v>2390</v>
      </c>
      <c r="D2081" t="s">
        <v>2379</v>
      </c>
      <c r="E2081" t="s">
        <v>2452</v>
      </c>
      <c r="F2081" t="s">
        <v>3514</v>
      </c>
      <c r="G2081" t="s">
        <v>2452</v>
      </c>
      <c r="H2081" t="b">
        <v>1</v>
      </c>
      <c r="I2081" s="8">
        <v>45948.504895833335</v>
      </c>
      <c r="J2081" t="s">
        <v>2380</v>
      </c>
      <c r="K2081">
        <v>1203401</v>
      </c>
      <c r="L2081">
        <v>603695</v>
      </c>
      <c r="M2081" t="s">
        <v>2381</v>
      </c>
      <c r="P2081" t="s">
        <v>2394</v>
      </c>
      <c r="Q2081" t="s">
        <v>2383</v>
      </c>
      <c r="R2081">
        <v>1</v>
      </c>
      <c r="S2081" t="s">
        <v>2380</v>
      </c>
      <c r="T2081" t="s">
        <v>2383</v>
      </c>
      <c r="U2081" s="8">
        <v>45945.662499999999</v>
      </c>
      <c r="V2081" s="8">
        <v>45950.958333333336</v>
      </c>
      <c r="W2081">
        <v>1</v>
      </c>
      <c r="X2081">
        <v>2.8423958329999999</v>
      </c>
      <c r="Y2081" t="s">
        <v>3515</v>
      </c>
      <c r="Z2081" t="s">
        <v>7721</v>
      </c>
      <c r="AA2081" t="s">
        <v>3518</v>
      </c>
      <c r="AB2081" t="s">
        <v>1278</v>
      </c>
      <c r="AC2081" t="s">
        <v>7722</v>
      </c>
      <c r="AD2081" t="s">
        <v>2708</v>
      </c>
      <c r="AE2081">
        <v>1</v>
      </c>
      <c r="AO2081" t="s">
        <v>2957</v>
      </c>
      <c r="AP2081" t="s">
        <v>2401</v>
      </c>
    </row>
    <row r="2082" spans="1:42">
      <c r="A2082" t="s">
        <v>37</v>
      </c>
      <c r="B2082" t="s">
        <v>2377</v>
      </c>
      <c r="C2082" t="s">
        <v>2438</v>
      </c>
      <c r="D2082" t="s">
        <v>2379</v>
      </c>
      <c r="E2082" t="s">
        <v>28</v>
      </c>
      <c r="F2082" t="s">
        <v>3891</v>
      </c>
      <c r="G2082" t="s">
        <v>28</v>
      </c>
      <c r="H2082" t="b">
        <v>1</v>
      </c>
      <c r="I2082" s="8">
        <v>45945.680034722223</v>
      </c>
      <c r="J2082" t="s">
        <v>2380</v>
      </c>
      <c r="L2082">
        <v>609791</v>
      </c>
      <c r="M2082" t="s">
        <v>2381</v>
      </c>
      <c r="N2082">
        <v>15</v>
      </c>
      <c r="Q2082" t="s">
        <v>2383</v>
      </c>
      <c r="R2082">
        <v>1</v>
      </c>
      <c r="S2082" t="s">
        <v>2380</v>
      </c>
      <c r="T2082" t="s">
        <v>2383</v>
      </c>
      <c r="U2082" s="8">
        <v>45945.669872685183</v>
      </c>
      <c r="V2082" s="8">
        <v>45950.958333333336</v>
      </c>
      <c r="W2082">
        <v>1</v>
      </c>
      <c r="X2082">
        <v>1.0162037000000001E-2</v>
      </c>
      <c r="Y2082" t="s">
        <v>3892</v>
      </c>
      <c r="Z2082" t="s">
        <v>5039</v>
      </c>
      <c r="AA2082" t="s">
        <v>5040</v>
      </c>
      <c r="AB2082" t="s">
        <v>1278</v>
      </c>
      <c r="AC2082" t="s">
        <v>5041</v>
      </c>
      <c r="AD2082" t="s">
        <v>2708</v>
      </c>
      <c r="AE2082">
        <v>1</v>
      </c>
      <c r="AO2082" t="s">
        <v>2715</v>
      </c>
      <c r="AP2082" t="s">
        <v>2401</v>
      </c>
    </row>
    <row r="2083" spans="1:42">
      <c r="A2083" t="s">
        <v>3259</v>
      </c>
      <c r="B2083" t="s">
        <v>2389</v>
      </c>
      <c r="C2083" t="s">
        <v>2415</v>
      </c>
      <c r="D2083" t="s">
        <v>2379</v>
      </c>
      <c r="E2083" t="s">
        <v>24</v>
      </c>
      <c r="F2083" t="s">
        <v>2588</v>
      </c>
      <c r="G2083" t="s">
        <v>24</v>
      </c>
      <c r="H2083" t="b">
        <v>1</v>
      </c>
      <c r="I2083" s="8">
        <v>45947.47215277778</v>
      </c>
      <c r="J2083" t="s">
        <v>2380</v>
      </c>
      <c r="L2083">
        <v>602896</v>
      </c>
      <c r="M2083" t="s">
        <v>2381</v>
      </c>
      <c r="P2083" t="s">
        <v>2394</v>
      </c>
      <c r="Q2083" t="s">
        <v>2383</v>
      </c>
      <c r="R2083">
        <v>1</v>
      </c>
      <c r="S2083" t="s">
        <v>2380</v>
      </c>
      <c r="T2083" t="s">
        <v>2383</v>
      </c>
      <c r="U2083" s="8">
        <v>45945.670972222222</v>
      </c>
      <c r="V2083" s="8">
        <v>45950.958333333336</v>
      </c>
      <c r="W2083">
        <v>1</v>
      </c>
      <c r="X2083">
        <v>1.801180556</v>
      </c>
      <c r="Y2083" t="s">
        <v>2579</v>
      </c>
      <c r="Z2083" t="s">
        <v>3260</v>
      </c>
      <c r="AA2083" t="s">
        <v>1446</v>
      </c>
      <c r="AB2083" t="s">
        <v>1278</v>
      </c>
      <c r="AE2083">
        <v>1</v>
      </c>
      <c r="AO2083" t="s">
        <v>2388</v>
      </c>
      <c r="AP2083" t="s">
        <v>2401</v>
      </c>
    </row>
    <row r="2084" spans="1:42">
      <c r="A2084" t="s">
        <v>4969</v>
      </c>
      <c r="B2084" t="s">
        <v>2389</v>
      </c>
      <c r="C2084" t="s">
        <v>2415</v>
      </c>
      <c r="D2084" t="s">
        <v>2379</v>
      </c>
      <c r="E2084" t="s">
        <v>307</v>
      </c>
      <c r="F2084" t="s">
        <v>3891</v>
      </c>
      <c r="G2084" t="s">
        <v>307</v>
      </c>
      <c r="H2084" t="b">
        <v>1</v>
      </c>
      <c r="I2084" s="8">
        <v>45947.620162037034</v>
      </c>
      <c r="J2084" t="s">
        <v>2380</v>
      </c>
      <c r="K2084">
        <v>1203231</v>
      </c>
      <c r="L2084">
        <v>603914</v>
      </c>
      <c r="M2084" t="s">
        <v>2381</v>
      </c>
      <c r="P2084" t="s">
        <v>2394</v>
      </c>
      <c r="Q2084" t="s">
        <v>2383</v>
      </c>
      <c r="R2084">
        <v>1</v>
      </c>
      <c r="S2084" t="s">
        <v>2380</v>
      </c>
      <c r="T2084" t="s">
        <v>2383</v>
      </c>
      <c r="U2084" s="8">
        <v>45945.671030092592</v>
      </c>
      <c r="V2084" s="8">
        <v>45950.958333333336</v>
      </c>
      <c r="W2084">
        <v>1</v>
      </c>
      <c r="X2084">
        <v>1.9491319439999999</v>
      </c>
      <c r="Y2084" t="s">
        <v>3892</v>
      </c>
      <c r="Z2084" t="s">
        <v>4970</v>
      </c>
      <c r="AA2084" t="s">
        <v>4931</v>
      </c>
      <c r="AB2084" t="s">
        <v>1278</v>
      </c>
      <c r="AD2084" t="s">
        <v>2708</v>
      </c>
      <c r="AE2084">
        <v>1</v>
      </c>
      <c r="AO2084" t="s">
        <v>2715</v>
      </c>
      <c r="AP2084" t="s">
        <v>2401</v>
      </c>
    </row>
    <row r="2085" spans="1:42">
      <c r="A2085" t="s">
        <v>3870</v>
      </c>
      <c r="B2085" t="s">
        <v>2389</v>
      </c>
      <c r="C2085" t="s">
        <v>2390</v>
      </c>
      <c r="D2085" t="s">
        <v>2379</v>
      </c>
      <c r="E2085" t="s">
        <v>2452</v>
      </c>
      <c r="F2085" t="s">
        <v>3747</v>
      </c>
      <c r="G2085" t="s">
        <v>2452</v>
      </c>
      <c r="H2085" t="b">
        <v>1</v>
      </c>
      <c r="I2085" s="8">
        <v>45948.471342592595</v>
      </c>
      <c r="J2085" t="s">
        <v>2380</v>
      </c>
      <c r="L2085">
        <v>601299</v>
      </c>
      <c r="M2085" t="s">
        <v>2381</v>
      </c>
      <c r="P2085" t="s">
        <v>2394</v>
      </c>
      <c r="Q2085" t="s">
        <v>2383</v>
      </c>
      <c r="R2085">
        <v>1</v>
      </c>
      <c r="S2085" t="s">
        <v>2380</v>
      </c>
      <c r="T2085" t="s">
        <v>2383</v>
      </c>
      <c r="U2085" s="8">
        <v>45945.688750000001</v>
      </c>
      <c r="V2085" s="8">
        <v>45950.958333333336</v>
      </c>
      <c r="W2085">
        <v>1</v>
      </c>
      <c r="X2085">
        <v>2.7825925929999999</v>
      </c>
      <c r="Y2085" t="s">
        <v>3748</v>
      </c>
      <c r="Z2085" t="s">
        <v>3871</v>
      </c>
      <c r="AA2085" t="s">
        <v>3758</v>
      </c>
      <c r="AB2085" t="s">
        <v>1278</v>
      </c>
      <c r="AC2085" t="s">
        <v>3872</v>
      </c>
      <c r="AE2085">
        <v>1</v>
      </c>
      <c r="AO2085" t="s">
        <v>2712</v>
      </c>
      <c r="AP2085" t="s">
        <v>2401</v>
      </c>
    </row>
    <row r="2086" spans="1:42">
      <c r="A2086" t="s">
        <v>3873</v>
      </c>
      <c r="B2086" t="s">
        <v>2389</v>
      </c>
      <c r="C2086" t="s">
        <v>2390</v>
      </c>
      <c r="D2086" t="s">
        <v>2379</v>
      </c>
      <c r="E2086" t="s">
        <v>2452</v>
      </c>
      <c r="F2086" t="s">
        <v>3747</v>
      </c>
      <c r="G2086" t="s">
        <v>2452</v>
      </c>
      <c r="H2086" t="b">
        <v>1</v>
      </c>
      <c r="I2086" s="8">
        <v>45948.505370370367</v>
      </c>
      <c r="J2086" t="s">
        <v>2380</v>
      </c>
      <c r="L2086">
        <v>601299</v>
      </c>
      <c r="M2086" t="s">
        <v>2381</v>
      </c>
      <c r="P2086" t="s">
        <v>2394</v>
      </c>
      <c r="Q2086" t="s">
        <v>2383</v>
      </c>
      <c r="R2086">
        <v>1</v>
      </c>
      <c r="S2086" t="s">
        <v>2380</v>
      </c>
      <c r="T2086" t="s">
        <v>2383</v>
      </c>
      <c r="U2086" s="8">
        <v>45945.692939814813</v>
      </c>
      <c r="V2086" s="8">
        <v>45950.958333333336</v>
      </c>
      <c r="W2086">
        <v>1</v>
      </c>
      <c r="X2086">
        <v>2.8124305559999998</v>
      </c>
      <c r="Y2086" t="s">
        <v>3748</v>
      </c>
      <c r="Z2086" t="s">
        <v>3874</v>
      </c>
      <c r="AA2086" t="s">
        <v>3758</v>
      </c>
      <c r="AB2086" t="s">
        <v>1278</v>
      </c>
      <c r="AC2086" t="s">
        <v>3875</v>
      </c>
      <c r="AE2086">
        <v>1</v>
      </c>
      <c r="AO2086" t="s">
        <v>2712</v>
      </c>
      <c r="AP2086" t="s">
        <v>2401</v>
      </c>
    </row>
    <row r="2087" spans="1:42">
      <c r="A2087" t="s">
        <v>8191</v>
      </c>
      <c r="B2087" t="s">
        <v>2389</v>
      </c>
      <c r="C2087" t="s">
        <v>2390</v>
      </c>
      <c r="D2087" t="s">
        <v>2379</v>
      </c>
      <c r="E2087" t="s">
        <v>307</v>
      </c>
      <c r="F2087" t="s">
        <v>2578</v>
      </c>
      <c r="G2087" t="s">
        <v>307</v>
      </c>
      <c r="H2087" t="b">
        <v>1</v>
      </c>
      <c r="I2087" s="8">
        <v>45948.508194444446</v>
      </c>
      <c r="J2087" t="s">
        <v>2380</v>
      </c>
      <c r="K2087">
        <v>1203403</v>
      </c>
      <c r="L2087">
        <v>604253</v>
      </c>
      <c r="M2087" t="s">
        <v>2381</v>
      </c>
      <c r="P2087" t="s">
        <v>2394</v>
      </c>
      <c r="Q2087" t="s">
        <v>2395</v>
      </c>
      <c r="R2087">
        <v>1</v>
      </c>
      <c r="S2087" t="s">
        <v>2380</v>
      </c>
      <c r="T2087" t="s">
        <v>2383</v>
      </c>
      <c r="U2087" s="8">
        <v>45945.701354166667</v>
      </c>
      <c r="V2087" s="8">
        <v>45950.958333333336</v>
      </c>
      <c r="W2087">
        <v>1</v>
      </c>
      <c r="X2087">
        <v>2.8068402780000001</v>
      </c>
      <c r="Y2087" t="s">
        <v>2579</v>
      </c>
      <c r="Z2087" t="s">
        <v>8192</v>
      </c>
      <c r="AA2087" t="s">
        <v>8193</v>
      </c>
      <c r="AB2087" t="s">
        <v>1278</v>
      </c>
      <c r="AD2087" t="s">
        <v>2708</v>
      </c>
      <c r="AE2087">
        <v>1</v>
      </c>
      <c r="AO2087" t="s">
        <v>4137</v>
      </c>
      <c r="AP2087" t="s">
        <v>2401</v>
      </c>
    </row>
    <row r="2088" spans="1:42">
      <c r="A2088" t="s">
        <v>5281</v>
      </c>
      <c r="B2088" t="s">
        <v>2389</v>
      </c>
      <c r="C2088" t="s">
        <v>2415</v>
      </c>
      <c r="D2088" t="s">
        <v>2379</v>
      </c>
      <c r="E2088" t="s">
        <v>2601</v>
      </c>
      <c r="F2088" t="s">
        <v>2402</v>
      </c>
      <c r="G2088" t="s">
        <v>2601</v>
      </c>
      <c r="H2088" t="b">
        <v>1</v>
      </c>
      <c r="I2088" s="8">
        <v>45947.621469907404</v>
      </c>
      <c r="J2088" t="s">
        <v>2380</v>
      </c>
      <c r="K2088">
        <v>1203232</v>
      </c>
      <c r="L2088">
        <v>609766</v>
      </c>
      <c r="M2088" t="s">
        <v>2381</v>
      </c>
      <c r="P2088" t="s">
        <v>2394</v>
      </c>
      <c r="Q2088" t="s">
        <v>2383</v>
      </c>
      <c r="R2088">
        <v>1</v>
      </c>
      <c r="S2088" t="s">
        <v>2380</v>
      </c>
      <c r="T2088" t="s">
        <v>2383</v>
      </c>
      <c r="U2088" s="8">
        <v>45945.702025462961</v>
      </c>
      <c r="V2088" s="8">
        <v>45950.958333333336</v>
      </c>
      <c r="W2088">
        <v>1</v>
      </c>
      <c r="X2088">
        <v>1.919444444</v>
      </c>
      <c r="Y2088" t="s">
        <v>2403</v>
      </c>
      <c r="Z2088" t="s">
        <v>5282</v>
      </c>
      <c r="AA2088" t="s">
        <v>5283</v>
      </c>
      <c r="AB2088" t="s">
        <v>1278</v>
      </c>
      <c r="AC2088" t="s">
        <v>5284</v>
      </c>
      <c r="AD2088" t="s">
        <v>2708</v>
      </c>
      <c r="AE2088">
        <v>1</v>
      </c>
      <c r="AO2088" t="s">
        <v>2408</v>
      </c>
      <c r="AP2088" t="s">
        <v>2401</v>
      </c>
    </row>
    <row r="2089" spans="1:42">
      <c r="A2089" t="s">
        <v>7782</v>
      </c>
      <c r="B2089" t="s">
        <v>2389</v>
      </c>
      <c r="C2089" t="s">
        <v>2390</v>
      </c>
      <c r="D2089" t="s">
        <v>2379</v>
      </c>
      <c r="E2089" t="s">
        <v>2452</v>
      </c>
      <c r="F2089" t="s">
        <v>3613</v>
      </c>
      <c r="G2089" t="s">
        <v>2452</v>
      </c>
      <c r="H2089" t="b">
        <v>1</v>
      </c>
      <c r="I2089" s="8">
        <v>45948.513761574075</v>
      </c>
      <c r="J2089" t="s">
        <v>2380</v>
      </c>
      <c r="K2089">
        <v>1203404</v>
      </c>
      <c r="L2089">
        <v>606814</v>
      </c>
      <c r="M2089" t="s">
        <v>2381</v>
      </c>
      <c r="P2089" t="s">
        <v>2394</v>
      </c>
      <c r="Q2089" t="s">
        <v>2383</v>
      </c>
      <c r="R2089">
        <v>1</v>
      </c>
      <c r="S2089" t="s">
        <v>2380</v>
      </c>
      <c r="T2089" t="s">
        <v>2383</v>
      </c>
      <c r="U2089" s="8">
        <v>45945.706875000003</v>
      </c>
      <c r="V2089" s="8">
        <v>45950.958333333336</v>
      </c>
      <c r="W2089">
        <v>1</v>
      </c>
      <c r="X2089">
        <v>2.806886574</v>
      </c>
      <c r="Y2089" t="s">
        <v>3614</v>
      </c>
      <c r="Z2089" t="s">
        <v>7783</v>
      </c>
      <c r="AA2089" t="s">
        <v>7784</v>
      </c>
      <c r="AB2089" t="s">
        <v>1278</v>
      </c>
      <c r="AC2089" t="s">
        <v>7785</v>
      </c>
      <c r="AD2089" t="s">
        <v>2708</v>
      </c>
      <c r="AE2089">
        <v>1</v>
      </c>
      <c r="AO2089" t="s">
        <v>2957</v>
      </c>
      <c r="AP2089" t="s">
        <v>2401</v>
      </c>
    </row>
    <row r="2090" spans="1:42">
      <c r="A2090" t="s">
        <v>8195</v>
      </c>
      <c r="B2090" t="s">
        <v>2389</v>
      </c>
      <c r="C2090" t="s">
        <v>2390</v>
      </c>
      <c r="D2090" t="s">
        <v>2379</v>
      </c>
      <c r="E2090" t="s">
        <v>307</v>
      </c>
      <c r="F2090">
        <v>4020</v>
      </c>
      <c r="G2090" t="s">
        <v>307</v>
      </c>
      <c r="H2090" t="b">
        <v>1</v>
      </c>
      <c r="I2090" s="8">
        <v>45948.513344907406</v>
      </c>
      <c r="J2090" t="s">
        <v>2380</v>
      </c>
      <c r="K2090">
        <v>1203405</v>
      </c>
      <c r="L2090">
        <v>604047</v>
      </c>
      <c r="M2090" t="s">
        <v>2381</v>
      </c>
      <c r="P2090" t="s">
        <v>2394</v>
      </c>
      <c r="Q2090" t="s">
        <v>2395</v>
      </c>
      <c r="R2090">
        <v>1</v>
      </c>
      <c r="S2090" t="s">
        <v>2380</v>
      </c>
      <c r="T2090" t="s">
        <v>2383</v>
      </c>
      <c r="U2090" s="8">
        <v>45945.724490740744</v>
      </c>
      <c r="V2090" s="8">
        <v>45950.958333333336</v>
      </c>
      <c r="W2090">
        <v>1</v>
      </c>
      <c r="X2090">
        <v>2.7888541670000002</v>
      </c>
      <c r="Y2090" t="s">
        <v>8194</v>
      </c>
      <c r="Z2090" t="s">
        <v>8196</v>
      </c>
      <c r="AA2090" t="s">
        <v>8197</v>
      </c>
      <c r="AB2090" t="s">
        <v>1278</v>
      </c>
      <c r="AD2090" t="s">
        <v>2708</v>
      </c>
      <c r="AE2090">
        <v>1</v>
      </c>
      <c r="AO2090" t="s">
        <v>4137</v>
      </c>
      <c r="AP2090" t="s">
        <v>2401</v>
      </c>
    </row>
    <row r="2091" spans="1:42">
      <c r="A2091" t="s">
        <v>8286</v>
      </c>
      <c r="B2091" t="s">
        <v>2389</v>
      </c>
      <c r="C2091" t="s">
        <v>2415</v>
      </c>
      <c r="D2091" t="s">
        <v>2379</v>
      </c>
      <c r="E2091" t="s">
        <v>25</v>
      </c>
      <c r="F2091" t="s">
        <v>8207</v>
      </c>
      <c r="G2091" t="s">
        <v>25</v>
      </c>
      <c r="H2091" t="b">
        <v>1</v>
      </c>
      <c r="I2091" s="8">
        <v>45947.511157407411</v>
      </c>
      <c r="J2091" t="s">
        <v>2380</v>
      </c>
      <c r="K2091">
        <v>1203195</v>
      </c>
      <c r="L2091">
        <v>604459</v>
      </c>
      <c r="M2091" t="s">
        <v>2381</v>
      </c>
      <c r="N2091">
        <v>5</v>
      </c>
      <c r="P2091" t="s">
        <v>2394</v>
      </c>
      <c r="Q2091" t="s">
        <v>2395</v>
      </c>
      <c r="R2091">
        <v>1</v>
      </c>
      <c r="S2091" t="s">
        <v>2380</v>
      </c>
      <c r="T2091" t="s">
        <v>2383</v>
      </c>
      <c r="U2091" s="8">
        <v>45945.845555555556</v>
      </c>
      <c r="V2091" s="8">
        <v>45950.958333333336</v>
      </c>
      <c r="W2091">
        <v>1</v>
      </c>
      <c r="X2091">
        <v>1.665601852</v>
      </c>
      <c r="Y2091" t="s">
        <v>1277</v>
      </c>
      <c r="Z2091" t="s">
        <v>8287</v>
      </c>
      <c r="AA2091" t="s">
        <v>8273</v>
      </c>
      <c r="AB2091" t="s">
        <v>1278</v>
      </c>
      <c r="AC2091" t="s">
        <v>8288</v>
      </c>
      <c r="AD2091" t="s">
        <v>2708</v>
      </c>
      <c r="AE2091">
        <v>1</v>
      </c>
      <c r="AO2091" t="s">
        <v>4137</v>
      </c>
      <c r="AP2091" t="s">
        <v>2401</v>
      </c>
    </row>
    <row r="2092" spans="1:42">
      <c r="A2092" t="s">
        <v>6759</v>
      </c>
      <c r="B2092" t="s">
        <v>2389</v>
      </c>
      <c r="C2092" t="s">
        <v>2390</v>
      </c>
      <c r="D2092" t="s">
        <v>2379</v>
      </c>
      <c r="E2092" t="s">
        <v>307</v>
      </c>
      <c r="F2092" t="s">
        <v>2627</v>
      </c>
      <c r="G2092" t="s">
        <v>307</v>
      </c>
      <c r="H2092" t="b">
        <v>1</v>
      </c>
      <c r="I2092" s="8">
        <v>45948.455925925926</v>
      </c>
      <c r="J2092" t="s">
        <v>2380</v>
      </c>
      <c r="K2092">
        <v>1203383</v>
      </c>
      <c r="L2092">
        <v>602997</v>
      </c>
      <c r="M2092" t="s">
        <v>2381</v>
      </c>
      <c r="P2092" t="s">
        <v>2394</v>
      </c>
      <c r="Q2092" t="s">
        <v>2383</v>
      </c>
      <c r="R2092">
        <v>1</v>
      </c>
      <c r="S2092" t="s">
        <v>2380</v>
      </c>
      <c r="T2092" t="s">
        <v>2383</v>
      </c>
      <c r="U2092" s="8">
        <v>45945.849803240744</v>
      </c>
      <c r="V2092" s="8">
        <v>45950.958333333336</v>
      </c>
      <c r="W2092">
        <v>1</v>
      </c>
      <c r="X2092">
        <v>2.6061226849999999</v>
      </c>
      <c r="Y2092" t="s">
        <v>2628</v>
      </c>
      <c r="Z2092" t="s">
        <v>6760</v>
      </c>
      <c r="AA2092" t="s">
        <v>2631</v>
      </c>
      <c r="AB2092" t="s">
        <v>1278</v>
      </c>
      <c r="AD2092" t="s">
        <v>2708</v>
      </c>
      <c r="AE2092">
        <v>1</v>
      </c>
      <c r="AO2092" t="s">
        <v>2388</v>
      </c>
      <c r="AP2092" t="s">
        <v>2401</v>
      </c>
    </row>
    <row r="2093" spans="1:42">
      <c r="A2093" t="s">
        <v>6736</v>
      </c>
      <c r="B2093" t="s">
        <v>2389</v>
      </c>
      <c r="C2093" t="s">
        <v>2415</v>
      </c>
      <c r="D2093" t="s">
        <v>2379</v>
      </c>
      <c r="E2093" t="s">
        <v>307</v>
      </c>
      <c r="F2093">
        <v>6407</v>
      </c>
      <c r="G2093" t="s">
        <v>307</v>
      </c>
      <c r="H2093" t="b">
        <v>1</v>
      </c>
      <c r="I2093" s="8">
        <v>45947.447418981479</v>
      </c>
      <c r="J2093" t="s">
        <v>2380</v>
      </c>
      <c r="K2093">
        <v>1203186</v>
      </c>
      <c r="L2093">
        <v>609666</v>
      </c>
      <c r="M2093" t="s">
        <v>2381</v>
      </c>
      <c r="P2093" t="s">
        <v>2394</v>
      </c>
      <c r="Q2093" t="s">
        <v>2383</v>
      </c>
      <c r="R2093">
        <v>1</v>
      </c>
      <c r="S2093" t="s">
        <v>2380</v>
      </c>
      <c r="T2093" t="s">
        <v>2383</v>
      </c>
      <c r="U2093" s="8">
        <v>45946.289398148147</v>
      </c>
      <c r="V2093" s="8">
        <v>45950.958333333336</v>
      </c>
      <c r="W2093">
        <v>1</v>
      </c>
      <c r="X2093">
        <v>1.1580208329999999</v>
      </c>
      <c r="Y2093" t="s">
        <v>4416</v>
      </c>
      <c r="Z2093" t="s">
        <v>6737</v>
      </c>
      <c r="AA2093" t="s">
        <v>4419</v>
      </c>
      <c r="AB2093" t="s">
        <v>1278</v>
      </c>
      <c r="AD2093" t="s">
        <v>2708</v>
      </c>
      <c r="AE2093">
        <v>1</v>
      </c>
      <c r="AO2093" t="s">
        <v>2388</v>
      </c>
      <c r="AP2093" t="s">
        <v>2401</v>
      </c>
    </row>
    <row r="2094" spans="1:42">
      <c r="A2094" t="s">
        <v>7310</v>
      </c>
      <c r="B2094" t="s">
        <v>2389</v>
      </c>
      <c r="C2094" t="s">
        <v>2378</v>
      </c>
      <c r="D2094" t="s">
        <v>2379</v>
      </c>
      <c r="E2094" t="s">
        <v>25</v>
      </c>
      <c r="F2094" t="s">
        <v>2588</v>
      </c>
      <c r="G2094" t="s">
        <v>25</v>
      </c>
      <c r="H2094" t="b">
        <v>1</v>
      </c>
      <c r="I2094" s="8">
        <v>45951.433356481481</v>
      </c>
      <c r="J2094" t="s">
        <v>2380</v>
      </c>
      <c r="K2094">
        <v>1203726</v>
      </c>
      <c r="L2094">
        <v>601453</v>
      </c>
      <c r="M2094" t="s">
        <v>2381</v>
      </c>
      <c r="N2094">
        <v>5</v>
      </c>
      <c r="P2094" t="s">
        <v>2394</v>
      </c>
      <c r="Q2094" t="s">
        <v>2383</v>
      </c>
      <c r="R2094">
        <v>1</v>
      </c>
      <c r="S2094" t="s">
        <v>2380</v>
      </c>
      <c r="T2094" t="s">
        <v>2383</v>
      </c>
      <c r="U2094" s="8">
        <v>45946.345949074072</v>
      </c>
      <c r="V2094" s="8">
        <v>45951.958333333336</v>
      </c>
      <c r="W2094">
        <v>1</v>
      </c>
      <c r="X2094">
        <v>3.0874074070000002</v>
      </c>
      <c r="Y2094" t="s">
        <v>2579</v>
      </c>
      <c r="Z2094" t="s">
        <v>7311</v>
      </c>
      <c r="AA2094" t="s">
        <v>7312</v>
      </c>
      <c r="AB2094" t="s">
        <v>1278</v>
      </c>
      <c r="AC2094" t="s">
        <v>7313</v>
      </c>
      <c r="AD2094" t="s">
        <v>2708</v>
      </c>
      <c r="AE2094">
        <v>1</v>
      </c>
      <c r="AO2094" t="s">
        <v>2388</v>
      </c>
      <c r="AP2094" t="s">
        <v>2401</v>
      </c>
    </row>
    <row r="2095" spans="1:42">
      <c r="A2095" t="s">
        <v>6099</v>
      </c>
      <c r="B2095" t="s">
        <v>2389</v>
      </c>
      <c r="C2095" t="s">
        <v>2378</v>
      </c>
      <c r="D2095" t="s">
        <v>2379</v>
      </c>
      <c r="E2095" t="s">
        <v>2452</v>
      </c>
      <c r="F2095" t="s">
        <v>2541</v>
      </c>
      <c r="G2095" t="s">
        <v>2452</v>
      </c>
      <c r="H2095" t="b">
        <v>1</v>
      </c>
      <c r="I2095" s="8">
        <v>45951.374745370369</v>
      </c>
      <c r="J2095" t="s">
        <v>2380</v>
      </c>
      <c r="K2095">
        <v>1203700</v>
      </c>
      <c r="L2095">
        <v>608630</v>
      </c>
      <c r="M2095" t="s">
        <v>2381</v>
      </c>
      <c r="P2095" t="s">
        <v>2427</v>
      </c>
      <c r="Q2095" t="s">
        <v>2383</v>
      </c>
      <c r="R2095">
        <v>1</v>
      </c>
      <c r="S2095" t="s">
        <v>2380</v>
      </c>
      <c r="T2095" t="s">
        <v>2383</v>
      </c>
      <c r="U2095" s="8">
        <v>45946.348611111112</v>
      </c>
      <c r="V2095" s="8">
        <v>45951.958333333336</v>
      </c>
      <c r="W2095">
        <v>1</v>
      </c>
      <c r="X2095">
        <v>3.026134259</v>
      </c>
      <c r="Y2095" t="s">
        <v>2542</v>
      </c>
      <c r="Z2095" t="s">
        <v>6100</v>
      </c>
      <c r="AA2095" t="s">
        <v>3107</v>
      </c>
      <c r="AB2095" t="s">
        <v>1278</v>
      </c>
      <c r="AC2095" t="s">
        <v>6101</v>
      </c>
      <c r="AD2095" t="s">
        <v>2708</v>
      </c>
      <c r="AE2095">
        <v>1</v>
      </c>
      <c r="AO2095" t="s">
        <v>2547</v>
      </c>
      <c r="AP2095" t="s">
        <v>2401</v>
      </c>
    </row>
    <row r="2096" spans="1:42">
      <c r="A2096" t="s">
        <v>10417</v>
      </c>
      <c r="B2096" t="s">
        <v>2389</v>
      </c>
      <c r="C2096" t="s">
        <v>2378</v>
      </c>
      <c r="D2096" t="s">
        <v>2379</v>
      </c>
      <c r="E2096" t="s">
        <v>2452</v>
      </c>
      <c r="F2096" t="s">
        <v>2541</v>
      </c>
      <c r="G2096" t="s">
        <v>2452</v>
      </c>
      <c r="H2096" t="b">
        <v>1</v>
      </c>
      <c r="I2096" s="8">
        <v>45951.378680555557</v>
      </c>
      <c r="J2096" t="s">
        <v>2380</v>
      </c>
      <c r="L2096">
        <v>608643</v>
      </c>
      <c r="M2096" t="s">
        <v>2381</v>
      </c>
      <c r="P2096" t="s">
        <v>2427</v>
      </c>
      <c r="Q2096" t="s">
        <v>2383</v>
      </c>
      <c r="R2096">
        <v>1</v>
      </c>
      <c r="S2096" t="s">
        <v>2380</v>
      </c>
      <c r="T2096" t="s">
        <v>2383</v>
      </c>
      <c r="U2096" s="8">
        <v>45946.349386574075</v>
      </c>
      <c r="V2096" s="8">
        <v>45951.958333333336</v>
      </c>
      <c r="W2096">
        <v>1</v>
      </c>
      <c r="X2096">
        <v>3.0292939809999999</v>
      </c>
      <c r="Y2096" t="s">
        <v>2542</v>
      </c>
      <c r="Z2096" t="s">
        <v>10418</v>
      </c>
      <c r="AA2096" t="s">
        <v>10419</v>
      </c>
      <c r="AB2096" t="s">
        <v>1278</v>
      </c>
      <c r="AC2096" t="s">
        <v>10420</v>
      </c>
      <c r="AE2096">
        <v>1</v>
      </c>
      <c r="AO2096" t="s">
        <v>2547</v>
      </c>
      <c r="AP2096" t="s">
        <v>2401</v>
      </c>
    </row>
    <row r="2097" spans="1:42">
      <c r="A2097" t="s">
        <v>6102</v>
      </c>
      <c r="B2097" t="s">
        <v>2389</v>
      </c>
      <c r="C2097" t="s">
        <v>2378</v>
      </c>
      <c r="D2097" t="s">
        <v>2379</v>
      </c>
      <c r="E2097" t="s">
        <v>2452</v>
      </c>
      <c r="F2097" t="s">
        <v>2541</v>
      </c>
      <c r="G2097" t="s">
        <v>2452</v>
      </c>
      <c r="H2097" t="b">
        <v>1</v>
      </c>
      <c r="I2097" s="8">
        <v>45951.388668981483</v>
      </c>
      <c r="J2097" t="s">
        <v>2380</v>
      </c>
      <c r="K2097">
        <v>1203708</v>
      </c>
      <c r="L2097">
        <v>608626</v>
      </c>
      <c r="M2097" t="s">
        <v>2381</v>
      </c>
      <c r="P2097" t="s">
        <v>2427</v>
      </c>
      <c r="Q2097" t="s">
        <v>2383</v>
      </c>
      <c r="R2097">
        <v>1</v>
      </c>
      <c r="S2097" t="s">
        <v>2380</v>
      </c>
      <c r="T2097" t="s">
        <v>2383</v>
      </c>
      <c r="U2097" s="8">
        <v>45946.350104166668</v>
      </c>
      <c r="V2097" s="8">
        <v>45951.958333333336</v>
      </c>
      <c r="W2097">
        <v>1</v>
      </c>
      <c r="X2097">
        <v>3.038564815</v>
      </c>
      <c r="Y2097" t="s">
        <v>2542</v>
      </c>
      <c r="Z2097" t="s">
        <v>6103</v>
      </c>
      <c r="AA2097" t="s">
        <v>2551</v>
      </c>
      <c r="AB2097" t="s">
        <v>1278</v>
      </c>
      <c r="AC2097" t="s">
        <v>6104</v>
      </c>
      <c r="AD2097" t="s">
        <v>2708</v>
      </c>
      <c r="AE2097">
        <v>1</v>
      </c>
      <c r="AO2097" t="s">
        <v>2547</v>
      </c>
      <c r="AP2097" t="s">
        <v>2401</v>
      </c>
    </row>
    <row r="2098" spans="1:42">
      <c r="A2098" t="s">
        <v>6105</v>
      </c>
      <c r="B2098" t="s">
        <v>2389</v>
      </c>
      <c r="C2098" t="s">
        <v>2378</v>
      </c>
      <c r="D2098" t="s">
        <v>2379</v>
      </c>
      <c r="E2098" t="s">
        <v>2452</v>
      </c>
      <c r="F2098" t="s">
        <v>2541</v>
      </c>
      <c r="G2098" t="s">
        <v>2452</v>
      </c>
      <c r="H2098" t="b">
        <v>1</v>
      </c>
      <c r="I2098" s="8">
        <v>45951.394571759258</v>
      </c>
      <c r="J2098" t="s">
        <v>2380</v>
      </c>
      <c r="K2098">
        <v>1203710</v>
      </c>
      <c r="L2098">
        <v>608630</v>
      </c>
      <c r="M2098" t="s">
        <v>2381</v>
      </c>
      <c r="P2098" t="s">
        <v>2427</v>
      </c>
      <c r="Q2098" t="s">
        <v>2383</v>
      </c>
      <c r="R2098">
        <v>1</v>
      </c>
      <c r="S2098" t="s">
        <v>2380</v>
      </c>
      <c r="T2098" t="s">
        <v>2383</v>
      </c>
      <c r="U2098" s="8">
        <v>45946.350115740737</v>
      </c>
      <c r="V2098" s="8">
        <v>45951.958333333336</v>
      </c>
      <c r="W2098">
        <v>1</v>
      </c>
      <c r="X2098">
        <v>3.0444560190000001</v>
      </c>
      <c r="Y2098" t="s">
        <v>2542</v>
      </c>
      <c r="Z2098" t="s">
        <v>6106</v>
      </c>
      <c r="AA2098" t="s">
        <v>3107</v>
      </c>
      <c r="AB2098" t="s">
        <v>1278</v>
      </c>
      <c r="AC2098" t="s">
        <v>6107</v>
      </c>
      <c r="AD2098" t="s">
        <v>2708</v>
      </c>
      <c r="AE2098">
        <v>1</v>
      </c>
      <c r="AO2098" t="s">
        <v>2547</v>
      </c>
      <c r="AP2098" t="s">
        <v>2401</v>
      </c>
    </row>
    <row r="2099" spans="1:42">
      <c r="A2099" t="s">
        <v>8985</v>
      </c>
      <c r="B2099" t="s">
        <v>2389</v>
      </c>
      <c r="C2099" t="s">
        <v>2378</v>
      </c>
      <c r="D2099" t="s">
        <v>2379</v>
      </c>
      <c r="E2099" t="s">
        <v>2452</v>
      </c>
      <c r="F2099" t="s">
        <v>2541</v>
      </c>
      <c r="G2099" t="s">
        <v>33</v>
      </c>
      <c r="H2099" t="b">
        <v>1</v>
      </c>
      <c r="I2099" s="8">
        <v>45951.669942129629</v>
      </c>
      <c r="J2099" t="s">
        <v>2380</v>
      </c>
      <c r="K2099">
        <v>1203722</v>
      </c>
      <c r="L2099">
        <v>608626</v>
      </c>
      <c r="M2099" t="s">
        <v>2381</v>
      </c>
      <c r="P2099" t="s">
        <v>2427</v>
      </c>
      <c r="Q2099" t="s">
        <v>2383</v>
      </c>
      <c r="R2099">
        <v>1</v>
      </c>
      <c r="S2099" t="s">
        <v>2380</v>
      </c>
      <c r="T2099" t="s">
        <v>2383</v>
      </c>
      <c r="U2099" s="8">
        <v>45946.350891203707</v>
      </c>
      <c r="V2099" s="8">
        <v>45951.958333333336</v>
      </c>
      <c r="W2099">
        <v>1</v>
      </c>
      <c r="X2099">
        <v>3.3190509260000001</v>
      </c>
      <c r="Y2099" t="s">
        <v>2542</v>
      </c>
      <c r="Z2099" t="s">
        <v>8986</v>
      </c>
      <c r="AA2099" t="s">
        <v>2551</v>
      </c>
      <c r="AB2099" t="s">
        <v>1278</v>
      </c>
      <c r="AC2099" t="s">
        <v>8987</v>
      </c>
      <c r="AD2099" t="s">
        <v>2708</v>
      </c>
      <c r="AE2099">
        <v>1</v>
      </c>
      <c r="AH2099" t="s">
        <v>33</v>
      </c>
      <c r="AI2099" s="8">
        <v>45951.668344907404</v>
      </c>
      <c r="AK2099" t="s">
        <v>2719</v>
      </c>
      <c r="AL2099" t="s">
        <v>2719</v>
      </c>
      <c r="AO2099" t="s">
        <v>2547</v>
      </c>
      <c r="AP2099" t="s">
        <v>2401</v>
      </c>
    </row>
    <row r="2100" spans="1:42">
      <c r="A2100" t="s">
        <v>6108</v>
      </c>
      <c r="B2100" t="s">
        <v>2389</v>
      </c>
      <c r="C2100" t="s">
        <v>2378</v>
      </c>
      <c r="D2100" t="s">
        <v>2379</v>
      </c>
      <c r="E2100" t="s">
        <v>2452</v>
      </c>
      <c r="F2100" t="s">
        <v>2541</v>
      </c>
      <c r="G2100" t="s">
        <v>2452</v>
      </c>
      <c r="H2100" t="b">
        <v>1</v>
      </c>
      <c r="I2100" s="8">
        <v>45951.441423611112</v>
      </c>
      <c r="J2100" t="s">
        <v>2380</v>
      </c>
      <c r="K2100">
        <v>1203729</v>
      </c>
      <c r="L2100">
        <v>608626</v>
      </c>
      <c r="M2100" t="s">
        <v>2381</v>
      </c>
      <c r="P2100" t="s">
        <v>2427</v>
      </c>
      <c r="Q2100" t="s">
        <v>2383</v>
      </c>
      <c r="R2100">
        <v>1</v>
      </c>
      <c r="S2100" t="s">
        <v>2380</v>
      </c>
      <c r="T2100" t="s">
        <v>2383</v>
      </c>
      <c r="U2100" s="8">
        <v>45946.350949074076</v>
      </c>
      <c r="V2100" s="8">
        <v>45951.958333333336</v>
      </c>
      <c r="W2100">
        <v>1</v>
      </c>
      <c r="X2100">
        <v>3.090474537</v>
      </c>
      <c r="Y2100" t="s">
        <v>2542</v>
      </c>
      <c r="Z2100" t="s">
        <v>6109</v>
      </c>
      <c r="AA2100" t="s">
        <v>2551</v>
      </c>
      <c r="AB2100" t="s">
        <v>1278</v>
      </c>
      <c r="AC2100" t="s">
        <v>6110</v>
      </c>
      <c r="AD2100" t="s">
        <v>2708</v>
      </c>
      <c r="AE2100">
        <v>1</v>
      </c>
      <c r="AO2100" t="s">
        <v>2547</v>
      </c>
      <c r="AP2100" t="s">
        <v>2401</v>
      </c>
    </row>
    <row r="2101" spans="1:42">
      <c r="A2101" t="s">
        <v>6111</v>
      </c>
      <c r="B2101" t="s">
        <v>2389</v>
      </c>
      <c r="C2101" t="s">
        <v>2378</v>
      </c>
      <c r="D2101" t="s">
        <v>2379</v>
      </c>
      <c r="E2101" t="s">
        <v>2452</v>
      </c>
      <c r="F2101" t="s">
        <v>2541</v>
      </c>
      <c r="G2101" t="s">
        <v>2452</v>
      </c>
      <c r="H2101" t="b">
        <v>1</v>
      </c>
      <c r="I2101" s="8">
        <v>45951.448703703703</v>
      </c>
      <c r="J2101" t="s">
        <v>2380</v>
      </c>
      <c r="K2101">
        <v>1203733</v>
      </c>
      <c r="L2101">
        <v>608626</v>
      </c>
      <c r="M2101" t="s">
        <v>2381</v>
      </c>
      <c r="P2101" t="s">
        <v>2427</v>
      </c>
      <c r="Q2101" t="s">
        <v>2383</v>
      </c>
      <c r="R2101">
        <v>1</v>
      </c>
      <c r="S2101" t="s">
        <v>2380</v>
      </c>
      <c r="T2101" t="s">
        <v>2383</v>
      </c>
      <c r="U2101" s="8">
        <v>45946.352337962962</v>
      </c>
      <c r="V2101" s="8">
        <v>45951.958333333336</v>
      </c>
      <c r="W2101">
        <v>1</v>
      </c>
      <c r="X2101">
        <v>3.0963657410000001</v>
      </c>
      <c r="Y2101" t="s">
        <v>2542</v>
      </c>
      <c r="Z2101" t="s">
        <v>6112</v>
      </c>
      <c r="AA2101" t="s">
        <v>2551</v>
      </c>
      <c r="AB2101" t="s">
        <v>1278</v>
      </c>
      <c r="AC2101" t="s">
        <v>6113</v>
      </c>
      <c r="AD2101" t="s">
        <v>2708</v>
      </c>
      <c r="AE2101">
        <v>1</v>
      </c>
      <c r="AO2101" t="s">
        <v>2547</v>
      </c>
      <c r="AP2101" t="s">
        <v>2401</v>
      </c>
    </row>
    <row r="2102" spans="1:42">
      <c r="A2102" t="s">
        <v>6114</v>
      </c>
      <c r="B2102" t="s">
        <v>2389</v>
      </c>
      <c r="C2102" t="s">
        <v>2378</v>
      </c>
      <c r="D2102" t="s">
        <v>2379</v>
      </c>
      <c r="E2102" t="s">
        <v>2452</v>
      </c>
      <c r="F2102" t="s">
        <v>2541</v>
      </c>
      <c r="G2102" t="s">
        <v>2452</v>
      </c>
      <c r="H2102" t="b">
        <v>1</v>
      </c>
      <c r="I2102" s="8">
        <v>45951.457002314812</v>
      </c>
      <c r="J2102" t="s">
        <v>2380</v>
      </c>
      <c r="K2102">
        <v>1203734</v>
      </c>
      <c r="L2102">
        <v>608626</v>
      </c>
      <c r="M2102" t="s">
        <v>2381</v>
      </c>
      <c r="P2102" t="s">
        <v>2427</v>
      </c>
      <c r="Q2102" t="s">
        <v>2383</v>
      </c>
      <c r="R2102">
        <v>1</v>
      </c>
      <c r="S2102" t="s">
        <v>2380</v>
      </c>
      <c r="T2102" t="s">
        <v>2383</v>
      </c>
      <c r="U2102" s="8">
        <v>45946.352349537039</v>
      </c>
      <c r="V2102" s="8">
        <v>45951.958333333336</v>
      </c>
      <c r="W2102">
        <v>1</v>
      </c>
      <c r="X2102">
        <v>3.1046527780000002</v>
      </c>
      <c r="Y2102" t="s">
        <v>2542</v>
      </c>
      <c r="Z2102" t="s">
        <v>6115</v>
      </c>
      <c r="AA2102" t="s">
        <v>2551</v>
      </c>
      <c r="AB2102" t="s">
        <v>1278</v>
      </c>
      <c r="AC2102" t="s">
        <v>6116</v>
      </c>
      <c r="AD2102" t="s">
        <v>2708</v>
      </c>
      <c r="AE2102">
        <v>1</v>
      </c>
      <c r="AO2102" t="s">
        <v>2547</v>
      </c>
      <c r="AP2102" t="s">
        <v>2401</v>
      </c>
    </row>
    <row r="2103" spans="1:42">
      <c r="A2103" t="s">
        <v>6117</v>
      </c>
      <c r="B2103" t="s">
        <v>2389</v>
      </c>
      <c r="C2103" t="s">
        <v>2378</v>
      </c>
      <c r="D2103" t="s">
        <v>2379</v>
      </c>
      <c r="E2103" t="s">
        <v>2452</v>
      </c>
      <c r="F2103" t="s">
        <v>2541</v>
      </c>
      <c r="G2103" t="s">
        <v>2452</v>
      </c>
      <c r="H2103" t="b">
        <v>1</v>
      </c>
      <c r="I2103" s="8">
        <v>45951.46292824074</v>
      </c>
      <c r="J2103" t="s">
        <v>2380</v>
      </c>
      <c r="K2103">
        <v>1203744</v>
      </c>
      <c r="L2103">
        <v>608626</v>
      </c>
      <c r="M2103" t="s">
        <v>2381</v>
      </c>
      <c r="P2103" t="s">
        <v>2427</v>
      </c>
      <c r="Q2103" t="s">
        <v>2383</v>
      </c>
      <c r="R2103">
        <v>1</v>
      </c>
      <c r="S2103" t="s">
        <v>2380</v>
      </c>
      <c r="T2103" t="s">
        <v>2383</v>
      </c>
      <c r="U2103" s="8">
        <v>45946.353055555555</v>
      </c>
      <c r="V2103" s="8">
        <v>45951.958333333336</v>
      </c>
      <c r="W2103">
        <v>1</v>
      </c>
      <c r="X2103">
        <v>3.109872685</v>
      </c>
      <c r="Y2103" t="s">
        <v>2542</v>
      </c>
      <c r="Z2103" t="s">
        <v>6118</v>
      </c>
      <c r="AA2103" t="s">
        <v>2551</v>
      </c>
      <c r="AB2103" t="s">
        <v>1278</v>
      </c>
      <c r="AC2103" t="s">
        <v>6119</v>
      </c>
      <c r="AD2103" t="s">
        <v>2708</v>
      </c>
      <c r="AE2103">
        <v>1</v>
      </c>
      <c r="AO2103" t="s">
        <v>2547</v>
      </c>
      <c r="AP2103" t="s">
        <v>2401</v>
      </c>
    </row>
    <row r="2104" spans="1:42">
      <c r="A2104" t="s">
        <v>8988</v>
      </c>
      <c r="B2104" t="s">
        <v>2389</v>
      </c>
      <c r="C2104" t="s">
        <v>2378</v>
      </c>
      <c r="D2104" t="s">
        <v>2379</v>
      </c>
      <c r="E2104" t="s">
        <v>2452</v>
      </c>
      <c r="F2104" t="s">
        <v>2541</v>
      </c>
      <c r="G2104" t="s">
        <v>33</v>
      </c>
      <c r="H2104" t="b">
        <v>1</v>
      </c>
      <c r="I2104" s="8">
        <v>45951.670254629629</v>
      </c>
      <c r="J2104" t="s">
        <v>2380</v>
      </c>
      <c r="K2104">
        <v>1203764</v>
      </c>
      <c r="L2104">
        <v>608639</v>
      </c>
      <c r="M2104" t="s">
        <v>2381</v>
      </c>
      <c r="P2104" t="s">
        <v>2427</v>
      </c>
      <c r="Q2104" t="s">
        <v>2383</v>
      </c>
      <c r="R2104">
        <v>1</v>
      </c>
      <c r="S2104" t="s">
        <v>2380</v>
      </c>
      <c r="T2104" t="s">
        <v>2383</v>
      </c>
      <c r="U2104" s="8">
        <v>45946.353055555555</v>
      </c>
      <c r="V2104" s="8">
        <v>45951.958333333336</v>
      </c>
      <c r="W2104">
        <v>1</v>
      </c>
      <c r="X2104">
        <v>3.3171990739999999</v>
      </c>
      <c r="Y2104" t="s">
        <v>2542</v>
      </c>
      <c r="Z2104" t="s">
        <v>8989</v>
      </c>
      <c r="AA2104" t="s">
        <v>5741</v>
      </c>
      <c r="AB2104" t="s">
        <v>1278</v>
      </c>
      <c r="AC2104" t="s">
        <v>8990</v>
      </c>
      <c r="AD2104" t="s">
        <v>2708</v>
      </c>
      <c r="AE2104">
        <v>1</v>
      </c>
      <c r="AH2104" t="s">
        <v>33</v>
      </c>
      <c r="AI2104" s="8">
        <v>45951.668171296296</v>
      </c>
      <c r="AK2104" t="s">
        <v>2719</v>
      </c>
      <c r="AL2104" t="s">
        <v>2719</v>
      </c>
      <c r="AO2104" t="s">
        <v>2547</v>
      </c>
      <c r="AP2104" t="s">
        <v>2401</v>
      </c>
    </row>
    <row r="2105" spans="1:42">
      <c r="A2105" t="s">
        <v>6120</v>
      </c>
      <c r="B2105" t="s">
        <v>2389</v>
      </c>
      <c r="C2105" t="s">
        <v>2378</v>
      </c>
      <c r="D2105" t="s">
        <v>2379</v>
      </c>
      <c r="E2105" t="s">
        <v>2452</v>
      </c>
      <c r="F2105" t="s">
        <v>2541</v>
      </c>
      <c r="G2105" t="s">
        <v>2452</v>
      </c>
      <c r="H2105" t="b">
        <v>1</v>
      </c>
      <c r="I2105" s="8">
        <v>45951.47111111111</v>
      </c>
      <c r="J2105" t="s">
        <v>2380</v>
      </c>
      <c r="K2105">
        <v>1203765</v>
      </c>
      <c r="L2105">
        <v>608626</v>
      </c>
      <c r="M2105" t="s">
        <v>2381</v>
      </c>
      <c r="P2105" t="s">
        <v>2427</v>
      </c>
      <c r="Q2105" t="s">
        <v>2383</v>
      </c>
      <c r="R2105">
        <v>1</v>
      </c>
      <c r="S2105" t="s">
        <v>2380</v>
      </c>
      <c r="T2105" t="s">
        <v>2383</v>
      </c>
      <c r="U2105" s="8">
        <v>45946.353055555555</v>
      </c>
      <c r="V2105" s="8">
        <v>45951.958333333336</v>
      </c>
      <c r="W2105">
        <v>1</v>
      </c>
      <c r="X2105">
        <v>3.1180555559999998</v>
      </c>
      <c r="Y2105" t="s">
        <v>2542</v>
      </c>
      <c r="Z2105" t="s">
        <v>6121</v>
      </c>
      <c r="AA2105" t="s">
        <v>2551</v>
      </c>
      <c r="AB2105" t="s">
        <v>1278</v>
      </c>
      <c r="AC2105" t="s">
        <v>6122</v>
      </c>
      <c r="AD2105" t="s">
        <v>2708</v>
      </c>
      <c r="AE2105">
        <v>1</v>
      </c>
      <c r="AO2105" t="s">
        <v>2547</v>
      </c>
      <c r="AP2105" t="s">
        <v>2401</v>
      </c>
    </row>
    <row r="2106" spans="1:42">
      <c r="A2106" t="s">
        <v>6438</v>
      </c>
      <c r="B2106" t="s">
        <v>2389</v>
      </c>
      <c r="C2106" t="s">
        <v>2390</v>
      </c>
      <c r="D2106" t="s">
        <v>2379</v>
      </c>
      <c r="E2106" t="s">
        <v>25</v>
      </c>
      <c r="F2106" t="s">
        <v>2541</v>
      </c>
      <c r="G2106" t="s">
        <v>25</v>
      </c>
      <c r="H2106" t="b">
        <v>1</v>
      </c>
      <c r="I2106" s="8">
        <v>45948.503599537034</v>
      </c>
      <c r="J2106" t="s">
        <v>2380</v>
      </c>
      <c r="K2106">
        <v>1203400</v>
      </c>
      <c r="L2106">
        <v>608626</v>
      </c>
      <c r="M2106" t="s">
        <v>2381</v>
      </c>
      <c r="N2106">
        <v>5</v>
      </c>
      <c r="P2106" t="s">
        <v>2427</v>
      </c>
      <c r="Q2106" t="s">
        <v>2383</v>
      </c>
      <c r="R2106">
        <v>1</v>
      </c>
      <c r="S2106" t="s">
        <v>2380</v>
      </c>
      <c r="T2106" t="s">
        <v>2383</v>
      </c>
      <c r="U2106" s="8">
        <v>45946.353761574072</v>
      </c>
      <c r="V2106" s="8">
        <v>45951.958333333336</v>
      </c>
      <c r="W2106">
        <v>1</v>
      </c>
      <c r="X2106">
        <v>2.149837963</v>
      </c>
      <c r="Y2106" t="s">
        <v>2542</v>
      </c>
      <c r="Z2106" t="s">
        <v>6439</v>
      </c>
      <c r="AA2106" t="s">
        <v>2551</v>
      </c>
      <c r="AB2106" t="s">
        <v>1278</v>
      </c>
      <c r="AC2106" t="s">
        <v>6440</v>
      </c>
      <c r="AD2106" t="s">
        <v>2708</v>
      </c>
      <c r="AE2106">
        <v>1</v>
      </c>
      <c r="AO2106" t="s">
        <v>2547</v>
      </c>
      <c r="AP2106" t="s">
        <v>2401</v>
      </c>
    </row>
    <row r="2107" spans="1:42">
      <c r="A2107" t="s">
        <v>6441</v>
      </c>
      <c r="B2107" t="s">
        <v>2389</v>
      </c>
      <c r="C2107" t="s">
        <v>2390</v>
      </c>
      <c r="D2107" t="s">
        <v>2379</v>
      </c>
      <c r="E2107" t="s">
        <v>25</v>
      </c>
      <c r="F2107" t="s">
        <v>2541</v>
      </c>
      <c r="G2107" t="s">
        <v>25</v>
      </c>
      <c r="H2107" t="b">
        <v>1</v>
      </c>
      <c r="I2107" s="8">
        <v>45948.492905092593</v>
      </c>
      <c r="J2107" t="s">
        <v>2380</v>
      </c>
      <c r="K2107">
        <v>1203395</v>
      </c>
      <c r="L2107">
        <v>608632</v>
      </c>
      <c r="M2107" t="s">
        <v>2381</v>
      </c>
      <c r="N2107">
        <v>5</v>
      </c>
      <c r="P2107" t="s">
        <v>2427</v>
      </c>
      <c r="Q2107" t="s">
        <v>2383</v>
      </c>
      <c r="R2107">
        <v>1</v>
      </c>
      <c r="S2107" t="s">
        <v>2380</v>
      </c>
      <c r="T2107" t="s">
        <v>2383</v>
      </c>
      <c r="U2107" s="8">
        <v>45946.354513888888</v>
      </c>
      <c r="V2107" s="8">
        <v>45951.958333333336</v>
      </c>
      <c r="W2107">
        <v>1</v>
      </c>
      <c r="X2107">
        <v>2.1383912039999999</v>
      </c>
      <c r="Y2107" t="s">
        <v>2542</v>
      </c>
      <c r="Z2107" t="s">
        <v>6442</v>
      </c>
      <c r="AA2107" t="s">
        <v>6443</v>
      </c>
      <c r="AB2107" t="s">
        <v>1278</v>
      </c>
      <c r="AC2107" t="s">
        <v>6444</v>
      </c>
      <c r="AD2107" t="s">
        <v>2708</v>
      </c>
      <c r="AE2107">
        <v>1</v>
      </c>
      <c r="AO2107" t="s">
        <v>2547</v>
      </c>
      <c r="AP2107" t="s">
        <v>2401</v>
      </c>
    </row>
    <row r="2108" spans="1:42">
      <c r="A2108" t="s">
        <v>6445</v>
      </c>
      <c r="B2108" t="s">
        <v>2389</v>
      </c>
      <c r="C2108" t="s">
        <v>2390</v>
      </c>
      <c r="D2108" t="s">
        <v>2379</v>
      </c>
      <c r="E2108" t="s">
        <v>25</v>
      </c>
      <c r="F2108" t="s">
        <v>2541</v>
      </c>
      <c r="G2108" t="s">
        <v>25</v>
      </c>
      <c r="H2108" t="b">
        <v>1</v>
      </c>
      <c r="I2108" s="8">
        <v>45948.49009259259</v>
      </c>
      <c r="J2108" t="s">
        <v>2380</v>
      </c>
      <c r="K2108">
        <v>1203394</v>
      </c>
      <c r="L2108">
        <v>608640</v>
      </c>
      <c r="M2108" t="s">
        <v>2381</v>
      </c>
      <c r="N2108">
        <v>5</v>
      </c>
      <c r="P2108" t="s">
        <v>2427</v>
      </c>
      <c r="Q2108" t="s">
        <v>2383</v>
      </c>
      <c r="R2108">
        <v>1</v>
      </c>
      <c r="S2108" t="s">
        <v>2380</v>
      </c>
      <c r="T2108" t="s">
        <v>2383</v>
      </c>
      <c r="U2108" s="8">
        <v>45946.354513888888</v>
      </c>
      <c r="V2108" s="8">
        <v>45951.958333333336</v>
      </c>
      <c r="W2108">
        <v>1</v>
      </c>
      <c r="X2108">
        <v>2.1355787039999998</v>
      </c>
      <c r="Y2108" t="s">
        <v>2542</v>
      </c>
      <c r="Z2108" t="s">
        <v>6446</v>
      </c>
      <c r="AA2108" t="s">
        <v>5748</v>
      </c>
      <c r="AB2108" t="s">
        <v>1278</v>
      </c>
      <c r="AC2108" t="s">
        <v>6447</v>
      </c>
      <c r="AD2108" t="s">
        <v>2708</v>
      </c>
      <c r="AE2108">
        <v>1</v>
      </c>
      <c r="AO2108" t="s">
        <v>2547</v>
      </c>
      <c r="AP2108" t="s">
        <v>2401</v>
      </c>
    </row>
    <row r="2109" spans="1:42">
      <c r="A2109" t="s">
        <v>5923</v>
      </c>
      <c r="B2109" t="s">
        <v>2389</v>
      </c>
      <c r="C2109" t="s">
        <v>2390</v>
      </c>
      <c r="D2109" t="s">
        <v>2379</v>
      </c>
      <c r="E2109" t="s">
        <v>307</v>
      </c>
      <c r="F2109" t="s">
        <v>2541</v>
      </c>
      <c r="G2109" t="s">
        <v>307</v>
      </c>
      <c r="H2109" t="b">
        <v>1</v>
      </c>
      <c r="I2109" s="8">
        <v>45950.764143518521</v>
      </c>
      <c r="J2109" t="s">
        <v>2380</v>
      </c>
      <c r="K2109">
        <v>1203694</v>
      </c>
      <c r="L2109">
        <v>608626</v>
      </c>
      <c r="M2109" t="s">
        <v>2381</v>
      </c>
      <c r="P2109" t="s">
        <v>2427</v>
      </c>
      <c r="Q2109" t="s">
        <v>2383</v>
      </c>
      <c r="R2109">
        <v>1</v>
      </c>
      <c r="S2109" t="s">
        <v>2380</v>
      </c>
      <c r="T2109" t="s">
        <v>2383</v>
      </c>
      <c r="U2109" s="8">
        <v>45946.354525462964</v>
      </c>
      <c r="V2109" s="8">
        <v>45951.958333333336</v>
      </c>
      <c r="W2109">
        <v>1</v>
      </c>
      <c r="X2109">
        <v>2.4096180559999998</v>
      </c>
      <c r="Y2109" t="s">
        <v>2542</v>
      </c>
      <c r="Z2109" t="s">
        <v>5924</v>
      </c>
      <c r="AA2109" t="s">
        <v>2551</v>
      </c>
      <c r="AB2109" t="s">
        <v>1278</v>
      </c>
      <c r="AC2109" t="s">
        <v>5925</v>
      </c>
      <c r="AD2109" t="s">
        <v>2708</v>
      </c>
      <c r="AE2109">
        <v>1</v>
      </c>
      <c r="AO2109" t="s">
        <v>2547</v>
      </c>
      <c r="AP2109" t="s">
        <v>2401</v>
      </c>
    </row>
    <row r="2110" spans="1:42">
      <c r="A2110" t="s">
        <v>5169</v>
      </c>
      <c r="B2110" t="s">
        <v>2389</v>
      </c>
      <c r="C2110" t="s">
        <v>2443</v>
      </c>
      <c r="D2110" t="s">
        <v>2443</v>
      </c>
      <c r="E2110" t="s">
        <v>25</v>
      </c>
      <c r="F2110" t="s">
        <v>2541</v>
      </c>
      <c r="G2110" t="s">
        <v>25</v>
      </c>
      <c r="H2110" t="b">
        <v>1</v>
      </c>
      <c r="I2110" s="8">
        <v>45952.402939814812</v>
      </c>
      <c r="J2110" t="s">
        <v>2380</v>
      </c>
      <c r="K2110">
        <v>1203396</v>
      </c>
      <c r="L2110">
        <v>608630</v>
      </c>
      <c r="M2110" t="s">
        <v>2381</v>
      </c>
      <c r="N2110">
        <v>5</v>
      </c>
      <c r="P2110" t="s">
        <v>2427</v>
      </c>
      <c r="Q2110" t="s">
        <v>2383</v>
      </c>
      <c r="R2110">
        <v>1</v>
      </c>
      <c r="S2110" t="s">
        <v>2380</v>
      </c>
      <c r="T2110" t="s">
        <v>2383</v>
      </c>
      <c r="U2110" s="8">
        <v>45946.355219907404</v>
      </c>
      <c r="V2110" s="8">
        <v>45951.958333333336</v>
      </c>
      <c r="W2110">
        <v>1</v>
      </c>
      <c r="X2110">
        <v>4.0477199070000003</v>
      </c>
      <c r="Y2110" t="s">
        <v>2542</v>
      </c>
      <c r="Z2110" t="s">
        <v>5170</v>
      </c>
      <c r="AA2110" t="s">
        <v>3107</v>
      </c>
      <c r="AB2110" t="s">
        <v>1278</v>
      </c>
      <c r="AC2110" t="s">
        <v>5171</v>
      </c>
      <c r="AD2110" t="s">
        <v>2708</v>
      </c>
      <c r="AE2110">
        <v>1</v>
      </c>
      <c r="AF2110">
        <v>2</v>
      </c>
      <c r="AH2110" t="s">
        <v>2723</v>
      </c>
      <c r="AI2110" s="8">
        <v>45951.668425925927</v>
      </c>
      <c r="AK2110" t="s">
        <v>2719</v>
      </c>
      <c r="AL2110" t="s">
        <v>5161</v>
      </c>
      <c r="AM2110" t="s">
        <v>5162</v>
      </c>
      <c r="AO2110" t="s">
        <v>2547</v>
      </c>
      <c r="AP2110" t="s">
        <v>2401</v>
      </c>
    </row>
    <row r="2111" spans="1:42">
      <c r="A2111" t="s">
        <v>6448</v>
      </c>
      <c r="B2111" t="s">
        <v>2389</v>
      </c>
      <c r="C2111" t="s">
        <v>2390</v>
      </c>
      <c r="D2111" t="s">
        <v>2379</v>
      </c>
      <c r="E2111" t="s">
        <v>25</v>
      </c>
      <c r="F2111" t="s">
        <v>2541</v>
      </c>
      <c r="G2111" t="s">
        <v>25</v>
      </c>
      <c r="H2111" t="b">
        <v>1</v>
      </c>
      <c r="I2111" s="8">
        <v>45948.497824074075</v>
      </c>
      <c r="J2111" t="s">
        <v>2380</v>
      </c>
      <c r="K2111">
        <v>1203398</v>
      </c>
      <c r="L2111">
        <v>608626</v>
      </c>
      <c r="M2111" t="s">
        <v>2381</v>
      </c>
      <c r="N2111">
        <v>5</v>
      </c>
      <c r="P2111" t="s">
        <v>2427</v>
      </c>
      <c r="Q2111" t="s">
        <v>2383</v>
      </c>
      <c r="R2111">
        <v>1</v>
      </c>
      <c r="S2111" t="s">
        <v>2380</v>
      </c>
      <c r="T2111" t="s">
        <v>2383</v>
      </c>
      <c r="U2111" s="8">
        <v>45946.355231481481</v>
      </c>
      <c r="V2111" s="8">
        <v>45951.958333333336</v>
      </c>
      <c r="W2111">
        <v>1</v>
      </c>
      <c r="X2111">
        <v>2.1425925929999998</v>
      </c>
      <c r="Y2111" t="s">
        <v>2542</v>
      </c>
      <c r="Z2111" t="s">
        <v>6449</v>
      </c>
      <c r="AA2111" t="s">
        <v>2551</v>
      </c>
      <c r="AB2111" t="s">
        <v>1278</v>
      </c>
      <c r="AC2111" t="s">
        <v>6450</v>
      </c>
      <c r="AD2111" t="s">
        <v>2708</v>
      </c>
      <c r="AE2111">
        <v>1</v>
      </c>
      <c r="AO2111" t="s">
        <v>2547</v>
      </c>
      <c r="AP2111" t="s">
        <v>2401</v>
      </c>
    </row>
    <row r="2112" spans="1:42">
      <c r="A2112" t="s">
        <v>6451</v>
      </c>
      <c r="B2112" t="s">
        <v>2389</v>
      </c>
      <c r="C2112" t="s">
        <v>2390</v>
      </c>
      <c r="D2112" t="s">
        <v>2379</v>
      </c>
      <c r="E2112" t="s">
        <v>25</v>
      </c>
      <c r="F2112" t="s">
        <v>2541</v>
      </c>
      <c r="G2112" t="s">
        <v>25</v>
      </c>
      <c r="H2112" t="b">
        <v>1</v>
      </c>
      <c r="I2112" s="8">
        <v>45950.468472222223</v>
      </c>
      <c r="J2112" t="s">
        <v>2380</v>
      </c>
      <c r="K2112">
        <v>1203550</v>
      </c>
      <c r="L2112">
        <v>608637</v>
      </c>
      <c r="M2112" t="s">
        <v>2381</v>
      </c>
      <c r="N2112">
        <v>5</v>
      </c>
      <c r="P2112" t="s">
        <v>2427</v>
      </c>
      <c r="Q2112" t="s">
        <v>2383</v>
      </c>
      <c r="R2112">
        <v>1</v>
      </c>
      <c r="S2112" t="s">
        <v>2380</v>
      </c>
      <c r="T2112" t="s">
        <v>2383</v>
      </c>
      <c r="U2112" s="8">
        <v>45946.355231481481</v>
      </c>
      <c r="V2112" s="8">
        <v>45951.958333333336</v>
      </c>
      <c r="W2112">
        <v>1</v>
      </c>
      <c r="X2112">
        <v>2.1132407409999998</v>
      </c>
      <c r="Y2112" t="s">
        <v>2542</v>
      </c>
      <c r="Z2112" t="s">
        <v>6452</v>
      </c>
      <c r="AA2112" t="s">
        <v>5650</v>
      </c>
      <c r="AB2112" t="s">
        <v>1278</v>
      </c>
      <c r="AC2112" t="s">
        <v>6453</v>
      </c>
      <c r="AD2112" t="s">
        <v>2708</v>
      </c>
      <c r="AE2112">
        <v>1</v>
      </c>
      <c r="AO2112" t="s">
        <v>2547</v>
      </c>
      <c r="AP2112" t="s">
        <v>2401</v>
      </c>
    </row>
    <row r="2113" spans="1:42">
      <c r="A2113" t="s">
        <v>6123</v>
      </c>
      <c r="B2113" t="s">
        <v>2389</v>
      </c>
      <c r="C2113" t="s">
        <v>2378</v>
      </c>
      <c r="D2113" t="s">
        <v>2379</v>
      </c>
      <c r="E2113" t="s">
        <v>2452</v>
      </c>
      <c r="F2113" t="s">
        <v>2541</v>
      </c>
      <c r="G2113" t="s">
        <v>2452</v>
      </c>
      <c r="H2113" t="b">
        <v>1</v>
      </c>
      <c r="I2113" s="8">
        <v>45951.49</v>
      </c>
      <c r="J2113" t="s">
        <v>2380</v>
      </c>
      <c r="K2113">
        <v>1203768</v>
      </c>
      <c r="L2113">
        <v>608626</v>
      </c>
      <c r="M2113" t="s">
        <v>2381</v>
      </c>
      <c r="P2113" t="s">
        <v>2427</v>
      </c>
      <c r="Q2113" t="s">
        <v>2383</v>
      </c>
      <c r="R2113">
        <v>1</v>
      </c>
      <c r="S2113" t="s">
        <v>2380</v>
      </c>
      <c r="T2113" t="s">
        <v>2383</v>
      </c>
      <c r="U2113" s="8">
        <v>45946.355937499997</v>
      </c>
      <c r="V2113" s="8">
        <v>45951.958333333336</v>
      </c>
      <c r="W2113">
        <v>1</v>
      </c>
      <c r="X2113">
        <v>3.1340625000000002</v>
      </c>
      <c r="Y2113" t="s">
        <v>2542</v>
      </c>
      <c r="Z2113" t="s">
        <v>6124</v>
      </c>
      <c r="AA2113" t="s">
        <v>2551</v>
      </c>
      <c r="AB2113" t="s">
        <v>1278</v>
      </c>
      <c r="AC2113" t="s">
        <v>6125</v>
      </c>
      <c r="AD2113" t="s">
        <v>2708</v>
      </c>
      <c r="AE2113">
        <v>1</v>
      </c>
      <c r="AO2113" t="s">
        <v>2547</v>
      </c>
      <c r="AP2113" t="s">
        <v>2401</v>
      </c>
    </row>
    <row r="2114" spans="1:42">
      <c r="A2114" t="s">
        <v>10421</v>
      </c>
      <c r="B2114" t="s">
        <v>2389</v>
      </c>
      <c r="C2114" t="s">
        <v>2378</v>
      </c>
      <c r="D2114" t="s">
        <v>2379</v>
      </c>
      <c r="E2114" t="s">
        <v>2452</v>
      </c>
      <c r="F2114" t="s">
        <v>2541</v>
      </c>
      <c r="G2114" t="s">
        <v>2452</v>
      </c>
      <c r="H2114" t="b">
        <v>1</v>
      </c>
      <c r="I2114" s="8">
        <v>45951.49082175926</v>
      </c>
      <c r="J2114" t="s">
        <v>2380</v>
      </c>
      <c r="L2114">
        <v>608640</v>
      </c>
      <c r="M2114" t="s">
        <v>2381</v>
      </c>
      <c r="P2114" t="s">
        <v>2427</v>
      </c>
      <c r="Q2114" t="s">
        <v>2383</v>
      </c>
      <c r="R2114">
        <v>1</v>
      </c>
      <c r="S2114" t="s">
        <v>2380</v>
      </c>
      <c r="T2114" t="s">
        <v>2383</v>
      </c>
      <c r="U2114" s="8">
        <v>45946.355937499997</v>
      </c>
      <c r="V2114" s="8">
        <v>45951.958333333336</v>
      </c>
      <c r="W2114">
        <v>1</v>
      </c>
      <c r="X2114">
        <v>3.1348842590000001</v>
      </c>
      <c r="Y2114" t="s">
        <v>2542</v>
      </c>
      <c r="Z2114" t="s">
        <v>10422</v>
      </c>
      <c r="AA2114" t="s">
        <v>5748</v>
      </c>
      <c r="AB2114" t="s">
        <v>1278</v>
      </c>
      <c r="AC2114" t="s">
        <v>10423</v>
      </c>
      <c r="AE2114">
        <v>1</v>
      </c>
      <c r="AO2114" t="s">
        <v>2547</v>
      </c>
      <c r="AP2114" t="s">
        <v>2401</v>
      </c>
    </row>
    <row r="2115" spans="1:42">
      <c r="A2115" t="s">
        <v>6126</v>
      </c>
      <c r="B2115" t="s">
        <v>2389</v>
      </c>
      <c r="C2115" t="s">
        <v>2378</v>
      </c>
      <c r="D2115" t="s">
        <v>2379</v>
      </c>
      <c r="E2115" t="s">
        <v>2452</v>
      </c>
      <c r="F2115" t="s">
        <v>2541</v>
      </c>
      <c r="G2115" t="s">
        <v>2452</v>
      </c>
      <c r="H2115" t="b">
        <v>1</v>
      </c>
      <c r="I2115" s="8">
        <v>45951.495775462965</v>
      </c>
      <c r="J2115" t="s">
        <v>2380</v>
      </c>
      <c r="K2115">
        <v>1203770</v>
      </c>
      <c r="L2115">
        <v>608626</v>
      </c>
      <c r="M2115" t="s">
        <v>2381</v>
      </c>
      <c r="P2115" t="s">
        <v>2427</v>
      </c>
      <c r="Q2115" t="s">
        <v>2383</v>
      </c>
      <c r="R2115">
        <v>1</v>
      </c>
      <c r="S2115" t="s">
        <v>2380</v>
      </c>
      <c r="T2115" t="s">
        <v>2383</v>
      </c>
      <c r="U2115" s="8">
        <v>45946.355937499997</v>
      </c>
      <c r="V2115" s="8">
        <v>45951.958333333336</v>
      </c>
      <c r="W2115">
        <v>1</v>
      </c>
      <c r="X2115">
        <v>3.1398379630000002</v>
      </c>
      <c r="Y2115" t="s">
        <v>2542</v>
      </c>
      <c r="Z2115" t="s">
        <v>6127</v>
      </c>
      <c r="AA2115" t="s">
        <v>2551</v>
      </c>
      <c r="AB2115" t="s">
        <v>1278</v>
      </c>
      <c r="AC2115" t="s">
        <v>6128</v>
      </c>
      <c r="AD2115" t="s">
        <v>2708</v>
      </c>
      <c r="AE2115">
        <v>1</v>
      </c>
      <c r="AO2115" t="s">
        <v>2547</v>
      </c>
      <c r="AP2115" t="s">
        <v>2401</v>
      </c>
    </row>
    <row r="2116" spans="1:42">
      <c r="A2116" t="s">
        <v>6129</v>
      </c>
      <c r="B2116" t="s">
        <v>2389</v>
      </c>
      <c r="C2116" t="s">
        <v>2378</v>
      </c>
      <c r="D2116" t="s">
        <v>2379</v>
      </c>
      <c r="E2116" t="s">
        <v>2452</v>
      </c>
      <c r="F2116" t="s">
        <v>2541</v>
      </c>
      <c r="G2116" t="s">
        <v>2452</v>
      </c>
      <c r="H2116" t="b">
        <v>1</v>
      </c>
      <c r="I2116" s="8">
        <v>45951.499872685185</v>
      </c>
      <c r="J2116" t="s">
        <v>2380</v>
      </c>
      <c r="K2116">
        <v>1203773</v>
      </c>
      <c r="L2116">
        <v>608626</v>
      </c>
      <c r="M2116" t="s">
        <v>2381</v>
      </c>
      <c r="P2116" t="s">
        <v>2427</v>
      </c>
      <c r="Q2116" t="s">
        <v>2383</v>
      </c>
      <c r="R2116">
        <v>1</v>
      </c>
      <c r="S2116" t="s">
        <v>2380</v>
      </c>
      <c r="T2116" t="s">
        <v>2383</v>
      </c>
      <c r="U2116" s="8">
        <v>45946.35665509259</v>
      </c>
      <c r="V2116" s="8">
        <v>45951.958333333336</v>
      </c>
      <c r="W2116">
        <v>1</v>
      </c>
      <c r="X2116">
        <v>3.1432175930000001</v>
      </c>
      <c r="Y2116" t="s">
        <v>2542</v>
      </c>
      <c r="Z2116" t="s">
        <v>6130</v>
      </c>
      <c r="AA2116" t="s">
        <v>2551</v>
      </c>
      <c r="AB2116" t="s">
        <v>1278</v>
      </c>
      <c r="AC2116" t="s">
        <v>6131</v>
      </c>
      <c r="AD2116" t="s">
        <v>2708</v>
      </c>
      <c r="AE2116">
        <v>1</v>
      </c>
      <c r="AO2116" t="s">
        <v>2547</v>
      </c>
      <c r="AP2116" t="s">
        <v>2401</v>
      </c>
    </row>
    <row r="2117" spans="1:42">
      <c r="A2117" t="s">
        <v>6454</v>
      </c>
      <c r="B2117" t="s">
        <v>2389</v>
      </c>
      <c r="C2117" t="s">
        <v>2378</v>
      </c>
      <c r="D2117" t="s">
        <v>2379</v>
      </c>
      <c r="E2117" t="s">
        <v>25</v>
      </c>
      <c r="F2117" t="s">
        <v>2541</v>
      </c>
      <c r="G2117" t="s">
        <v>25</v>
      </c>
      <c r="H2117" t="b">
        <v>1</v>
      </c>
      <c r="I2117" s="8">
        <v>45951.384363425925</v>
      </c>
      <c r="J2117" t="s">
        <v>2380</v>
      </c>
      <c r="K2117">
        <v>1203707</v>
      </c>
      <c r="L2117">
        <v>608626</v>
      </c>
      <c r="M2117" t="s">
        <v>2381</v>
      </c>
      <c r="N2117">
        <v>5</v>
      </c>
      <c r="P2117" t="s">
        <v>2427</v>
      </c>
      <c r="Q2117" t="s">
        <v>2383</v>
      </c>
      <c r="R2117">
        <v>1</v>
      </c>
      <c r="S2117" t="s">
        <v>2380</v>
      </c>
      <c r="T2117" t="s">
        <v>2383</v>
      </c>
      <c r="U2117" s="8">
        <v>45946.357372685183</v>
      </c>
      <c r="V2117" s="8">
        <v>45951.958333333336</v>
      </c>
      <c r="W2117">
        <v>1</v>
      </c>
      <c r="X2117">
        <v>3.0269907410000001</v>
      </c>
      <c r="Y2117" t="s">
        <v>2542</v>
      </c>
      <c r="Z2117" t="s">
        <v>6455</v>
      </c>
      <c r="AA2117" t="s">
        <v>2551</v>
      </c>
      <c r="AB2117" t="s">
        <v>1278</v>
      </c>
      <c r="AC2117" t="s">
        <v>6456</v>
      </c>
      <c r="AD2117" t="s">
        <v>2708</v>
      </c>
      <c r="AE2117">
        <v>1</v>
      </c>
      <c r="AO2117" t="s">
        <v>2547</v>
      </c>
      <c r="AP2117" t="s">
        <v>2401</v>
      </c>
    </row>
    <row r="2118" spans="1:42">
      <c r="A2118" t="s">
        <v>5926</v>
      </c>
      <c r="B2118" t="s">
        <v>2389</v>
      </c>
      <c r="C2118" t="s">
        <v>2390</v>
      </c>
      <c r="D2118" t="s">
        <v>2379</v>
      </c>
      <c r="E2118" t="s">
        <v>307</v>
      </c>
      <c r="F2118" t="s">
        <v>2541</v>
      </c>
      <c r="G2118" t="s">
        <v>307</v>
      </c>
      <c r="H2118" t="b">
        <v>1</v>
      </c>
      <c r="I2118" s="8">
        <v>45950.760358796295</v>
      </c>
      <c r="J2118" t="s">
        <v>2380</v>
      </c>
      <c r="K2118">
        <v>1203695</v>
      </c>
      <c r="L2118">
        <v>608626</v>
      </c>
      <c r="M2118" t="s">
        <v>2381</v>
      </c>
      <c r="P2118" t="s">
        <v>2427</v>
      </c>
      <c r="Q2118" t="s">
        <v>2383</v>
      </c>
      <c r="R2118">
        <v>1</v>
      </c>
      <c r="S2118" t="s">
        <v>2380</v>
      </c>
      <c r="T2118" t="s">
        <v>2383</v>
      </c>
      <c r="U2118" s="8">
        <v>45946.357372685183</v>
      </c>
      <c r="V2118" s="8">
        <v>45951.958333333336</v>
      </c>
      <c r="W2118">
        <v>1</v>
      </c>
      <c r="X2118">
        <v>2.4029861110000001</v>
      </c>
      <c r="Y2118" t="s">
        <v>2542</v>
      </c>
      <c r="Z2118" t="s">
        <v>5927</v>
      </c>
      <c r="AA2118" t="s">
        <v>2551</v>
      </c>
      <c r="AB2118" t="s">
        <v>1278</v>
      </c>
      <c r="AC2118" t="s">
        <v>5928</v>
      </c>
      <c r="AD2118" t="s">
        <v>2708</v>
      </c>
      <c r="AE2118">
        <v>1</v>
      </c>
      <c r="AO2118" t="s">
        <v>2547</v>
      </c>
      <c r="AP2118" t="s">
        <v>2401</v>
      </c>
    </row>
    <row r="2119" spans="1:42">
      <c r="A2119" t="s">
        <v>6457</v>
      </c>
      <c r="B2119" t="s">
        <v>2389</v>
      </c>
      <c r="C2119" t="s">
        <v>2390</v>
      </c>
      <c r="D2119" t="s">
        <v>2379</v>
      </c>
      <c r="E2119" t="s">
        <v>25</v>
      </c>
      <c r="F2119" t="s">
        <v>2541</v>
      </c>
      <c r="G2119" t="s">
        <v>25</v>
      </c>
      <c r="H2119" t="b">
        <v>1</v>
      </c>
      <c r="I2119" s="8">
        <v>45951.357499999998</v>
      </c>
      <c r="J2119" t="s">
        <v>2380</v>
      </c>
      <c r="K2119">
        <v>1203698</v>
      </c>
      <c r="L2119">
        <v>608626</v>
      </c>
      <c r="M2119" t="s">
        <v>2381</v>
      </c>
      <c r="N2119">
        <v>5</v>
      </c>
      <c r="P2119" t="s">
        <v>2427</v>
      </c>
      <c r="Q2119" t="s">
        <v>2383</v>
      </c>
      <c r="R2119">
        <v>1</v>
      </c>
      <c r="S2119" t="s">
        <v>2380</v>
      </c>
      <c r="T2119" t="s">
        <v>2383</v>
      </c>
      <c r="U2119" s="8">
        <v>45946.358148148145</v>
      </c>
      <c r="V2119" s="8">
        <v>45951.958333333336</v>
      </c>
      <c r="W2119">
        <v>1</v>
      </c>
      <c r="X2119">
        <v>2.9993518520000002</v>
      </c>
      <c r="Y2119" t="s">
        <v>2542</v>
      </c>
      <c r="Z2119" t="s">
        <v>6458</v>
      </c>
      <c r="AA2119" t="s">
        <v>2551</v>
      </c>
      <c r="AB2119" t="s">
        <v>1278</v>
      </c>
      <c r="AC2119" t="s">
        <v>6459</v>
      </c>
      <c r="AD2119" t="s">
        <v>2708</v>
      </c>
      <c r="AE2119">
        <v>1</v>
      </c>
      <c r="AO2119" t="s">
        <v>2547</v>
      </c>
      <c r="AP2119" t="s">
        <v>2401</v>
      </c>
    </row>
    <row r="2120" spans="1:42">
      <c r="A2120" t="s">
        <v>5126</v>
      </c>
      <c r="B2120" t="s">
        <v>2389</v>
      </c>
      <c r="C2120" t="s">
        <v>2691</v>
      </c>
      <c r="D2120" t="s">
        <v>2379</v>
      </c>
      <c r="E2120" t="s">
        <v>12</v>
      </c>
      <c r="F2120" t="s">
        <v>5085</v>
      </c>
      <c r="G2120" t="s">
        <v>12</v>
      </c>
      <c r="H2120" t="b">
        <v>1</v>
      </c>
      <c r="I2120" s="8">
        <v>45959.664583333331</v>
      </c>
      <c r="J2120" t="s">
        <v>2380</v>
      </c>
      <c r="K2120">
        <v>1205632</v>
      </c>
      <c r="L2120">
        <v>602945</v>
      </c>
      <c r="M2120" t="s">
        <v>2381</v>
      </c>
      <c r="P2120" t="s">
        <v>2427</v>
      </c>
      <c r="Q2120" t="s">
        <v>2383</v>
      </c>
      <c r="R2120">
        <v>1</v>
      </c>
      <c r="S2120" t="s">
        <v>2380</v>
      </c>
      <c r="T2120" t="s">
        <v>5117</v>
      </c>
      <c r="U2120" s="8">
        <v>45946.365358796298</v>
      </c>
      <c r="V2120" s="8">
        <v>45964.958333333336</v>
      </c>
      <c r="W2120">
        <v>1</v>
      </c>
      <c r="X2120">
        <v>9.2992245370000006</v>
      </c>
      <c r="Y2120" t="s">
        <v>5087</v>
      </c>
      <c r="Z2120" t="s">
        <v>5127</v>
      </c>
      <c r="AA2120" t="s">
        <v>5090</v>
      </c>
      <c r="AB2120" t="s">
        <v>1278</v>
      </c>
      <c r="AC2120" t="s">
        <v>5128</v>
      </c>
      <c r="AD2120" t="s">
        <v>2708</v>
      </c>
      <c r="AE2120">
        <v>1</v>
      </c>
      <c r="AO2120" t="s">
        <v>2720</v>
      </c>
      <c r="AP2120" t="s">
        <v>2401</v>
      </c>
    </row>
    <row r="2121" spans="1:42">
      <c r="A2121" t="s">
        <v>8301</v>
      </c>
      <c r="B2121" t="s">
        <v>2389</v>
      </c>
      <c r="C2121" t="s">
        <v>2390</v>
      </c>
      <c r="D2121" t="s">
        <v>2379</v>
      </c>
      <c r="E2121" t="s">
        <v>25</v>
      </c>
      <c r="F2121">
        <v>4240</v>
      </c>
      <c r="G2121" t="s">
        <v>25</v>
      </c>
      <c r="H2121" t="b">
        <v>1</v>
      </c>
      <c r="I2121" s="8">
        <v>45950.498611111114</v>
      </c>
      <c r="J2121" t="s">
        <v>2380</v>
      </c>
      <c r="K2121">
        <v>1203583</v>
      </c>
      <c r="L2121">
        <v>604106</v>
      </c>
      <c r="M2121" t="s">
        <v>2381</v>
      </c>
      <c r="N2121">
        <v>5</v>
      </c>
      <c r="P2121" t="s">
        <v>2394</v>
      </c>
      <c r="Q2121" t="s">
        <v>2395</v>
      </c>
      <c r="R2121">
        <v>1</v>
      </c>
      <c r="S2121" t="s">
        <v>2380</v>
      </c>
      <c r="T2121" t="s">
        <v>2383</v>
      </c>
      <c r="U2121" s="8">
        <v>45946.376770833333</v>
      </c>
      <c r="V2121" s="8">
        <v>45951.958333333336</v>
      </c>
      <c r="W2121">
        <v>1</v>
      </c>
      <c r="X2121">
        <v>2.1218402780000001</v>
      </c>
      <c r="Y2121" t="s">
        <v>8134</v>
      </c>
      <c r="Z2121" t="s">
        <v>8302</v>
      </c>
      <c r="AA2121" t="s">
        <v>8137</v>
      </c>
      <c r="AB2121" t="s">
        <v>1278</v>
      </c>
      <c r="AC2121" t="s">
        <v>8303</v>
      </c>
      <c r="AD2121" t="s">
        <v>2708</v>
      </c>
      <c r="AE2121">
        <v>1</v>
      </c>
      <c r="AO2121" t="s">
        <v>4137</v>
      </c>
      <c r="AP2121" t="s">
        <v>2401</v>
      </c>
    </row>
    <row r="2122" spans="1:42">
      <c r="A2122" t="s">
        <v>3724</v>
      </c>
      <c r="B2122" t="s">
        <v>2377</v>
      </c>
      <c r="C2122" t="s">
        <v>2415</v>
      </c>
      <c r="D2122" t="s">
        <v>2379</v>
      </c>
      <c r="E2122" t="s">
        <v>24</v>
      </c>
      <c r="F2122" t="s">
        <v>2431</v>
      </c>
      <c r="G2122" t="s">
        <v>24</v>
      </c>
      <c r="H2122" t="b">
        <v>1</v>
      </c>
      <c r="I2122" s="8">
        <v>45947.434340277781</v>
      </c>
      <c r="J2122" t="s">
        <v>2380</v>
      </c>
      <c r="L2122">
        <v>603299</v>
      </c>
      <c r="M2122" t="s">
        <v>2381</v>
      </c>
      <c r="Q2122" t="s">
        <v>2383</v>
      </c>
      <c r="R2122">
        <v>1</v>
      </c>
      <c r="S2122" t="s">
        <v>2380</v>
      </c>
      <c r="T2122" t="s">
        <v>2383</v>
      </c>
      <c r="U2122" s="8">
        <v>45946.378611111111</v>
      </c>
      <c r="V2122" s="8">
        <v>45951.958333333336</v>
      </c>
      <c r="W2122">
        <v>1</v>
      </c>
      <c r="X2122">
        <v>1.055729167</v>
      </c>
      <c r="Y2122" t="s">
        <v>2433</v>
      </c>
      <c r="Z2122" t="s">
        <v>3725</v>
      </c>
      <c r="AA2122" t="s">
        <v>3726</v>
      </c>
      <c r="AB2122" t="s">
        <v>1278</v>
      </c>
      <c r="AC2122" t="s">
        <v>2414</v>
      </c>
      <c r="AE2122">
        <v>1</v>
      </c>
      <c r="AO2122" t="s">
        <v>2720</v>
      </c>
      <c r="AP2122" t="s">
        <v>2401</v>
      </c>
    </row>
    <row r="2123" spans="1:42">
      <c r="A2123" t="s">
        <v>10021</v>
      </c>
      <c r="B2123" t="s">
        <v>2389</v>
      </c>
      <c r="C2123" t="s">
        <v>2691</v>
      </c>
      <c r="D2123" t="s">
        <v>2379</v>
      </c>
      <c r="E2123" t="s">
        <v>24</v>
      </c>
      <c r="F2123" t="s">
        <v>7888</v>
      </c>
      <c r="G2123" t="s">
        <v>24</v>
      </c>
      <c r="H2123" t="b">
        <v>1</v>
      </c>
      <c r="I2123" s="8">
        <v>45958.635057870371</v>
      </c>
      <c r="J2123" t="s">
        <v>2380</v>
      </c>
      <c r="L2123">
        <v>601102</v>
      </c>
      <c r="M2123" t="s">
        <v>2381</v>
      </c>
      <c r="P2123" t="s">
        <v>2394</v>
      </c>
      <c r="Q2123" t="s">
        <v>2383</v>
      </c>
      <c r="R2123">
        <v>1</v>
      </c>
      <c r="S2123" t="s">
        <v>2380</v>
      </c>
      <c r="T2123" t="s">
        <v>2383</v>
      </c>
      <c r="U2123" s="8">
        <v>45946.380289351851</v>
      </c>
      <c r="V2123" s="8">
        <v>45959.958333333336</v>
      </c>
      <c r="W2123">
        <v>1</v>
      </c>
      <c r="X2123">
        <v>8.2547685190000006</v>
      </c>
      <c r="Y2123" t="s">
        <v>7889</v>
      </c>
      <c r="Z2123" t="s">
        <v>10022</v>
      </c>
      <c r="AA2123" t="s">
        <v>7892</v>
      </c>
      <c r="AB2123" t="s">
        <v>1278</v>
      </c>
      <c r="AC2123" t="s">
        <v>10023</v>
      </c>
      <c r="AE2123">
        <v>1</v>
      </c>
      <c r="AO2123" t="s">
        <v>2957</v>
      </c>
      <c r="AP2123" t="s">
        <v>2401</v>
      </c>
    </row>
    <row r="2124" spans="1:42">
      <c r="A2124" t="s">
        <v>8241</v>
      </c>
      <c r="B2124" t="s">
        <v>2389</v>
      </c>
      <c r="C2124" t="s">
        <v>2378</v>
      </c>
      <c r="D2124" t="s">
        <v>2379</v>
      </c>
      <c r="E2124" t="s">
        <v>25</v>
      </c>
      <c r="F2124" t="s">
        <v>8239</v>
      </c>
      <c r="G2124" t="s">
        <v>25</v>
      </c>
      <c r="H2124" t="b">
        <v>1</v>
      </c>
      <c r="I2124" s="8">
        <v>45951.42291666667</v>
      </c>
      <c r="J2124" t="s">
        <v>2380</v>
      </c>
      <c r="K2124">
        <v>1203720</v>
      </c>
      <c r="L2124">
        <v>604452</v>
      </c>
      <c r="M2124" t="s">
        <v>2381</v>
      </c>
      <c r="N2124">
        <v>5</v>
      </c>
      <c r="P2124" t="s">
        <v>2394</v>
      </c>
      <c r="Q2124" t="s">
        <v>2395</v>
      </c>
      <c r="R2124">
        <v>1</v>
      </c>
      <c r="S2124" t="s">
        <v>2380</v>
      </c>
      <c r="T2124" t="s">
        <v>2383</v>
      </c>
      <c r="U2124" s="8">
        <v>45946.381053240744</v>
      </c>
      <c r="V2124" s="8">
        <v>45951.958333333336</v>
      </c>
      <c r="W2124">
        <v>1</v>
      </c>
      <c r="X2124">
        <v>3.0418634259999999</v>
      </c>
      <c r="Y2124" t="s">
        <v>8240</v>
      </c>
      <c r="Z2124" t="s">
        <v>8242</v>
      </c>
      <c r="AA2124" t="s">
        <v>8243</v>
      </c>
      <c r="AB2124" t="s">
        <v>1278</v>
      </c>
      <c r="AC2124" t="s">
        <v>8244</v>
      </c>
      <c r="AD2124" t="s">
        <v>2708</v>
      </c>
      <c r="AE2124">
        <v>1</v>
      </c>
      <c r="AO2124" t="s">
        <v>4137</v>
      </c>
      <c r="AP2124" t="s">
        <v>2401</v>
      </c>
    </row>
    <row r="2125" spans="1:42">
      <c r="A2125" t="s">
        <v>910</v>
      </c>
      <c r="B2125" t="s">
        <v>2377</v>
      </c>
      <c r="C2125" t="s">
        <v>2438</v>
      </c>
      <c r="D2125" t="s">
        <v>2379</v>
      </c>
      <c r="E2125" t="s">
        <v>15</v>
      </c>
      <c r="F2125" t="s">
        <v>5194</v>
      </c>
      <c r="G2125" t="s">
        <v>15</v>
      </c>
      <c r="H2125" t="b">
        <v>1</v>
      </c>
      <c r="I2125" s="8">
        <v>45946.606273148151</v>
      </c>
      <c r="J2125" t="s">
        <v>2393</v>
      </c>
      <c r="L2125">
        <v>605306</v>
      </c>
      <c r="M2125" t="s">
        <v>2381</v>
      </c>
      <c r="Q2125" t="s">
        <v>2383</v>
      </c>
      <c r="R2125">
        <v>1</v>
      </c>
      <c r="S2125" t="s">
        <v>2393</v>
      </c>
      <c r="T2125" t="s">
        <v>2383</v>
      </c>
      <c r="U2125" s="8">
        <v>45946.383692129632</v>
      </c>
      <c r="V2125" s="8">
        <v>45951.958333333336</v>
      </c>
      <c r="W2125">
        <v>1</v>
      </c>
      <c r="X2125">
        <v>0.22258101899999999</v>
      </c>
      <c r="Y2125" t="s">
        <v>5195</v>
      </c>
      <c r="Z2125" t="s">
        <v>5196</v>
      </c>
      <c r="AA2125" t="s">
        <v>5197</v>
      </c>
      <c r="AB2125" t="s">
        <v>1278</v>
      </c>
      <c r="AC2125" t="s">
        <v>5198</v>
      </c>
      <c r="AD2125" t="s">
        <v>2708</v>
      </c>
      <c r="AE2125">
        <v>1</v>
      </c>
      <c r="AH2125" t="s">
        <v>84</v>
      </c>
      <c r="AI2125" s="8">
        <v>45946.600046296298</v>
      </c>
      <c r="AK2125" t="s">
        <v>2719</v>
      </c>
      <c r="AL2125" t="s">
        <v>2719</v>
      </c>
      <c r="AO2125" t="s">
        <v>2400</v>
      </c>
      <c r="AP2125" t="s">
        <v>2401</v>
      </c>
    </row>
    <row r="2126" spans="1:42">
      <c r="A2126" t="s">
        <v>908</v>
      </c>
      <c r="B2126" t="s">
        <v>2377</v>
      </c>
      <c r="C2126" t="s">
        <v>2438</v>
      </c>
      <c r="D2126" t="s">
        <v>2379</v>
      </c>
      <c r="E2126" t="s">
        <v>15</v>
      </c>
      <c r="F2126" t="s">
        <v>5194</v>
      </c>
      <c r="G2126" t="s">
        <v>15</v>
      </c>
      <c r="H2126" t="b">
        <v>1</v>
      </c>
      <c r="I2126" s="8">
        <v>45946.606273148151</v>
      </c>
      <c r="J2126" t="s">
        <v>2393</v>
      </c>
      <c r="L2126">
        <v>605306</v>
      </c>
      <c r="M2126" t="s">
        <v>2381</v>
      </c>
      <c r="Q2126" t="s">
        <v>2383</v>
      </c>
      <c r="R2126">
        <v>1</v>
      </c>
      <c r="S2126" t="s">
        <v>2393</v>
      </c>
      <c r="T2126" t="s">
        <v>2383</v>
      </c>
      <c r="U2126" s="8">
        <v>45946.384166666663</v>
      </c>
      <c r="V2126" s="8">
        <v>45951.958333333336</v>
      </c>
      <c r="W2126">
        <v>1</v>
      </c>
      <c r="X2126">
        <v>0.22210648099999999</v>
      </c>
      <c r="Y2126" t="s">
        <v>5195</v>
      </c>
      <c r="Z2126" t="s">
        <v>5199</v>
      </c>
      <c r="AA2126" t="s">
        <v>5197</v>
      </c>
      <c r="AB2126" t="s">
        <v>1278</v>
      </c>
      <c r="AC2126" t="s">
        <v>5200</v>
      </c>
      <c r="AD2126" t="s">
        <v>2708</v>
      </c>
      <c r="AE2126">
        <v>1</v>
      </c>
      <c r="AH2126" t="s">
        <v>84</v>
      </c>
      <c r="AI2126" s="8">
        <v>45946.600162037037</v>
      </c>
      <c r="AK2126" t="s">
        <v>2719</v>
      </c>
      <c r="AL2126" t="s">
        <v>2719</v>
      </c>
      <c r="AO2126" t="s">
        <v>2400</v>
      </c>
      <c r="AP2126" t="s">
        <v>2401</v>
      </c>
    </row>
    <row r="2127" spans="1:42">
      <c r="A2127" t="s">
        <v>912</v>
      </c>
      <c r="B2127" t="s">
        <v>2377</v>
      </c>
      <c r="C2127" t="s">
        <v>2438</v>
      </c>
      <c r="D2127" t="s">
        <v>2379</v>
      </c>
      <c r="E2127" t="s">
        <v>15</v>
      </c>
      <c r="F2127" t="s">
        <v>5194</v>
      </c>
      <c r="G2127" t="s">
        <v>15</v>
      </c>
      <c r="H2127" t="b">
        <v>1</v>
      </c>
      <c r="I2127" s="8">
        <v>45946.606273148151</v>
      </c>
      <c r="J2127" t="s">
        <v>2393</v>
      </c>
      <c r="L2127">
        <v>605306</v>
      </c>
      <c r="M2127" t="s">
        <v>2381</v>
      </c>
      <c r="Q2127" t="s">
        <v>2383</v>
      </c>
      <c r="R2127">
        <v>1</v>
      </c>
      <c r="S2127" t="s">
        <v>2393</v>
      </c>
      <c r="T2127" t="s">
        <v>2383</v>
      </c>
      <c r="U2127" s="8">
        <v>45946.384583333333</v>
      </c>
      <c r="V2127" s="8">
        <v>45951.958333333336</v>
      </c>
      <c r="W2127">
        <v>1</v>
      </c>
      <c r="X2127">
        <v>0.22168981500000001</v>
      </c>
      <c r="Y2127" t="s">
        <v>5195</v>
      </c>
      <c r="Z2127" t="s">
        <v>5201</v>
      </c>
      <c r="AA2127" t="s">
        <v>5197</v>
      </c>
      <c r="AB2127" t="s">
        <v>1278</v>
      </c>
      <c r="AC2127" t="s">
        <v>5202</v>
      </c>
      <c r="AD2127" t="s">
        <v>2708</v>
      </c>
      <c r="AE2127">
        <v>1</v>
      </c>
      <c r="AH2127" t="s">
        <v>84</v>
      </c>
      <c r="AI2127" s="8">
        <v>45946.600405092591</v>
      </c>
      <c r="AK2127" t="s">
        <v>2719</v>
      </c>
      <c r="AL2127" t="s">
        <v>2719</v>
      </c>
      <c r="AO2127" t="s">
        <v>2400</v>
      </c>
      <c r="AP2127" t="s">
        <v>2401</v>
      </c>
    </row>
    <row r="2128" spans="1:42">
      <c r="A2128" t="s">
        <v>7977</v>
      </c>
      <c r="B2128" t="s">
        <v>2389</v>
      </c>
      <c r="C2128" t="s">
        <v>2378</v>
      </c>
      <c r="D2128" t="s">
        <v>2379</v>
      </c>
      <c r="E2128" t="s">
        <v>25</v>
      </c>
      <c r="F2128" t="s">
        <v>3514</v>
      </c>
      <c r="G2128" t="s">
        <v>25</v>
      </c>
      <c r="H2128" t="b">
        <v>1</v>
      </c>
      <c r="I2128" s="8">
        <v>45951.459178240744</v>
      </c>
      <c r="J2128" t="s">
        <v>2380</v>
      </c>
      <c r="K2128">
        <v>1203740</v>
      </c>
      <c r="L2128">
        <v>603695</v>
      </c>
      <c r="M2128" t="s">
        <v>2381</v>
      </c>
      <c r="N2128">
        <v>5</v>
      </c>
      <c r="P2128" t="s">
        <v>2394</v>
      </c>
      <c r="Q2128" t="s">
        <v>2383</v>
      </c>
      <c r="R2128">
        <v>1</v>
      </c>
      <c r="S2128" t="s">
        <v>2380</v>
      </c>
      <c r="T2128" t="s">
        <v>2383</v>
      </c>
      <c r="U2128" s="8">
        <v>45946.388067129628</v>
      </c>
      <c r="V2128" s="8">
        <v>45951.958333333336</v>
      </c>
      <c r="W2128">
        <v>1</v>
      </c>
      <c r="X2128">
        <v>3.071111111</v>
      </c>
      <c r="Y2128" t="s">
        <v>3515</v>
      </c>
      <c r="Z2128" t="s">
        <v>7978</v>
      </c>
      <c r="AA2128" t="s">
        <v>3518</v>
      </c>
      <c r="AB2128" t="s">
        <v>1278</v>
      </c>
      <c r="AC2128" t="s">
        <v>7979</v>
      </c>
      <c r="AD2128" t="s">
        <v>2708</v>
      </c>
      <c r="AE2128">
        <v>1</v>
      </c>
      <c r="AO2128" t="s">
        <v>2957</v>
      </c>
      <c r="AP2128" t="s">
        <v>2401</v>
      </c>
    </row>
    <row r="2129" spans="1:42">
      <c r="A2129" t="s">
        <v>7980</v>
      </c>
      <c r="B2129" t="s">
        <v>2389</v>
      </c>
      <c r="C2129" t="s">
        <v>2378</v>
      </c>
      <c r="D2129" t="s">
        <v>2379</v>
      </c>
      <c r="E2129" t="s">
        <v>25</v>
      </c>
      <c r="F2129" t="s">
        <v>3514</v>
      </c>
      <c r="G2129" t="s">
        <v>25</v>
      </c>
      <c r="H2129" t="b">
        <v>1</v>
      </c>
      <c r="I2129" s="8">
        <v>45951.460752314815</v>
      </c>
      <c r="J2129" t="s">
        <v>2380</v>
      </c>
      <c r="K2129">
        <v>1203742</v>
      </c>
      <c r="L2129">
        <v>603695</v>
      </c>
      <c r="M2129" t="s">
        <v>2381</v>
      </c>
      <c r="N2129">
        <v>5</v>
      </c>
      <c r="P2129" t="s">
        <v>2394</v>
      </c>
      <c r="Q2129" t="s">
        <v>2383</v>
      </c>
      <c r="R2129">
        <v>1</v>
      </c>
      <c r="S2129" t="s">
        <v>2380</v>
      </c>
      <c r="T2129" t="s">
        <v>2383</v>
      </c>
      <c r="U2129" s="8">
        <v>45946.389444444445</v>
      </c>
      <c r="V2129" s="8">
        <v>45951.958333333336</v>
      </c>
      <c r="W2129">
        <v>1</v>
      </c>
      <c r="X2129">
        <v>3.0713078700000001</v>
      </c>
      <c r="Y2129" t="s">
        <v>3515</v>
      </c>
      <c r="Z2129" t="s">
        <v>7981</v>
      </c>
      <c r="AA2129" t="s">
        <v>3518</v>
      </c>
      <c r="AB2129" t="s">
        <v>1278</v>
      </c>
      <c r="AC2129" t="s">
        <v>7982</v>
      </c>
      <c r="AD2129" t="s">
        <v>2708</v>
      </c>
      <c r="AE2129">
        <v>1</v>
      </c>
      <c r="AO2129" t="s">
        <v>2957</v>
      </c>
      <c r="AP2129" t="s">
        <v>2401</v>
      </c>
    </row>
    <row r="2130" spans="1:42">
      <c r="A2130" t="s">
        <v>3799</v>
      </c>
      <c r="B2130" t="s">
        <v>2377</v>
      </c>
      <c r="C2130" t="s">
        <v>2390</v>
      </c>
      <c r="D2130" t="s">
        <v>2379</v>
      </c>
      <c r="E2130" t="s">
        <v>307</v>
      </c>
      <c r="F2130" t="s">
        <v>3747</v>
      </c>
      <c r="G2130" t="s">
        <v>307</v>
      </c>
      <c r="H2130" t="b">
        <v>1</v>
      </c>
      <c r="I2130" s="8">
        <v>45948.558819444443</v>
      </c>
      <c r="J2130" t="s">
        <v>2380</v>
      </c>
      <c r="L2130">
        <v>609909</v>
      </c>
      <c r="M2130" t="s">
        <v>2381</v>
      </c>
      <c r="P2130" t="s">
        <v>2394</v>
      </c>
      <c r="Q2130" t="s">
        <v>2383</v>
      </c>
      <c r="R2130">
        <v>1</v>
      </c>
      <c r="S2130" t="s">
        <v>2380</v>
      </c>
      <c r="T2130" t="s">
        <v>2383</v>
      </c>
      <c r="U2130" s="8">
        <v>45946.389444444445</v>
      </c>
      <c r="V2130" s="8">
        <v>45951.958333333336</v>
      </c>
      <c r="W2130">
        <v>1</v>
      </c>
      <c r="X2130">
        <v>2.1693750000000001</v>
      </c>
      <c r="Y2130" t="s">
        <v>3748</v>
      </c>
      <c r="Z2130" t="s">
        <v>3800</v>
      </c>
      <c r="AA2130" t="s">
        <v>3790</v>
      </c>
      <c r="AB2130" t="s">
        <v>1278</v>
      </c>
      <c r="AC2130" t="s">
        <v>3787</v>
      </c>
      <c r="AE2130">
        <v>1</v>
      </c>
      <c r="AO2130" t="s">
        <v>2712</v>
      </c>
      <c r="AP2130" t="s">
        <v>2401</v>
      </c>
    </row>
    <row r="2131" spans="1:42">
      <c r="A2131" t="s">
        <v>5129</v>
      </c>
      <c r="B2131" t="s">
        <v>2389</v>
      </c>
      <c r="C2131" t="s">
        <v>2443</v>
      </c>
      <c r="D2131" t="s">
        <v>2443</v>
      </c>
      <c r="E2131" t="s">
        <v>12</v>
      </c>
      <c r="F2131" t="s">
        <v>3747</v>
      </c>
      <c r="G2131" t="s">
        <v>12</v>
      </c>
      <c r="H2131" t="b">
        <v>1</v>
      </c>
      <c r="I2131" s="8">
        <v>45958.657905092594</v>
      </c>
      <c r="J2131" t="s">
        <v>2380</v>
      </c>
      <c r="K2131">
        <v>1205371</v>
      </c>
      <c r="L2131">
        <v>601132</v>
      </c>
      <c r="M2131" t="s">
        <v>2381</v>
      </c>
      <c r="P2131" t="s">
        <v>2427</v>
      </c>
      <c r="Q2131" t="s">
        <v>2383</v>
      </c>
      <c r="R2131">
        <v>1</v>
      </c>
      <c r="S2131" t="s">
        <v>2380</v>
      </c>
      <c r="T2131" t="s">
        <v>5117</v>
      </c>
      <c r="U2131" s="8">
        <v>45946.394606481481</v>
      </c>
      <c r="V2131" s="8">
        <v>45951.958333333336</v>
      </c>
      <c r="W2131">
        <v>1</v>
      </c>
      <c r="X2131">
        <v>8.2632986109999997</v>
      </c>
      <c r="Y2131" t="s">
        <v>3748</v>
      </c>
      <c r="Z2131" t="s">
        <v>5130</v>
      </c>
      <c r="AA2131" t="s">
        <v>5131</v>
      </c>
      <c r="AB2131" t="s">
        <v>1278</v>
      </c>
      <c r="AC2131" t="s">
        <v>5132</v>
      </c>
      <c r="AD2131" t="s">
        <v>2708</v>
      </c>
      <c r="AE2131">
        <v>1</v>
      </c>
      <c r="AO2131" t="s">
        <v>2720</v>
      </c>
      <c r="AP2131" t="s">
        <v>2401</v>
      </c>
    </row>
    <row r="2132" spans="1:42">
      <c r="A2132" t="s">
        <v>5133</v>
      </c>
      <c r="B2132" t="s">
        <v>2389</v>
      </c>
      <c r="C2132" t="s">
        <v>2443</v>
      </c>
      <c r="D2132" t="s">
        <v>2443</v>
      </c>
      <c r="E2132" t="s">
        <v>12</v>
      </c>
      <c r="F2132" t="s">
        <v>3747</v>
      </c>
      <c r="G2132" t="s">
        <v>12</v>
      </c>
      <c r="H2132" t="b">
        <v>1</v>
      </c>
      <c r="I2132" s="8">
        <v>45958.652337962965</v>
      </c>
      <c r="J2132" t="s">
        <v>2380</v>
      </c>
      <c r="K2132">
        <v>1205366</v>
      </c>
      <c r="L2132">
        <v>601132</v>
      </c>
      <c r="M2132" t="s">
        <v>2381</v>
      </c>
      <c r="P2132" t="s">
        <v>2427</v>
      </c>
      <c r="Q2132" t="s">
        <v>2383</v>
      </c>
      <c r="R2132">
        <v>1</v>
      </c>
      <c r="S2132" t="s">
        <v>2380</v>
      </c>
      <c r="T2132" t="s">
        <v>5117</v>
      </c>
      <c r="U2132" s="8">
        <v>45946.395335648151</v>
      </c>
      <c r="V2132" s="8">
        <v>45951.958333333336</v>
      </c>
      <c r="W2132">
        <v>1</v>
      </c>
      <c r="X2132">
        <v>8.2570023149999994</v>
      </c>
      <c r="Y2132" t="s">
        <v>3748</v>
      </c>
      <c r="Z2132" t="s">
        <v>5134</v>
      </c>
      <c r="AA2132" t="s">
        <v>5131</v>
      </c>
      <c r="AB2132" t="s">
        <v>1278</v>
      </c>
      <c r="AC2132" t="s">
        <v>5135</v>
      </c>
      <c r="AD2132" t="s">
        <v>2708</v>
      </c>
      <c r="AE2132">
        <v>1</v>
      </c>
      <c r="AO2132" t="s">
        <v>2720</v>
      </c>
      <c r="AP2132" t="s">
        <v>2401</v>
      </c>
    </row>
    <row r="2133" spans="1:42">
      <c r="A2133" t="s">
        <v>5136</v>
      </c>
      <c r="B2133" t="s">
        <v>2389</v>
      </c>
      <c r="C2133" t="s">
        <v>2443</v>
      </c>
      <c r="D2133" t="s">
        <v>2443</v>
      </c>
      <c r="E2133" t="s">
        <v>12</v>
      </c>
      <c r="F2133" t="s">
        <v>3747</v>
      </c>
      <c r="G2133" t="s">
        <v>12</v>
      </c>
      <c r="H2133" t="b">
        <v>1</v>
      </c>
      <c r="I2133" s="8">
        <v>45958.654895833337</v>
      </c>
      <c r="J2133" t="s">
        <v>2380</v>
      </c>
      <c r="K2133">
        <v>1205369</v>
      </c>
      <c r="L2133">
        <v>601132</v>
      </c>
      <c r="M2133" t="s">
        <v>2381</v>
      </c>
      <c r="P2133" t="s">
        <v>2427</v>
      </c>
      <c r="Q2133" t="s">
        <v>2383</v>
      </c>
      <c r="R2133">
        <v>1</v>
      </c>
      <c r="S2133" t="s">
        <v>2380</v>
      </c>
      <c r="T2133" t="s">
        <v>5117</v>
      </c>
      <c r="U2133" s="8">
        <v>45946.395405092589</v>
      </c>
      <c r="V2133" s="8">
        <v>45951.958333333336</v>
      </c>
      <c r="W2133">
        <v>1</v>
      </c>
      <c r="X2133">
        <v>8.2594907410000005</v>
      </c>
      <c r="Y2133" t="s">
        <v>3748</v>
      </c>
      <c r="Z2133" t="s">
        <v>5137</v>
      </c>
      <c r="AA2133" t="s">
        <v>5131</v>
      </c>
      <c r="AB2133" t="s">
        <v>1278</v>
      </c>
      <c r="AC2133" t="s">
        <v>5138</v>
      </c>
      <c r="AD2133" t="s">
        <v>2708</v>
      </c>
      <c r="AE2133">
        <v>1</v>
      </c>
      <c r="AO2133" t="s">
        <v>2720</v>
      </c>
      <c r="AP2133" t="s">
        <v>2401</v>
      </c>
    </row>
    <row r="2134" spans="1:42">
      <c r="A2134" t="s">
        <v>7929</v>
      </c>
      <c r="B2134" t="s">
        <v>2389</v>
      </c>
      <c r="C2134" t="s">
        <v>2378</v>
      </c>
      <c r="D2134" t="s">
        <v>2379</v>
      </c>
      <c r="E2134" t="s">
        <v>28</v>
      </c>
      <c r="F2134" t="s">
        <v>3514</v>
      </c>
      <c r="G2134" t="s">
        <v>28</v>
      </c>
      <c r="H2134" t="b">
        <v>1</v>
      </c>
      <c r="I2134" s="8">
        <v>45951.522662037038</v>
      </c>
      <c r="J2134" t="s">
        <v>2380</v>
      </c>
      <c r="K2134">
        <v>1203804</v>
      </c>
      <c r="L2134">
        <v>603644</v>
      </c>
      <c r="M2134" t="s">
        <v>2381</v>
      </c>
      <c r="N2134">
        <v>15</v>
      </c>
      <c r="P2134" t="s">
        <v>2394</v>
      </c>
      <c r="Q2134" t="s">
        <v>2383</v>
      </c>
      <c r="R2134">
        <v>1</v>
      </c>
      <c r="S2134" t="s">
        <v>2380</v>
      </c>
      <c r="T2134" t="s">
        <v>2383</v>
      </c>
      <c r="U2134" s="8">
        <v>45946.396585648145</v>
      </c>
      <c r="V2134" s="8">
        <v>45951.958333333336</v>
      </c>
      <c r="W2134">
        <v>1</v>
      </c>
      <c r="X2134">
        <v>3.1260763890000001</v>
      </c>
      <c r="Y2134" t="s">
        <v>3515</v>
      </c>
      <c r="Z2134" t="s">
        <v>7930</v>
      </c>
      <c r="AA2134" t="s">
        <v>4830</v>
      </c>
      <c r="AB2134" t="s">
        <v>1278</v>
      </c>
      <c r="AC2134" t="s">
        <v>7931</v>
      </c>
      <c r="AD2134" t="s">
        <v>2708</v>
      </c>
      <c r="AE2134">
        <v>1</v>
      </c>
      <c r="AO2134" t="s">
        <v>2957</v>
      </c>
      <c r="AP2134" t="s">
        <v>2401</v>
      </c>
    </row>
    <row r="2135" spans="1:42">
      <c r="A2135" t="s">
        <v>5139</v>
      </c>
      <c r="B2135" t="s">
        <v>2389</v>
      </c>
      <c r="C2135" t="s">
        <v>2443</v>
      </c>
      <c r="D2135" t="s">
        <v>2443</v>
      </c>
      <c r="E2135" t="s">
        <v>12</v>
      </c>
      <c r="F2135" t="s">
        <v>3747</v>
      </c>
      <c r="G2135" t="s">
        <v>12</v>
      </c>
      <c r="H2135" t="b">
        <v>1</v>
      </c>
      <c r="I2135" s="8">
        <v>45958.664120370369</v>
      </c>
      <c r="J2135" t="s">
        <v>2380</v>
      </c>
      <c r="K2135">
        <v>1205384</v>
      </c>
      <c r="L2135">
        <v>601132</v>
      </c>
      <c r="M2135" t="s">
        <v>2381</v>
      </c>
      <c r="P2135" t="s">
        <v>2427</v>
      </c>
      <c r="Q2135" t="s">
        <v>2383</v>
      </c>
      <c r="R2135">
        <v>1</v>
      </c>
      <c r="S2135" t="s">
        <v>2380</v>
      </c>
      <c r="T2135" t="s">
        <v>5117</v>
      </c>
      <c r="U2135" s="8">
        <v>45946.396770833337</v>
      </c>
      <c r="V2135" s="8">
        <v>45951.958333333336</v>
      </c>
      <c r="W2135">
        <v>1</v>
      </c>
      <c r="X2135">
        <v>8.2673495369999994</v>
      </c>
      <c r="Y2135" t="s">
        <v>3748</v>
      </c>
      <c r="Z2135" t="s">
        <v>5140</v>
      </c>
      <c r="AA2135" t="s">
        <v>5131</v>
      </c>
      <c r="AB2135" t="s">
        <v>1278</v>
      </c>
      <c r="AC2135" t="s">
        <v>5141</v>
      </c>
      <c r="AD2135" t="s">
        <v>2708</v>
      </c>
      <c r="AE2135">
        <v>1</v>
      </c>
      <c r="AO2135" t="s">
        <v>2720</v>
      </c>
      <c r="AP2135" t="s">
        <v>2401</v>
      </c>
    </row>
    <row r="2136" spans="1:42">
      <c r="A2136" t="s">
        <v>10015</v>
      </c>
      <c r="B2136" t="s">
        <v>2389</v>
      </c>
      <c r="C2136" t="s">
        <v>2378</v>
      </c>
      <c r="D2136" t="s">
        <v>2379</v>
      </c>
      <c r="E2136" t="s">
        <v>24</v>
      </c>
      <c r="F2136" t="s">
        <v>4709</v>
      </c>
      <c r="G2136" t="s">
        <v>24</v>
      </c>
      <c r="H2136" t="b">
        <v>1</v>
      </c>
      <c r="I2136" s="8">
        <v>45951.425520833334</v>
      </c>
      <c r="J2136" t="s">
        <v>2380</v>
      </c>
      <c r="L2136">
        <v>603168</v>
      </c>
      <c r="M2136" t="s">
        <v>2381</v>
      </c>
      <c r="P2136" t="s">
        <v>2394</v>
      </c>
      <c r="Q2136" t="s">
        <v>2383</v>
      </c>
      <c r="R2136">
        <v>1</v>
      </c>
      <c r="S2136" t="s">
        <v>2380</v>
      </c>
      <c r="T2136" t="s">
        <v>2383</v>
      </c>
      <c r="U2136" s="8">
        <v>45946.397245370368</v>
      </c>
      <c r="V2136" s="8">
        <v>45951.958333333336</v>
      </c>
      <c r="W2136">
        <v>1</v>
      </c>
      <c r="X2136">
        <v>3.0282754629999999</v>
      </c>
      <c r="Y2136" t="s">
        <v>4653</v>
      </c>
      <c r="Z2136" t="s">
        <v>10016</v>
      </c>
      <c r="AA2136" t="s">
        <v>4712</v>
      </c>
      <c r="AB2136" t="s">
        <v>1278</v>
      </c>
      <c r="AE2136">
        <v>1</v>
      </c>
      <c r="AO2136" t="s">
        <v>2957</v>
      </c>
      <c r="AP2136" t="s">
        <v>2401</v>
      </c>
    </row>
    <row r="2137" spans="1:42">
      <c r="A2137" t="s">
        <v>6986</v>
      </c>
      <c r="B2137" t="s">
        <v>2389</v>
      </c>
      <c r="C2137" t="s">
        <v>2378</v>
      </c>
      <c r="D2137" t="s">
        <v>2379</v>
      </c>
      <c r="E2137" t="s">
        <v>2452</v>
      </c>
      <c r="F2137">
        <v>3802</v>
      </c>
      <c r="G2137" t="s">
        <v>2452</v>
      </c>
      <c r="H2137" t="b">
        <v>1</v>
      </c>
      <c r="I2137" s="8">
        <v>45951.533252314817</v>
      </c>
      <c r="J2137" t="s">
        <v>2380</v>
      </c>
      <c r="K2137">
        <v>1203806</v>
      </c>
      <c r="L2137">
        <v>609845</v>
      </c>
      <c r="M2137" t="s">
        <v>2381</v>
      </c>
      <c r="P2137" t="s">
        <v>2394</v>
      </c>
      <c r="Q2137" t="s">
        <v>2383</v>
      </c>
      <c r="R2137">
        <v>1</v>
      </c>
      <c r="S2137" t="s">
        <v>2380</v>
      </c>
      <c r="T2137" t="s">
        <v>2383</v>
      </c>
      <c r="U2137" s="8">
        <v>45946.397245370368</v>
      </c>
      <c r="V2137" s="8">
        <v>45951.958333333336</v>
      </c>
      <c r="W2137">
        <v>1</v>
      </c>
      <c r="X2137">
        <v>3.136006944</v>
      </c>
      <c r="Y2137" t="s">
        <v>4477</v>
      </c>
      <c r="Z2137" t="s">
        <v>6987</v>
      </c>
      <c r="AA2137" t="s">
        <v>4480</v>
      </c>
      <c r="AB2137" t="s">
        <v>1278</v>
      </c>
      <c r="AC2137" t="s">
        <v>6988</v>
      </c>
      <c r="AD2137" t="s">
        <v>2708</v>
      </c>
      <c r="AE2137">
        <v>1</v>
      </c>
      <c r="AO2137" t="s">
        <v>2388</v>
      </c>
      <c r="AP2137" t="s">
        <v>2401</v>
      </c>
    </row>
    <row r="2138" spans="1:42">
      <c r="A2138" t="s">
        <v>7176</v>
      </c>
      <c r="B2138" t="s">
        <v>2389</v>
      </c>
      <c r="C2138" t="s">
        <v>2443</v>
      </c>
      <c r="D2138" t="s">
        <v>2443</v>
      </c>
      <c r="E2138" t="s">
        <v>25</v>
      </c>
      <c r="F2138" t="s">
        <v>4566</v>
      </c>
      <c r="G2138" t="s">
        <v>2723</v>
      </c>
      <c r="H2138" t="b">
        <v>1</v>
      </c>
      <c r="I2138" s="8">
        <v>45952.288321759261</v>
      </c>
      <c r="J2138" t="s">
        <v>2380</v>
      </c>
      <c r="K2138">
        <v>1203642</v>
      </c>
      <c r="L2138">
        <v>603800</v>
      </c>
      <c r="M2138" t="s">
        <v>2381</v>
      </c>
      <c r="P2138" t="s">
        <v>2394</v>
      </c>
      <c r="Q2138" t="s">
        <v>2383</v>
      </c>
      <c r="R2138">
        <v>1</v>
      </c>
      <c r="S2138" t="s">
        <v>2380</v>
      </c>
      <c r="T2138" t="s">
        <v>2383</v>
      </c>
      <c r="U2138" s="8">
        <v>45946.397951388892</v>
      </c>
      <c r="V2138" s="8">
        <v>45951.958333333336</v>
      </c>
      <c r="W2138">
        <v>1</v>
      </c>
      <c r="X2138">
        <v>3.8903703699999999</v>
      </c>
      <c r="Y2138" t="s">
        <v>4567</v>
      </c>
      <c r="Z2138" t="s">
        <v>7177</v>
      </c>
      <c r="AA2138" t="s">
        <v>4570</v>
      </c>
      <c r="AB2138" t="s">
        <v>1278</v>
      </c>
      <c r="AD2138" t="s">
        <v>2708</v>
      </c>
      <c r="AE2138">
        <v>1</v>
      </c>
      <c r="AO2138" t="s">
        <v>2388</v>
      </c>
      <c r="AP2138" t="s">
        <v>2401</v>
      </c>
    </row>
    <row r="2139" spans="1:42">
      <c r="A2139" t="s">
        <v>5818</v>
      </c>
      <c r="B2139" t="s">
        <v>2389</v>
      </c>
      <c r="C2139" t="s">
        <v>2390</v>
      </c>
      <c r="D2139" t="s">
        <v>2379</v>
      </c>
      <c r="E2139" t="s">
        <v>2452</v>
      </c>
      <c r="F2139" t="s">
        <v>2541</v>
      </c>
      <c r="G2139" t="s">
        <v>33</v>
      </c>
      <c r="H2139" t="b">
        <v>1</v>
      </c>
      <c r="I2139" s="8">
        <v>45950.564803240741</v>
      </c>
      <c r="J2139" t="s">
        <v>2380</v>
      </c>
      <c r="K2139">
        <v>1203607</v>
      </c>
      <c r="L2139">
        <v>608142</v>
      </c>
      <c r="M2139" t="s">
        <v>2381</v>
      </c>
      <c r="P2139" t="s">
        <v>3117</v>
      </c>
      <c r="Q2139" t="s">
        <v>2383</v>
      </c>
      <c r="R2139">
        <v>1</v>
      </c>
      <c r="S2139" t="s">
        <v>2380</v>
      </c>
      <c r="T2139" t="s">
        <v>2383</v>
      </c>
      <c r="U2139" s="8">
        <v>45946.400567129633</v>
      </c>
      <c r="V2139" s="8">
        <v>45951.958333333336</v>
      </c>
      <c r="W2139">
        <v>1</v>
      </c>
      <c r="X2139">
        <v>2.1642361110000001</v>
      </c>
      <c r="Y2139" t="s">
        <v>2542</v>
      </c>
      <c r="Z2139" t="s">
        <v>5819</v>
      </c>
      <c r="AA2139" t="s">
        <v>3115</v>
      </c>
      <c r="AB2139" t="s">
        <v>1278</v>
      </c>
      <c r="AC2139" t="s">
        <v>5820</v>
      </c>
      <c r="AD2139" t="s">
        <v>2708</v>
      </c>
      <c r="AE2139">
        <v>1</v>
      </c>
      <c r="AO2139" t="s">
        <v>2547</v>
      </c>
      <c r="AP2139" t="s">
        <v>2401</v>
      </c>
    </row>
    <row r="2140" spans="1:42">
      <c r="A2140" t="s">
        <v>6178</v>
      </c>
      <c r="B2140" t="s">
        <v>2389</v>
      </c>
      <c r="C2140" t="s">
        <v>2390</v>
      </c>
      <c r="D2140" t="s">
        <v>2379</v>
      </c>
      <c r="E2140" t="s">
        <v>25</v>
      </c>
      <c r="F2140" t="s">
        <v>2541</v>
      </c>
      <c r="G2140" t="s">
        <v>25</v>
      </c>
      <c r="H2140" t="b">
        <v>1</v>
      </c>
      <c r="I2140" s="8">
        <v>45950.458460648151</v>
      </c>
      <c r="J2140" t="s">
        <v>2380</v>
      </c>
      <c r="K2140">
        <v>1203540</v>
      </c>
      <c r="L2140">
        <v>608634</v>
      </c>
      <c r="M2140" t="s">
        <v>2381</v>
      </c>
      <c r="N2140">
        <v>5</v>
      </c>
      <c r="P2140" t="s">
        <v>3117</v>
      </c>
      <c r="Q2140" t="s">
        <v>2383</v>
      </c>
      <c r="R2140">
        <v>1</v>
      </c>
      <c r="S2140" t="s">
        <v>2380</v>
      </c>
      <c r="T2140" t="s">
        <v>2383</v>
      </c>
      <c r="U2140" s="8">
        <v>45946.400578703702</v>
      </c>
      <c r="V2140" s="8">
        <v>45951.958333333336</v>
      </c>
      <c r="W2140">
        <v>1</v>
      </c>
      <c r="X2140">
        <v>2.057881944</v>
      </c>
      <c r="Y2140" t="s">
        <v>2542</v>
      </c>
      <c r="Z2140" t="s">
        <v>6179</v>
      </c>
      <c r="AA2140" t="s">
        <v>3154</v>
      </c>
      <c r="AB2140" t="s">
        <v>1278</v>
      </c>
      <c r="AC2140" t="s">
        <v>6180</v>
      </c>
      <c r="AD2140" t="s">
        <v>2708</v>
      </c>
      <c r="AE2140">
        <v>1</v>
      </c>
      <c r="AO2140" t="s">
        <v>2547</v>
      </c>
      <c r="AP2140" t="s">
        <v>2401</v>
      </c>
    </row>
    <row r="2141" spans="1:42">
      <c r="A2141" t="s">
        <v>5478</v>
      </c>
      <c r="B2141" t="s">
        <v>2389</v>
      </c>
      <c r="C2141" t="s">
        <v>2390</v>
      </c>
      <c r="D2141" t="s">
        <v>2379</v>
      </c>
      <c r="E2141" t="s">
        <v>28</v>
      </c>
      <c r="F2141" t="s">
        <v>2431</v>
      </c>
      <c r="G2141" t="s">
        <v>28</v>
      </c>
      <c r="H2141" t="b">
        <v>1</v>
      </c>
      <c r="I2141" s="8">
        <v>45950.655694444446</v>
      </c>
      <c r="J2141" t="s">
        <v>2380</v>
      </c>
      <c r="K2141">
        <v>1203671</v>
      </c>
      <c r="L2141">
        <v>602925</v>
      </c>
      <c r="M2141" t="s">
        <v>2381</v>
      </c>
      <c r="N2141">
        <v>15</v>
      </c>
      <c r="P2141" t="s">
        <v>2394</v>
      </c>
      <c r="Q2141" t="s">
        <v>2383</v>
      </c>
      <c r="R2141">
        <v>1</v>
      </c>
      <c r="S2141" t="s">
        <v>2380</v>
      </c>
      <c r="T2141" t="s">
        <v>2383</v>
      </c>
      <c r="U2141" s="8">
        <v>45946.404953703706</v>
      </c>
      <c r="V2141" s="8">
        <v>45951.958333333336</v>
      </c>
      <c r="W2141">
        <v>1</v>
      </c>
      <c r="X2141">
        <v>2.250740741</v>
      </c>
      <c r="Y2141" t="s">
        <v>2433</v>
      </c>
      <c r="Z2141" t="s">
        <v>5479</v>
      </c>
      <c r="AA2141" t="s">
        <v>5367</v>
      </c>
      <c r="AB2141" t="s">
        <v>1278</v>
      </c>
      <c r="AC2141" t="s">
        <v>5480</v>
      </c>
      <c r="AD2141" t="s">
        <v>2708</v>
      </c>
      <c r="AE2141">
        <v>1</v>
      </c>
      <c r="AO2141" t="s">
        <v>2408</v>
      </c>
      <c r="AP2141" t="s">
        <v>2401</v>
      </c>
    </row>
    <row r="2142" spans="1:42">
      <c r="A2142" t="s">
        <v>7281</v>
      </c>
      <c r="B2142" t="s">
        <v>2389</v>
      </c>
      <c r="C2142" t="s">
        <v>2390</v>
      </c>
      <c r="D2142" t="s">
        <v>2379</v>
      </c>
      <c r="E2142" t="s">
        <v>25</v>
      </c>
      <c r="F2142" t="s">
        <v>2578</v>
      </c>
      <c r="G2142" t="s">
        <v>25</v>
      </c>
      <c r="H2142" t="b">
        <v>1</v>
      </c>
      <c r="I2142" s="8">
        <v>45950.68545138889</v>
      </c>
      <c r="J2142" t="s">
        <v>2380</v>
      </c>
      <c r="K2142">
        <v>1203691</v>
      </c>
      <c r="L2142">
        <v>601924</v>
      </c>
      <c r="M2142" t="s">
        <v>2381</v>
      </c>
      <c r="N2142">
        <v>5</v>
      </c>
      <c r="Q2142" t="s">
        <v>2383</v>
      </c>
      <c r="R2142">
        <v>1</v>
      </c>
      <c r="S2142" t="s">
        <v>2380</v>
      </c>
      <c r="T2142" t="s">
        <v>2383</v>
      </c>
      <c r="U2142" s="8">
        <v>45946.410543981481</v>
      </c>
      <c r="V2142" s="8">
        <v>45951.958333333336</v>
      </c>
      <c r="W2142">
        <v>1</v>
      </c>
      <c r="X2142">
        <v>2.2749074070000002</v>
      </c>
      <c r="Y2142" t="s">
        <v>2579</v>
      </c>
      <c r="Z2142" t="s">
        <v>7282</v>
      </c>
      <c r="AA2142" t="s">
        <v>6640</v>
      </c>
      <c r="AB2142" t="s">
        <v>1278</v>
      </c>
      <c r="AC2142" t="s">
        <v>7283</v>
      </c>
      <c r="AD2142" t="s">
        <v>2708</v>
      </c>
      <c r="AE2142">
        <v>1</v>
      </c>
      <c r="AO2142" t="s">
        <v>2388</v>
      </c>
      <c r="AP2142" t="s">
        <v>2401</v>
      </c>
    </row>
    <row r="2143" spans="1:42">
      <c r="A2143" t="s">
        <v>7536</v>
      </c>
      <c r="B2143" t="s">
        <v>2389</v>
      </c>
      <c r="C2143" t="s">
        <v>2415</v>
      </c>
      <c r="D2143" t="s">
        <v>2379</v>
      </c>
      <c r="E2143" t="s">
        <v>33</v>
      </c>
      <c r="F2143" t="s">
        <v>4709</v>
      </c>
      <c r="G2143" t="s">
        <v>33</v>
      </c>
      <c r="H2143" t="b">
        <v>1</v>
      </c>
      <c r="I2143" s="8">
        <v>45949.657361111109</v>
      </c>
      <c r="J2143" t="s">
        <v>2380</v>
      </c>
      <c r="K2143">
        <v>1203452</v>
      </c>
      <c r="L2143">
        <v>603168</v>
      </c>
      <c r="M2143" t="s">
        <v>2381</v>
      </c>
      <c r="P2143" t="s">
        <v>2394</v>
      </c>
      <c r="Q2143" t="s">
        <v>2383</v>
      </c>
      <c r="R2143">
        <v>1</v>
      </c>
      <c r="S2143" t="s">
        <v>2380</v>
      </c>
      <c r="T2143" t="s">
        <v>2383</v>
      </c>
      <c r="U2143" s="8">
        <v>45946.413449074076</v>
      </c>
      <c r="V2143" s="8">
        <v>45951.958333333336</v>
      </c>
      <c r="W2143">
        <v>1</v>
      </c>
      <c r="X2143">
        <v>1.2439120370000001</v>
      </c>
      <c r="Y2143" t="s">
        <v>4653</v>
      </c>
      <c r="Z2143" t="s">
        <v>7537</v>
      </c>
      <c r="AA2143" t="s">
        <v>4712</v>
      </c>
      <c r="AB2143" t="s">
        <v>1278</v>
      </c>
      <c r="AC2143" t="s">
        <v>7538</v>
      </c>
      <c r="AD2143" t="s">
        <v>2708</v>
      </c>
      <c r="AE2143">
        <v>1</v>
      </c>
      <c r="AO2143" t="s">
        <v>2957</v>
      </c>
      <c r="AP2143" t="s">
        <v>2401</v>
      </c>
    </row>
    <row r="2144" spans="1:42">
      <c r="A2144" t="s">
        <v>9443</v>
      </c>
      <c r="B2144" t="s">
        <v>2389</v>
      </c>
      <c r="C2144" t="s">
        <v>2390</v>
      </c>
      <c r="D2144" t="s">
        <v>2379</v>
      </c>
      <c r="E2144" t="s">
        <v>25</v>
      </c>
      <c r="F2144" t="s">
        <v>2779</v>
      </c>
      <c r="G2144" t="s">
        <v>25</v>
      </c>
      <c r="H2144" t="b">
        <v>1</v>
      </c>
      <c r="I2144" s="8">
        <v>45950.596319444441</v>
      </c>
      <c r="J2144" t="s">
        <v>2380</v>
      </c>
      <c r="K2144">
        <v>1203634</v>
      </c>
      <c r="L2144">
        <v>605620</v>
      </c>
      <c r="M2144" t="s">
        <v>2381</v>
      </c>
      <c r="N2144">
        <v>5</v>
      </c>
      <c r="P2144" t="s">
        <v>2394</v>
      </c>
      <c r="Q2144" t="s">
        <v>2383</v>
      </c>
      <c r="R2144">
        <v>1</v>
      </c>
      <c r="S2144" t="s">
        <v>2380</v>
      </c>
      <c r="T2144" t="s">
        <v>2383</v>
      </c>
      <c r="U2144" s="8">
        <v>45946.414884259262</v>
      </c>
      <c r="V2144" s="8">
        <v>45951.958333333336</v>
      </c>
      <c r="W2144">
        <v>1</v>
      </c>
      <c r="X2144">
        <v>2.1814351850000002</v>
      </c>
      <c r="Y2144" t="s">
        <v>1352</v>
      </c>
      <c r="Z2144" t="s">
        <v>9444</v>
      </c>
      <c r="AA2144" t="s">
        <v>9438</v>
      </c>
      <c r="AB2144" t="s">
        <v>1278</v>
      </c>
      <c r="AC2144" t="s">
        <v>9445</v>
      </c>
      <c r="AD2144" t="s">
        <v>2708</v>
      </c>
      <c r="AE2144">
        <v>1</v>
      </c>
      <c r="AO2144" t="s">
        <v>2408</v>
      </c>
      <c r="AP2144" t="s">
        <v>8931</v>
      </c>
    </row>
    <row r="2145" spans="1:42">
      <c r="A2145" t="s">
        <v>9446</v>
      </c>
      <c r="B2145" t="s">
        <v>2389</v>
      </c>
      <c r="C2145" t="s">
        <v>2390</v>
      </c>
      <c r="D2145" t="s">
        <v>2379</v>
      </c>
      <c r="E2145" t="s">
        <v>25</v>
      </c>
      <c r="F2145" t="s">
        <v>2779</v>
      </c>
      <c r="G2145" t="s">
        <v>25</v>
      </c>
      <c r="H2145" t="b">
        <v>1</v>
      </c>
      <c r="I2145" s="8">
        <v>45950.602187500001</v>
      </c>
      <c r="J2145" t="s">
        <v>2380</v>
      </c>
      <c r="K2145">
        <v>1203638</v>
      </c>
      <c r="L2145">
        <v>605620</v>
      </c>
      <c r="M2145" t="s">
        <v>2381</v>
      </c>
      <c r="N2145">
        <v>5</v>
      </c>
      <c r="P2145" t="s">
        <v>2394</v>
      </c>
      <c r="Q2145" t="s">
        <v>2383</v>
      </c>
      <c r="R2145">
        <v>1</v>
      </c>
      <c r="S2145" t="s">
        <v>2380</v>
      </c>
      <c r="T2145" t="s">
        <v>2383</v>
      </c>
      <c r="U2145" s="8">
        <v>45946.414942129632</v>
      </c>
      <c r="V2145" s="8">
        <v>45951.958333333336</v>
      </c>
      <c r="W2145">
        <v>1</v>
      </c>
      <c r="X2145">
        <v>2.1872453699999999</v>
      </c>
      <c r="Y2145" t="s">
        <v>1352</v>
      </c>
      <c r="Z2145" t="s">
        <v>9447</v>
      </c>
      <c r="AA2145" t="s">
        <v>9438</v>
      </c>
      <c r="AB2145" t="s">
        <v>1278</v>
      </c>
      <c r="AC2145" t="s">
        <v>9448</v>
      </c>
      <c r="AD2145" t="s">
        <v>2708</v>
      </c>
      <c r="AE2145">
        <v>1</v>
      </c>
      <c r="AO2145" t="s">
        <v>2408</v>
      </c>
      <c r="AP2145" t="s">
        <v>8931</v>
      </c>
    </row>
    <row r="2146" spans="1:42">
      <c r="A2146" t="s">
        <v>7341</v>
      </c>
      <c r="B2146" t="s">
        <v>2389</v>
      </c>
      <c r="C2146" t="s">
        <v>2390</v>
      </c>
      <c r="D2146" t="s">
        <v>2379</v>
      </c>
      <c r="E2146" t="s">
        <v>25</v>
      </c>
      <c r="F2146" t="s">
        <v>4566</v>
      </c>
      <c r="G2146" t="s">
        <v>25</v>
      </c>
      <c r="H2146" t="b">
        <v>1</v>
      </c>
      <c r="I2146" s="8">
        <v>45950.614745370367</v>
      </c>
      <c r="J2146" t="s">
        <v>2380</v>
      </c>
      <c r="K2146">
        <v>1203641</v>
      </c>
      <c r="L2146">
        <v>603800</v>
      </c>
      <c r="M2146" t="s">
        <v>2381</v>
      </c>
      <c r="N2146">
        <v>5</v>
      </c>
      <c r="P2146" t="s">
        <v>2394</v>
      </c>
      <c r="Q2146" t="s">
        <v>2383</v>
      </c>
      <c r="R2146">
        <v>1</v>
      </c>
      <c r="S2146" t="s">
        <v>2380</v>
      </c>
      <c r="T2146" t="s">
        <v>2383</v>
      </c>
      <c r="U2146" s="8">
        <v>45946.418437499997</v>
      </c>
      <c r="V2146" s="8">
        <v>45951.958333333336</v>
      </c>
      <c r="W2146">
        <v>1</v>
      </c>
      <c r="X2146">
        <v>2.1963078700000001</v>
      </c>
      <c r="Y2146" t="s">
        <v>4567</v>
      </c>
      <c r="Z2146" t="s">
        <v>7342</v>
      </c>
      <c r="AA2146" t="s">
        <v>4570</v>
      </c>
      <c r="AB2146" t="s">
        <v>1278</v>
      </c>
      <c r="AC2146" t="s">
        <v>7343</v>
      </c>
      <c r="AD2146" t="s">
        <v>2708</v>
      </c>
      <c r="AE2146">
        <v>1</v>
      </c>
      <c r="AO2146" t="s">
        <v>2388</v>
      </c>
      <c r="AP2146" t="s">
        <v>2401</v>
      </c>
    </row>
    <row r="2147" spans="1:42">
      <c r="A2147" t="s">
        <v>923</v>
      </c>
      <c r="B2147" t="s">
        <v>2377</v>
      </c>
      <c r="C2147" t="s">
        <v>2438</v>
      </c>
      <c r="D2147" t="s">
        <v>2379</v>
      </c>
      <c r="E2147" t="s">
        <v>12</v>
      </c>
      <c r="F2147" t="s">
        <v>3921</v>
      </c>
      <c r="G2147" t="s">
        <v>12</v>
      </c>
      <c r="H2147" t="b">
        <v>1</v>
      </c>
      <c r="I2147" s="8">
        <v>45946.468182870369</v>
      </c>
      <c r="J2147" t="s">
        <v>2380</v>
      </c>
      <c r="L2147">
        <v>608029</v>
      </c>
      <c r="M2147" t="s">
        <v>2381</v>
      </c>
      <c r="Q2147" t="s">
        <v>2383</v>
      </c>
      <c r="R2147">
        <v>1</v>
      </c>
      <c r="S2147" t="s">
        <v>2380</v>
      </c>
      <c r="T2147" t="s">
        <v>2383</v>
      </c>
      <c r="U2147" s="8">
        <v>45946.42119212963</v>
      </c>
      <c r="V2147" s="8">
        <v>45951.958333333336</v>
      </c>
      <c r="W2147">
        <v>1</v>
      </c>
      <c r="X2147">
        <v>4.6990741000000003E-2</v>
      </c>
      <c r="Y2147" t="s">
        <v>1352</v>
      </c>
      <c r="Z2147" t="s">
        <v>3926</v>
      </c>
      <c r="AA2147" t="s">
        <v>3923</v>
      </c>
      <c r="AB2147" t="s">
        <v>1278</v>
      </c>
      <c r="AC2147" t="s">
        <v>922</v>
      </c>
      <c r="AD2147" t="s">
        <v>2708</v>
      </c>
      <c r="AE2147">
        <v>1</v>
      </c>
      <c r="AO2147" t="s">
        <v>2720</v>
      </c>
      <c r="AP2147" t="s">
        <v>2401</v>
      </c>
    </row>
    <row r="2148" spans="1:42">
      <c r="A2148" t="s">
        <v>46</v>
      </c>
      <c r="B2148" t="s">
        <v>2377</v>
      </c>
      <c r="C2148" t="s">
        <v>2438</v>
      </c>
      <c r="D2148" t="s">
        <v>2379</v>
      </c>
      <c r="E2148" t="s">
        <v>12</v>
      </c>
      <c r="F2148" t="s">
        <v>3921</v>
      </c>
      <c r="G2148" t="s">
        <v>12</v>
      </c>
      <c r="H2148" t="b">
        <v>1</v>
      </c>
      <c r="I2148" s="8">
        <v>45946.457199074073</v>
      </c>
      <c r="J2148" t="s">
        <v>2380</v>
      </c>
      <c r="L2148">
        <v>608029</v>
      </c>
      <c r="M2148" t="s">
        <v>2381</v>
      </c>
      <c r="Q2148" t="s">
        <v>2383</v>
      </c>
      <c r="R2148">
        <v>1</v>
      </c>
      <c r="S2148" t="s">
        <v>2380</v>
      </c>
      <c r="T2148" t="s">
        <v>2383</v>
      </c>
      <c r="U2148" s="8">
        <v>45946.421631944446</v>
      </c>
      <c r="V2148" s="8">
        <v>45951.958333333336</v>
      </c>
      <c r="W2148">
        <v>1</v>
      </c>
      <c r="X2148">
        <v>3.5567130000000002E-2</v>
      </c>
      <c r="Y2148" t="s">
        <v>1352</v>
      </c>
      <c r="Z2148" t="s">
        <v>3927</v>
      </c>
      <c r="AA2148" t="s">
        <v>3923</v>
      </c>
      <c r="AB2148" t="s">
        <v>1278</v>
      </c>
      <c r="AC2148" t="s">
        <v>23</v>
      </c>
      <c r="AD2148" t="s">
        <v>2708</v>
      </c>
      <c r="AE2148">
        <v>1</v>
      </c>
      <c r="AO2148" t="s">
        <v>2720</v>
      </c>
      <c r="AP2148" t="s">
        <v>2401</v>
      </c>
    </row>
    <row r="2149" spans="1:42">
      <c r="A2149" t="s">
        <v>50</v>
      </c>
      <c r="B2149" t="s">
        <v>2377</v>
      </c>
      <c r="C2149" t="s">
        <v>2438</v>
      </c>
      <c r="D2149" t="s">
        <v>2379</v>
      </c>
      <c r="E2149" t="s">
        <v>12</v>
      </c>
      <c r="F2149" t="s">
        <v>3921</v>
      </c>
      <c r="G2149" t="s">
        <v>12</v>
      </c>
      <c r="H2149" t="b">
        <v>1</v>
      </c>
      <c r="I2149" s="8">
        <v>45946.467650462961</v>
      </c>
      <c r="J2149" t="s">
        <v>2380</v>
      </c>
      <c r="L2149">
        <v>608029</v>
      </c>
      <c r="M2149" t="s">
        <v>2381</v>
      </c>
      <c r="Q2149" t="s">
        <v>2383</v>
      </c>
      <c r="R2149">
        <v>1</v>
      </c>
      <c r="S2149" t="s">
        <v>2380</v>
      </c>
      <c r="T2149" t="s">
        <v>2383</v>
      </c>
      <c r="U2149" s="8">
        <v>45946.421944444446</v>
      </c>
      <c r="V2149" s="8">
        <v>45951.958333333336</v>
      </c>
      <c r="W2149">
        <v>1</v>
      </c>
      <c r="X2149">
        <v>4.5706019000000001E-2</v>
      </c>
      <c r="Y2149" t="s">
        <v>1352</v>
      </c>
      <c r="Z2149" t="s">
        <v>3928</v>
      </c>
      <c r="AA2149" t="s">
        <v>3923</v>
      </c>
      <c r="AB2149" t="s">
        <v>1278</v>
      </c>
      <c r="AC2149" t="s">
        <v>3929</v>
      </c>
      <c r="AD2149" t="s">
        <v>2708</v>
      </c>
      <c r="AE2149">
        <v>1</v>
      </c>
      <c r="AO2149" t="s">
        <v>2720</v>
      </c>
      <c r="AP2149" t="s">
        <v>2401</v>
      </c>
    </row>
    <row r="2150" spans="1:42">
      <c r="A2150" t="s">
        <v>9182</v>
      </c>
      <c r="B2150" t="s">
        <v>2389</v>
      </c>
      <c r="C2150" t="s">
        <v>2378</v>
      </c>
      <c r="D2150" t="s">
        <v>2379</v>
      </c>
      <c r="E2150" t="s">
        <v>25</v>
      </c>
      <c r="F2150">
        <v>4020</v>
      </c>
      <c r="G2150" t="s">
        <v>25</v>
      </c>
      <c r="H2150" t="b">
        <v>1</v>
      </c>
      <c r="I2150" s="8">
        <v>45951.669490740744</v>
      </c>
      <c r="J2150" t="s">
        <v>2380</v>
      </c>
      <c r="K2150">
        <v>1203631</v>
      </c>
      <c r="L2150">
        <v>604047</v>
      </c>
      <c r="M2150" t="s">
        <v>2381</v>
      </c>
      <c r="N2150">
        <v>5</v>
      </c>
      <c r="P2150" t="s">
        <v>2394</v>
      </c>
      <c r="Q2150" t="s">
        <v>2395</v>
      </c>
      <c r="R2150">
        <v>1</v>
      </c>
      <c r="S2150" t="s">
        <v>2380</v>
      </c>
      <c r="T2150" t="s">
        <v>2383</v>
      </c>
      <c r="U2150" s="8">
        <v>45946.422685185185</v>
      </c>
      <c r="V2150" s="8">
        <v>45951.958333333336</v>
      </c>
      <c r="W2150">
        <v>1</v>
      </c>
      <c r="X2150">
        <v>3.246805556</v>
      </c>
      <c r="Y2150" t="s">
        <v>8194</v>
      </c>
      <c r="Z2150" t="s">
        <v>9183</v>
      </c>
      <c r="AA2150" t="s">
        <v>8197</v>
      </c>
      <c r="AB2150" t="s">
        <v>1278</v>
      </c>
      <c r="AC2150" t="s">
        <v>9184</v>
      </c>
      <c r="AD2150" t="s">
        <v>2708</v>
      </c>
      <c r="AE2150">
        <v>1</v>
      </c>
      <c r="AH2150" t="s">
        <v>33</v>
      </c>
      <c r="AI2150" s="8">
        <v>45951.668356481481</v>
      </c>
      <c r="AK2150" t="s">
        <v>2719</v>
      </c>
      <c r="AL2150" t="s">
        <v>2719</v>
      </c>
      <c r="AO2150" t="s">
        <v>4137</v>
      </c>
      <c r="AP2150" t="s">
        <v>2401</v>
      </c>
    </row>
    <row r="2151" spans="1:42">
      <c r="A2151" t="s">
        <v>6627</v>
      </c>
      <c r="B2151" t="s">
        <v>2389</v>
      </c>
      <c r="C2151" t="s">
        <v>2378</v>
      </c>
      <c r="D2151" t="s">
        <v>2379</v>
      </c>
      <c r="E2151" t="s">
        <v>24</v>
      </c>
      <c r="F2151" t="s">
        <v>2578</v>
      </c>
      <c r="G2151" t="s">
        <v>24</v>
      </c>
      <c r="H2151" t="b">
        <v>1</v>
      </c>
      <c r="I2151" s="8">
        <v>45951.537893518522</v>
      </c>
      <c r="J2151" t="s">
        <v>2380</v>
      </c>
      <c r="K2151">
        <v>1203807</v>
      </c>
      <c r="L2151">
        <v>601544</v>
      </c>
      <c r="M2151" t="s">
        <v>2381</v>
      </c>
      <c r="P2151" t="s">
        <v>2394</v>
      </c>
      <c r="Q2151" t="s">
        <v>2383</v>
      </c>
      <c r="R2151">
        <v>1</v>
      </c>
      <c r="S2151" t="s">
        <v>2380</v>
      </c>
      <c r="T2151" t="s">
        <v>2383</v>
      </c>
      <c r="U2151" s="8">
        <v>45946.427534722221</v>
      </c>
      <c r="V2151" s="8">
        <v>45951.958333333336</v>
      </c>
      <c r="W2151">
        <v>1</v>
      </c>
      <c r="X2151">
        <v>3.1103587959999999</v>
      </c>
      <c r="Y2151" t="s">
        <v>2579</v>
      </c>
      <c r="Z2151" t="s">
        <v>6628</v>
      </c>
      <c r="AA2151" t="s">
        <v>3272</v>
      </c>
      <c r="AB2151" t="s">
        <v>1278</v>
      </c>
      <c r="AD2151" t="s">
        <v>2708</v>
      </c>
      <c r="AE2151">
        <v>1</v>
      </c>
      <c r="AO2151" t="s">
        <v>2388</v>
      </c>
      <c r="AP2151" t="s">
        <v>2401</v>
      </c>
    </row>
    <row r="2152" spans="1:42">
      <c r="A2152" t="s">
        <v>6888</v>
      </c>
      <c r="B2152" t="s">
        <v>2389</v>
      </c>
      <c r="C2152" t="s">
        <v>2378</v>
      </c>
      <c r="D2152" t="s">
        <v>2379</v>
      </c>
      <c r="E2152" t="s">
        <v>2452</v>
      </c>
      <c r="F2152">
        <v>3909</v>
      </c>
      <c r="G2152" t="s">
        <v>2452</v>
      </c>
      <c r="H2152" t="b">
        <v>1</v>
      </c>
      <c r="I2152" s="8">
        <v>45951.516921296294</v>
      </c>
      <c r="J2152" t="s">
        <v>2380</v>
      </c>
      <c r="K2152">
        <v>1203792</v>
      </c>
      <c r="L2152">
        <v>609859</v>
      </c>
      <c r="M2152" t="s">
        <v>2381</v>
      </c>
      <c r="P2152" t="s">
        <v>2394</v>
      </c>
      <c r="Q2152" t="s">
        <v>2383</v>
      </c>
      <c r="R2152">
        <v>1</v>
      </c>
      <c r="S2152" t="s">
        <v>2380</v>
      </c>
      <c r="T2152" t="s">
        <v>2383</v>
      </c>
      <c r="U2152" s="8">
        <v>45946.431250000001</v>
      </c>
      <c r="V2152" s="8">
        <v>45951.958333333336</v>
      </c>
      <c r="W2152">
        <v>1</v>
      </c>
      <c r="X2152">
        <v>3.0856712960000001</v>
      </c>
      <c r="Y2152" t="s">
        <v>2583</v>
      </c>
      <c r="Z2152" t="s">
        <v>6889</v>
      </c>
      <c r="AA2152" t="s">
        <v>2586</v>
      </c>
      <c r="AB2152" t="s">
        <v>1278</v>
      </c>
      <c r="AC2152" t="s">
        <v>6890</v>
      </c>
      <c r="AD2152" t="s">
        <v>2708</v>
      </c>
      <c r="AE2152">
        <v>1</v>
      </c>
      <c r="AO2152" t="s">
        <v>2388</v>
      </c>
      <c r="AP2152" t="s">
        <v>2401</v>
      </c>
    </row>
    <row r="2153" spans="1:42">
      <c r="A2153" t="s">
        <v>5481</v>
      </c>
      <c r="B2153" t="s">
        <v>2389</v>
      </c>
      <c r="C2153" t="s">
        <v>2443</v>
      </c>
      <c r="D2153" t="s">
        <v>2443</v>
      </c>
      <c r="E2153" t="s">
        <v>28</v>
      </c>
      <c r="F2153" t="s">
        <v>2431</v>
      </c>
      <c r="G2153" t="s">
        <v>28</v>
      </c>
      <c r="H2153" t="b">
        <v>1</v>
      </c>
      <c r="I2153" s="8">
        <v>45959.643055555556</v>
      </c>
      <c r="J2153" t="s">
        <v>2380</v>
      </c>
      <c r="K2153">
        <v>1205607</v>
      </c>
      <c r="L2153">
        <v>602925</v>
      </c>
      <c r="M2153" t="s">
        <v>2381</v>
      </c>
      <c r="N2153">
        <v>15</v>
      </c>
      <c r="P2153" t="s">
        <v>2394</v>
      </c>
      <c r="Q2153" t="s">
        <v>2383</v>
      </c>
      <c r="R2153">
        <v>1</v>
      </c>
      <c r="S2153" t="s">
        <v>2380</v>
      </c>
      <c r="T2153" t="s">
        <v>2383</v>
      </c>
      <c r="U2153" s="8">
        <v>45946.441030092596</v>
      </c>
      <c r="V2153" s="8">
        <v>45954.958333333336</v>
      </c>
      <c r="W2153">
        <v>1</v>
      </c>
      <c r="X2153">
        <v>9.202025463</v>
      </c>
      <c r="Y2153" t="s">
        <v>2433</v>
      </c>
      <c r="Z2153" t="s">
        <v>5482</v>
      </c>
      <c r="AA2153" t="s">
        <v>5367</v>
      </c>
      <c r="AB2153" t="s">
        <v>1278</v>
      </c>
      <c r="AC2153" t="s">
        <v>5483</v>
      </c>
      <c r="AD2153" t="s">
        <v>2708</v>
      </c>
      <c r="AE2153">
        <v>1</v>
      </c>
      <c r="AO2153" t="s">
        <v>2408</v>
      </c>
      <c r="AP2153" t="s">
        <v>2401</v>
      </c>
    </row>
    <row r="2154" spans="1:42">
      <c r="A2154" t="s">
        <v>48</v>
      </c>
      <c r="B2154" t="s">
        <v>2377</v>
      </c>
      <c r="C2154" t="s">
        <v>2438</v>
      </c>
      <c r="D2154" t="s">
        <v>2379</v>
      </c>
      <c r="E2154" t="s">
        <v>33</v>
      </c>
      <c r="F2154" t="s">
        <v>2409</v>
      </c>
      <c r="G2154" t="s">
        <v>33</v>
      </c>
      <c r="H2154" t="b">
        <v>1</v>
      </c>
      <c r="I2154" s="8">
        <v>45946.61209490741</v>
      </c>
      <c r="J2154" t="s">
        <v>2380</v>
      </c>
      <c r="L2154">
        <v>608028</v>
      </c>
      <c r="M2154" t="s">
        <v>2381</v>
      </c>
      <c r="Q2154" t="s">
        <v>2383</v>
      </c>
      <c r="R2154">
        <v>1</v>
      </c>
      <c r="S2154" t="s">
        <v>2380</v>
      </c>
      <c r="T2154" t="s">
        <v>2383</v>
      </c>
      <c r="U2154" s="8">
        <v>45946.450624999998</v>
      </c>
      <c r="V2154" s="8">
        <v>45951.958333333336</v>
      </c>
      <c r="W2154">
        <v>1</v>
      </c>
      <c r="X2154">
        <v>0.161469907</v>
      </c>
      <c r="Y2154" t="s">
        <v>2410</v>
      </c>
      <c r="Z2154" t="s">
        <v>9347</v>
      </c>
      <c r="AA2154" t="s">
        <v>8806</v>
      </c>
      <c r="AB2154" t="s">
        <v>1278</v>
      </c>
      <c r="AC2154" t="s">
        <v>9348</v>
      </c>
      <c r="AD2154" t="s">
        <v>2708</v>
      </c>
      <c r="AE2154">
        <v>1</v>
      </c>
      <c r="AF2154">
        <v>2</v>
      </c>
      <c r="AH2154" t="s">
        <v>2723</v>
      </c>
      <c r="AI2154" s="8">
        <v>45946.610046296293</v>
      </c>
      <c r="AK2154" t="s">
        <v>2719</v>
      </c>
      <c r="AL2154" t="s">
        <v>2724</v>
      </c>
      <c r="AO2154" t="s">
        <v>3644</v>
      </c>
      <c r="AP2154" t="s">
        <v>2401</v>
      </c>
    </row>
    <row r="2155" spans="1:42">
      <c r="A2155" t="s">
        <v>5242</v>
      </c>
      <c r="B2155" t="s">
        <v>2389</v>
      </c>
      <c r="C2155" t="s">
        <v>2390</v>
      </c>
      <c r="D2155" t="s">
        <v>2379</v>
      </c>
      <c r="E2155" t="s">
        <v>307</v>
      </c>
      <c r="F2155" t="s">
        <v>2402</v>
      </c>
      <c r="G2155" t="s">
        <v>307</v>
      </c>
      <c r="H2155" t="b">
        <v>1</v>
      </c>
      <c r="I2155" s="8">
        <v>45948.96603009259</v>
      </c>
      <c r="J2155" t="s">
        <v>2380</v>
      </c>
      <c r="K2155">
        <v>1203420</v>
      </c>
      <c r="L2155">
        <v>606948</v>
      </c>
      <c r="M2155" t="s">
        <v>2381</v>
      </c>
      <c r="P2155" t="s">
        <v>2394</v>
      </c>
      <c r="Q2155" t="s">
        <v>2383</v>
      </c>
      <c r="R2155">
        <v>1</v>
      </c>
      <c r="S2155" t="s">
        <v>2380</v>
      </c>
      <c r="T2155" t="s">
        <v>2383</v>
      </c>
      <c r="U2155" s="8">
        <v>45946.453726851854</v>
      </c>
      <c r="V2155" s="8">
        <v>45951.958333333336</v>
      </c>
      <c r="W2155">
        <v>1</v>
      </c>
      <c r="X2155">
        <v>2.5123032410000001</v>
      </c>
      <c r="Y2155" t="s">
        <v>2403</v>
      </c>
      <c r="Z2155" t="s">
        <v>5243</v>
      </c>
      <c r="AA2155" t="s">
        <v>5244</v>
      </c>
      <c r="AB2155" t="s">
        <v>1278</v>
      </c>
      <c r="AC2155" t="s">
        <v>5245</v>
      </c>
      <c r="AD2155" t="s">
        <v>2708</v>
      </c>
      <c r="AE2155">
        <v>1</v>
      </c>
      <c r="AO2155" t="s">
        <v>2408</v>
      </c>
      <c r="AP2155" t="s">
        <v>2401</v>
      </c>
    </row>
    <row r="2156" spans="1:42">
      <c r="A2156" t="s">
        <v>7284</v>
      </c>
      <c r="B2156" t="s">
        <v>2389</v>
      </c>
      <c r="C2156" t="s">
        <v>2390</v>
      </c>
      <c r="D2156" t="s">
        <v>2379</v>
      </c>
      <c r="E2156" t="s">
        <v>25</v>
      </c>
      <c r="F2156" t="s">
        <v>2578</v>
      </c>
      <c r="G2156" t="s">
        <v>25</v>
      </c>
      <c r="H2156" t="b">
        <v>1</v>
      </c>
      <c r="I2156" s="8">
        <v>45950.683425925927</v>
      </c>
      <c r="J2156" t="s">
        <v>2380</v>
      </c>
      <c r="K2156">
        <v>1203690</v>
      </c>
      <c r="L2156">
        <v>601924</v>
      </c>
      <c r="M2156" t="s">
        <v>2381</v>
      </c>
      <c r="N2156">
        <v>5</v>
      </c>
      <c r="Q2156" t="s">
        <v>2383</v>
      </c>
      <c r="R2156">
        <v>1</v>
      </c>
      <c r="S2156" t="s">
        <v>2380</v>
      </c>
      <c r="T2156" t="s">
        <v>2383</v>
      </c>
      <c r="U2156" s="8">
        <v>45946.460185185184</v>
      </c>
      <c r="V2156" s="8">
        <v>45951.958333333336</v>
      </c>
      <c r="W2156">
        <v>1</v>
      </c>
      <c r="X2156">
        <v>2.2232407410000001</v>
      </c>
      <c r="Y2156" t="s">
        <v>2579</v>
      </c>
      <c r="Z2156" t="s">
        <v>7285</v>
      </c>
      <c r="AA2156" t="s">
        <v>6640</v>
      </c>
      <c r="AB2156" t="s">
        <v>1278</v>
      </c>
      <c r="AC2156" t="s">
        <v>7286</v>
      </c>
      <c r="AD2156" t="s">
        <v>2708</v>
      </c>
      <c r="AE2156">
        <v>1</v>
      </c>
      <c r="AO2156" t="s">
        <v>2388</v>
      </c>
      <c r="AP2156" t="s">
        <v>2401</v>
      </c>
    </row>
    <row r="2157" spans="1:42">
      <c r="A2157" t="s">
        <v>109</v>
      </c>
      <c r="B2157" t="s">
        <v>2377</v>
      </c>
      <c r="C2157" t="s">
        <v>2390</v>
      </c>
      <c r="D2157" t="s">
        <v>2379</v>
      </c>
      <c r="E2157" t="s">
        <v>25</v>
      </c>
      <c r="F2157">
        <v>6654</v>
      </c>
      <c r="G2157" t="s">
        <v>25</v>
      </c>
      <c r="H2157" t="b">
        <v>1</v>
      </c>
      <c r="I2157" s="8">
        <v>45950.674074074072</v>
      </c>
      <c r="J2157" t="s">
        <v>2380</v>
      </c>
      <c r="L2157">
        <v>609584</v>
      </c>
      <c r="M2157" t="s">
        <v>2381</v>
      </c>
      <c r="N2157">
        <v>5</v>
      </c>
      <c r="Q2157" t="s">
        <v>2383</v>
      </c>
      <c r="R2157">
        <v>1</v>
      </c>
      <c r="S2157" t="s">
        <v>2380</v>
      </c>
      <c r="T2157" t="s">
        <v>2383</v>
      </c>
      <c r="U2157" s="8">
        <v>45946.463159722225</v>
      </c>
      <c r="V2157" s="8">
        <v>45953.958333333336</v>
      </c>
      <c r="W2157">
        <v>1</v>
      </c>
      <c r="X2157">
        <v>2.2109143520000001</v>
      </c>
      <c r="Y2157" t="s">
        <v>7190</v>
      </c>
      <c r="Z2157" t="s">
        <v>7276</v>
      </c>
      <c r="AA2157" t="s">
        <v>7192</v>
      </c>
      <c r="AB2157" t="s">
        <v>1278</v>
      </c>
      <c r="AC2157" t="s">
        <v>7277</v>
      </c>
      <c r="AD2157" t="s">
        <v>2708</v>
      </c>
      <c r="AE2157">
        <v>1</v>
      </c>
      <c r="AO2157" t="s">
        <v>2388</v>
      </c>
      <c r="AP2157" t="s">
        <v>2401</v>
      </c>
    </row>
    <row r="2158" spans="1:42">
      <c r="A2158" t="s">
        <v>8268</v>
      </c>
      <c r="B2158" t="s">
        <v>2389</v>
      </c>
      <c r="C2158" t="s">
        <v>2390</v>
      </c>
      <c r="D2158" t="s">
        <v>2379</v>
      </c>
      <c r="E2158" t="s">
        <v>25</v>
      </c>
      <c r="F2158" t="s">
        <v>2578</v>
      </c>
      <c r="G2158" t="s">
        <v>25</v>
      </c>
      <c r="H2158" t="b">
        <v>1</v>
      </c>
      <c r="I2158" s="8">
        <v>45951.429386574076</v>
      </c>
      <c r="J2158" t="s">
        <v>2380</v>
      </c>
      <c r="K2158">
        <v>1203724</v>
      </c>
      <c r="L2158">
        <v>604317</v>
      </c>
      <c r="M2158" t="s">
        <v>2381</v>
      </c>
      <c r="N2158">
        <v>5</v>
      </c>
      <c r="P2158" t="s">
        <v>2394</v>
      </c>
      <c r="Q2158" t="s">
        <v>2395</v>
      </c>
      <c r="R2158">
        <v>1</v>
      </c>
      <c r="S2158" t="s">
        <v>2380</v>
      </c>
      <c r="T2158" t="s">
        <v>2383</v>
      </c>
      <c r="U2158" s="8">
        <v>45946.469178240739</v>
      </c>
      <c r="V2158" s="8">
        <v>45951.958333333336</v>
      </c>
      <c r="W2158">
        <v>1</v>
      </c>
      <c r="X2158">
        <v>2.9602083330000002</v>
      </c>
      <c r="Y2158" t="s">
        <v>2579</v>
      </c>
      <c r="Z2158" t="s">
        <v>8269</v>
      </c>
      <c r="AA2158" t="s">
        <v>8189</v>
      </c>
      <c r="AB2158" t="s">
        <v>1278</v>
      </c>
      <c r="AC2158" t="s">
        <v>8270</v>
      </c>
      <c r="AD2158" t="s">
        <v>2708</v>
      </c>
      <c r="AE2158">
        <v>1</v>
      </c>
      <c r="AO2158" t="s">
        <v>4137</v>
      </c>
      <c r="AP2158" t="s">
        <v>2401</v>
      </c>
    </row>
    <row r="2159" spans="1:42">
      <c r="A2159" t="s">
        <v>5425</v>
      </c>
      <c r="B2159" t="s">
        <v>2389</v>
      </c>
      <c r="C2159" t="s">
        <v>2378</v>
      </c>
      <c r="D2159" t="s">
        <v>2379</v>
      </c>
      <c r="E2159" t="s">
        <v>2416</v>
      </c>
      <c r="F2159" t="s">
        <v>2779</v>
      </c>
      <c r="G2159" t="s">
        <v>2416</v>
      </c>
      <c r="H2159" t="b">
        <v>1</v>
      </c>
      <c r="I2159" s="8">
        <v>45951.645046296297</v>
      </c>
      <c r="J2159" t="s">
        <v>2380</v>
      </c>
      <c r="K2159">
        <v>1203860</v>
      </c>
      <c r="L2159">
        <v>601907</v>
      </c>
      <c r="M2159" t="s">
        <v>2381</v>
      </c>
      <c r="P2159" t="s">
        <v>2394</v>
      </c>
      <c r="Q2159" t="s">
        <v>2383</v>
      </c>
      <c r="R2159">
        <v>1</v>
      </c>
      <c r="S2159" t="s">
        <v>2380</v>
      </c>
      <c r="T2159" t="s">
        <v>2383</v>
      </c>
      <c r="U2159" s="8">
        <v>45946.471909722219</v>
      </c>
      <c r="V2159" s="8">
        <v>45951.958333333336</v>
      </c>
      <c r="W2159">
        <v>1</v>
      </c>
      <c r="X2159">
        <v>3.1731365739999999</v>
      </c>
      <c r="Y2159" t="s">
        <v>1352</v>
      </c>
      <c r="Z2159" t="s">
        <v>5426</v>
      </c>
      <c r="AA2159" t="s">
        <v>5427</v>
      </c>
      <c r="AB2159" t="s">
        <v>1278</v>
      </c>
      <c r="AC2159" t="s">
        <v>5428</v>
      </c>
      <c r="AD2159" t="s">
        <v>2708</v>
      </c>
      <c r="AE2159">
        <v>1</v>
      </c>
      <c r="AO2159" t="s">
        <v>2408</v>
      </c>
      <c r="AP2159" t="s">
        <v>2401</v>
      </c>
    </row>
    <row r="2160" spans="1:42">
      <c r="A2160" t="s">
        <v>9474</v>
      </c>
      <c r="B2160" t="s">
        <v>2389</v>
      </c>
      <c r="C2160" t="s">
        <v>2390</v>
      </c>
      <c r="D2160" t="s">
        <v>2379</v>
      </c>
      <c r="E2160" t="s">
        <v>307</v>
      </c>
      <c r="F2160" t="s">
        <v>3491</v>
      </c>
      <c r="G2160" t="s">
        <v>307</v>
      </c>
      <c r="H2160" t="b">
        <v>1</v>
      </c>
      <c r="I2160" s="8">
        <v>45948.553182870368</v>
      </c>
      <c r="J2160" t="s">
        <v>2380</v>
      </c>
      <c r="K2160">
        <v>1203415</v>
      </c>
      <c r="L2160">
        <v>605912</v>
      </c>
      <c r="M2160" t="s">
        <v>2381</v>
      </c>
      <c r="P2160" t="s">
        <v>2394</v>
      </c>
      <c r="Q2160" t="s">
        <v>2383</v>
      </c>
      <c r="R2160">
        <v>1</v>
      </c>
      <c r="S2160" t="s">
        <v>2380</v>
      </c>
      <c r="T2160" t="s">
        <v>2383</v>
      </c>
      <c r="U2160" s="8">
        <v>45946.477569444447</v>
      </c>
      <c r="V2160" s="8">
        <v>45951.958333333336</v>
      </c>
      <c r="W2160">
        <v>1</v>
      </c>
      <c r="X2160">
        <v>2.0756134259999999</v>
      </c>
      <c r="Y2160" t="s">
        <v>3492</v>
      </c>
      <c r="Z2160" t="s">
        <v>9475</v>
      </c>
      <c r="AA2160" t="s">
        <v>9476</v>
      </c>
      <c r="AB2160" t="s">
        <v>1278</v>
      </c>
      <c r="AD2160" t="s">
        <v>2708</v>
      </c>
      <c r="AE2160">
        <v>1</v>
      </c>
      <c r="AO2160" t="s">
        <v>2957</v>
      </c>
      <c r="AP2160" t="s">
        <v>8931</v>
      </c>
    </row>
    <row r="2161" spans="1:42">
      <c r="A2161" t="s">
        <v>7314</v>
      </c>
      <c r="B2161" t="s">
        <v>2389</v>
      </c>
      <c r="C2161" t="s">
        <v>2390</v>
      </c>
      <c r="D2161" t="s">
        <v>2379</v>
      </c>
      <c r="E2161" t="s">
        <v>25</v>
      </c>
      <c r="F2161" t="s">
        <v>2578</v>
      </c>
      <c r="G2161" t="s">
        <v>25</v>
      </c>
      <c r="H2161" t="b">
        <v>1</v>
      </c>
      <c r="I2161" s="8">
        <v>45951.456944444442</v>
      </c>
      <c r="J2161" t="s">
        <v>2380</v>
      </c>
      <c r="K2161">
        <v>1203736</v>
      </c>
      <c r="L2161">
        <v>601850</v>
      </c>
      <c r="M2161" t="s">
        <v>2381</v>
      </c>
      <c r="N2161">
        <v>5</v>
      </c>
      <c r="P2161" t="s">
        <v>2394</v>
      </c>
      <c r="Q2161" t="s">
        <v>2383</v>
      </c>
      <c r="R2161">
        <v>1</v>
      </c>
      <c r="S2161" t="s">
        <v>2380</v>
      </c>
      <c r="T2161" t="s">
        <v>2383</v>
      </c>
      <c r="U2161" s="8">
        <v>45946.483935185184</v>
      </c>
      <c r="V2161" s="8">
        <v>45951.958333333336</v>
      </c>
      <c r="W2161">
        <v>1</v>
      </c>
      <c r="X2161">
        <v>2.9730092589999999</v>
      </c>
      <c r="Y2161" t="s">
        <v>2579</v>
      </c>
      <c r="Z2161" t="s">
        <v>7315</v>
      </c>
      <c r="AA2161" t="s">
        <v>2649</v>
      </c>
      <c r="AB2161" t="s">
        <v>1278</v>
      </c>
      <c r="AC2161" t="s">
        <v>7316</v>
      </c>
      <c r="AD2161" t="s">
        <v>2708</v>
      </c>
      <c r="AE2161">
        <v>1</v>
      </c>
      <c r="AO2161" t="s">
        <v>2388</v>
      </c>
      <c r="AP2161" t="s">
        <v>2401</v>
      </c>
    </row>
    <row r="2162" spans="1:42">
      <c r="A2162" t="s">
        <v>3450</v>
      </c>
      <c r="B2162" t="s">
        <v>2377</v>
      </c>
      <c r="C2162" t="s">
        <v>2415</v>
      </c>
      <c r="D2162" t="s">
        <v>2379</v>
      </c>
      <c r="E2162" t="s">
        <v>24</v>
      </c>
      <c r="F2162" t="s">
        <v>2578</v>
      </c>
      <c r="G2162" t="s">
        <v>24</v>
      </c>
      <c r="H2162" t="b">
        <v>1</v>
      </c>
      <c r="I2162" s="8">
        <v>45950.44902777778</v>
      </c>
      <c r="J2162" t="s">
        <v>2380</v>
      </c>
      <c r="L2162">
        <v>603297</v>
      </c>
      <c r="M2162" t="s">
        <v>2381</v>
      </c>
      <c r="Q2162" t="s">
        <v>2383</v>
      </c>
      <c r="R2162">
        <v>1</v>
      </c>
      <c r="S2162" t="s">
        <v>2380</v>
      </c>
      <c r="T2162" t="s">
        <v>2383</v>
      </c>
      <c r="U2162" s="8">
        <v>45946.492928240739</v>
      </c>
      <c r="V2162" s="8">
        <v>45951.958333333336</v>
      </c>
      <c r="W2162">
        <v>1</v>
      </c>
      <c r="X2162">
        <v>1.9560995370000001</v>
      </c>
      <c r="Y2162" t="s">
        <v>2579</v>
      </c>
      <c r="Z2162" t="s">
        <v>3451</v>
      </c>
      <c r="AA2162" t="s">
        <v>3452</v>
      </c>
      <c r="AB2162" t="s">
        <v>1278</v>
      </c>
      <c r="AC2162" t="s">
        <v>3187</v>
      </c>
      <c r="AE2162">
        <v>1</v>
      </c>
      <c r="AO2162" t="s">
        <v>2957</v>
      </c>
      <c r="AP2162" t="s">
        <v>2401</v>
      </c>
    </row>
    <row r="2163" spans="1:42">
      <c r="A2163" t="s">
        <v>9935</v>
      </c>
      <c r="B2163" t="s">
        <v>2377</v>
      </c>
      <c r="C2163" t="s">
        <v>2415</v>
      </c>
      <c r="D2163" t="s">
        <v>2379</v>
      </c>
      <c r="E2163" t="s">
        <v>24</v>
      </c>
      <c r="F2163" t="s">
        <v>2578</v>
      </c>
      <c r="G2163" t="s">
        <v>24</v>
      </c>
      <c r="H2163" t="b">
        <v>1</v>
      </c>
      <c r="I2163" s="8">
        <v>45950.448807870373</v>
      </c>
      <c r="J2163" t="s">
        <v>2380</v>
      </c>
      <c r="L2163">
        <v>603297</v>
      </c>
      <c r="M2163" t="s">
        <v>2381</v>
      </c>
      <c r="Q2163" t="s">
        <v>2383</v>
      </c>
      <c r="R2163">
        <v>1</v>
      </c>
      <c r="S2163" t="s">
        <v>2380</v>
      </c>
      <c r="T2163" t="s">
        <v>2383</v>
      </c>
      <c r="U2163" s="8">
        <v>45946.493981481479</v>
      </c>
      <c r="V2163" s="8">
        <v>45951.958333333336</v>
      </c>
      <c r="W2163">
        <v>1</v>
      </c>
      <c r="X2163">
        <v>1.9548263889999999</v>
      </c>
      <c r="Y2163" t="s">
        <v>2579</v>
      </c>
      <c r="Z2163" t="s">
        <v>9936</v>
      </c>
      <c r="AA2163" t="s">
        <v>3452</v>
      </c>
      <c r="AB2163" t="s">
        <v>1278</v>
      </c>
      <c r="AC2163" t="s">
        <v>3187</v>
      </c>
      <c r="AE2163">
        <v>1</v>
      </c>
      <c r="AO2163" t="s">
        <v>2957</v>
      </c>
      <c r="AP2163" t="s">
        <v>2401</v>
      </c>
    </row>
    <row r="2164" spans="1:42">
      <c r="A2164" t="s">
        <v>5533</v>
      </c>
      <c r="B2164" t="s">
        <v>2389</v>
      </c>
      <c r="C2164" t="s">
        <v>2415</v>
      </c>
      <c r="D2164" t="s">
        <v>2379</v>
      </c>
      <c r="E2164" t="s">
        <v>25</v>
      </c>
      <c r="F2164" t="s">
        <v>2402</v>
      </c>
      <c r="G2164" t="s">
        <v>25</v>
      </c>
      <c r="H2164" t="b">
        <v>1</v>
      </c>
      <c r="I2164" s="8">
        <v>45950.435115740744</v>
      </c>
      <c r="J2164" t="s">
        <v>2380</v>
      </c>
      <c r="K2164">
        <v>1203516</v>
      </c>
      <c r="L2164">
        <v>603790</v>
      </c>
      <c r="M2164" t="s">
        <v>2381</v>
      </c>
      <c r="N2164">
        <v>5</v>
      </c>
      <c r="P2164" t="s">
        <v>2394</v>
      </c>
      <c r="Q2164" t="s">
        <v>2383</v>
      </c>
      <c r="R2164">
        <v>1</v>
      </c>
      <c r="S2164" t="s">
        <v>2380</v>
      </c>
      <c r="T2164" t="s">
        <v>2383</v>
      </c>
      <c r="U2164" s="8">
        <v>45946.497974537036</v>
      </c>
      <c r="V2164" s="8">
        <v>45951.958333333336</v>
      </c>
      <c r="W2164">
        <v>1</v>
      </c>
      <c r="X2164">
        <v>1.937141204</v>
      </c>
      <c r="Y2164" t="s">
        <v>2403</v>
      </c>
      <c r="Z2164" t="s">
        <v>5534</v>
      </c>
      <c r="AA2164" t="s">
        <v>5307</v>
      </c>
      <c r="AB2164" t="s">
        <v>1278</v>
      </c>
      <c r="AC2164" t="s">
        <v>5535</v>
      </c>
      <c r="AD2164" t="s">
        <v>2708</v>
      </c>
      <c r="AE2164">
        <v>1</v>
      </c>
      <c r="AO2164" t="s">
        <v>2408</v>
      </c>
      <c r="AP2164" t="s">
        <v>2401</v>
      </c>
    </row>
    <row r="2165" spans="1:42">
      <c r="A2165" t="s">
        <v>6539</v>
      </c>
      <c r="B2165" t="s">
        <v>2389</v>
      </c>
      <c r="C2165" t="s">
        <v>2390</v>
      </c>
      <c r="D2165" t="s">
        <v>2379</v>
      </c>
      <c r="E2165" t="s">
        <v>25</v>
      </c>
      <c r="F2165" t="s">
        <v>2541</v>
      </c>
      <c r="G2165" t="s">
        <v>25</v>
      </c>
      <c r="H2165" t="b">
        <v>1</v>
      </c>
      <c r="I2165" s="8">
        <v>45951.415000000001</v>
      </c>
      <c r="J2165" t="s">
        <v>2380</v>
      </c>
      <c r="K2165">
        <v>1203718</v>
      </c>
      <c r="L2165">
        <v>604441</v>
      </c>
      <c r="M2165" t="s">
        <v>2381</v>
      </c>
      <c r="N2165">
        <v>5</v>
      </c>
      <c r="P2165" t="s">
        <v>2548</v>
      </c>
      <c r="Q2165" t="s">
        <v>2395</v>
      </c>
      <c r="R2165">
        <v>1</v>
      </c>
      <c r="S2165" t="s">
        <v>2380</v>
      </c>
      <c r="T2165" t="s">
        <v>2383</v>
      </c>
      <c r="U2165" s="8">
        <v>45946.498101851852</v>
      </c>
      <c r="V2165" s="8">
        <v>45951.958333333336</v>
      </c>
      <c r="W2165">
        <v>1</v>
      </c>
      <c r="X2165">
        <v>2.916898148</v>
      </c>
      <c r="Y2165" t="s">
        <v>2542</v>
      </c>
      <c r="Z2165" t="s">
        <v>6540</v>
      </c>
      <c r="AA2165" t="s">
        <v>3167</v>
      </c>
      <c r="AB2165" t="s">
        <v>1278</v>
      </c>
      <c r="AC2165" t="s">
        <v>6541</v>
      </c>
      <c r="AD2165" t="s">
        <v>2708</v>
      </c>
      <c r="AE2165">
        <v>1</v>
      </c>
      <c r="AO2165" t="s">
        <v>2547</v>
      </c>
      <c r="AP2165" t="s">
        <v>2401</v>
      </c>
    </row>
    <row r="2166" spans="1:42">
      <c r="A2166" t="s">
        <v>5536</v>
      </c>
      <c r="B2166" t="s">
        <v>2389</v>
      </c>
      <c r="C2166" t="s">
        <v>2415</v>
      </c>
      <c r="D2166" t="s">
        <v>2379</v>
      </c>
      <c r="E2166" t="s">
        <v>25</v>
      </c>
      <c r="F2166" t="s">
        <v>2402</v>
      </c>
      <c r="G2166" t="s">
        <v>25</v>
      </c>
      <c r="H2166" t="b">
        <v>1</v>
      </c>
      <c r="I2166" s="8">
        <v>45950.439791666664</v>
      </c>
      <c r="J2166" t="s">
        <v>2380</v>
      </c>
      <c r="K2166">
        <v>1203517</v>
      </c>
      <c r="L2166">
        <v>603790</v>
      </c>
      <c r="M2166" t="s">
        <v>2381</v>
      </c>
      <c r="N2166">
        <v>5</v>
      </c>
      <c r="P2166" t="s">
        <v>2394</v>
      </c>
      <c r="Q2166" t="s">
        <v>2383</v>
      </c>
      <c r="R2166">
        <v>1</v>
      </c>
      <c r="S2166" t="s">
        <v>2380</v>
      </c>
      <c r="T2166" t="s">
        <v>2383</v>
      </c>
      <c r="U2166" s="8">
        <v>45946.498784722222</v>
      </c>
      <c r="V2166" s="8">
        <v>45951.958333333336</v>
      </c>
      <c r="W2166">
        <v>1</v>
      </c>
      <c r="X2166">
        <v>1.941006944</v>
      </c>
      <c r="Y2166" t="s">
        <v>2403</v>
      </c>
      <c r="Z2166" t="s">
        <v>5537</v>
      </c>
      <c r="AA2166" t="s">
        <v>5307</v>
      </c>
      <c r="AB2166" t="s">
        <v>1278</v>
      </c>
      <c r="AC2166" t="s">
        <v>5538</v>
      </c>
      <c r="AD2166" t="s">
        <v>2708</v>
      </c>
      <c r="AE2166">
        <v>1</v>
      </c>
      <c r="AO2166" t="s">
        <v>2408</v>
      </c>
      <c r="AP2166" t="s">
        <v>2401</v>
      </c>
    </row>
    <row r="2167" spans="1:42">
      <c r="A2167" t="s">
        <v>9963</v>
      </c>
      <c r="B2167" t="s">
        <v>2377</v>
      </c>
      <c r="C2167" t="s">
        <v>2390</v>
      </c>
      <c r="D2167" t="s">
        <v>2379</v>
      </c>
      <c r="E2167" t="s">
        <v>307</v>
      </c>
      <c r="F2167" t="s">
        <v>4141</v>
      </c>
      <c r="G2167" t="s">
        <v>307</v>
      </c>
      <c r="H2167" t="b">
        <v>1</v>
      </c>
      <c r="I2167" s="8">
        <v>45947.4919212963</v>
      </c>
      <c r="J2167" t="s">
        <v>2380</v>
      </c>
      <c r="L2167">
        <v>605020</v>
      </c>
      <c r="M2167" t="s">
        <v>2381</v>
      </c>
      <c r="Q2167" t="s">
        <v>2383</v>
      </c>
      <c r="R2167">
        <v>1</v>
      </c>
      <c r="S2167" t="s">
        <v>2380</v>
      </c>
      <c r="T2167" t="s">
        <v>2383</v>
      </c>
      <c r="U2167" s="8">
        <v>45945.461828703701</v>
      </c>
      <c r="V2167" s="8">
        <v>45950.958333333336</v>
      </c>
      <c r="W2167">
        <v>1</v>
      </c>
      <c r="X2167">
        <v>2.030092593</v>
      </c>
      <c r="Y2167" t="s">
        <v>4142</v>
      </c>
      <c r="Z2167" t="s">
        <v>9964</v>
      </c>
      <c r="AA2167" t="s">
        <v>8358</v>
      </c>
      <c r="AB2167" t="s">
        <v>1278</v>
      </c>
      <c r="AC2167" t="s">
        <v>3787</v>
      </c>
      <c r="AE2167">
        <v>1</v>
      </c>
      <c r="AO2167" t="s">
        <v>2957</v>
      </c>
      <c r="AP2167" t="s">
        <v>2401</v>
      </c>
    </row>
    <row r="2168" spans="1:42">
      <c r="A2168" t="s">
        <v>7368</v>
      </c>
      <c r="B2168" t="s">
        <v>2389</v>
      </c>
      <c r="C2168" t="s">
        <v>2443</v>
      </c>
      <c r="D2168" t="s">
        <v>2443</v>
      </c>
      <c r="E2168" t="s">
        <v>25</v>
      </c>
      <c r="F2168" t="s">
        <v>3308</v>
      </c>
      <c r="G2168" t="s">
        <v>25</v>
      </c>
      <c r="H2168" t="b">
        <v>1</v>
      </c>
      <c r="I2168" s="8">
        <v>45946.538460648146</v>
      </c>
      <c r="J2168" t="s">
        <v>2380</v>
      </c>
      <c r="K2168">
        <v>1202775</v>
      </c>
      <c r="L2168">
        <v>603633</v>
      </c>
      <c r="M2168" t="s">
        <v>2381</v>
      </c>
      <c r="N2168">
        <v>5</v>
      </c>
      <c r="P2168" t="s">
        <v>2670</v>
      </c>
      <c r="Q2168" t="s">
        <v>2383</v>
      </c>
      <c r="R2168">
        <v>1</v>
      </c>
      <c r="S2168" t="s">
        <v>2380</v>
      </c>
      <c r="T2168" t="s">
        <v>2383</v>
      </c>
      <c r="U2168" s="8">
        <v>45940.418263888889</v>
      </c>
      <c r="V2168" s="8">
        <v>45945.958333333336</v>
      </c>
      <c r="W2168">
        <v>1</v>
      </c>
      <c r="X2168">
        <v>4.1201967589999997</v>
      </c>
      <c r="Y2168" t="s">
        <v>3309</v>
      </c>
      <c r="Z2168" t="s">
        <v>7369</v>
      </c>
      <c r="AA2168" t="s">
        <v>3312</v>
      </c>
      <c r="AB2168" t="s">
        <v>1278</v>
      </c>
      <c r="AC2168" t="s">
        <v>7370</v>
      </c>
      <c r="AD2168" t="s">
        <v>2708</v>
      </c>
      <c r="AE2168">
        <v>1</v>
      </c>
      <c r="AO2168" t="s">
        <v>2388</v>
      </c>
      <c r="AP2168" t="s">
        <v>2401</v>
      </c>
    </row>
    <row r="2169" spans="1:42">
      <c r="A2169" t="s">
        <v>9110</v>
      </c>
      <c r="B2169" t="s">
        <v>2389</v>
      </c>
      <c r="C2169" t="s">
        <v>2378</v>
      </c>
      <c r="D2169" t="s">
        <v>2379</v>
      </c>
      <c r="E2169" t="s">
        <v>25</v>
      </c>
      <c r="F2169" t="s">
        <v>4709</v>
      </c>
      <c r="G2169" t="s">
        <v>25</v>
      </c>
      <c r="H2169" t="b">
        <v>1</v>
      </c>
      <c r="I2169" s="8">
        <v>45951.669814814813</v>
      </c>
      <c r="J2169" t="s">
        <v>2380</v>
      </c>
      <c r="K2169">
        <v>1203730</v>
      </c>
      <c r="L2169">
        <v>603168</v>
      </c>
      <c r="M2169" t="s">
        <v>2381</v>
      </c>
      <c r="N2169">
        <v>5</v>
      </c>
      <c r="P2169" t="s">
        <v>2394</v>
      </c>
      <c r="Q2169" t="s">
        <v>2383</v>
      </c>
      <c r="R2169">
        <v>1</v>
      </c>
      <c r="S2169" t="s">
        <v>2380</v>
      </c>
      <c r="T2169" t="s">
        <v>2383</v>
      </c>
      <c r="U2169" s="8">
        <v>45946.514976851853</v>
      </c>
      <c r="V2169" s="8">
        <v>45951.958333333336</v>
      </c>
      <c r="W2169">
        <v>1</v>
      </c>
      <c r="X2169">
        <v>3.1548379629999999</v>
      </c>
      <c r="Y2169" t="s">
        <v>4653</v>
      </c>
      <c r="Z2169" t="s">
        <v>9111</v>
      </c>
      <c r="AA2169" t="s">
        <v>4712</v>
      </c>
      <c r="AB2169" t="s">
        <v>1278</v>
      </c>
      <c r="AC2169" t="s">
        <v>9112</v>
      </c>
      <c r="AD2169" t="s">
        <v>2708</v>
      </c>
      <c r="AE2169">
        <v>1</v>
      </c>
      <c r="AH2169" t="s">
        <v>33</v>
      </c>
      <c r="AI2169" s="8">
        <v>45951.66851851852</v>
      </c>
      <c r="AK2169" t="s">
        <v>2719</v>
      </c>
      <c r="AL2169" t="s">
        <v>2719</v>
      </c>
      <c r="AO2169" t="s">
        <v>2957</v>
      </c>
      <c r="AP2169" t="s">
        <v>2401</v>
      </c>
    </row>
    <row r="2170" spans="1:42">
      <c r="A2170" t="s">
        <v>8079</v>
      </c>
      <c r="B2170" t="s">
        <v>2389</v>
      </c>
      <c r="C2170" t="s">
        <v>2691</v>
      </c>
      <c r="D2170" t="s">
        <v>2379</v>
      </c>
      <c r="E2170" t="s">
        <v>2416</v>
      </c>
      <c r="F2170" t="s">
        <v>4122</v>
      </c>
      <c r="G2170" t="s">
        <v>2416</v>
      </c>
      <c r="H2170" t="b">
        <v>1</v>
      </c>
      <c r="I2170" s="8">
        <v>45959.469166666669</v>
      </c>
      <c r="J2170" t="s">
        <v>2380</v>
      </c>
      <c r="K2170">
        <v>1205440</v>
      </c>
      <c r="L2170">
        <v>602334</v>
      </c>
      <c r="M2170" t="s">
        <v>2381</v>
      </c>
      <c r="P2170" t="s">
        <v>2394</v>
      </c>
      <c r="Q2170" t="s">
        <v>2383</v>
      </c>
      <c r="R2170">
        <v>1</v>
      </c>
      <c r="S2170" t="s">
        <v>2380</v>
      </c>
      <c r="T2170" t="s">
        <v>2383</v>
      </c>
      <c r="U2170" s="8">
        <v>45946.517824074072</v>
      </c>
      <c r="V2170" s="8">
        <v>45964.958333333336</v>
      </c>
      <c r="W2170">
        <v>1</v>
      </c>
      <c r="X2170">
        <v>8.9513425929999997</v>
      </c>
      <c r="Y2170" t="s">
        <v>1352</v>
      </c>
      <c r="Z2170" t="s">
        <v>8080</v>
      </c>
      <c r="AA2170" t="s">
        <v>1288</v>
      </c>
      <c r="AB2170" t="s">
        <v>1278</v>
      </c>
      <c r="AC2170" t="s">
        <v>8081</v>
      </c>
      <c r="AD2170" t="s">
        <v>2708</v>
      </c>
      <c r="AE2170">
        <v>1</v>
      </c>
      <c r="AO2170" t="s">
        <v>4121</v>
      </c>
      <c r="AP2170" t="s">
        <v>2401</v>
      </c>
    </row>
    <row r="2171" spans="1:42">
      <c r="A2171" t="s">
        <v>9965</v>
      </c>
      <c r="B2171" t="s">
        <v>2377</v>
      </c>
      <c r="C2171" t="s">
        <v>2415</v>
      </c>
      <c r="D2171" t="s">
        <v>2379</v>
      </c>
      <c r="E2171" t="s">
        <v>307</v>
      </c>
      <c r="F2171" t="s">
        <v>4141</v>
      </c>
      <c r="G2171" t="s">
        <v>307</v>
      </c>
      <c r="H2171" t="b">
        <v>1</v>
      </c>
      <c r="I2171" s="8">
        <v>45947.447164351855</v>
      </c>
      <c r="J2171" t="s">
        <v>2380</v>
      </c>
      <c r="L2171">
        <v>605031</v>
      </c>
      <c r="M2171" t="s">
        <v>2381</v>
      </c>
      <c r="Q2171" t="s">
        <v>2383</v>
      </c>
      <c r="R2171">
        <v>1</v>
      </c>
      <c r="S2171" t="s">
        <v>2380</v>
      </c>
      <c r="T2171" t="s">
        <v>2383</v>
      </c>
      <c r="U2171" s="8">
        <v>45945.462025462963</v>
      </c>
      <c r="V2171" s="8">
        <v>45950.958333333336</v>
      </c>
      <c r="W2171">
        <v>1</v>
      </c>
      <c r="X2171">
        <v>1.9851388889999999</v>
      </c>
      <c r="Y2171" t="s">
        <v>4142</v>
      </c>
      <c r="Z2171" t="s">
        <v>9966</v>
      </c>
      <c r="AA2171" t="s">
        <v>9967</v>
      </c>
      <c r="AB2171" t="s">
        <v>1278</v>
      </c>
      <c r="AC2171" t="s">
        <v>3787</v>
      </c>
      <c r="AE2171">
        <v>1</v>
      </c>
      <c r="AO2171" t="s">
        <v>2957</v>
      </c>
      <c r="AP2171" t="s">
        <v>2401</v>
      </c>
    </row>
    <row r="2172" spans="1:42">
      <c r="A2172" t="s">
        <v>9968</v>
      </c>
      <c r="B2172" t="s">
        <v>2377</v>
      </c>
      <c r="C2172" t="s">
        <v>2415</v>
      </c>
      <c r="D2172" t="s">
        <v>2379</v>
      </c>
      <c r="E2172" t="s">
        <v>307</v>
      </c>
      <c r="F2172" t="s">
        <v>4141</v>
      </c>
      <c r="G2172" t="s">
        <v>307</v>
      </c>
      <c r="H2172" t="b">
        <v>1</v>
      </c>
      <c r="I2172" s="8">
        <v>45947.444594907407</v>
      </c>
      <c r="J2172" t="s">
        <v>2380</v>
      </c>
      <c r="L2172">
        <v>605231</v>
      </c>
      <c r="M2172" t="s">
        <v>2381</v>
      </c>
      <c r="Q2172" t="s">
        <v>2383</v>
      </c>
      <c r="R2172">
        <v>1</v>
      </c>
      <c r="S2172" t="s">
        <v>2380</v>
      </c>
      <c r="T2172" t="s">
        <v>2383</v>
      </c>
      <c r="U2172" s="8">
        <v>45945.461956018517</v>
      </c>
      <c r="V2172" s="8">
        <v>45950.958333333336</v>
      </c>
      <c r="W2172">
        <v>1</v>
      </c>
      <c r="X2172">
        <v>1.982638889</v>
      </c>
      <c r="Y2172" t="s">
        <v>4142</v>
      </c>
      <c r="Z2172" t="s">
        <v>9969</v>
      </c>
      <c r="AA2172" t="s">
        <v>9970</v>
      </c>
      <c r="AB2172" t="s">
        <v>1278</v>
      </c>
      <c r="AC2172" t="s">
        <v>3787</v>
      </c>
      <c r="AE2172">
        <v>1</v>
      </c>
      <c r="AO2172" t="s">
        <v>2957</v>
      </c>
      <c r="AP2172" t="s">
        <v>2401</v>
      </c>
    </row>
    <row r="2173" spans="1:42">
      <c r="A2173" t="s">
        <v>10017</v>
      </c>
      <c r="B2173" t="s">
        <v>2389</v>
      </c>
      <c r="C2173" t="s">
        <v>2390</v>
      </c>
      <c r="D2173" t="s">
        <v>2379</v>
      </c>
      <c r="E2173" t="s">
        <v>24</v>
      </c>
      <c r="F2173" t="s">
        <v>4709</v>
      </c>
      <c r="G2173" t="s">
        <v>24</v>
      </c>
      <c r="H2173" t="b">
        <v>1</v>
      </c>
      <c r="I2173" s="8">
        <v>45951.426481481481</v>
      </c>
      <c r="J2173" t="s">
        <v>2380</v>
      </c>
      <c r="L2173">
        <v>603168</v>
      </c>
      <c r="M2173" t="s">
        <v>2381</v>
      </c>
      <c r="P2173" t="s">
        <v>2394</v>
      </c>
      <c r="Q2173" t="s">
        <v>2383</v>
      </c>
      <c r="R2173">
        <v>1</v>
      </c>
      <c r="S2173" t="s">
        <v>2380</v>
      </c>
      <c r="T2173" t="s">
        <v>2383</v>
      </c>
      <c r="U2173" s="8">
        <v>45946.524155092593</v>
      </c>
      <c r="V2173" s="8">
        <v>45951.958333333336</v>
      </c>
      <c r="W2173">
        <v>1</v>
      </c>
      <c r="X2173">
        <v>2.9023263890000002</v>
      </c>
      <c r="Y2173" t="s">
        <v>4653</v>
      </c>
      <c r="Z2173" t="s">
        <v>10018</v>
      </c>
      <c r="AA2173" t="s">
        <v>4712</v>
      </c>
      <c r="AB2173" t="s">
        <v>1278</v>
      </c>
      <c r="AE2173">
        <v>1</v>
      </c>
      <c r="AO2173" t="s">
        <v>2957</v>
      </c>
      <c r="AP2173" t="s">
        <v>2401</v>
      </c>
    </row>
    <row r="2174" spans="1:42">
      <c r="A2174" t="s">
        <v>8320</v>
      </c>
      <c r="B2174" t="s">
        <v>2389</v>
      </c>
      <c r="C2174" t="s">
        <v>2390</v>
      </c>
      <c r="D2174" t="s">
        <v>2379</v>
      </c>
      <c r="E2174" t="s">
        <v>25</v>
      </c>
      <c r="F2174">
        <v>4056</v>
      </c>
      <c r="G2174" t="s">
        <v>25</v>
      </c>
      <c r="H2174" t="b">
        <v>1</v>
      </c>
      <c r="I2174" s="8">
        <v>45951.390648148146</v>
      </c>
      <c r="J2174" t="s">
        <v>2380</v>
      </c>
      <c r="K2174">
        <v>1203709</v>
      </c>
      <c r="L2174">
        <v>604999</v>
      </c>
      <c r="M2174" t="s">
        <v>2381</v>
      </c>
      <c r="N2174">
        <v>5</v>
      </c>
      <c r="P2174" t="s">
        <v>2394</v>
      </c>
      <c r="Q2174" t="s">
        <v>2395</v>
      </c>
      <c r="R2174">
        <v>1</v>
      </c>
      <c r="S2174" t="s">
        <v>2380</v>
      </c>
      <c r="T2174" t="s">
        <v>2383</v>
      </c>
      <c r="U2174" s="8">
        <v>45946.535451388889</v>
      </c>
      <c r="V2174" s="8">
        <v>45951.958333333336</v>
      </c>
      <c r="W2174">
        <v>1</v>
      </c>
      <c r="X2174">
        <v>2.855196759</v>
      </c>
      <c r="Y2174" t="s">
        <v>3379</v>
      </c>
      <c r="Z2174" t="s">
        <v>8321</v>
      </c>
      <c r="AA2174" t="s">
        <v>8150</v>
      </c>
      <c r="AB2174" t="s">
        <v>1278</v>
      </c>
      <c r="AC2174" t="s">
        <v>8322</v>
      </c>
      <c r="AD2174" t="s">
        <v>2708</v>
      </c>
      <c r="AE2174">
        <v>1</v>
      </c>
      <c r="AO2174" t="s">
        <v>4137</v>
      </c>
      <c r="AP2174" t="s">
        <v>2401</v>
      </c>
    </row>
    <row r="2175" spans="1:42">
      <c r="A2175" t="s">
        <v>2831</v>
      </c>
      <c r="B2175" t="s">
        <v>2389</v>
      </c>
      <c r="C2175" t="s">
        <v>2390</v>
      </c>
      <c r="D2175" t="s">
        <v>2379</v>
      </c>
      <c r="E2175" t="s">
        <v>2452</v>
      </c>
      <c r="F2175" t="s">
        <v>2417</v>
      </c>
      <c r="G2175" t="s">
        <v>2452</v>
      </c>
      <c r="H2175" t="b">
        <v>1</v>
      </c>
      <c r="I2175" s="8">
        <v>45951.521134259259</v>
      </c>
      <c r="J2175" t="s">
        <v>2380</v>
      </c>
      <c r="K2175">
        <v>4118474</v>
      </c>
      <c r="L2175">
        <v>603017</v>
      </c>
      <c r="M2175" t="s">
        <v>2381</v>
      </c>
      <c r="P2175" t="s">
        <v>2394</v>
      </c>
      <c r="Q2175" t="s">
        <v>2383</v>
      </c>
      <c r="R2175">
        <v>1</v>
      </c>
      <c r="S2175" t="s">
        <v>2380</v>
      </c>
      <c r="T2175" t="s">
        <v>2383</v>
      </c>
      <c r="U2175" s="8">
        <v>45946.536851851852</v>
      </c>
      <c r="V2175" s="8">
        <v>45951.958333333336</v>
      </c>
      <c r="W2175">
        <v>1</v>
      </c>
      <c r="X2175">
        <v>2.9842824069999998</v>
      </c>
      <c r="Y2175" t="s">
        <v>2418</v>
      </c>
      <c r="Z2175" t="s">
        <v>2832</v>
      </c>
      <c r="AA2175" t="s">
        <v>1812</v>
      </c>
      <c r="AB2175" t="s">
        <v>1278</v>
      </c>
      <c r="AC2175" t="s">
        <v>2833</v>
      </c>
      <c r="AE2175">
        <v>1</v>
      </c>
      <c r="AO2175" t="s">
        <v>2408</v>
      </c>
      <c r="AP2175" t="s">
        <v>2401</v>
      </c>
    </row>
    <row r="2176" spans="1:42">
      <c r="A2176" t="s">
        <v>10435</v>
      </c>
      <c r="B2176" t="s">
        <v>2389</v>
      </c>
      <c r="C2176" t="s">
        <v>2443</v>
      </c>
      <c r="D2176" t="s">
        <v>2443</v>
      </c>
      <c r="E2176" t="s">
        <v>9570</v>
      </c>
      <c r="F2176" t="s">
        <v>2541</v>
      </c>
      <c r="G2176" t="s">
        <v>9570</v>
      </c>
      <c r="H2176" t="b">
        <v>1</v>
      </c>
      <c r="I2176" s="8">
        <v>45953.359247685185</v>
      </c>
      <c r="J2176" t="s">
        <v>9571</v>
      </c>
      <c r="L2176">
        <v>608638</v>
      </c>
      <c r="M2176" t="s">
        <v>2381</v>
      </c>
      <c r="Q2176" t="s">
        <v>2383</v>
      </c>
      <c r="R2176">
        <v>1</v>
      </c>
      <c r="S2176" t="s">
        <v>9571</v>
      </c>
      <c r="T2176" t="s">
        <v>2383</v>
      </c>
      <c r="U2176" s="8">
        <v>45946.540092592593</v>
      </c>
      <c r="V2176" s="8">
        <v>45951.958333333336</v>
      </c>
      <c r="W2176">
        <v>1</v>
      </c>
      <c r="X2176">
        <v>4.819155093</v>
      </c>
      <c r="Y2176" t="s">
        <v>2542</v>
      </c>
      <c r="Z2176" t="s">
        <v>10436</v>
      </c>
      <c r="AA2176" t="s">
        <v>2572</v>
      </c>
      <c r="AB2176" t="s">
        <v>1278</v>
      </c>
      <c r="AC2176" t="s">
        <v>10437</v>
      </c>
      <c r="AE2176">
        <v>1</v>
      </c>
      <c r="AO2176" t="s">
        <v>2547</v>
      </c>
      <c r="AP2176" t="s">
        <v>2401</v>
      </c>
    </row>
    <row r="2177" spans="1:42">
      <c r="A2177" t="s">
        <v>7124</v>
      </c>
      <c r="B2177" t="s">
        <v>2389</v>
      </c>
      <c r="C2177" t="s">
        <v>2390</v>
      </c>
      <c r="D2177" t="s">
        <v>2379</v>
      </c>
      <c r="E2177" t="s">
        <v>2416</v>
      </c>
      <c r="F2177" t="s">
        <v>2578</v>
      </c>
      <c r="G2177" t="s">
        <v>2416</v>
      </c>
      <c r="H2177" t="b">
        <v>1</v>
      </c>
      <c r="I2177" s="8">
        <v>45951.51699074074</v>
      </c>
      <c r="J2177" t="s">
        <v>2380</v>
      </c>
      <c r="K2177">
        <v>1203778</v>
      </c>
      <c r="L2177">
        <v>605012</v>
      </c>
      <c r="M2177" t="s">
        <v>2381</v>
      </c>
      <c r="P2177" t="s">
        <v>2394</v>
      </c>
      <c r="Q2177" t="s">
        <v>2383</v>
      </c>
      <c r="R2177">
        <v>1</v>
      </c>
      <c r="S2177" t="s">
        <v>2380</v>
      </c>
      <c r="T2177" t="s">
        <v>2383</v>
      </c>
      <c r="U2177" s="8">
        <v>45946.542442129627</v>
      </c>
      <c r="V2177" s="8">
        <v>45951.958333333336</v>
      </c>
      <c r="W2177">
        <v>1</v>
      </c>
      <c r="X2177">
        <v>2.9745486109999999</v>
      </c>
      <c r="Y2177" t="s">
        <v>2579</v>
      </c>
      <c r="Z2177" t="s">
        <v>7125</v>
      </c>
      <c r="AA2177" t="s">
        <v>7126</v>
      </c>
      <c r="AB2177" t="s">
        <v>1278</v>
      </c>
      <c r="AC2177" t="s">
        <v>7127</v>
      </c>
      <c r="AD2177" t="s">
        <v>2708</v>
      </c>
      <c r="AE2177">
        <v>1</v>
      </c>
      <c r="AO2177" t="s">
        <v>2388</v>
      </c>
      <c r="AP2177" t="s">
        <v>2401</v>
      </c>
    </row>
    <row r="2178" spans="1:42">
      <c r="A2178" t="s">
        <v>5246</v>
      </c>
      <c r="B2178" t="s">
        <v>2389</v>
      </c>
      <c r="C2178" t="s">
        <v>2390</v>
      </c>
      <c r="D2178" t="s">
        <v>2379</v>
      </c>
      <c r="E2178" t="s">
        <v>307</v>
      </c>
      <c r="F2178" t="s">
        <v>2417</v>
      </c>
      <c r="G2178" t="s">
        <v>307</v>
      </c>
      <c r="H2178" t="b">
        <v>1</v>
      </c>
      <c r="I2178" s="8">
        <v>45950.559120370373</v>
      </c>
      <c r="J2178" t="s">
        <v>2380</v>
      </c>
      <c r="K2178">
        <v>1203598</v>
      </c>
      <c r="L2178">
        <v>601745</v>
      </c>
      <c r="M2178" t="s">
        <v>2381</v>
      </c>
      <c r="P2178" t="s">
        <v>2394</v>
      </c>
      <c r="Q2178" t="s">
        <v>2383</v>
      </c>
      <c r="R2178">
        <v>1</v>
      </c>
      <c r="S2178" t="s">
        <v>2380</v>
      </c>
      <c r="T2178" t="s">
        <v>2383</v>
      </c>
      <c r="U2178" s="8">
        <v>45946.545902777776</v>
      </c>
      <c r="V2178" s="8">
        <v>45951.958333333336</v>
      </c>
      <c r="W2178">
        <v>1</v>
      </c>
      <c r="X2178">
        <v>2.0132175929999998</v>
      </c>
      <c r="Y2178" t="s">
        <v>2418</v>
      </c>
      <c r="Z2178" t="s">
        <v>5247</v>
      </c>
      <c r="AA2178" t="s">
        <v>4284</v>
      </c>
      <c r="AB2178" t="s">
        <v>1278</v>
      </c>
      <c r="AD2178" t="s">
        <v>2708</v>
      </c>
      <c r="AE2178">
        <v>1</v>
      </c>
      <c r="AO2178" t="s">
        <v>2408</v>
      </c>
      <c r="AP2178" t="s">
        <v>2401</v>
      </c>
    </row>
    <row r="2179" spans="1:42">
      <c r="A2179" t="s">
        <v>3625</v>
      </c>
      <c r="B2179" t="s">
        <v>2389</v>
      </c>
      <c r="C2179" t="s">
        <v>2390</v>
      </c>
      <c r="D2179" t="s">
        <v>2379</v>
      </c>
      <c r="E2179" t="s">
        <v>2452</v>
      </c>
      <c r="F2179" t="s">
        <v>3613</v>
      </c>
      <c r="G2179" t="s">
        <v>2452</v>
      </c>
      <c r="H2179" t="b">
        <v>1</v>
      </c>
      <c r="I2179" s="8">
        <v>45951.526678240742</v>
      </c>
      <c r="J2179" t="s">
        <v>2380</v>
      </c>
      <c r="L2179">
        <v>605352</v>
      </c>
      <c r="M2179" t="s">
        <v>2381</v>
      </c>
      <c r="P2179" t="s">
        <v>2394</v>
      </c>
      <c r="Q2179" t="s">
        <v>2383</v>
      </c>
      <c r="R2179">
        <v>1</v>
      </c>
      <c r="S2179" t="s">
        <v>2380</v>
      </c>
      <c r="T2179" t="s">
        <v>2383</v>
      </c>
      <c r="U2179" s="8">
        <v>45946.552974537037</v>
      </c>
      <c r="V2179" s="8">
        <v>45951.958333333336</v>
      </c>
      <c r="W2179">
        <v>1</v>
      </c>
      <c r="X2179">
        <v>2.9737037040000001</v>
      </c>
      <c r="Y2179" t="s">
        <v>3614</v>
      </c>
      <c r="Z2179" t="s">
        <v>3626</v>
      </c>
      <c r="AA2179" t="s">
        <v>3617</v>
      </c>
      <c r="AB2179" t="s">
        <v>1278</v>
      </c>
      <c r="AC2179" t="s">
        <v>3627</v>
      </c>
      <c r="AE2179">
        <v>1</v>
      </c>
      <c r="AO2179" t="s">
        <v>3608</v>
      </c>
      <c r="AP2179" t="s">
        <v>2401</v>
      </c>
    </row>
    <row r="2180" spans="1:42">
      <c r="A2180" t="s">
        <v>9947</v>
      </c>
      <c r="B2180" t="s">
        <v>2377</v>
      </c>
      <c r="C2180" t="s">
        <v>2415</v>
      </c>
      <c r="D2180" t="s">
        <v>2379</v>
      </c>
      <c r="E2180" t="s">
        <v>24</v>
      </c>
      <c r="F2180" t="s">
        <v>3339</v>
      </c>
      <c r="G2180" t="s">
        <v>24</v>
      </c>
      <c r="H2180" t="b">
        <v>1</v>
      </c>
      <c r="I2180" s="8">
        <v>45950.458391203705</v>
      </c>
      <c r="J2180" t="s">
        <v>2380</v>
      </c>
      <c r="L2180">
        <v>606897</v>
      </c>
      <c r="M2180" t="s">
        <v>2381</v>
      </c>
      <c r="P2180" t="s">
        <v>2427</v>
      </c>
      <c r="Q2180" t="s">
        <v>2383</v>
      </c>
      <c r="R2180">
        <v>1</v>
      </c>
      <c r="S2180" t="s">
        <v>2380</v>
      </c>
      <c r="T2180" t="s">
        <v>2383</v>
      </c>
      <c r="U2180" s="8">
        <v>45946.564652777779</v>
      </c>
      <c r="V2180" s="8">
        <v>45951.958333333336</v>
      </c>
      <c r="W2180">
        <v>1</v>
      </c>
      <c r="X2180">
        <v>1.8937384260000001</v>
      </c>
      <c r="Y2180" t="s">
        <v>3340</v>
      </c>
      <c r="Z2180" t="s">
        <v>9948</v>
      </c>
      <c r="AA2180" t="s">
        <v>9074</v>
      </c>
      <c r="AB2180" t="s">
        <v>1278</v>
      </c>
      <c r="AC2180" t="s">
        <v>2737</v>
      </c>
      <c r="AE2180">
        <v>1</v>
      </c>
      <c r="AO2180" t="s">
        <v>2957</v>
      </c>
      <c r="AP2180" t="s">
        <v>2401</v>
      </c>
    </row>
    <row r="2181" spans="1:42">
      <c r="A2181" t="s">
        <v>8304</v>
      </c>
      <c r="B2181" t="s">
        <v>2389</v>
      </c>
      <c r="C2181" t="s">
        <v>2415</v>
      </c>
      <c r="D2181" t="s">
        <v>2379</v>
      </c>
      <c r="E2181" t="s">
        <v>25</v>
      </c>
      <c r="F2181">
        <v>4240</v>
      </c>
      <c r="G2181" t="s">
        <v>25</v>
      </c>
      <c r="H2181" t="b">
        <v>1</v>
      </c>
      <c r="I2181" s="8">
        <v>45950.502546296295</v>
      </c>
      <c r="J2181" t="s">
        <v>2380</v>
      </c>
      <c r="K2181">
        <v>1203585</v>
      </c>
      <c r="L2181">
        <v>604106</v>
      </c>
      <c r="M2181" t="s">
        <v>2381</v>
      </c>
      <c r="N2181">
        <v>5</v>
      </c>
      <c r="P2181" t="s">
        <v>2394</v>
      </c>
      <c r="Q2181" t="s">
        <v>2395</v>
      </c>
      <c r="R2181">
        <v>1</v>
      </c>
      <c r="S2181" t="s">
        <v>2380</v>
      </c>
      <c r="T2181" t="s">
        <v>2383</v>
      </c>
      <c r="U2181" s="8">
        <v>45946.566238425927</v>
      </c>
      <c r="V2181" s="8">
        <v>45951.958333333336</v>
      </c>
      <c r="W2181">
        <v>1</v>
      </c>
      <c r="X2181">
        <v>1.93630787</v>
      </c>
      <c r="Y2181" t="s">
        <v>8134</v>
      </c>
      <c r="Z2181" t="s">
        <v>8305</v>
      </c>
      <c r="AA2181" t="s">
        <v>8137</v>
      </c>
      <c r="AB2181" t="s">
        <v>1278</v>
      </c>
      <c r="AC2181" t="s">
        <v>8306</v>
      </c>
      <c r="AD2181" t="s">
        <v>2708</v>
      </c>
      <c r="AE2181">
        <v>1</v>
      </c>
      <c r="AO2181" t="s">
        <v>4137</v>
      </c>
      <c r="AP2181" t="s">
        <v>2401</v>
      </c>
    </row>
    <row r="2182" spans="1:42">
      <c r="A2182" t="s">
        <v>8307</v>
      </c>
      <c r="B2182" t="s">
        <v>2389</v>
      </c>
      <c r="C2182" t="s">
        <v>2415</v>
      </c>
      <c r="D2182" t="s">
        <v>2379</v>
      </c>
      <c r="E2182" t="s">
        <v>25</v>
      </c>
      <c r="F2182">
        <v>4240</v>
      </c>
      <c r="G2182" t="s">
        <v>25</v>
      </c>
      <c r="H2182" t="b">
        <v>1</v>
      </c>
      <c r="I2182" s="8">
        <v>45950.507453703707</v>
      </c>
      <c r="J2182" t="s">
        <v>2380</v>
      </c>
      <c r="K2182">
        <v>1203586</v>
      </c>
      <c r="L2182">
        <v>604106</v>
      </c>
      <c r="M2182" t="s">
        <v>2381</v>
      </c>
      <c r="N2182">
        <v>5</v>
      </c>
      <c r="P2182" t="s">
        <v>2394</v>
      </c>
      <c r="Q2182" t="s">
        <v>2395</v>
      </c>
      <c r="R2182">
        <v>1</v>
      </c>
      <c r="S2182" t="s">
        <v>2380</v>
      </c>
      <c r="T2182" t="s">
        <v>2383</v>
      </c>
      <c r="U2182" s="8">
        <v>45946.571250000001</v>
      </c>
      <c r="V2182" s="8">
        <v>45951.958333333336</v>
      </c>
      <c r="W2182">
        <v>1</v>
      </c>
      <c r="X2182">
        <v>1.936203704</v>
      </c>
      <c r="Y2182" t="s">
        <v>8134</v>
      </c>
      <c r="Z2182" t="s">
        <v>8308</v>
      </c>
      <c r="AA2182" t="s">
        <v>8137</v>
      </c>
      <c r="AB2182" t="s">
        <v>1278</v>
      </c>
      <c r="AC2182" t="s">
        <v>8309</v>
      </c>
      <c r="AD2182" t="s">
        <v>2708</v>
      </c>
      <c r="AE2182">
        <v>1</v>
      </c>
      <c r="AO2182" t="s">
        <v>4137</v>
      </c>
      <c r="AP2182" t="s">
        <v>2401</v>
      </c>
    </row>
    <row r="2183" spans="1:42">
      <c r="A2183" t="s">
        <v>7992</v>
      </c>
      <c r="B2183" t="s">
        <v>2389</v>
      </c>
      <c r="C2183" t="s">
        <v>2390</v>
      </c>
      <c r="D2183" t="s">
        <v>2379</v>
      </c>
      <c r="E2183" t="s">
        <v>25</v>
      </c>
      <c r="F2183" t="s">
        <v>4709</v>
      </c>
      <c r="G2183" t="s">
        <v>25</v>
      </c>
      <c r="H2183" t="b">
        <v>1</v>
      </c>
      <c r="I2183" s="8">
        <v>45951.438657407409</v>
      </c>
      <c r="J2183" t="s">
        <v>2380</v>
      </c>
      <c r="K2183">
        <v>1203728</v>
      </c>
      <c r="L2183">
        <v>603168</v>
      </c>
      <c r="M2183" t="s">
        <v>2381</v>
      </c>
      <c r="N2183">
        <v>5</v>
      </c>
      <c r="P2183" t="s">
        <v>2394</v>
      </c>
      <c r="Q2183" t="s">
        <v>2383</v>
      </c>
      <c r="R2183">
        <v>1</v>
      </c>
      <c r="S2183" t="s">
        <v>2380</v>
      </c>
      <c r="T2183" t="s">
        <v>2383</v>
      </c>
      <c r="U2183" s="8">
        <v>45946.586678240739</v>
      </c>
      <c r="V2183" s="8">
        <v>45951.958333333336</v>
      </c>
      <c r="W2183">
        <v>1</v>
      </c>
      <c r="X2183">
        <v>2.8519791670000001</v>
      </c>
      <c r="Y2183" t="s">
        <v>4653</v>
      </c>
      <c r="Z2183" t="s">
        <v>7993</v>
      </c>
      <c r="AA2183" t="s">
        <v>4712</v>
      </c>
      <c r="AB2183" t="s">
        <v>1278</v>
      </c>
      <c r="AC2183" t="s">
        <v>7994</v>
      </c>
      <c r="AD2183" t="s">
        <v>2708</v>
      </c>
      <c r="AE2183">
        <v>1</v>
      </c>
      <c r="AO2183" t="s">
        <v>2957</v>
      </c>
      <c r="AP2183" t="s">
        <v>2401</v>
      </c>
    </row>
    <row r="2184" spans="1:42">
      <c r="A2184" t="s">
        <v>5881</v>
      </c>
      <c r="B2184" t="s">
        <v>2389</v>
      </c>
      <c r="C2184" t="s">
        <v>2390</v>
      </c>
      <c r="D2184" t="s">
        <v>2379</v>
      </c>
      <c r="E2184" t="s">
        <v>307</v>
      </c>
      <c r="F2184" t="s">
        <v>2541</v>
      </c>
      <c r="G2184" t="s">
        <v>307</v>
      </c>
      <c r="H2184" t="b">
        <v>1</v>
      </c>
      <c r="I2184" s="8">
        <v>45950.602569444447</v>
      </c>
      <c r="J2184" t="s">
        <v>2380</v>
      </c>
      <c r="K2184">
        <v>1203637</v>
      </c>
      <c r="L2184">
        <v>601441</v>
      </c>
      <c r="M2184" t="s">
        <v>2381</v>
      </c>
      <c r="P2184" t="s">
        <v>2548</v>
      </c>
      <c r="Q2184" t="s">
        <v>2383</v>
      </c>
      <c r="R2184">
        <v>1</v>
      </c>
      <c r="S2184" t="s">
        <v>2380</v>
      </c>
      <c r="T2184" t="s">
        <v>2383</v>
      </c>
      <c r="U2184" s="8">
        <v>45946.587511574071</v>
      </c>
      <c r="V2184" s="8">
        <v>45951.958333333336</v>
      </c>
      <c r="W2184">
        <v>1</v>
      </c>
      <c r="X2184">
        <v>2.0150578700000001</v>
      </c>
      <c r="Y2184" t="s">
        <v>2542</v>
      </c>
      <c r="Z2184" t="s">
        <v>5882</v>
      </c>
      <c r="AA2184" t="s">
        <v>2884</v>
      </c>
      <c r="AB2184" t="s">
        <v>1278</v>
      </c>
      <c r="AC2184" t="s">
        <v>5883</v>
      </c>
      <c r="AD2184" t="s">
        <v>2708</v>
      </c>
      <c r="AE2184">
        <v>1</v>
      </c>
      <c r="AO2184" t="s">
        <v>2547</v>
      </c>
      <c r="AP2184" t="s">
        <v>2401</v>
      </c>
    </row>
    <row r="2185" spans="1:42">
      <c r="A2185" t="s">
        <v>5248</v>
      </c>
      <c r="B2185" t="s">
        <v>2389</v>
      </c>
      <c r="C2185" t="s">
        <v>2415</v>
      </c>
      <c r="D2185" t="s">
        <v>2379</v>
      </c>
      <c r="E2185" t="s">
        <v>307</v>
      </c>
      <c r="F2185" t="s">
        <v>2417</v>
      </c>
      <c r="G2185" t="s">
        <v>307</v>
      </c>
      <c r="H2185" t="b">
        <v>1</v>
      </c>
      <c r="I2185" s="8">
        <v>45950.576539351852</v>
      </c>
      <c r="J2185" t="s">
        <v>2380</v>
      </c>
      <c r="K2185">
        <v>1203614</v>
      </c>
      <c r="L2185">
        <v>602919</v>
      </c>
      <c r="M2185" t="s">
        <v>2381</v>
      </c>
      <c r="P2185" t="s">
        <v>2394</v>
      </c>
      <c r="Q2185" t="s">
        <v>2383</v>
      </c>
      <c r="R2185">
        <v>1</v>
      </c>
      <c r="S2185" t="s">
        <v>2380</v>
      </c>
      <c r="T2185" t="s">
        <v>2383</v>
      </c>
      <c r="U2185" s="8">
        <v>45946.596493055556</v>
      </c>
      <c r="V2185" s="8">
        <v>45951.958333333336</v>
      </c>
      <c r="W2185">
        <v>1</v>
      </c>
      <c r="X2185">
        <v>1.980046296</v>
      </c>
      <c r="Y2185" t="s">
        <v>2418</v>
      </c>
      <c r="Z2185" t="s">
        <v>5249</v>
      </c>
      <c r="AA2185" t="s">
        <v>5250</v>
      </c>
      <c r="AB2185" t="s">
        <v>1278</v>
      </c>
      <c r="AD2185" t="s">
        <v>2708</v>
      </c>
      <c r="AE2185">
        <v>1</v>
      </c>
      <c r="AO2185" t="s">
        <v>2408</v>
      </c>
      <c r="AP2185" t="s">
        <v>2401</v>
      </c>
    </row>
    <row r="2186" spans="1:42">
      <c r="A2186" t="s">
        <v>70</v>
      </c>
      <c r="B2186" t="s">
        <v>2377</v>
      </c>
      <c r="C2186" t="s">
        <v>2438</v>
      </c>
      <c r="D2186" t="s">
        <v>2379</v>
      </c>
      <c r="E2186" t="s">
        <v>25</v>
      </c>
      <c r="F2186" t="s">
        <v>2417</v>
      </c>
      <c r="G2186" t="s">
        <v>25</v>
      </c>
      <c r="H2186" t="b">
        <v>1</v>
      </c>
      <c r="I2186" s="8">
        <v>45946.664583333331</v>
      </c>
      <c r="J2186" t="s">
        <v>2380</v>
      </c>
      <c r="L2186">
        <v>602392</v>
      </c>
      <c r="M2186" t="s">
        <v>2381</v>
      </c>
      <c r="N2186">
        <v>5</v>
      </c>
      <c r="Q2186" t="s">
        <v>2383</v>
      </c>
      <c r="R2186">
        <v>1</v>
      </c>
      <c r="S2186" t="s">
        <v>2380</v>
      </c>
      <c r="T2186" t="s">
        <v>2383</v>
      </c>
      <c r="U2186" s="8">
        <v>45946.611678240741</v>
      </c>
      <c r="V2186" s="8">
        <v>45951.958333333336</v>
      </c>
      <c r="W2186">
        <v>1</v>
      </c>
      <c r="X2186">
        <v>5.2905093E-2</v>
      </c>
      <c r="Y2186" t="s">
        <v>2418</v>
      </c>
      <c r="Z2186" t="s">
        <v>8104</v>
      </c>
      <c r="AA2186" t="s">
        <v>418</v>
      </c>
      <c r="AB2186" t="s">
        <v>1278</v>
      </c>
      <c r="AC2186" t="s">
        <v>8105</v>
      </c>
      <c r="AD2186" t="s">
        <v>2708</v>
      </c>
      <c r="AE2186">
        <v>1</v>
      </c>
      <c r="AO2186" t="s">
        <v>4121</v>
      </c>
      <c r="AP2186" t="s">
        <v>2401</v>
      </c>
    </row>
    <row r="2187" spans="1:42">
      <c r="A2187" t="s">
        <v>6704</v>
      </c>
      <c r="B2187" t="s">
        <v>2389</v>
      </c>
      <c r="C2187" t="s">
        <v>2390</v>
      </c>
      <c r="D2187" t="s">
        <v>2379</v>
      </c>
      <c r="E2187" t="s">
        <v>307</v>
      </c>
      <c r="F2187" t="s">
        <v>3308</v>
      </c>
      <c r="G2187" t="s">
        <v>307</v>
      </c>
      <c r="H2187" t="b">
        <v>1</v>
      </c>
      <c r="I2187" s="8">
        <v>45948.973229166666</v>
      </c>
      <c r="J2187" t="s">
        <v>2380</v>
      </c>
      <c r="K2187">
        <v>1203421</v>
      </c>
      <c r="L2187">
        <v>603633</v>
      </c>
      <c r="M2187" t="s">
        <v>2381</v>
      </c>
      <c r="Q2187" t="s">
        <v>2383</v>
      </c>
      <c r="R2187">
        <v>1</v>
      </c>
      <c r="S2187" t="s">
        <v>2380</v>
      </c>
      <c r="T2187" t="s">
        <v>2383</v>
      </c>
      <c r="U2187" s="8">
        <v>45946.611979166664</v>
      </c>
      <c r="V2187" s="8">
        <v>45951.958333333336</v>
      </c>
      <c r="W2187">
        <v>1</v>
      </c>
      <c r="X2187">
        <v>2.3612500000000001</v>
      </c>
      <c r="Y2187" t="s">
        <v>3309</v>
      </c>
      <c r="Z2187" t="s">
        <v>6705</v>
      </c>
      <c r="AA2187" t="s">
        <v>3312</v>
      </c>
      <c r="AB2187" t="s">
        <v>1278</v>
      </c>
      <c r="AD2187" t="s">
        <v>2708</v>
      </c>
      <c r="AE2187">
        <v>1</v>
      </c>
      <c r="AO2187" t="s">
        <v>2388</v>
      </c>
      <c r="AP2187" t="s">
        <v>2401</v>
      </c>
    </row>
    <row r="2188" spans="1:42">
      <c r="A2188" t="s">
        <v>9567</v>
      </c>
      <c r="B2188" t="s">
        <v>2389</v>
      </c>
      <c r="C2188" t="s">
        <v>2378</v>
      </c>
      <c r="D2188" t="s">
        <v>2379</v>
      </c>
      <c r="E2188" t="s">
        <v>2601</v>
      </c>
      <c r="F2188" t="s">
        <v>2417</v>
      </c>
      <c r="G2188" t="s">
        <v>33</v>
      </c>
      <c r="H2188" t="b">
        <v>1</v>
      </c>
      <c r="I2188" s="8">
        <v>45951.669675925928</v>
      </c>
      <c r="J2188" t="s">
        <v>2380</v>
      </c>
      <c r="L2188">
        <v>604444</v>
      </c>
      <c r="M2188" t="s">
        <v>2381</v>
      </c>
      <c r="P2188" t="s">
        <v>2548</v>
      </c>
      <c r="Q2188" t="s">
        <v>2395</v>
      </c>
      <c r="R2188">
        <v>1</v>
      </c>
      <c r="S2188" t="s">
        <v>2380</v>
      </c>
      <c r="T2188" t="s">
        <v>2383</v>
      </c>
      <c r="U2188" s="8">
        <v>45946.620381944442</v>
      </c>
      <c r="V2188" s="8">
        <v>45951.958333333336</v>
      </c>
      <c r="W2188">
        <v>1</v>
      </c>
      <c r="X2188">
        <v>3.0492939809999999</v>
      </c>
      <c r="Y2188" t="s">
        <v>2418</v>
      </c>
      <c r="Z2188" t="s">
        <v>9568</v>
      </c>
      <c r="AA2188" t="s">
        <v>9569</v>
      </c>
      <c r="AB2188" t="s">
        <v>1278</v>
      </c>
      <c r="AE2188">
        <v>1</v>
      </c>
      <c r="AH2188" t="s">
        <v>33</v>
      </c>
      <c r="AI2188" s="8">
        <v>45951.668263888889</v>
      </c>
      <c r="AK2188" t="s">
        <v>2719</v>
      </c>
      <c r="AL2188" t="s">
        <v>2719</v>
      </c>
      <c r="AO2188" t="s">
        <v>4137</v>
      </c>
      <c r="AP2188" t="s">
        <v>2401</v>
      </c>
    </row>
    <row r="2189" spans="1:42">
      <c r="A2189" t="s">
        <v>10115</v>
      </c>
      <c r="B2189" t="s">
        <v>2389</v>
      </c>
      <c r="C2189" t="s">
        <v>2390</v>
      </c>
      <c r="D2189" t="s">
        <v>2379</v>
      </c>
      <c r="E2189" t="s">
        <v>2452</v>
      </c>
      <c r="F2189" t="s">
        <v>3261</v>
      </c>
      <c r="G2189" t="s">
        <v>2452</v>
      </c>
      <c r="H2189" t="b">
        <v>1</v>
      </c>
      <c r="I2189" s="8">
        <v>45951.503958333335</v>
      </c>
      <c r="J2189" t="s">
        <v>2380</v>
      </c>
      <c r="L2189">
        <v>605271</v>
      </c>
      <c r="M2189" t="s">
        <v>2381</v>
      </c>
      <c r="P2189" t="s">
        <v>2427</v>
      </c>
      <c r="Q2189" t="s">
        <v>2383</v>
      </c>
      <c r="R2189">
        <v>1</v>
      </c>
      <c r="S2189" t="s">
        <v>2380</v>
      </c>
      <c r="T2189" t="s">
        <v>2383</v>
      </c>
      <c r="U2189" s="8">
        <v>45946.62736111111</v>
      </c>
      <c r="V2189" s="8">
        <v>45951.958333333336</v>
      </c>
      <c r="W2189">
        <v>1</v>
      </c>
      <c r="X2189">
        <v>2.876597222</v>
      </c>
      <c r="Y2189" t="s">
        <v>3262</v>
      </c>
      <c r="Z2189" t="s">
        <v>10116</v>
      </c>
      <c r="AA2189" t="s">
        <v>1967</v>
      </c>
      <c r="AB2189" t="s">
        <v>1278</v>
      </c>
      <c r="AC2189" t="s">
        <v>10117</v>
      </c>
      <c r="AE2189">
        <v>1</v>
      </c>
      <c r="AO2189" t="s">
        <v>2957</v>
      </c>
      <c r="AP2189" t="s">
        <v>2401</v>
      </c>
    </row>
    <row r="2190" spans="1:42">
      <c r="A2190" t="s">
        <v>6245</v>
      </c>
      <c r="B2190" t="s">
        <v>2389</v>
      </c>
      <c r="C2190" t="s">
        <v>2415</v>
      </c>
      <c r="D2190" t="s">
        <v>2379</v>
      </c>
      <c r="E2190" t="s">
        <v>25</v>
      </c>
      <c r="F2190" t="s">
        <v>2541</v>
      </c>
      <c r="G2190" t="s">
        <v>25</v>
      </c>
      <c r="H2190" t="b">
        <v>1</v>
      </c>
      <c r="I2190" s="8">
        <v>45950.477534722224</v>
      </c>
      <c r="J2190" t="s">
        <v>2380</v>
      </c>
      <c r="K2190">
        <v>1203570</v>
      </c>
      <c r="L2190">
        <v>601096</v>
      </c>
      <c r="M2190" t="s">
        <v>2381</v>
      </c>
      <c r="N2190">
        <v>5</v>
      </c>
      <c r="P2190" t="s">
        <v>2548</v>
      </c>
      <c r="Q2190" t="s">
        <v>2383</v>
      </c>
      <c r="R2190">
        <v>1</v>
      </c>
      <c r="S2190" t="s">
        <v>2380</v>
      </c>
      <c r="T2190" t="s">
        <v>2383</v>
      </c>
      <c r="U2190" s="8">
        <v>45946.642187500001</v>
      </c>
      <c r="V2190" s="8">
        <v>45951.958333333336</v>
      </c>
      <c r="W2190">
        <v>1</v>
      </c>
      <c r="X2190">
        <v>1.835347222</v>
      </c>
      <c r="Y2190" t="s">
        <v>2542</v>
      </c>
      <c r="Z2190" t="s">
        <v>6246</v>
      </c>
      <c r="AA2190" t="s">
        <v>2888</v>
      </c>
      <c r="AB2190" t="s">
        <v>1278</v>
      </c>
      <c r="AC2190" t="s">
        <v>6247</v>
      </c>
      <c r="AD2190" t="s">
        <v>2708</v>
      </c>
      <c r="AE2190">
        <v>1</v>
      </c>
      <c r="AO2190" t="s">
        <v>2547</v>
      </c>
      <c r="AP2190" t="s">
        <v>2401</v>
      </c>
    </row>
    <row r="2191" spans="1:42">
      <c r="A2191" t="s">
        <v>9540</v>
      </c>
      <c r="B2191" t="s">
        <v>2377</v>
      </c>
      <c r="C2191" t="s">
        <v>2438</v>
      </c>
      <c r="D2191" t="s">
        <v>2379</v>
      </c>
      <c r="E2191" t="s">
        <v>24</v>
      </c>
      <c r="F2191" t="s">
        <v>2402</v>
      </c>
      <c r="G2191" t="s">
        <v>24</v>
      </c>
      <c r="H2191" t="b">
        <v>1</v>
      </c>
      <c r="I2191" s="8">
        <v>45947.611400462964</v>
      </c>
      <c r="J2191" t="s">
        <v>2380</v>
      </c>
      <c r="L2191">
        <v>603505</v>
      </c>
      <c r="M2191" t="s">
        <v>2381</v>
      </c>
      <c r="Q2191" t="s">
        <v>2383</v>
      </c>
      <c r="R2191">
        <v>1</v>
      </c>
      <c r="S2191" t="s">
        <v>2380</v>
      </c>
      <c r="T2191" t="s">
        <v>2383</v>
      </c>
      <c r="U2191" s="8">
        <v>45946.645370370374</v>
      </c>
      <c r="V2191" s="8">
        <v>45951.958333333336</v>
      </c>
      <c r="W2191">
        <v>1</v>
      </c>
      <c r="X2191">
        <v>0.96603009299999998</v>
      </c>
      <c r="Y2191" t="s">
        <v>2403</v>
      </c>
      <c r="Z2191" t="s">
        <v>9541</v>
      </c>
      <c r="AA2191" t="s">
        <v>2773</v>
      </c>
      <c r="AB2191" t="s">
        <v>1278</v>
      </c>
      <c r="AC2191" t="s">
        <v>9542</v>
      </c>
      <c r="AE2191">
        <v>1</v>
      </c>
      <c r="AH2191" t="s">
        <v>33</v>
      </c>
      <c r="AI2191" s="8">
        <v>45947.606203703705</v>
      </c>
      <c r="AK2191" t="s">
        <v>2719</v>
      </c>
      <c r="AL2191" t="s">
        <v>2719</v>
      </c>
      <c r="AO2191" t="s">
        <v>2408</v>
      </c>
      <c r="AP2191" t="s">
        <v>2401</v>
      </c>
    </row>
    <row r="2192" spans="1:42">
      <c r="A2192" t="s">
        <v>3749</v>
      </c>
      <c r="B2192" t="s">
        <v>2377</v>
      </c>
      <c r="C2192" t="s">
        <v>2438</v>
      </c>
      <c r="D2192" t="s">
        <v>2379</v>
      </c>
      <c r="E2192" t="s">
        <v>24</v>
      </c>
      <c r="F2192" t="s">
        <v>3747</v>
      </c>
      <c r="G2192" t="s">
        <v>24</v>
      </c>
      <c r="H2192" t="b">
        <v>1</v>
      </c>
      <c r="I2192" s="8">
        <v>45947.452002314814</v>
      </c>
      <c r="J2192" t="s">
        <v>2380</v>
      </c>
      <c r="L2192">
        <v>609121</v>
      </c>
      <c r="M2192" t="s">
        <v>2381</v>
      </c>
      <c r="Q2192" t="s">
        <v>2383</v>
      </c>
      <c r="R2192">
        <v>1</v>
      </c>
      <c r="S2192" t="s">
        <v>2380</v>
      </c>
      <c r="T2192" t="s">
        <v>2383</v>
      </c>
      <c r="U2192" s="8">
        <v>45946.652743055558</v>
      </c>
      <c r="V2192" s="8">
        <v>45951.958333333336</v>
      </c>
      <c r="W2192">
        <v>1</v>
      </c>
      <c r="X2192">
        <v>0.79925925900000006</v>
      </c>
      <c r="Y2192" t="s">
        <v>3748</v>
      </c>
      <c r="Z2192" t="s">
        <v>3750</v>
      </c>
      <c r="AA2192" t="s">
        <v>3751</v>
      </c>
      <c r="AB2192" t="s">
        <v>1278</v>
      </c>
      <c r="AC2192" t="s">
        <v>3752</v>
      </c>
      <c r="AE2192">
        <v>1</v>
      </c>
      <c r="AO2192" t="s">
        <v>2712</v>
      </c>
      <c r="AP2192" t="s">
        <v>2401</v>
      </c>
    </row>
    <row r="2193" spans="1:42">
      <c r="A2193" t="s">
        <v>8310</v>
      </c>
      <c r="B2193" t="s">
        <v>2389</v>
      </c>
      <c r="C2193" t="s">
        <v>2415</v>
      </c>
      <c r="D2193" t="s">
        <v>2379</v>
      </c>
      <c r="E2193" t="s">
        <v>25</v>
      </c>
      <c r="F2193">
        <v>4240</v>
      </c>
      <c r="G2193" t="s">
        <v>25</v>
      </c>
      <c r="H2193" t="b">
        <v>1</v>
      </c>
      <c r="I2193" s="8">
        <v>45950.508993055555</v>
      </c>
      <c r="J2193" t="s">
        <v>2380</v>
      </c>
      <c r="K2193">
        <v>1203587</v>
      </c>
      <c r="L2193">
        <v>604106</v>
      </c>
      <c r="M2193" t="s">
        <v>2381</v>
      </c>
      <c r="N2193">
        <v>5</v>
      </c>
      <c r="P2193" t="s">
        <v>2394</v>
      </c>
      <c r="Q2193" t="s">
        <v>2395</v>
      </c>
      <c r="R2193">
        <v>1</v>
      </c>
      <c r="S2193" t="s">
        <v>2380</v>
      </c>
      <c r="T2193" t="s">
        <v>2383</v>
      </c>
      <c r="U2193" s="8">
        <v>45946.662129629629</v>
      </c>
      <c r="V2193" s="8">
        <v>45951.958333333336</v>
      </c>
      <c r="W2193">
        <v>1</v>
      </c>
      <c r="X2193">
        <v>1.8468634260000001</v>
      </c>
      <c r="Y2193" t="s">
        <v>8134</v>
      </c>
      <c r="Z2193" t="s">
        <v>8311</v>
      </c>
      <c r="AA2193" t="s">
        <v>8137</v>
      </c>
      <c r="AB2193" t="s">
        <v>1278</v>
      </c>
      <c r="AC2193" t="s">
        <v>8312</v>
      </c>
      <c r="AD2193" t="s">
        <v>2708</v>
      </c>
      <c r="AE2193">
        <v>1</v>
      </c>
      <c r="AO2193" t="s">
        <v>4137</v>
      </c>
      <c r="AP2193" t="s">
        <v>2401</v>
      </c>
    </row>
    <row r="2194" spans="1:42">
      <c r="A2194" t="s">
        <v>10019</v>
      </c>
      <c r="B2194" t="s">
        <v>2389</v>
      </c>
      <c r="C2194" t="s">
        <v>2390</v>
      </c>
      <c r="D2194" t="s">
        <v>2379</v>
      </c>
      <c r="E2194" t="s">
        <v>24</v>
      </c>
      <c r="F2194" t="s">
        <v>4709</v>
      </c>
      <c r="G2194" t="s">
        <v>24</v>
      </c>
      <c r="H2194" t="b">
        <v>1</v>
      </c>
      <c r="I2194" s="8">
        <v>45951.424733796295</v>
      </c>
      <c r="J2194" t="s">
        <v>2380</v>
      </c>
      <c r="L2194">
        <v>603168</v>
      </c>
      <c r="M2194" t="s">
        <v>2381</v>
      </c>
      <c r="P2194" t="s">
        <v>2394</v>
      </c>
      <c r="Q2194" t="s">
        <v>2383</v>
      </c>
      <c r="R2194">
        <v>1</v>
      </c>
      <c r="S2194" t="s">
        <v>2380</v>
      </c>
      <c r="T2194" t="s">
        <v>2383</v>
      </c>
      <c r="U2194" s="8">
        <v>45946.667129629626</v>
      </c>
      <c r="V2194" s="8">
        <v>45951.958333333336</v>
      </c>
      <c r="W2194">
        <v>1</v>
      </c>
      <c r="X2194">
        <v>2.7576041670000002</v>
      </c>
      <c r="Y2194" t="s">
        <v>4653</v>
      </c>
      <c r="Z2194" t="s">
        <v>10020</v>
      </c>
      <c r="AA2194" t="s">
        <v>4712</v>
      </c>
      <c r="AB2194" t="s">
        <v>1278</v>
      </c>
      <c r="AC2194" t="s">
        <v>3254</v>
      </c>
      <c r="AE2194">
        <v>1</v>
      </c>
      <c r="AO2194" t="s">
        <v>2957</v>
      </c>
      <c r="AP2194" t="s">
        <v>2401</v>
      </c>
    </row>
    <row r="2195" spans="1:42">
      <c r="A2195" t="s">
        <v>8245</v>
      </c>
      <c r="B2195" t="s">
        <v>2389</v>
      </c>
      <c r="C2195" t="s">
        <v>2390</v>
      </c>
      <c r="D2195" t="s">
        <v>2379</v>
      </c>
      <c r="E2195" t="s">
        <v>25</v>
      </c>
      <c r="F2195" t="s">
        <v>8239</v>
      </c>
      <c r="G2195" t="s">
        <v>25</v>
      </c>
      <c r="H2195" t="b">
        <v>1</v>
      </c>
      <c r="I2195" s="8">
        <v>45951.425335648149</v>
      </c>
      <c r="J2195" t="s">
        <v>2380</v>
      </c>
      <c r="K2195">
        <v>1203721</v>
      </c>
      <c r="L2195">
        <v>604452</v>
      </c>
      <c r="M2195" t="s">
        <v>2381</v>
      </c>
      <c r="N2195">
        <v>5</v>
      </c>
      <c r="P2195" t="s">
        <v>2394</v>
      </c>
      <c r="Q2195" t="s">
        <v>2395</v>
      </c>
      <c r="R2195">
        <v>1</v>
      </c>
      <c r="S2195" t="s">
        <v>2380</v>
      </c>
      <c r="T2195" t="s">
        <v>2383</v>
      </c>
      <c r="U2195" s="8">
        <v>45946.668425925927</v>
      </c>
      <c r="V2195" s="8">
        <v>45954.958333333336</v>
      </c>
      <c r="W2195">
        <v>1</v>
      </c>
      <c r="X2195">
        <v>2.7569097220000001</v>
      </c>
      <c r="Y2195" t="s">
        <v>8240</v>
      </c>
      <c r="Z2195" t="s">
        <v>8246</v>
      </c>
      <c r="AA2195" t="s">
        <v>8243</v>
      </c>
      <c r="AB2195" t="s">
        <v>1278</v>
      </c>
      <c r="AC2195" t="s">
        <v>8247</v>
      </c>
      <c r="AD2195" t="s">
        <v>2708</v>
      </c>
      <c r="AE2195">
        <v>1</v>
      </c>
      <c r="AO2195" t="s">
        <v>4137</v>
      </c>
      <c r="AP2195" t="s">
        <v>2401</v>
      </c>
    </row>
    <row r="2196" spans="1:42">
      <c r="A2196" t="s">
        <v>5971</v>
      </c>
      <c r="B2196" t="s">
        <v>2389</v>
      </c>
      <c r="C2196" t="s">
        <v>2415</v>
      </c>
      <c r="D2196" t="s">
        <v>2379</v>
      </c>
      <c r="E2196" t="s">
        <v>2601</v>
      </c>
      <c r="F2196" t="s">
        <v>2541</v>
      </c>
      <c r="G2196" t="s">
        <v>2601</v>
      </c>
      <c r="H2196" t="b">
        <v>1</v>
      </c>
      <c r="I2196" s="8">
        <v>45947.670810185184</v>
      </c>
      <c r="J2196" t="s">
        <v>2380</v>
      </c>
      <c r="K2196">
        <v>1203300</v>
      </c>
      <c r="L2196">
        <v>601096</v>
      </c>
      <c r="M2196" t="s">
        <v>2381</v>
      </c>
      <c r="P2196" t="s">
        <v>2548</v>
      </c>
      <c r="Q2196" t="s">
        <v>2383</v>
      </c>
      <c r="R2196">
        <v>1</v>
      </c>
      <c r="S2196" t="s">
        <v>2380</v>
      </c>
      <c r="T2196" t="s">
        <v>2383</v>
      </c>
      <c r="U2196" s="8">
        <v>45946.668622685182</v>
      </c>
      <c r="V2196" s="8">
        <v>45951.958333333336</v>
      </c>
      <c r="W2196">
        <v>1</v>
      </c>
      <c r="X2196">
        <v>1.0021875</v>
      </c>
      <c r="Y2196" t="s">
        <v>2542</v>
      </c>
      <c r="Z2196" t="s">
        <v>5972</v>
      </c>
      <c r="AA2196" t="s">
        <v>2888</v>
      </c>
      <c r="AB2196" t="s">
        <v>1278</v>
      </c>
      <c r="AD2196" t="s">
        <v>2708</v>
      </c>
      <c r="AE2196">
        <v>1</v>
      </c>
      <c r="AO2196" t="s">
        <v>2547</v>
      </c>
      <c r="AP2196" t="s">
        <v>2401</v>
      </c>
    </row>
    <row r="2197" spans="1:42">
      <c r="A2197" t="s">
        <v>3251</v>
      </c>
      <c r="B2197" t="s">
        <v>2389</v>
      </c>
      <c r="C2197" t="s">
        <v>2390</v>
      </c>
      <c r="D2197" t="s">
        <v>2379</v>
      </c>
      <c r="E2197" t="s">
        <v>24</v>
      </c>
      <c r="F2197" t="s">
        <v>3249</v>
      </c>
      <c r="G2197" t="s">
        <v>24</v>
      </c>
      <c r="H2197" t="b">
        <v>1</v>
      </c>
      <c r="I2197" s="8">
        <v>45951.427060185182</v>
      </c>
      <c r="J2197" t="s">
        <v>2380</v>
      </c>
      <c r="L2197">
        <v>602303</v>
      </c>
      <c r="M2197" t="s">
        <v>2381</v>
      </c>
      <c r="P2197" t="s">
        <v>2394</v>
      </c>
      <c r="Q2197" t="s">
        <v>2383</v>
      </c>
      <c r="R2197">
        <v>1</v>
      </c>
      <c r="S2197" t="s">
        <v>2380</v>
      </c>
      <c r="T2197" t="s">
        <v>2383</v>
      </c>
      <c r="U2197" s="8">
        <v>45946.678391203706</v>
      </c>
      <c r="V2197" s="8">
        <v>45951.958333333336</v>
      </c>
      <c r="W2197">
        <v>1</v>
      </c>
      <c r="X2197">
        <v>2.7486689809999998</v>
      </c>
      <c r="Y2197" t="s">
        <v>3250</v>
      </c>
      <c r="Z2197" t="s">
        <v>3252</v>
      </c>
      <c r="AA2197" t="s">
        <v>3253</v>
      </c>
      <c r="AB2197" t="s">
        <v>1278</v>
      </c>
      <c r="AC2197" t="s">
        <v>3254</v>
      </c>
      <c r="AE2197">
        <v>1</v>
      </c>
      <c r="AO2197" t="s">
        <v>2388</v>
      </c>
      <c r="AP2197" t="s">
        <v>2401</v>
      </c>
    </row>
    <row r="2198" spans="1:42">
      <c r="A2198" t="s">
        <v>718</v>
      </c>
      <c r="B2198" t="s">
        <v>2377</v>
      </c>
      <c r="C2198" t="s">
        <v>2438</v>
      </c>
      <c r="D2198" t="s">
        <v>2379</v>
      </c>
      <c r="E2198" t="s">
        <v>33</v>
      </c>
      <c r="F2198" t="s">
        <v>2588</v>
      </c>
      <c r="G2198" t="s">
        <v>33</v>
      </c>
      <c r="H2198" t="b">
        <v>1</v>
      </c>
      <c r="I2198" s="8">
        <v>45947.612523148149</v>
      </c>
      <c r="J2198" t="s">
        <v>2380</v>
      </c>
      <c r="L2198">
        <v>609701</v>
      </c>
      <c r="M2198" t="s">
        <v>2381</v>
      </c>
      <c r="Q2198" t="s">
        <v>2383</v>
      </c>
      <c r="R2198">
        <v>1</v>
      </c>
      <c r="S2198" t="s">
        <v>2380</v>
      </c>
      <c r="T2198" t="s">
        <v>2383</v>
      </c>
      <c r="U2198" s="8">
        <v>45946.680856481478</v>
      </c>
      <c r="V2198" s="8">
        <v>45951.958333333336</v>
      </c>
      <c r="W2198">
        <v>1</v>
      </c>
      <c r="X2198">
        <v>0.931666667</v>
      </c>
      <c r="Y2198" t="s">
        <v>2579</v>
      </c>
      <c r="Z2198" t="s">
        <v>9349</v>
      </c>
      <c r="AA2198" t="s">
        <v>3679</v>
      </c>
      <c r="AB2198" t="s">
        <v>1278</v>
      </c>
      <c r="AC2198" t="s">
        <v>9350</v>
      </c>
      <c r="AD2198" t="s">
        <v>2708</v>
      </c>
      <c r="AE2198">
        <v>1</v>
      </c>
      <c r="AF2198">
        <v>2</v>
      </c>
      <c r="AH2198" t="s">
        <v>2723</v>
      </c>
      <c r="AI2198" s="8">
        <v>45947.611886574072</v>
      </c>
      <c r="AK2198" t="s">
        <v>2719</v>
      </c>
      <c r="AL2198" t="s">
        <v>2724</v>
      </c>
      <c r="AO2198" t="s">
        <v>3644</v>
      </c>
      <c r="AP2198" t="s">
        <v>2401</v>
      </c>
    </row>
    <row r="2199" spans="1:42">
      <c r="A2199" t="s">
        <v>5092</v>
      </c>
      <c r="B2199" t="s">
        <v>2389</v>
      </c>
      <c r="C2199" t="s">
        <v>2378</v>
      </c>
      <c r="D2199" t="s">
        <v>2379</v>
      </c>
      <c r="E2199" t="s">
        <v>12</v>
      </c>
      <c r="F2199" t="s">
        <v>5085</v>
      </c>
      <c r="G2199" t="s">
        <v>12</v>
      </c>
      <c r="H2199" t="b">
        <v>1</v>
      </c>
      <c r="I2199" s="8">
        <v>45951.702627314815</v>
      </c>
      <c r="J2199" t="s">
        <v>2380</v>
      </c>
      <c r="K2199">
        <v>1203886</v>
      </c>
      <c r="L2199">
        <v>602945</v>
      </c>
      <c r="M2199" t="s">
        <v>2381</v>
      </c>
      <c r="Q2199" t="s">
        <v>2383</v>
      </c>
      <c r="R2199">
        <v>1</v>
      </c>
      <c r="S2199" t="s">
        <v>2380</v>
      </c>
      <c r="T2199" t="s">
        <v>5086</v>
      </c>
      <c r="U2199" s="8">
        <v>45946.686203703706</v>
      </c>
      <c r="V2199" s="8">
        <v>45951.958333333336</v>
      </c>
      <c r="W2199">
        <v>1</v>
      </c>
      <c r="X2199">
        <v>3.016423611</v>
      </c>
      <c r="Y2199" t="s">
        <v>5087</v>
      </c>
      <c r="Z2199" t="s">
        <v>5093</v>
      </c>
      <c r="AA2199" t="s">
        <v>5090</v>
      </c>
      <c r="AB2199" t="s">
        <v>1278</v>
      </c>
      <c r="AC2199" t="s">
        <v>5094</v>
      </c>
      <c r="AD2199" t="s">
        <v>2708</v>
      </c>
      <c r="AE2199">
        <v>1</v>
      </c>
      <c r="AO2199" t="s">
        <v>2720</v>
      </c>
      <c r="AP2199" t="s">
        <v>2401</v>
      </c>
    </row>
    <row r="2200" spans="1:42">
      <c r="A2200" t="s">
        <v>5095</v>
      </c>
      <c r="B2200" t="s">
        <v>2389</v>
      </c>
      <c r="C2200" t="s">
        <v>2378</v>
      </c>
      <c r="D2200" t="s">
        <v>2379</v>
      </c>
      <c r="E2200" t="s">
        <v>12</v>
      </c>
      <c r="F2200" t="s">
        <v>5085</v>
      </c>
      <c r="G2200" t="s">
        <v>12</v>
      </c>
      <c r="H2200" t="b">
        <v>1</v>
      </c>
      <c r="I2200" s="8">
        <v>45951.705520833333</v>
      </c>
      <c r="J2200" t="s">
        <v>2380</v>
      </c>
      <c r="K2200">
        <v>1203887</v>
      </c>
      <c r="L2200">
        <v>602945</v>
      </c>
      <c r="M2200" t="s">
        <v>2381</v>
      </c>
      <c r="Q2200" t="s">
        <v>2383</v>
      </c>
      <c r="R2200">
        <v>1</v>
      </c>
      <c r="S2200" t="s">
        <v>2380</v>
      </c>
      <c r="T2200" t="s">
        <v>5086</v>
      </c>
      <c r="U2200" s="8">
        <v>45946.687083333331</v>
      </c>
      <c r="V2200" s="8">
        <v>45951.958333333336</v>
      </c>
      <c r="W2200">
        <v>1</v>
      </c>
      <c r="X2200">
        <v>3.0184375000000001</v>
      </c>
      <c r="Y2200" t="s">
        <v>5087</v>
      </c>
      <c r="Z2200" t="s">
        <v>5096</v>
      </c>
      <c r="AA2200" t="s">
        <v>5090</v>
      </c>
      <c r="AB2200" t="s">
        <v>1278</v>
      </c>
      <c r="AC2200" t="s">
        <v>5097</v>
      </c>
      <c r="AD2200" t="s">
        <v>2708</v>
      </c>
      <c r="AE2200">
        <v>1</v>
      </c>
      <c r="AO2200" t="s">
        <v>2720</v>
      </c>
      <c r="AP2200" t="s">
        <v>2401</v>
      </c>
    </row>
    <row r="2201" spans="1:42">
      <c r="A2201" t="s">
        <v>9528</v>
      </c>
      <c r="B2201" t="s">
        <v>2389</v>
      </c>
      <c r="C2201" t="s">
        <v>2378</v>
      </c>
      <c r="D2201" t="s">
        <v>2379</v>
      </c>
      <c r="E2201" t="s">
        <v>12</v>
      </c>
      <c r="F2201" t="s">
        <v>5085</v>
      </c>
      <c r="G2201" t="s">
        <v>12</v>
      </c>
      <c r="H2201" t="b">
        <v>1</v>
      </c>
      <c r="I2201" s="8">
        <v>45951.710706018515</v>
      </c>
      <c r="J2201" t="s">
        <v>2380</v>
      </c>
      <c r="L2201">
        <v>602945</v>
      </c>
      <c r="M2201" t="s">
        <v>2381</v>
      </c>
      <c r="Q2201" t="s">
        <v>2383</v>
      </c>
      <c r="R2201">
        <v>1</v>
      </c>
      <c r="S2201" t="s">
        <v>2380</v>
      </c>
      <c r="T2201" t="s">
        <v>5086</v>
      </c>
      <c r="U2201" s="8">
        <v>45946.687685185185</v>
      </c>
      <c r="V2201" s="8">
        <v>45951.958333333336</v>
      </c>
      <c r="W2201">
        <v>1</v>
      </c>
      <c r="X2201">
        <v>3.0230208329999999</v>
      </c>
      <c r="Y2201" t="s">
        <v>5087</v>
      </c>
      <c r="Z2201" t="s">
        <v>9529</v>
      </c>
      <c r="AA2201" t="s">
        <v>5090</v>
      </c>
      <c r="AB2201" t="s">
        <v>1278</v>
      </c>
      <c r="AC2201" t="s">
        <v>9530</v>
      </c>
      <c r="AE2201">
        <v>1</v>
      </c>
      <c r="AO2201" t="s">
        <v>2720</v>
      </c>
      <c r="AP2201" t="s">
        <v>2401</v>
      </c>
    </row>
    <row r="2202" spans="1:42">
      <c r="A2202" t="s">
        <v>5098</v>
      </c>
      <c r="B2202" t="s">
        <v>2389</v>
      </c>
      <c r="C2202" t="s">
        <v>2378</v>
      </c>
      <c r="D2202" t="s">
        <v>2379</v>
      </c>
      <c r="E2202" t="s">
        <v>12</v>
      </c>
      <c r="F2202" t="s">
        <v>5085</v>
      </c>
      <c r="G2202" t="s">
        <v>12</v>
      </c>
      <c r="H2202" t="b">
        <v>1</v>
      </c>
      <c r="I2202" s="8">
        <v>45951.713726851849</v>
      </c>
      <c r="J2202" t="s">
        <v>2380</v>
      </c>
      <c r="K2202">
        <v>1203888</v>
      </c>
      <c r="L2202">
        <v>602945</v>
      </c>
      <c r="M2202" t="s">
        <v>2381</v>
      </c>
      <c r="Q2202" t="s">
        <v>2383</v>
      </c>
      <c r="R2202">
        <v>1</v>
      </c>
      <c r="S2202" t="s">
        <v>2380</v>
      </c>
      <c r="T2202" t="s">
        <v>5086</v>
      </c>
      <c r="U2202" s="8">
        <v>45946.688171296293</v>
      </c>
      <c r="V2202" s="8">
        <v>45951.958333333336</v>
      </c>
      <c r="W2202">
        <v>1</v>
      </c>
      <c r="X2202">
        <v>3.025555556</v>
      </c>
      <c r="Y2202" t="s">
        <v>5087</v>
      </c>
      <c r="Z2202" t="s">
        <v>5099</v>
      </c>
      <c r="AA2202" t="s">
        <v>5090</v>
      </c>
      <c r="AB2202" t="s">
        <v>1278</v>
      </c>
      <c r="AC2202" t="s">
        <v>5100</v>
      </c>
      <c r="AD2202" t="s">
        <v>2708</v>
      </c>
      <c r="AE2202">
        <v>1</v>
      </c>
      <c r="AO2202" t="s">
        <v>2720</v>
      </c>
      <c r="AP2202" t="s">
        <v>2401</v>
      </c>
    </row>
    <row r="2203" spans="1:42">
      <c r="A2203" t="s">
        <v>5101</v>
      </c>
      <c r="B2203" t="s">
        <v>2389</v>
      </c>
      <c r="C2203" t="s">
        <v>2378</v>
      </c>
      <c r="D2203" t="s">
        <v>2379</v>
      </c>
      <c r="E2203" t="s">
        <v>12</v>
      </c>
      <c r="F2203" t="s">
        <v>5085</v>
      </c>
      <c r="G2203" t="s">
        <v>12</v>
      </c>
      <c r="H2203" t="b">
        <v>1</v>
      </c>
      <c r="I2203" s="8">
        <v>45951.715763888889</v>
      </c>
      <c r="J2203" t="s">
        <v>2380</v>
      </c>
      <c r="K2203">
        <v>1203889</v>
      </c>
      <c r="L2203">
        <v>602945</v>
      </c>
      <c r="M2203" t="s">
        <v>2381</v>
      </c>
      <c r="Q2203" t="s">
        <v>2383</v>
      </c>
      <c r="R2203">
        <v>1</v>
      </c>
      <c r="S2203" t="s">
        <v>2380</v>
      </c>
      <c r="T2203" t="s">
        <v>5086</v>
      </c>
      <c r="U2203" s="8">
        <v>45946.688715277778</v>
      </c>
      <c r="V2203" s="8">
        <v>45951.958333333336</v>
      </c>
      <c r="W2203">
        <v>1</v>
      </c>
      <c r="X2203">
        <v>3.0270486110000001</v>
      </c>
      <c r="Y2203" t="s">
        <v>5087</v>
      </c>
      <c r="Z2203" t="s">
        <v>5102</v>
      </c>
      <c r="AA2203" t="s">
        <v>5090</v>
      </c>
      <c r="AB2203" t="s">
        <v>1278</v>
      </c>
      <c r="AC2203" t="s">
        <v>5103</v>
      </c>
      <c r="AD2203" t="s">
        <v>2708</v>
      </c>
      <c r="AE2203">
        <v>1</v>
      </c>
      <c r="AO2203" t="s">
        <v>2720</v>
      </c>
      <c r="AP2203" t="s">
        <v>2401</v>
      </c>
    </row>
    <row r="2204" spans="1:42">
      <c r="A2204" t="s">
        <v>5104</v>
      </c>
      <c r="B2204" t="s">
        <v>2389</v>
      </c>
      <c r="C2204" t="s">
        <v>2378</v>
      </c>
      <c r="D2204" t="s">
        <v>2379</v>
      </c>
      <c r="E2204" t="s">
        <v>12</v>
      </c>
      <c r="F2204" t="s">
        <v>5085</v>
      </c>
      <c r="G2204" t="s">
        <v>12</v>
      </c>
      <c r="H2204" t="b">
        <v>1</v>
      </c>
      <c r="I2204" s="8">
        <v>45951.697465277779</v>
      </c>
      <c r="J2204" t="s">
        <v>2380</v>
      </c>
      <c r="K2204">
        <v>1203885</v>
      </c>
      <c r="L2204">
        <v>602945</v>
      </c>
      <c r="M2204" t="s">
        <v>2381</v>
      </c>
      <c r="Q2204" t="s">
        <v>2383</v>
      </c>
      <c r="R2204">
        <v>1</v>
      </c>
      <c r="S2204" t="s">
        <v>2380</v>
      </c>
      <c r="T2204" t="s">
        <v>5086</v>
      </c>
      <c r="U2204" s="8">
        <v>45946.689606481479</v>
      </c>
      <c r="V2204" s="8">
        <v>45951.958333333336</v>
      </c>
      <c r="W2204">
        <v>1</v>
      </c>
      <c r="X2204">
        <v>3.0078587959999998</v>
      </c>
      <c r="Y2204" t="s">
        <v>5087</v>
      </c>
      <c r="Z2204" t="s">
        <v>5105</v>
      </c>
      <c r="AA2204" t="s">
        <v>5090</v>
      </c>
      <c r="AB2204" t="s">
        <v>1278</v>
      </c>
      <c r="AC2204" t="s">
        <v>5106</v>
      </c>
      <c r="AD2204" t="s">
        <v>2708</v>
      </c>
      <c r="AE2204">
        <v>1</v>
      </c>
      <c r="AO2204" t="s">
        <v>2720</v>
      </c>
      <c r="AP2204" t="s">
        <v>2401</v>
      </c>
    </row>
    <row r="2205" spans="1:42">
      <c r="A2205" t="s">
        <v>7541</v>
      </c>
      <c r="B2205" t="s">
        <v>2389</v>
      </c>
      <c r="C2205" t="s">
        <v>2378</v>
      </c>
      <c r="D2205" t="s">
        <v>2379</v>
      </c>
      <c r="E2205" t="s">
        <v>33</v>
      </c>
      <c r="F2205" t="s">
        <v>7539</v>
      </c>
      <c r="G2205" t="s">
        <v>33</v>
      </c>
      <c r="H2205" t="b">
        <v>1</v>
      </c>
      <c r="I2205" s="8">
        <v>45952.438796296294</v>
      </c>
      <c r="J2205" t="s">
        <v>2380</v>
      </c>
      <c r="K2205">
        <v>1203942</v>
      </c>
      <c r="L2205">
        <v>603531</v>
      </c>
      <c r="M2205" t="s">
        <v>2381</v>
      </c>
      <c r="P2205" t="s">
        <v>2394</v>
      </c>
      <c r="Q2205" t="s">
        <v>2383</v>
      </c>
      <c r="R2205">
        <v>1</v>
      </c>
      <c r="S2205" t="s">
        <v>2380</v>
      </c>
      <c r="T2205" t="s">
        <v>2383</v>
      </c>
      <c r="U2205" s="8">
        <v>45946.693240740744</v>
      </c>
      <c r="V2205" s="8">
        <v>45952.958333333336</v>
      </c>
      <c r="W2205">
        <v>1</v>
      </c>
      <c r="X2205">
        <v>3.7455555559999998</v>
      </c>
      <c r="Y2205" t="s">
        <v>7540</v>
      </c>
      <c r="Z2205" t="s">
        <v>7542</v>
      </c>
      <c r="AA2205" t="s">
        <v>7543</v>
      </c>
      <c r="AB2205" t="s">
        <v>1278</v>
      </c>
      <c r="AC2205" t="s">
        <v>7544</v>
      </c>
      <c r="AD2205" t="s">
        <v>2708</v>
      </c>
      <c r="AE2205">
        <v>1</v>
      </c>
      <c r="AO2205" t="s">
        <v>2957</v>
      </c>
      <c r="AP2205" t="s">
        <v>2401</v>
      </c>
    </row>
    <row r="2206" spans="1:42">
      <c r="A2206" t="s">
        <v>10352</v>
      </c>
      <c r="B2206" t="s">
        <v>2389</v>
      </c>
      <c r="C2206" t="s">
        <v>2390</v>
      </c>
      <c r="D2206" t="s">
        <v>2379</v>
      </c>
      <c r="E2206" t="s">
        <v>2452</v>
      </c>
      <c r="F2206" t="s">
        <v>3891</v>
      </c>
      <c r="G2206" t="s">
        <v>2452</v>
      </c>
      <c r="H2206" t="b">
        <v>1</v>
      </c>
      <c r="I2206" s="8">
        <v>45951.506574074076</v>
      </c>
      <c r="J2206" t="s">
        <v>2380</v>
      </c>
      <c r="L2206">
        <v>602808</v>
      </c>
      <c r="M2206" t="s">
        <v>2381</v>
      </c>
      <c r="P2206" t="s">
        <v>2394</v>
      </c>
      <c r="Q2206" t="s">
        <v>2383</v>
      </c>
      <c r="R2206">
        <v>1</v>
      </c>
      <c r="S2206" t="s">
        <v>2380</v>
      </c>
      <c r="T2206" t="s">
        <v>2383</v>
      </c>
      <c r="U2206" s="8">
        <v>45946.700127314813</v>
      </c>
      <c r="V2206" s="8">
        <v>45951.958333333336</v>
      </c>
      <c r="W2206">
        <v>1</v>
      </c>
      <c r="X2206">
        <v>2.806446759</v>
      </c>
      <c r="Y2206" t="s">
        <v>3892</v>
      </c>
      <c r="Z2206" t="s">
        <v>10353</v>
      </c>
      <c r="AA2206" t="s">
        <v>5050</v>
      </c>
      <c r="AB2206" t="s">
        <v>1278</v>
      </c>
      <c r="AC2206" t="s">
        <v>10354</v>
      </c>
      <c r="AE2206">
        <v>1</v>
      </c>
      <c r="AO2206" t="s">
        <v>2715</v>
      </c>
      <c r="AP2206" t="s">
        <v>2401</v>
      </c>
    </row>
    <row r="2207" spans="1:42">
      <c r="A2207" t="s">
        <v>3255</v>
      </c>
      <c r="B2207" t="s">
        <v>2389</v>
      </c>
      <c r="C2207" t="s">
        <v>2390</v>
      </c>
      <c r="D2207" t="s">
        <v>2379</v>
      </c>
      <c r="E2207" t="s">
        <v>24</v>
      </c>
      <c r="F2207" t="s">
        <v>3249</v>
      </c>
      <c r="G2207" t="s">
        <v>24</v>
      </c>
      <c r="H2207" t="b">
        <v>1</v>
      </c>
      <c r="I2207" s="8">
        <v>45951.427349537036</v>
      </c>
      <c r="J2207" t="s">
        <v>2380</v>
      </c>
      <c r="L2207">
        <v>602303</v>
      </c>
      <c r="M2207" t="s">
        <v>2381</v>
      </c>
      <c r="P2207" t="s">
        <v>2394</v>
      </c>
      <c r="Q2207" t="s">
        <v>2383</v>
      </c>
      <c r="R2207">
        <v>1</v>
      </c>
      <c r="S2207" t="s">
        <v>2380</v>
      </c>
      <c r="T2207" t="s">
        <v>2383</v>
      </c>
      <c r="U2207" s="8">
        <v>45946.700868055559</v>
      </c>
      <c r="V2207" s="8">
        <v>45951.958333333336</v>
      </c>
      <c r="W2207">
        <v>1</v>
      </c>
      <c r="X2207">
        <v>2.726481481</v>
      </c>
      <c r="Y2207" t="s">
        <v>3250</v>
      </c>
      <c r="Z2207" t="s">
        <v>3256</v>
      </c>
      <c r="AA2207" t="s">
        <v>3253</v>
      </c>
      <c r="AB2207" t="s">
        <v>1278</v>
      </c>
      <c r="AC2207" t="s">
        <v>3254</v>
      </c>
      <c r="AE2207">
        <v>1</v>
      </c>
      <c r="AO2207" t="s">
        <v>2388</v>
      </c>
      <c r="AP2207" t="s">
        <v>2401</v>
      </c>
    </row>
    <row r="2208" spans="1:42">
      <c r="A2208" t="s">
        <v>3257</v>
      </c>
      <c r="B2208" t="s">
        <v>2389</v>
      </c>
      <c r="C2208" t="s">
        <v>2390</v>
      </c>
      <c r="D2208" t="s">
        <v>2379</v>
      </c>
      <c r="E2208" t="s">
        <v>24</v>
      </c>
      <c r="F2208" t="s">
        <v>3249</v>
      </c>
      <c r="G2208" t="s">
        <v>24</v>
      </c>
      <c r="H2208" t="b">
        <v>1</v>
      </c>
      <c r="I2208" s="8">
        <v>45951.428067129629</v>
      </c>
      <c r="J2208" t="s">
        <v>2380</v>
      </c>
      <c r="L2208">
        <v>602303</v>
      </c>
      <c r="M2208" t="s">
        <v>2381</v>
      </c>
      <c r="P2208" t="s">
        <v>2394</v>
      </c>
      <c r="Q2208" t="s">
        <v>2383</v>
      </c>
      <c r="R2208">
        <v>1</v>
      </c>
      <c r="S2208" t="s">
        <v>2380</v>
      </c>
      <c r="T2208" t="s">
        <v>2383</v>
      </c>
      <c r="U2208" s="8">
        <v>45946.7034375</v>
      </c>
      <c r="V2208" s="8">
        <v>45951.958333333336</v>
      </c>
      <c r="W2208">
        <v>1</v>
      </c>
      <c r="X2208">
        <v>2.7246296299999999</v>
      </c>
      <c r="Y2208" t="s">
        <v>3250</v>
      </c>
      <c r="Z2208" t="s">
        <v>3258</v>
      </c>
      <c r="AA2208" t="s">
        <v>3253</v>
      </c>
      <c r="AB2208" t="s">
        <v>1278</v>
      </c>
      <c r="AE2208">
        <v>1</v>
      </c>
      <c r="AO2208" t="s">
        <v>2388</v>
      </c>
      <c r="AP2208" t="s">
        <v>2401</v>
      </c>
    </row>
    <row r="2209" spans="1:42">
      <c r="A2209" t="s">
        <v>8331</v>
      </c>
      <c r="B2209" t="s">
        <v>2389</v>
      </c>
      <c r="C2209" t="s">
        <v>2415</v>
      </c>
      <c r="D2209" t="s">
        <v>2379</v>
      </c>
      <c r="E2209" t="s">
        <v>25</v>
      </c>
      <c r="F2209">
        <v>4020</v>
      </c>
      <c r="G2209" t="s">
        <v>25</v>
      </c>
      <c r="H2209" t="b">
        <v>1</v>
      </c>
      <c r="I2209" s="8">
        <v>45950.591550925928</v>
      </c>
      <c r="J2209" t="s">
        <v>2380</v>
      </c>
      <c r="K2209">
        <v>1203633</v>
      </c>
      <c r="L2209">
        <v>604047</v>
      </c>
      <c r="M2209" t="s">
        <v>2381</v>
      </c>
      <c r="N2209">
        <v>5</v>
      </c>
      <c r="P2209" t="s">
        <v>2394</v>
      </c>
      <c r="Q2209" t="s">
        <v>2395</v>
      </c>
      <c r="R2209">
        <v>1</v>
      </c>
      <c r="S2209" t="s">
        <v>2380</v>
      </c>
      <c r="T2209" t="s">
        <v>2383</v>
      </c>
      <c r="U2209" s="8">
        <v>45946.742199074077</v>
      </c>
      <c r="V2209" s="8">
        <v>45951.958333333336</v>
      </c>
      <c r="W2209">
        <v>1</v>
      </c>
      <c r="X2209">
        <v>1.8493518520000001</v>
      </c>
      <c r="Y2209" t="s">
        <v>8194</v>
      </c>
      <c r="Z2209" t="s">
        <v>8332</v>
      </c>
      <c r="AA2209" t="s">
        <v>8197</v>
      </c>
      <c r="AB2209" t="s">
        <v>1278</v>
      </c>
      <c r="AC2209" t="s">
        <v>8333</v>
      </c>
      <c r="AD2209" t="s">
        <v>2708</v>
      </c>
      <c r="AE2209">
        <v>1</v>
      </c>
      <c r="AO2209" t="s">
        <v>4137</v>
      </c>
      <c r="AP2209" t="s">
        <v>2401</v>
      </c>
    </row>
    <row r="2210" spans="1:42">
      <c r="A2210" t="s">
        <v>7317</v>
      </c>
      <c r="B2210" t="s">
        <v>2389</v>
      </c>
      <c r="C2210" t="s">
        <v>2390</v>
      </c>
      <c r="D2210" t="s">
        <v>2379</v>
      </c>
      <c r="E2210" t="s">
        <v>25</v>
      </c>
      <c r="F2210">
        <v>4056</v>
      </c>
      <c r="G2210" t="s">
        <v>25</v>
      </c>
      <c r="H2210" t="b">
        <v>1</v>
      </c>
      <c r="I2210" s="8">
        <v>45951.446122685185</v>
      </c>
      <c r="J2210" t="s">
        <v>2380</v>
      </c>
      <c r="K2210">
        <v>1203732</v>
      </c>
      <c r="L2210">
        <v>603655</v>
      </c>
      <c r="M2210" t="s">
        <v>2381</v>
      </c>
      <c r="N2210">
        <v>5</v>
      </c>
      <c r="P2210" t="s">
        <v>2394</v>
      </c>
      <c r="Q2210" t="s">
        <v>2383</v>
      </c>
      <c r="R2210">
        <v>1</v>
      </c>
      <c r="S2210" t="s">
        <v>2380</v>
      </c>
      <c r="T2210" t="s">
        <v>2383</v>
      </c>
      <c r="U2210" s="8">
        <v>45946.755567129629</v>
      </c>
      <c r="V2210" s="8">
        <v>45951.958333333336</v>
      </c>
      <c r="W2210">
        <v>1</v>
      </c>
      <c r="X2210">
        <v>2.6905555560000001</v>
      </c>
      <c r="Y2210" t="s">
        <v>3379</v>
      </c>
      <c r="Z2210" t="s">
        <v>7318</v>
      </c>
      <c r="AA2210" t="s">
        <v>3382</v>
      </c>
      <c r="AB2210" t="s">
        <v>1278</v>
      </c>
      <c r="AD2210" t="s">
        <v>2708</v>
      </c>
      <c r="AE2210">
        <v>1</v>
      </c>
      <c r="AO2210" t="s">
        <v>2388</v>
      </c>
      <c r="AP2210" t="s">
        <v>2401</v>
      </c>
    </row>
    <row r="2211" spans="1:42">
      <c r="A2211" t="s">
        <v>5633</v>
      </c>
      <c r="B2211" t="s">
        <v>2389</v>
      </c>
      <c r="C2211" t="s">
        <v>2438</v>
      </c>
      <c r="D2211" t="s">
        <v>2379</v>
      </c>
      <c r="E2211" t="s">
        <v>5632</v>
      </c>
      <c r="F2211" t="s">
        <v>2541</v>
      </c>
      <c r="H2211" t="b">
        <v>1</v>
      </c>
      <c r="I2211" s="8">
        <v>45946.772175925929</v>
      </c>
      <c r="J2211" t="s">
        <v>2380</v>
      </c>
      <c r="K2211">
        <v>1203033</v>
      </c>
      <c r="L2211">
        <v>605288</v>
      </c>
      <c r="M2211" t="s">
        <v>2381</v>
      </c>
      <c r="Q2211" t="s">
        <v>2383</v>
      </c>
      <c r="R2211">
        <v>1</v>
      </c>
      <c r="S2211" t="s">
        <v>2380</v>
      </c>
      <c r="T2211" t="s">
        <v>2383</v>
      </c>
      <c r="U2211" s="8">
        <v>45946.768136574072</v>
      </c>
      <c r="V2211" s="8">
        <v>45951.958333333336</v>
      </c>
      <c r="W2211">
        <v>1</v>
      </c>
      <c r="X2211">
        <v>4.0393520000000004E-3</v>
      </c>
      <c r="Y2211" t="s">
        <v>2542</v>
      </c>
      <c r="Z2211" t="s">
        <v>5634</v>
      </c>
      <c r="AA2211" t="s">
        <v>3111</v>
      </c>
      <c r="AB2211" t="s">
        <v>1278</v>
      </c>
      <c r="AD2211" t="s">
        <v>2708</v>
      </c>
      <c r="AE2211">
        <v>1</v>
      </c>
      <c r="AO2211" t="s">
        <v>2547</v>
      </c>
      <c r="AP2211" t="s">
        <v>2401</v>
      </c>
    </row>
    <row r="2212" spans="1:42">
      <c r="A2212" t="s">
        <v>5635</v>
      </c>
      <c r="B2212" t="s">
        <v>2389</v>
      </c>
      <c r="C2212" t="s">
        <v>2438</v>
      </c>
      <c r="D2212" t="s">
        <v>2379</v>
      </c>
      <c r="E2212" t="s">
        <v>5632</v>
      </c>
      <c r="F2212" t="s">
        <v>2541</v>
      </c>
      <c r="H2212" t="b">
        <v>1</v>
      </c>
      <c r="I2212" s="8">
        <v>45946.778298611112</v>
      </c>
      <c r="J2212" t="s">
        <v>2380</v>
      </c>
      <c r="K2212">
        <v>1203034</v>
      </c>
      <c r="L2212">
        <v>605288</v>
      </c>
      <c r="M2212" t="s">
        <v>2381</v>
      </c>
      <c r="Q2212" t="s">
        <v>2383</v>
      </c>
      <c r="R2212">
        <v>1</v>
      </c>
      <c r="S2212" t="s">
        <v>2380</v>
      </c>
      <c r="T2212" t="s">
        <v>2383</v>
      </c>
      <c r="U2212" s="8">
        <v>45946.772696759261</v>
      </c>
      <c r="V2212" s="8">
        <v>45951.958333333336</v>
      </c>
      <c r="W2212">
        <v>1</v>
      </c>
      <c r="X2212">
        <v>5.601852E-3</v>
      </c>
      <c r="Y2212" t="s">
        <v>2542</v>
      </c>
      <c r="Z2212" t="s">
        <v>5636</v>
      </c>
      <c r="AA2212" t="s">
        <v>3111</v>
      </c>
      <c r="AB2212" t="s">
        <v>1278</v>
      </c>
      <c r="AC2212" t="s">
        <v>5637</v>
      </c>
      <c r="AD2212" t="s">
        <v>2708</v>
      </c>
      <c r="AE2212">
        <v>1</v>
      </c>
      <c r="AO2212" t="s">
        <v>2547</v>
      </c>
      <c r="AP2212" t="s">
        <v>2401</v>
      </c>
    </row>
    <row r="2213" spans="1:42">
      <c r="A2213" t="s">
        <v>6142</v>
      </c>
      <c r="B2213" t="s">
        <v>2389</v>
      </c>
      <c r="C2213" t="s">
        <v>2378</v>
      </c>
      <c r="D2213" t="s">
        <v>2379</v>
      </c>
      <c r="E2213" t="s">
        <v>28</v>
      </c>
      <c r="F2213" t="s">
        <v>2541</v>
      </c>
      <c r="G2213" t="s">
        <v>28</v>
      </c>
      <c r="H2213" t="b">
        <v>1</v>
      </c>
      <c r="I2213" s="8">
        <v>45952.659953703704</v>
      </c>
      <c r="J2213" t="s">
        <v>2380</v>
      </c>
      <c r="K2213">
        <v>1204048</v>
      </c>
      <c r="L2213">
        <v>605288</v>
      </c>
      <c r="M2213" t="s">
        <v>2381</v>
      </c>
      <c r="N2213">
        <v>15</v>
      </c>
      <c r="Q2213" t="s">
        <v>2383</v>
      </c>
      <c r="R2213">
        <v>1</v>
      </c>
      <c r="S2213" t="s">
        <v>2380</v>
      </c>
      <c r="T2213" t="s">
        <v>2383</v>
      </c>
      <c r="U2213" s="8">
        <v>45946.77306712963</v>
      </c>
      <c r="V2213" s="8">
        <v>45952.958333333336</v>
      </c>
      <c r="W2213">
        <v>1</v>
      </c>
      <c r="X2213">
        <v>3.886886574</v>
      </c>
      <c r="Y2213" t="s">
        <v>2542</v>
      </c>
      <c r="Z2213" t="s">
        <v>6143</v>
      </c>
      <c r="AA2213" t="s">
        <v>3111</v>
      </c>
      <c r="AB2213" t="s">
        <v>1278</v>
      </c>
      <c r="AC2213" t="s">
        <v>6144</v>
      </c>
      <c r="AD2213" t="s">
        <v>2708</v>
      </c>
      <c r="AE2213">
        <v>1</v>
      </c>
      <c r="AO2213" t="s">
        <v>2547</v>
      </c>
      <c r="AP2213" t="s">
        <v>2401</v>
      </c>
    </row>
    <row r="2214" spans="1:42">
      <c r="A2214" t="s">
        <v>6145</v>
      </c>
      <c r="B2214" t="s">
        <v>2389</v>
      </c>
      <c r="C2214" t="s">
        <v>2378</v>
      </c>
      <c r="D2214" t="s">
        <v>2379</v>
      </c>
      <c r="E2214" t="s">
        <v>28</v>
      </c>
      <c r="F2214" t="s">
        <v>2541</v>
      </c>
      <c r="G2214" t="s">
        <v>28</v>
      </c>
      <c r="H2214" t="b">
        <v>1</v>
      </c>
      <c r="I2214" s="8">
        <v>45952.554328703707</v>
      </c>
      <c r="J2214" t="s">
        <v>2380</v>
      </c>
      <c r="K2214">
        <v>1203993</v>
      </c>
      <c r="L2214">
        <v>605288</v>
      </c>
      <c r="M2214" t="s">
        <v>2381</v>
      </c>
      <c r="N2214">
        <v>15</v>
      </c>
      <c r="Q2214" t="s">
        <v>2383</v>
      </c>
      <c r="R2214">
        <v>1</v>
      </c>
      <c r="S2214" t="s">
        <v>2380</v>
      </c>
      <c r="T2214" t="s">
        <v>2383</v>
      </c>
      <c r="U2214" s="8">
        <v>45946.773530092592</v>
      </c>
      <c r="V2214" s="8">
        <v>45952.958333333336</v>
      </c>
      <c r="W2214">
        <v>1</v>
      </c>
      <c r="X2214">
        <v>3.7807986109999998</v>
      </c>
      <c r="Y2214" t="s">
        <v>2542</v>
      </c>
      <c r="Z2214" t="s">
        <v>6146</v>
      </c>
      <c r="AA2214" t="s">
        <v>3111</v>
      </c>
      <c r="AB2214" t="s">
        <v>1278</v>
      </c>
      <c r="AC2214" t="s">
        <v>6147</v>
      </c>
      <c r="AD2214" t="s">
        <v>2708</v>
      </c>
      <c r="AE2214">
        <v>1</v>
      </c>
      <c r="AO2214" t="s">
        <v>2547</v>
      </c>
      <c r="AP2214" t="s">
        <v>2401</v>
      </c>
    </row>
    <row r="2215" spans="1:42">
      <c r="A2215" t="s">
        <v>8313</v>
      </c>
      <c r="B2215" t="s">
        <v>2389</v>
      </c>
      <c r="C2215" t="s">
        <v>2415</v>
      </c>
      <c r="D2215" t="s">
        <v>2379</v>
      </c>
      <c r="E2215" t="s">
        <v>25</v>
      </c>
      <c r="F2215">
        <v>4240</v>
      </c>
      <c r="G2215" t="s">
        <v>25</v>
      </c>
      <c r="H2215" t="b">
        <v>1</v>
      </c>
      <c r="I2215" s="8">
        <v>45950.500868055555</v>
      </c>
      <c r="J2215" t="s">
        <v>2380</v>
      </c>
      <c r="K2215">
        <v>1203584</v>
      </c>
      <c r="L2215">
        <v>604106</v>
      </c>
      <c r="M2215" t="s">
        <v>2381</v>
      </c>
      <c r="N2215">
        <v>5</v>
      </c>
      <c r="P2215" t="s">
        <v>2394</v>
      </c>
      <c r="Q2215" t="s">
        <v>2395</v>
      </c>
      <c r="R2215">
        <v>1</v>
      </c>
      <c r="S2215" t="s">
        <v>2380</v>
      </c>
      <c r="T2215" t="s">
        <v>2383</v>
      </c>
      <c r="U2215" s="8">
        <v>45946.778831018521</v>
      </c>
      <c r="V2215" s="8">
        <v>45951.958333333336</v>
      </c>
      <c r="W2215">
        <v>1</v>
      </c>
      <c r="X2215">
        <v>1.722037037</v>
      </c>
      <c r="Y2215" t="s">
        <v>8134</v>
      </c>
      <c r="Z2215" t="s">
        <v>8314</v>
      </c>
      <c r="AA2215" t="s">
        <v>8137</v>
      </c>
      <c r="AB2215" t="s">
        <v>1278</v>
      </c>
      <c r="AC2215" t="s">
        <v>8315</v>
      </c>
      <c r="AD2215" t="s">
        <v>2708</v>
      </c>
      <c r="AE2215">
        <v>1</v>
      </c>
      <c r="AO2215" t="s">
        <v>4137</v>
      </c>
      <c r="AP2215" t="s">
        <v>2401</v>
      </c>
    </row>
    <row r="2216" spans="1:42">
      <c r="A2216" t="s">
        <v>8256</v>
      </c>
      <c r="B2216" t="s">
        <v>2389</v>
      </c>
      <c r="C2216" t="s">
        <v>2390</v>
      </c>
      <c r="D2216" t="s">
        <v>2379</v>
      </c>
      <c r="E2216" t="s">
        <v>25</v>
      </c>
      <c r="F2216">
        <v>6324</v>
      </c>
      <c r="G2216" t="s">
        <v>25</v>
      </c>
      <c r="H2216" t="b">
        <v>1</v>
      </c>
      <c r="I2216" s="8">
        <v>45951.418981481482</v>
      </c>
      <c r="J2216" t="s">
        <v>2380</v>
      </c>
      <c r="K2216">
        <v>1203719</v>
      </c>
      <c r="L2216">
        <v>604137</v>
      </c>
      <c r="M2216" t="s">
        <v>2381</v>
      </c>
      <c r="N2216">
        <v>5</v>
      </c>
      <c r="P2216" t="s">
        <v>2394</v>
      </c>
      <c r="Q2216" t="s">
        <v>2395</v>
      </c>
      <c r="R2216">
        <v>1</v>
      </c>
      <c r="S2216" t="s">
        <v>2380</v>
      </c>
      <c r="T2216" t="s">
        <v>2383</v>
      </c>
      <c r="U2216" s="8">
        <v>45946.809479166666</v>
      </c>
      <c r="V2216" s="8">
        <v>45951.958333333336</v>
      </c>
      <c r="W2216">
        <v>1</v>
      </c>
      <c r="X2216">
        <v>2.6095023149999999</v>
      </c>
      <c r="Y2216" t="s">
        <v>8255</v>
      </c>
      <c r="Z2216" t="s">
        <v>8257</v>
      </c>
      <c r="AA2216" t="s">
        <v>8258</v>
      </c>
      <c r="AB2216" t="s">
        <v>1278</v>
      </c>
      <c r="AC2216" t="s">
        <v>8259</v>
      </c>
      <c r="AD2216" t="s">
        <v>2708</v>
      </c>
      <c r="AE2216">
        <v>1</v>
      </c>
      <c r="AO2216" t="s">
        <v>4137</v>
      </c>
      <c r="AP2216" t="s">
        <v>2401</v>
      </c>
    </row>
    <row r="2217" spans="1:42">
      <c r="A2217" t="s">
        <v>7631</v>
      </c>
      <c r="B2217" t="s">
        <v>2389</v>
      </c>
      <c r="C2217" t="s">
        <v>2438</v>
      </c>
      <c r="D2217" t="s">
        <v>2379</v>
      </c>
      <c r="E2217" t="s">
        <v>2452</v>
      </c>
      <c r="F2217" t="s">
        <v>7539</v>
      </c>
      <c r="G2217" t="s">
        <v>2452</v>
      </c>
      <c r="H2217" t="b">
        <v>1</v>
      </c>
      <c r="I2217" s="8">
        <v>45947.338900462964</v>
      </c>
      <c r="J2217" t="s">
        <v>2380</v>
      </c>
      <c r="K2217">
        <v>1203039</v>
      </c>
      <c r="L2217">
        <v>603531</v>
      </c>
      <c r="M2217" t="s">
        <v>2381</v>
      </c>
      <c r="Q2217" t="s">
        <v>2383</v>
      </c>
      <c r="R2217">
        <v>1</v>
      </c>
      <c r="S2217" t="s">
        <v>2380</v>
      </c>
      <c r="T2217" t="s">
        <v>2383</v>
      </c>
      <c r="U2217" s="8">
        <v>45947.330925925926</v>
      </c>
      <c r="V2217" s="8">
        <v>45951.958333333336</v>
      </c>
      <c r="W2217">
        <v>1</v>
      </c>
      <c r="X2217">
        <v>7.9745370000000003E-3</v>
      </c>
      <c r="Y2217" t="s">
        <v>7540</v>
      </c>
      <c r="Z2217" t="s">
        <v>7632</v>
      </c>
      <c r="AA2217" t="s">
        <v>7543</v>
      </c>
      <c r="AB2217" t="s">
        <v>1278</v>
      </c>
      <c r="AC2217" t="s">
        <v>7633</v>
      </c>
      <c r="AD2217" t="s">
        <v>2708</v>
      </c>
      <c r="AE2217">
        <v>1</v>
      </c>
      <c r="AO2217" t="s">
        <v>2957</v>
      </c>
      <c r="AP2217" t="s">
        <v>2401</v>
      </c>
    </row>
    <row r="2218" spans="1:42">
      <c r="A2218" t="s">
        <v>3263</v>
      </c>
      <c r="B2218" t="s">
        <v>2389</v>
      </c>
      <c r="C2218" t="s">
        <v>2378</v>
      </c>
      <c r="D2218" t="s">
        <v>2379</v>
      </c>
      <c r="E2218" t="s">
        <v>24</v>
      </c>
      <c r="F2218" t="s">
        <v>3261</v>
      </c>
      <c r="G2218" t="s">
        <v>24</v>
      </c>
      <c r="H2218" t="b">
        <v>1</v>
      </c>
      <c r="I2218" s="8">
        <v>45952.437638888892</v>
      </c>
      <c r="J2218" t="s">
        <v>2380</v>
      </c>
      <c r="L2218">
        <v>602998</v>
      </c>
      <c r="M2218" t="s">
        <v>2381</v>
      </c>
      <c r="P2218" t="s">
        <v>2394</v>
      </c>
      <c r="Q2218" t="s">
        <v>2383</v>
      </c>
      <c r="R2218">
        <v>1</v>
      </c>
      <c r="S2218" t="s">
        <v>2380</v>
      </c>
      <c r="T2218" t="s">
        <v>2383</v>
      </c>
      <c r="U2218" s="8">
        <v>45947.340266203704</v>
      </c>
      <c r="V2218" s="8">
        <v>45952.958333333336</v>
      </c>
      <c r="W2218">
        <v>1</v>
      </c>
      <c r="X2218">
        <v>3.0973726849999998</v>
      </c>
      <c r="Y2218" t="s">
        <v>3262</v>
      </c>
      <c r="Z2218" t="s">
        <v>3264</v>
      </c>
      <c r="AA2218" t="s">
        <v>3265</v>
      </c>
      <c r="AB2218" t="s">
        <v>1278</v>
      </c>
      <c r="AC2218" t="s">
        <v>3266</v>
      </c>
      <c r="AE2218">
        <v>1</v>
      </c>
      <c r="AO2218" t="s">
        <v>2388</v>
      </c>
      <c r="AP2218" t="s">
        <v>2401</v>
      </c>
    </row>
    <row r="2219" spans="1:42">
      <c r="A2219" t="s">
        <v>2732</v>
      </c>
      <c r="B2219" t="s">
        <v>2377</v>
      </c>
      <c r="C2219" t="s">
        <v>2415</v>
      </c>
      <c r="D2219" t="s">
        <v>2379</v>
      </c>
      <c r="E2219" t="s">
        <v>24</v>
      </c>
      <c r="F2219" t="s">
        <v>2402</v>
      </c>
      <c r="G2219" t="s">
        <v>24</v>
      </c>
      <c r="H2219" t="b">
        <v>1</v>
      </c>
      <c r="I2219" s="8">
        <v>45948.423310185186</v>
      </c>
      <c r="J2219" t="s">
        <v>2380</v>
      </c>
      <c r="L2219">
        <v>608027</v>
      </c>
      <c r="M2219" t="s">
        <v>2381</v>
      </c>
      <c r="Q2219" t="s">
        <v>2383</v>
      </c>
      <c r="R2219">
        <v>1</v>
      </c>
      <c r="S2219" t="s">
        <v>2380</v>
      </c>
      <c r="T2219" t="s">
        <v>2383</v>
      </c>
      <c r="U2219" s="8">
        <v>45947.363287037035</v>
      </c>
      <c r="V2219" s="8">
        <v>45952.958333333336</v>
      </c>
      <c r="W2219">
        <v>1</v>
      </c>
      <c r="X2219">
        <v>1.060023148</v>
      </c>
      <c r="Y2219" t="s">
        <v>2403</v>
      </c>
      <c r="Z2219" t="s">
        <v>2733</v>
      </c>
      <c r="AA2219" t="s">
        <v>2312</v>
      </c>
      <c r="AB2219" t="s">
        <v>1278</v>
      </c>
      <c r="AC2219" t="s">
        <v>2734</v>
      </c>
      <c r="AE2219">
        <v>1</v>
      </c>
      <c r="AO2219" t="s">
        <v>2408</v>
      </c>
      <c r="AP2219" t="s">
        <v>2401</v>
      </c>
    </row>
    <row r="2220" spans="1:42">
      <c r="A2220" t="s">
        <v>2762</v>
      </c>
      <c r="B2220" t="s">
        <v>2377</v>
      </c>
      <c r="C2220" t="s">
        <v>2378</v>
      </c>
      <c r="D2220" t="s">
        <v>2379</v>
      </c>
      <c r="E2220" t="s">
        <v>2416</v>
      </c>
      <c r="F2220" t="s">
        <v>2402</v>
      </c>
      <c r="G2220" t="s">
        <v>2416</v>
      </c>
      <c r="H2220" t="b">
        <v>1</v>
      </c>
      <c r="I2220" s="8">
        <v>45952.611215277779</v>
      </c>
      <c r="J2220" t="s">
        <v>2380</v>
      </c>
      <c r="L2220">
        <v>605125</v>
      </c>
      <c r="M2220" t="s">
        <v>2381</v>
      </c>
      <c r="Q2220" t="s">
        <v>2383</v>
      </c>
      <c r="R2220">
        <v>1</v>
      </c>
      <c r="S2220" t="s">
        <v>2380</v>
      </c>
      <c r="T2220" t="s">
        <v>2383</v>
      </c>
      <c r="U2220" s="8">
        <v>45947.369780092595</v>
      </c>
      <c r="V2220" s="8">
        <v>45952.958333333336</v>
      </c>
      <c r="W2220">
        <v>1</v>
      </c>
      <c r="X2220">
        <v>3.2414351849999998</v>
      </c>
      <c r="Y2220" t="s">
        <v>2403</v>
      </c>
      <c r="Z2220" t="s">
        <v>2763</v>
      </c>
      <c r="AA2220" t="s">
        <v>2463</v>
      </c>
      <c r="AB2220" t="s">
        <v>1278</v>
      </c>
      <c r="AC2220" t="s">
        <v>2764</v>
      </c>
      <c r="AE2220">
        <v>1</v>
      </c>
      <c r="AO2220" t="s">
        <v>2408</v>
      </c>
      <c r="AP2220" t="s">
        <v>2401</v>
      </c>
    </row>
    <row r="2221" spans="1:42">
      <c r="A2221" t="s">
        <v>5111</v>
      </c>
      <c r="B2221" t="s">
        <v>2389</v>
      </c>
      <c r="C2221" t="s">
        <v>2378</v>
      </c>
      <c r="D2221" t="s">
        <v>2379</v>
      </c>
      <c r="E2221" t="s">
        <v>12</v>
      </c>
      <c r="F2221" t="s">
        <v>5085</v>
      </c>
      <c r="G2221" t="s">
        <v>12</v>
      </c>
      <c r="H2221" t="b">
        <v>1</v>
      </c>
      <c r="I2221" s="8">
        <v>45952.692361111112</v>
      </c>
      <c r="J2221" t="s">
        <v>2380</v>
      </c>
      <c r="K2221">
        <v>1204076</v>
      </c>
      <c r="L2221">
        <v>602945</v>
      </c>
      <c r="M2221" t="s">
        <v>2381</v>
      </c>
      <c r="P2221" t="s">
        <v>5107</v>
      </c>
      <c r="Q2221" t="s">
        <v>2383</v>
      </c>
      <c r="R2221">
        <v>1</v>
      </c>
      <c r="S2221" t="s">
        <v>2380</v>
      </c>
      <c r="T2221" t="s">
        <v>5086</v>
      </c>
      <c r="U2221" s="8">
        <v>45947.372256944444</v>
      </c>
      <c r="V2221" s="8">
        <v>45952.958333333336</v>
      </c>
      <c r="W2221">
        <v>1</v>
      </c>
      <c r="X2221">
        <v>3.3201041670000002</v>
      </c>
      <c r="Y2221" t="s">
        <v>5087</v>
      </c>
      <c r="Z2221" t="s">
        <v>5112</v>
      </c>
      <c r="AA2221" t="s">
        <v>5090</v>
      </c>
      <c r="AB2221" t="s">
        <v>1278</v>
      </c>
      <c r="AC2221" t="s">
        <v>5113</v>
      </c>
      <c r="AD2221" t="s">
        <v>2708</v>
      </c>
      <c r="AE2221">
        <v>1</v>
      </c>
      <c r="AO2221" t="s">
        <v>2720</v>
      </c>
      <c r="AP2221" t="s">
        <v>2401</v>
      </c>
    </row>
    <row r="2222" spans="1:42">
      <c r="A2222" t="s">
        <v>9531</v>
      </c>
      <c r="B2222" t="s">
        <v>2389</v>
      </c>
      <c r="C2222" t="s">
        <v>2443</v>
      </c>
      <c r="D2222" t="s">
        <v>2443</v>
      </c>
      <c r="E2222" t="s">
        <v>12</v>
      </c>
      <c r="F2222" t="s">
        <v>5085</v>
      </c>
      <c r="G2222" t="s">
        <v>12</v>
      </c>
      <c r="H2222" t="b">
        <v>1</v>
      </c>
      <c r="I2222" s="8">
        <v>45958.438715277778</v>
      </c>
      <c r="J2222" t="s">
        <v>2380</v>
      </c>
      <c r="L2222">
        <v>602945</v>
      </c>
      <c r="M2222" t="s">
        <v>2381</v>
      </c>
      <c r="P2222" t="s">
        <v>5107</v>
      </c>
      <c r="Q2222" t="s">
        <v>2383</v>
      </c>
      <c r="R2222">
        <v>1</v>
      </c>
      <c r="S2222" t="s">
        <v>2380</v>
      </c>
      <c r="T2222" t="s">
        <v>5086</v>
      </c>
      <c r="U2222" s="8">
        <v>45947.372997685183</v>
      </c>
      <c r="V2222" s="8">
        <v>45952.958333333336</v>
      </c>
      <c r="W2222">
        <v>1</v>
      </c>
      <c r="X2222">
        <v>7.0657175929999996</v>
      </c>
      <c r="Y2222" t="s">
        <v>5087</v>
      </c>
      <c r="Z2222" t="s">
        <v>9532</v>
      </c>
      <c r="AA2222" t="s">
        <v>5090</v>
      </c>
      <c r="AB2222" t="s">
        <v>1278</v>
      </c>
      <c r="AC2222" t="s">
        <v>9533</v>
      </c>
      <c r="AE2222">
        <v>1</v>
      </c>
      <c r="AO2222" t="s">
        <v>2720</v>
      </c>
      <c r="AP2222" t="s">
        <v>2401</v>
      </c>
    </row>
    <row r="2223" spans="1:42">
      <c r="A2223" t="s">
        <v>9427</v>
      </c>
      <c r="B2223" t="s">
        <v>2389</v>
      </c>
      <c r="C2223" t="s">
        <v>2378</v>
      </c>
      <c r="D2223" t="s">
        <v>2379</v>
      </c>
      <c r="E2223" t="s">
        <v>2452</v>
      </c>
      <c r="F2223" t="s">
        <v>3891</v>
      </c>
      <c r="G2223" t="s">
        <v>2452</v>
      </c>
      <c r="H2223" t="b">
        <v>1</v>
      </c>
      <c r="I2223" s="8">
        <v>45952.611203703702</v>
      </c>
      <c r="J2223" t="s">
        <v>2380</v>
      </c>
      <c r="K2223">
        <v>753545</v>
      </c>
      <c r="L2223">
        <v>605639</v>
      </c>
      <c r="M2223" t="s">
        <v>2381</v>
      </c>
      <c r="P2223" t="s">
        <v>2394</v>
      </c>
      <c r="Q2223" t="s">
        <v>2383</v>
      </c>
      <c r="R2223">
        <v>1</v>
      </c>
      <c r="S2223" t="s">
        <v>2380</v>
      </c>
      <c r="T2223" t="s">
        <v>2383</v>
      </c>
      <c r="U2223" s="8">
        <v>45947.375335648147</v>
      </c>
      <c r="V2223" s="8">
        <v>45952.958333333336</v>
      </c>
      <c r="W2223">
        <v>1</v>
      </c>
      <c r="X2223">
        <v>3.2358680560000002</v>
      </c>
      <c r="Y2223" t="s">
        <v>3892</v>
      </c>
      <c r="Z2223" t="s">
        <v>9428</v>
      </c>
      <c r="AA2223" t="s">
        <v>9429</v>
      </c>
      <c r="AB2223" t="s">
        <v>1278</v>
      </c>
      <c r="AC2223" t="s">
        <v>9430</v>
      </c>
      <c r="AE2223">
        <v>1</v>
      </c>
      <c r="AO2223" t="s">
        <v>2715</v>
      </c>
      <c r="AP2223" t="s">
        <v>8931</v>
      </c>
    </row>
    <row r="2224" spans="1:42">
      <c r="A2224" t="s">
        <v>9685</v>
      </c>
      <c r="B2224" t="s">
        <v>2389</v>
      </c>
      <c r="C2224" t="s">
        <v>2378</v>
      </c>
      <c r="D2224" t="s">
        <v>2379</v>
      </c>
      <c r="E2224" t="s">
        <v>2452</v>
      </c>
      <c r="F2224" t="s">
        <v>3472</v>
      </c>
      <c r="G2224" t="s">
        <v>2452</v>
      </c>
      <c r="H2224" t="b">
        <v>1</v>
      </c>
      <c r="I2224" s="8">
        <v>45952.597893518519</v>
      </c>
      <c r="J2224" t="s">
        <v>2380</v>
      </c>
      <c r="K2224">
        <v>1204017</v>
      </c>
      <c r="L2224">
        <v>603593</v>
      </c>
      <c r="M2224" t="s">
        <v>2381</v>
      </c>
      <c r="P2224" t="s">
        <v>2394</v>
      </c>
      <c r="Q2224" t="s">
        <v>2383</v>
      </c>
      <c r="R2224">
        <v>1</v>
      </c>
      <c r="S2224" t="s">
        <v>2380</v>
      </c>
      <c r="T2224" t="s">
        <v>2383</v>
      </c>
      <c r="U2224" s="8">
        <v>45947.381666666668</v>
      </c>
      <c r="V2224" s="8">
        <v>45952.958333333336</v>
      </c>
      <c r="W2224">
        <v>1</v>
      </c>
      <c r="X2224">
        <v>3.2162268520000001</v>
      </c>
      <c r="Y2224" t="s">
        <v>3473</v>
      </c>
      <c r="Z2224" t="s">
        <v>9686</v>
      </c>
      <c r="AA2224" t="s">
        <v>8564</v>
      </c>
      <c r="AB2224" t="s">
        <v>1278</v>
      </c>
      <c r="AC2224" t="s">
        <v>9687</v>
      </c>
      <c r="AD2224" t="s">
        <v>2708</v>
      </c>
      <c r="AE2224">
        <v>1</v>
      </c>
      <c r="AO2224" t="s">
        <v>3608</v>
      </c>
      <c r="AP2224" t="s">
        <v>2401</v>
      </c>
    </row>
    <row r="2225" spans="1:42">
      <c r="A2225" t="s">
        <v>5355</v>
      </c>
      <c r="B2225" t="s">
        <v>2389</v>
      </c>
      <c r="C2225" t="s">
        <v>2390</v>
      </c>
      <c r="D2225" t="s">
        <v>2379</v>
      </c>
      <c r="E2225" t="s">
        <v>2452</v>
      </c>
      <c r="F2225" t="s">
        <v>2779</v>
      </c>
      <c r="G2225" t="s">
        <v>2452</v>
      </c>
      <c r="H2225" t="b">
        <v>1</v>
      </c>
      <c r="I2225" s="8">
        <v>45951.630381944444</v>
      </c>
      <c r="J2225" t="s">
        <v>2380</v>
      </c>
      <c r="K2225">
        <v>1203848</v>
      </c>
      <c r="L2225">
        <v>608381</v>
      </c>
      <c r="M2225" t="s">
        <v>2381</v>
      </c>
      <c r="P2225" t="s">
        <v>2394</v>
      </c>
      <c r="Q2225" t="s">
        <v>2383</v>
      </c>
      <c r="R2225">
        <v>1</v>
      </c>
      <c r="S2225" t="s">
        <v>2380</v>
      </c>
      <c r="T2225" t="s">
        <v>2383</v>
      </c>
      <c r="U2225" s="8">
        <v>45947.383773148147</v>
      </c>
      <c r="V2225" s="8">
        <v>45952.958333333336</v>
      </c>
      <c r="W2225">
        <v>1</v>
      </c>
      <c r="X2225">
        <v>2.2466087959999999</v>
      </c>
      <c r="Y2225" t="s">
        <v>1352</v>
      </c>
      <c r="Z2225" t="s">
        <v>5356</v>
      </c>
      <c r="AA2225" t="s">
        <v>3030</v>
      </c>
      <c r="AB2225" t="s">
        <v>1278</v>
      </c>
      <c r="AC2225" t="s">
        <v>5357</v>
      </c>
      <c r="AD2225" t="s">
        <v>2708</v>
      </c>
      <c r="AE2225">
        <v>1</v>
      </c>
      <c r="AO2225" t="s">
        <v>2408</v>
      </c>
      <c r="AP2225" t="s">
        <v>2401</v>
      </c>
    </row>
    <row r="2226" spans="1:42">
      <c r="A2226" t="s">
        <v>5836</v>
      </c>
      <c r="B2226" t="s">
        <v>2389</v>
      </c>
      <c r="C2226" t="s">
        <v>2390</v>
      </c>
      <c r="D2226" t="s">
        <v>2379</v>
      </c>
      <c r="E2226" t="s">
        <v>25</v>
      </c>
      <c r="F2226" t="s">
        <v>2541</v>
      </c>
      <c r="G2226" t="s">
        <v>25</v>
      </c>
      <c r="H2226" t="b">
        <v>1</v>
      </c>
      <c r="I2226" s="8">
        <v>45951.639837962961</v>
      </c>
      <c r="J2226" t="s">
        <v>2380</v>
      </c>
      <c r="K2226">
        <v>1203857</v>
      </c>
      <c r="L2226">
        <v>601441</v>
      </c>
      <c r="M2226" t="s">
        <v>2381</v>
      </c>
      <c r="P2226" t="s">
        <v>2548</v>
      </c>
      <c r="Q2226" t="s">
        <v>2383</v>
      </c>
      <c r="R2226">
        <v>1</v>
      </c>
      <c r="S2226" t="s">
        <v>2380</v>
      </c>
      <c r="T2226" t="s">
        <v>2383</v>
      </c>
      <c r="U2226" s="8">
        <v>45947.390520833331</v>
      </c>
      <c r="V2226" s="8">
        <v>45952.958333333336</v>
      </c>
      <c r="W2226">
        <v>1</v>
      </c>
      <c r="X2226">
        <v>2.2493171300000001</v>
      </c>
      <c r="Y2226" t="s">
        <v>2542</v>
      </c>
      <c r="Z2226" t="s">
        <v>5837</v>
      </c>
      <c r="AA2226" t="s">
        <v>2884</v>
      </c>
      <c r="AB2226" t="s">
        <v>1278</v>
      </c>
      <c r="AC2226" t="s">
        <v>5838</v>
      </c>
      <c r="AD2226" t="s">
        <v>2708</v>
      </c>
      <c r="AE2226">
        <v>1</v>
      </c>
      <c r="AO2226" t="s">
        <v>2547</v>
      </c>
      <c r="AP2226" t="s">
        <v>2401</v>
      </c>
    </row>
    <row r="2227" spans="1:42">
      <c r="A2227" t="s">
        <v>7057</v>
      </c>
      <c r="B2227" t="s">
        <v>2389</v>
      </c>
      <c r="C2227" t="s">
        <v>2390</v>
      </c>
      <c r="D2227" t="s">
        <v>2379</v>
      </c>
      <c r="E2227" t="s">
        <v>2452</v>
      </c>
      <c r="F2227" t="s">
        <v>7055</v>
      </c>
      <c r="G2227" t="s">
        <v>2452</v>
      </c>
      <c r="H2227" t="b">
        <v>1</v>
      </c>
      <c r="I2227" s="8">
        <v>45951.600601851853</v>
      </c>
      <c r="J2227" t="s">
        <v>2380</v>
      </c>
      <c r="K2227">
        <v>1203834</v>
      </c>
      <c r="L2227">
        <v>602993</v>
      </c>
      <c r="M2227" t="s">
        <v>2381</v>
      </c>
      <c r="P2227" t="s">
        <v>2394</v>
      </c>
      <c r="Q2227" t="s">
        <v>2383</v>
      </c>
      <c r="R2227">
        <v>1</v>
      </c>
      <c r="S2227" t="s">
        <v>2380</v>
      </c>
      <c r="T2227" t="s">
        <v>2383</v>
      </c>
      <c r="U2227" s="8">
        <v>45947.393692129626</v>
      </c>
      <c r="V2227" s="8">
        <v>45952.958333333336</v>
      </c>
      <c r="W2227">
        <v>1</v>
      </c>
      <c r="X2227">
        <v>2.2069097219999998</v>
      </c>
      <c r="Y2227" t="s">
        <v>7056</v>
      </c>
      <c r="Z2227" t="s">
        <v>7058</v>
      </c>
      <c r="AA2227" t="s">
        <v>7059</v>
      </c>
      <c r="AB2227" t="s">
        <v>1278</v>
      </c>
      <c r="AC2227" t="s">
        <v>7060</v>
      </c>
      <c r="AD2227" t="s">
        <v>2708</v>
      </c>
      <c r="AE2227">
        <v>1</v>
      </c>
      <c r="AO2227" t="s">
        <v>2388</v>
      </c>
      <c r="AP2227" t="s">
        <v>2401</v>
      </c>
    </row>
    <row r="2228" spans="1:42">
      <c r="A2228" t="s">
        <v>7932</v>
      </c>
      <c r="B2228" t="s">
        <v>2389</v>
      </c>
      <c r="C2228" t="s">
        <v>2443</v>
      </c>
      <c r="D2228" t="s">
        <v>2443</v>
      </c>
      <c r="E2228" t="s">
        <v>28</v>
      </c>
      <c r="F2228" t="s">
        <v>4697</v>
      </c>
      <c r="G2228" t="s">
        <v>28</v>
      </c>
      <c r="H2228" t="b">
        <v>1</v>
      </c>
      <c r="I2228" s="8">
        <v>45958.518414351849</v>
      </c>
      <c r="J2228" t="s">
        <v>2380</v>
      </c>
      <c r="K2228">
        <v>1204953</v>
      </c>
      <c r="L2228">
        <v>603752</v>
      </c>
      <c r="M2228" t="s">
        <v>2381</v>
      </c>
      <c r="N2228">
        <v>15</v>
      </c>
      <c r="P2228" t="s">
        <v>2394</v>
      </c>
      <c r="Q2228" t="s">
        <v>2383</v>
      </c>
      <c r="R2228">
        <v>1</v>
      </c>
      <c r="S2228" t="s">
        <v>2380</v>
      </c>
      <c r="T2228" t="s">
        <v>2383</v>
      </c>
      <c r="U2228" s="8">
        <v>45947.396354166667</v>
      </c>
      <c r="V2228" s="8">
        <v>45954.958333333336</v>
      </c>
      <c r="W2228">
        <v>1</v>
      </c>
      <c r="X2228">
        <v>7.1220601849999996</v>
      </c>
      <c r="Y2228" t="s">
        <v>4698</v>
      </c>
      <c r="Z2228" t="s">
        <v>7933</v>
      </c>
      <c r="AA2228" t="s">
        <v>4748</v>
      </c>
      <c r="AB2228" t="s">
        <v>1278</v>
      </c>
      <c r="AC2228" t="s">
        <v>7934</v>
      </c>
      <c r="AD2228" t="s">
        <v>2708</v>
      </c>
      <c r="AE2228">
        <v>1</v>
      </c>
      <c r="AO2228" t="s">
        <v>2957</v>
      </c>
      <c r="AP2228" t="s">
        <v>2401</v>
      </c>
    </row>
    <row r="2229" spans="1:42">
      <c r="A2229" t="s">
        <v>7935</v>
      </c>
      <c r="B2229" t="s">
        <v>2389</v>
      </c>
      <c r="C2229" t="s">
        <v>2378</v>
      </c>
      <c r="D2229" t="s">
        <v>2379</v>
      </c>
      <c r="E2229" t="s">
        <v>28</v>
      </c>
      <c r="F2229" t="s">
        <v>4697</v>
      </c>
      <c r="G2229" t="s">
        <v>28</v>
      </c>
      <c r="H2229" t="b">
        <v>1</v>
      </c>
      <c r="I2229" s="8">
        <v>45952.627349537041</v>
      </c>
      <c r="J2229" t="s">
        <v>2380</v>
      </c>
      <c r="K2229">
        <v>1204034</v>
      </c>
      <c r="L2229">
        <v>603752</v>
      </c>
      <c r="M2229" t="s">
        <v>2381</v>
      </c>
      <c r="N2229">
        <v>15</v>
      </c>
      <c r="P2229" t="s">
        <v>2394</v>
      </c>
      <c r="Q2229" t="s">
        <v>2383</v>
      </c>
      <c r="R2229">
        <v>1</v>
      </c>
      <c r="S2229" t="s">
        <v>2380</v>
      </c>
      <c r="T2229" t="s">
        <v>2383</v>
      </c>
      <c r="U2229" s="8">
        <v>45947.397835648146</v>
      </c>
      <c r="V2229" s="8">
        <v>45952.958333333336</v>
      </c>
      <c r="W2229">
        <v>1</v>
      </c>
      <c r="X2229">
        <v>3.2295138890000001</v>
      </c>
      <c r="Y2229" t="s">
        <v>4698</v>
      </c>
      <c r="Z2229" t="s">
        <v>7936</v>
      </c>
      <c r="AA2229" t="s">
        <v>4748</v>
      </c>
      <c r="AB2229" t="s">
        <v>1278</v>
      </c>
      <c r="AC2229" t="s">
        <v>7937</v>
      </c>
      <c r="AD2229" t="s">
        <v>2708</v>
      </c>
      <c r="AE2229">
        <v>1</v>
      </c>
      <c r="AO2229" t="s">
        <v>2957</v>
      </c>
      <c r="AP2229" t="s">
        <v>2401</v>
      </c>
    </row>
    <row r="2230" spans="1:42">
      <c r="A2230" t="s">
        <v>9023</v>
      </c>
      <c r="B2230" t="s">
        <v>2389</v>
      </c>
      <c r="C2230" t="s">
        <v>2443</v>
      </c>
      <c r="D2230" t="s">
        <v>2443</v>
      </c>
      <c r="E2230" t="s">
        <v>2416</v>
      </c>
      <c r="F2230" t="s">
        <v>2541</v>
      </c>
      <c r="G2230" t="s">
        <v>2416</v>
      </c>
      <c r="H2230" t="b">
        <v>1</v>
      </c>
      <c r="I2230" s="8">
        <v>45953.588101851848</v>
      </c>
      <c r="J2230" t="s">
        <v>2380</v>
      </c>
      <c r="K2230">
        <v>1204155</v>
      </c>
      <c r="L2230">
        <v>608066</v>
      </c>
      <c r="M2230" t="s">
        <v>2381</v>
      </c>
      <c r="P2230" t="s">
        <v>2548</v>
      </c>
      <c r="Q2230" t="s">
        <v>2383</v>
      </c>
      <c r="R2230">
        <v>1</v>
      </c>
      <c r="S2230" t="s">
        <v>2380</v>
      </c>
      <c r="T2230" t="s">
        <v>2383</v>
      </c>
      <c r="U2230" s="8">
        <v>45947.40929398148</v>
      </c>
      <c r="V2230" s="8">
        <v>45952.958333333336</v>
      </c>
      <c r="W2230">
        <v>1</v>
      </c>
      <c r="X2230">
        <v>4.17880787</v>
      </c>
      <c r="Y2230" t="s">
        <v>2542</v>
      </c>
      <c r="Z2230" t="s">
        <v>9024</v>
      </c>
      <c r="AA2230" t="s">
        <v>2914</v>
      </c>
      <c r="AB2230" t="s">
        <v>1278</v>
      </c>
      <c r="AC2230" t="s">
        <v>9025</v>
      </c>
      <c r="AD2230" t="s">
        <v>2708</v>
      </c>
      <c r="AE2230">
        <v>1</v>
      </c>
      <c r="AH2230" t="s">
        <v>33</v>
      </c>
      <c r="AI2230" s="8">
        <v>45953.554027777776</v>
      </c>
      <c r="AK2230" t="s">
        <v>2719</v>
      </c>
      <c r="AL2230" t="s">
        <v>2719</v>
      </c>
      <c r="AO2230" t="s">
        <v>2547</v>
      </c>
      <c r="AP2230" t="s">
        <v>2401</v>
      </c>
    </row>
    <row r="2231" spans="1:42">
      <c r="A2231" t="s">
        <v>7128</v>
      </c>
      <c r="B2231" t="s">
        <v>2389</v>
      </c>
      <c r="C2231" t="s">
        <v>2378</v>
      </c>
      <c r="D2231" t="s">
        <v>2379</v>
      </c>
      <c r="E2231" t="s">
        <v>2416</v>
      </c>
      <c r="F2231" t="s">
        <v>2578</v>
      </c>
      <c r="G2231" t="s">
        <v>2416</v>
      </c>
      <c r="H2231" t="b">
        <v>1</v>
      </c>
      <c r="I2231" s="8">
        <v>45952.480150462965</v>
      </c>
      <c r="J2231" t="s">
        <v>2380</v>
      </c>
      <c r="K2231">
        <v>1203954</v>
      </c>
      <c r="L2231">
        <v>602831</v>
      </c>
      <c r="M2231" t="s">
        <v>2381</v>
      </c>
      <c r="P2231" t="s">
        <v>2394</v>
      </c>
      <c r="Q2231" t="s">
        <v>2383</v>
      </c>
      <c r="R2231">
        <v>1</v>
      </c>
      <c r="S2231" t="s">
        <v>2380</v>
      </c>
      <c r="T2231" t="s">
        <v>2383</v>
      </c>
      <c r="U2231" s="8">
        <v>45947.409687500003</v>
      </c>
      <c r="V2231" s="8">
        <v>45952.958333333336</v>
      </c>
      <c r="W2231">
        <v>1</v>
      </c>
      <c r="X2231">
        <v>3.0704629630000002</v>
      </c>
      <c r="Y2231" t="s">
        <v>2579</v>
      </c>
      <c r="Z2231" t="s">
        <v>7129</v>
      </c>
      <c r="AA2231" t="s">
        <v>2653</v>
      </c>
      <c r="AB2231" t="s">
        <v>1278</v>
      </c>
      <c r="AC2231" t="s">
        <v>7130</v>
      </c>
      <c r="AD2231" t="s">
        <v>2708</v>
      </c>
      <c r="AE2231">
        <v>1</v>
      </c>
      <c r="AO2231" t="s">
        <v>2388</v>
      </c>
      <c r="AP2231" t="s">
        <v>2401</v>
      </c>
    </row>
    <row r="2232" spans="1:42">
      <c r="A2232" t="s">
        <v>9440</v>
      </c>
      <c r="B2232" t="s">
        <v>2389</v>
      </c>
      <c r="C2232" t="s">
        <v>2378</v>
      </c>
      <c r="D2232" t="s">
        <v>2379</v>
      </c>
      <c r="E2232" t="s">
        <v>2452</v>
      </c>
      <c r="F2232" t="s">
        <v>2779</v>
      </c>
      <c r="G2232" t="s">
        <v>2452</v>
      </c>
      <c r="H2232" t="b">
        <v>1</v>
      </c>
      <c r="I2232" s="8">
        <v>45952.577337962961</v>
      </c>
      <c r="J2232" t="s">
        <v>2380</v>
      </c>
      <c r="K2232">
        <v>1204004</v>
      </c>
      <c r="L2232">
        <v>605620</v>
      </c>
      <c r="M2232" t="s">
        <v>2381</v>
      </c>
      <c r="P2232" t="s">
        <v>2394</v>
      </c>
      <c r="Q2232" t="s">
        <v>2383</v>
      </c>
      <c r="R2232">
        <v>1</v>
      </c>
      <c r="S2232" t="s">
        <v>2380</v>
      </c>
      <c r="T2232" t="s">
        <v>2383</v>
      </c>
      <c r="U2232" s="8">
        <v>45947.413182870368</v>
      </c>
      <c r="V2232" s="8">
        <v>45952.958333333336</v>
      </c>
      <c r="W2232">
        <v>1</v>
      </c>
      <c r="X2232">
        <v>3.1641550930000002</v>
      </c>
      <c r="Y2232" t="s">
        <v>1352</v>
      </c>
      <c r="Z2232" t="s">
        <v>9441</v>
      </c>
      <c r="AA2232" t="s">
        <v>9438</v>
      </c>
      <c r="AB2232" t="s">
        <v>1278</v>
      </c>
      <c r="AC2232" t="s">
        <v>9442</v>
      </c>
      <c r="AD2232" t="s">
        <v>2708</v>
      </c>
      <c r="AE2232">
        <v>1</v>
      </c>
      <c r="AO2232" t="s">
        <v>2408</v>
      </c>
      <c r="AP2232" t="s">
        <v>8931</v>
      </c>
    </row>
    <row r="2233" spans="1:42">
      <c r="A2233" t="s">
        <v>5720</v>
      </c>
      <c r="B2233" t="s">
        <v>2389</v>
      </c>
      <c r="C2233" t="s">
        <v>2378</v>
      </c>
      <c r="D2233" t="s">
        <v>2379</v>
      </c>
      <c r="E2233" t="s">
        <v>33</v>
      </c>
      <c r="F2233" t="s">
        <v>2541</v>
      </c>
      <c r="G2233" t="s">
        <v>33</v>
      </c>
      <c r="H2233" t="b">
        <v>1</v>
      </c>
      <c r="I2233" s="8">
        <v>45952.669930555552</v>
      </c>
      <c r="J2233" t="s">
        <v>2380</v>
      </c>
      <c r="K2233">
        <v>1204054</v>
      </c>
      <c r="L2233">
        <v>601441</v>
      </c>
      <c r="M2233" t="s">
        <v>2381</v>
      </c>
      <c r="P2233" t="s">
        <v>2548</v>
      </c>
      <c r="Q2233" t="s">
        <v>2383</v>
      </c>
      <c r="R2233">
        <v>1</v>
      </c>
      <c r="S2233" t="s">
        <v>2380</v>
      </c>
      <c r="T2233" t="s">
        <v>2383</v>
      </c>
      <c r="U2233" s="8">
        <v>45947.413541666669</v>
      </c>
      <c r="V2233" s="8">
        <v>45952.958333333336</v>
      </c>
      <c r="W2233">
        <v>1</v>
      </c>
      <c r="X2233">
        <v>3.2563888890000001</v>
      </c>
      <c r="Y2233" t="s">
        <v>2542</v>
      </c>
      <c r="Z2233" t="s">
        <v>5721</v>
      </c>
      <c r="AA2233" t="s">
        <v>2884</v>
      </c>
      <c r="AB2233" t="s">
        <v>1278</v>
      </c>
      <c r="AC2233" t="s">
        <v>5722</v>
      </c>
      <c r="AD2233" t="s">
        <v>2708</v>
      </c>
      <c r="AE2233">
        <v>1</v>
      </c>
      <c r="AO2233" t="s">
        <v>2547</v>
      </c>
      <c r="AP2233" t="s">
        <v>2401</v>
      </c>
    </row>
    <row r="2234" spans="1:42">
      <c r="A2234" t="s">
        <v>3369</v>
      </c>
      <c r="B2234" t="s">
        <v>2389</v>
      </c>
      <c r="C2234" t="s">
        <v>2390</v>
      </c>
      <c r="D2234" t="s">
        <v>2379</v>
      </c>
      <c r="E2234" t="s">
        <v>2452</v>
      </c>
      <c r="F2234" t="s">
        <v>2578</v>
      </c>
      <c r="G2234" t="s">
        <v>2452</v>
      </c>
      <c r="H2234" t="b">
        <v>1</v>
      </c>
      <c r="I2234" s="8">
        <v>45951.610914351855</v>
      </c>
      <c r="J2234" t="s">
        <v>2380</v>
      </c>
      <c r="L2234">
        <v>602831</v>
      </c>
      <c r="M2234" t="s">
        <v>2381</v>
      </c>
      <c r="P2234" t="s">
        <v>2394</v>
      </c>
      <c r="Q2234" t="s">
        <v>2383</v>
      </c>
      <c r="R2234">
        <v>1</v>
      </c>
      <c r="S2234" t="s">
        <v>2380</v>
      </c>
      <c r="T2234" t="s">
        <v>2383</v>
      </c>
      <c r="U2234" s="8">
        <v>45947.414664351854</v>
      </c>
      <c r="V2234" s="8">
        <v>45952.958333333336</v>
      </c>
      <c r="W2234">
        <v>1</v>
      </c>
      <c r="X2234">
        <v>2.19625</v>
      </c>
      <c r="Y2234" t="s">
        <v>2579</v>
      </c>
      <c r="Z2234" t="s">
        <v>3370</v>
      </c>
      <c r="AA2234" t="s">
        <v>2653</v>
      </c>
      <c r="AB2234" t="s">
        <v>1278</v>
      </c>
      <c r="AC2234" t="s">
        <v>3371</v>
      </c>
      <c r="AE2234">
        <v>1</v>
      </c>
      <c r="AO2234" t="s">
        <v>2388</v>
      </c>
      <c r="AP2234" t="s">
        <v>2401</v>
      </c>
    </row>
    <row r="2235" spans="1:42">
      <c r="A2235" t="s">
        <v>6964</v>
      </c>
      <c r="B2235" t="s">
        <v>2389</v>
      </c>
      <c r="C2235" t="s">
        <v>2691</v>
      </c>
      <c r="D2235" t="s">
        <v>2379</v>
      </c>
      <c r="E2235" t="s">
        <v>2452</v>
      </c>
      <c r="F2235" t="s">
        <v>6962</v>
      </c>
      <c r="G2235" t="s">
        <v>2452</v>
      </c>
      <c r="H2235" t="b">
        <v>1</v>
      </c>
      <c r="I2235" s="8">
        <v>45960.363541666666</v>
      </c>
      <c r="J2235" t="s">
        <v>2380</v>
      </c>
      <c r="K2235">
        <v>1205689</v>
      </c>
      <c r="L2235">
        <v>602290</v>
      </c>
      <c r="M2235" t="s">
        <v>2381</v>
      </c>
      <c r="P2235" t="s">
        <v>2394</v>
      </c>
      <c r="Q2235" t="s">
        <v>2383</v>
      </c>
      <c r="R2235">
        <v>1</v>
      </c>
      <c r="S2235" t="s">
        <v>2380</v>
      </c>
      <c r="T2235" t="s">
        <v>2383</v>
      </c>
      <c r="U2235" s="8">
        <v>45947.416076388887</v>
      </c>
      <c r="V2235" s="8">
        <v>45964.958333333336</v>
      </c>
      <c r="W2235">
        <v>1</v>
      </c>
      <c r="X2235">
        <v>8.9474652779999992</v>
      </c>
      <c r="Y2235" t="s">
        <v>6963</v>
      </c>
      <c r="Z2235" t="s">
        <v>6965</v>
      </c>
      <c r="AA2235" t="s">
        <v>6966</v>
      </c>
      <c r="AB2235" t="s">
        <v>1278</v>
      </c>
      <c r="AC2235" t="s">
        <v>6967</v>
      </c>
      <c r="AD2235" t="s">
        <v>2708</v>
      </c>
      <c r="AE2235">
        <v>1</v>
      </c>
      <c r="AO2235" t="s">
        <v>2388</v>
      </c>
      <c r="AP2235" t="s">
        <v>2401</v>
      </c>
    </row>
    <row r="2236" spans="1:42">
      <c r="A2236" t="s">
        <v>3902</v>
      </c>
      <c r="B2236" t="s">
        <v>2377</v>
      </c>
      <c r="C2236" t="s">
        <v>2415</v>
      </c>
      <c r="D2236" t="s">
        <v>2379</v>
      </c>
      <c r="E2236" t="s">
        <v>24</v>
      </c>
      <c r="F2236" t="s">
        <v>3900</v>
      </c>
      <c r="G2236" t="s">
        <v>24</v>
      </c>
      <c r="H2236" t="b">
        <v>1</v>
      </c>
      <c r="I2236" s="8">
        <v>45950.455023148148</v>
      </c>
      <c r="J2236" t="s">
        <v>2380</v>
      </c>
      <c r="L2236">
        <v>609069</v>
      </c>
      <c r="M2236" t="s">
        <v>2381</v>
      </c>
      <c r="Q2236" t="s">
        <v>2383</v>
      </c>
      <c r="R2236">
        <v>1</v>
      </c>
      <c r="S2236" t="s">
        <v>2380</v>
      </c>
      <c r="T2236" t="s">
        <v>2383</v>
      </c>
      <c r="U2236" s="8">
        <v>45947.439212962963</v>
      </c>
      <c r="V2236" s="8">
        <v>45952.958333333336</v>
      </c>
      <c r="W2236">
        <v>1</v>
      </c>
      <c r="X2236">
        <v>1.0158101850000001</v>
      </c>
      <c r="Y2236" t="s">
        <v>3901</v>
      </c>
      <c r="Z2236" t="s">
        <v>3903</v>
      </c>
      <c r="AA2236" t="s">
        <v>3904</v>
      </c>
      <c r="AB2236" t="s">
        <v>1278</v>
      </c>
      <c r="AC2236" t="s">
        <v>3905</v>
      </c>
      <c r="AE2236">
        <v>1</v>
      </c>
      <c r="AO2236" t="s">
        <v>2715</v>
      </c>
      <c r="AP2236" t="s">
        <v>2401</v>
      </c>
    </row>
    <row r="2237" spans="1:42">
      <c r="A2237" t="s">
        <v>7529</v>
      </c>
      <c r="B2237" t="s">
        <v>2389</v>
      </c>
      <c r="C2237" t="s">
        <v>2390</v>
      </c>
      <c r="D2237" t="s">
        <v>2379</v>
      </c>
      <c r="E2237" t="s">
        <v>33</v>
      </c>
      <c r="F2237" t="s">
        <v>7527</v>
      </c>
      <c r="G2237" t="s">
        <v>33</v>
      </c>
      <c r="H2237" t="b">
        <v>1</v>
      </c>
      <c r="I2237" s="8">
        <v>45952.440891203703</v>
      </c>
      <c r="J2237" t="s">
        <v>2380</v>
      </c>
      <c r="K2237">
        <v>1203943</v>
      </c>
      <c r="L2237">
        <v>608042</v>
      </c>
      <c r="M2237" t="s">
        <v>2381</v>
      </c>
      <c r="P2237" t="s">
        <v>2394</v>
      </c>
      <c r="Q2237" t="s">
        <v>2383</v>
      </c>
      <c r="R2237">
        <v>1</v>
      </c>
      <c r="S2237" t="s">
        <v>2380</v>
      </c>
      <c r="T2237" t="s">
        <v>2383</v>
      </c>
      <c r="U2237" s="8">
        <v>45947.442800925928</v>
      </c>
      <c r="V2237" s="8">
        <v>45952.958333333336</v>
      </c>
      <c r="W2237">
        <v>1</v>
      </c>
      <c r="X2237">
        <v>2.9980902779999998</v>
      </c>
      <c r="Y2237" t="s">
        <v>7528</v>
      </c>
      <c r="Z2237" t="s">
        <v>7530</v>
      </c>
      <c r="AA2237" t="s">
        <v>7531</v>
      </c>
      <c r="AB2237" t="s">
        <v>1278</v>
      </c>
      <c r="AC2237" t="s">
        <v>7532</v>
      </c>
      <c r="AD2237" t="s">
        <v>2708</v>
      </c>
      <c r="AE2237">
        <v>1</v>
      </c>
      <c r="AO2237" t="s">
        <v>2957</v>
      </c>
      <c r="AP2237" t="s">
        <v>2401</v>
      </c>
    </row>
    <row r="2238" spans="1:42">
      <c r="A2238" t="s">
        <v>9188</v>
      </c>
      <c r="B2238" t="s">
        <v>2389</v>
      </c>
      <c r="C2238" t="s">
        <v>2443</v>
      </c>
      <c r="D2238" t="s">
        <v>2443</v>
      </c>
      <c r="E2238" t="s">
        <v>28</v>
      </c>
      <c r="F2238" t="s">
        <v>8565</v>
      </c>
      <c r="G2238" t="s">
        <v>28</v>
      </c>
      <c r="H2238" t="b">
        <v>1</v>
      </c>
      <c r="I2238" s="8">
        <v>45953.391053240739</v>
      </c>
      <c r="J2238" t="s">
        <v>2380</v>
      </c>
      <c r="K2238">
        <v>1204037</v>
      </c>
      <c r="L2238">
        <v>603331</v>
      </c>
      <c r="M2238" t="s">
        <v>2381</v>
      </c>
      <c r="N2238">
        <v>15</v>
      </c>
      <c r="P2238" t="s">
        <v>2394</v>
      </c>
      <c r="Q2238" t="s">
        <v>2383</v>
      </c>
      <c r="R2238">
        <v>1</v>
      </c>
      <c r="S2238" t="s">
        <v>2380</v>
      </c>
      <c r="T2238" t="s">
        <v>2383</v>
      </c>
      <c r="U2238" s="8">
        <v>45947.444201388891</v>
      </c>
      <c r="V2238" s="8">
        <v>45952.958333333336</v>
      </c>
      <c r="W2238">
        <v>1</v>
      </c>
      <c r="X2238">
        <v>3.946851852</v>
      </c>
      <c r="Y2238" t="s">
        <v>8566</v>
      </c>
      <c r="Z2238" t="s">
        <v>9189</v>
      </c>
      <c r="AA2238" t="s">
        <v>8569</v>
      </c>
      <c r="AB2238" t="s">
        <v>1278</v>
      </c>
      <c r="AC2238" t="s">
        <v>9190</v>
      </c>
      <c r="AD2238" t="s">
        <v>2708</v>
      </c>
      <c r="AE2238">
        <v>1</v>
      </c>
      <c r="AH2238" t="s">
        <v>2723</v>
      </c>
      <c r="AI2238" s="8">
        <v>45952.693935185183</v>
      </c>
      <c r="AK2238" t="s">
        <v>2719</v>
      </c>
      <c r="AL2238" t="s">
        <v>2719</v>
      </c>
      <c r="AO2238" t="s">
        <v>3608</v>
      </c>
      <c r="AP2238" t="s">
        <v>2401</v>
      </c>
    </row>
    <row r="2239" spans="1:42">
      <c r="A2239" t="s">
        <v>115</v>
      </c>
      <c r="B2239" t="s">
        <v>2377</v>
      </c>
      <c r="C2239" t="s">
        <v>2390</v>
      </c>
      <c r="D2239" t="s">
        <v>2379</v>
      </c>
      <c r="E2239" t="s">
        <v>33</v>
      </c>
      <c r="F2239" t="s">
        <v>2588</v>
      </c>
      <c r="G2239" t="s">
        <v>33</v>
      </c>
      <c r="H2239" t="b">
        <v>1</v>
      </c>
      <c r="I2239" s="8">
        <v>45951.675347222219</v>
      </c>
      <c r="J2239" t="s">
        <v>2380</v>
      </c>
      <c r="L2239">
        <v>609697</v>
      </c>
      <c r="M2239" t="s">
        <v>2381</v>
      </c>
      <c r="Q2239" t="s">
        <v>2383</v>
      </c>
      <c r="R2239">
        <v>1</v>
      </c>
      <c r="S2239" t="s">
        <v>2380</v>
      </c>
      <c r="T2239" t="s">
        <v>2383</v>
      </c>
      <c r="U2239" s="8">
        <v>45947.444756944446</v>
      </c>
      <c r="V2239" s="8">
        <v>45952.958333333336</v>
      </c>
      <c r="W2239">
        <v>1</v>
      </c>
      <c r="X2239">
        <v>2.2305902780000002</v>
      </c>
      <c r="Y2239" t="s">
        <v>2579</v>
      </c>
      <c r="Z2239" t="s">
        <v>9351</v>
      </c>
      <c r="AA2239" t="s">
        <v>3675</v>
      </c>
      <c r="AB2239" t="s">
        <v>1278</v>
      </c>
      <c r="AC2239" t="s">
        <v>9352</v>
      </c>
      <c r="AD2239" t="s">
        <v>2708</v>
      </c>
      <c r="AE2239">
        <v>1</v>
      </c>
      <c r="AF2239">
        <v>2</v>
      </c>
      <c r="AH2239" t="s">
        <v>2723</v>
      </c>
      <c r="AI2239" s="8">
        <v>45951.673807870371</v>
      </c>
      <c r="AK2239" t="s">
        <v>2719</v>
      </c>
      <c r="AL2239" t="s">
        <v>2724</v>
      </c>
      <c r="AO2239" t="s">
        <v>3644</v>
      </c>
      <c r="AP2239" t="s">
        <v>2401</v>
      </c>
    </row>
    <row r="2240" spans="1:42">
      <c r="A2240" t="s">
        <v>3401</v>
      </c>
      <c r="B2240" t="s">
        <v>2389</v>
      </c>
      <c r="C2240" t="s">
        <v>2443</v>
      </c>
      <c r="D2240" t="s">
        <v>2443</v>
      </c>
      <c r="E2240" t="s">
        <v>2452</v>
      </c>
      <c r="F2240" t="s">
        <v>3261</v>
      </c>
      <c r="G2240" t="s">
        <v>2452</v>
      </c>
      <c r="H2240" t="b">
        <v>1</v>
      </c>
      <c r="I2240" s="8">
        <v>45953.399837962963</v>
      </c>
      <c r="J2240" t="s">
        <v>2380</v>
      </c>
      <c r="L2240">
        <v>602998</v>
      </c>
      <c r="M2240" t="s">
        <v>2381</v>
      </c>
      <c r="P2240" t="s">
        <v>2394</v>
      </c>
      <c r="Q2240" t="s">
        <v>2383</v>
      </c>
      <c r="R2240">
        <v>1</v>
      </c>
      <c r="S2240" t="s">
        <v>2380</v>
      </c>
      <c r="T2240" t="s">
        <v>2383</v>
      </c>
      <c r="U2240" s="8">
        <v>45947.445613425924</v>
      </c>
      <c r="V2240" s="8">
        <v>45952.958333333336</v>
      </c>
      <c r="W2240">
        <v>1</v>
      </c>
      <c r="X2240">
        <v>3.954224537</v>
      </c>
      <c r="Y2240" t="s">
        <v>3262</v>
      </c>
      <c r="Z2240" t="s">
        <v>3402</v>
      </c>
      <c r="AA2240" t="s">
        <v>3265</v>
      </c>
      <c r="AB2240" t="s">
        <v>1278</v>
      </c>
      <c r="AC2240" t="s">
        <v>3403</v>
      </c>
      <c r="AE2240">
        <v>1</v>
      </c>
      <c r="AO2240" t="s">
        <v>2388</v>
      </c>
      <c r="AP2240" t="s">
        <v>2401</v>
      </c>
    </row>
    <row r="2241" spans="1:42">
      <c r="A2241" t="s">
        <v>9719</v>
      </c>
      <c r="B2241" t="s">
        <v>2389</v>
      </c>
      <c r="C2241" t="s">
        <v>2378</v>
      </c>
      <c r="D2241" t="s">
        <v>2379</v>
      </c>
      <c r="E2241" t="s">
        <v>28</v>
      </c>
      <c r="F2241" t="s">
        <v>8565</v>
      </c>
      <c r="G2241" t="s">
        <v>28</v>
      </c>
      <c r="H2241" t="b">
        <v>1</v>
      </c>
      <c r="I2241" s="8">
        <v>45952.638032407405</v>
      </c>
      <c r="J2241" t="s">
        <v>2380</v>
      </c>
      <c r="K2241">
        <v>1204040</v>
      </c>
      <c r="L2241">
        <v>603331</v>
      </c>
      <c r="M2241" t="s">
        <v>2381</v>
      </c>
      <c r="N2241">
        <v>15</v>
      </c>
      <c r="P2241" t="s">
        <v>2394</v>
      </c>
      <c r="Q2241" t="s">
        <v>2383</v>
      </c>
      <c r="R2241">
        <v>1</v>
      </c>
      <c r="S2241" t="s">
        <v>2380</v>
      </c>
      <c r="T2241" t="s">
        <v>2383</v>
      </c>
      <c r="U2241" s="8">
        <v>45947.445625</v>
      </c>
      <c r="V2241" s="8">
        <v>45952.958333333336</v>
      </c>
      <c r="W2241">
        <v>1</v>
      </c>
      <c r="X2241">
        <v>3.1924074070000001</v>
      </c>
      <c r="Y2241" t="s">
        <v>8566</v>
      </c>
      <c r="Z2241" t="s">
        <v>9720</v>
      </c>
      <c r="AA2241" t="s">
        <v>8569</v>
      </c>
      <c r="AB2241" t="s">
        <v>1278</v>
      </c>
      <c r="AC2241" t="s">
        <v>9721</v>
      </c>
      <c r="AD2241" t="s">
        <v>2708</v>
      </c>
      <c r="AE2241">
        <v>1</v>
      </c>
      <c r="AO2241" t="s">
        <v>3608</v>
      </c>
      <c r="AP2241" t="s">
        <v>2401</v>
      </c>
    </row>
    <row r="2242" spans="1:42">
      <c r="A2242" t="s">
        <v>3776</v>
      </c>
      <c r="B2242" t="s">
        <v>2377</v>
      </c>
      <c r="C2242" t="s">
        <v>2438</v>
      </c>
      <c r="D2242" t="s">
        <v>2379</v>
      </c>
      <c r="E2242" t="s">
        <v>307</v>
      </c>
      <c r="F2242" t="s">
        <v>3747</v>
      </c>
      <c r="G2242" t="s">
        <v>307</v>
      </c>
      <c r="H2242" t="b">
        <v>1</v>
      </c>
      <c r="I2242" s="8">
        <v>45947.447962962964</v>
      </c>
      <c r="J2242" t="s">
        <v>2380</v>
      </c>
      <c r="L2242">
        <v>606910</v>
      </c>
      <c r="M2242" t="s">
        <v>2381</v>
      </c>
      <c r="Q2242" t="s">
        <v>2383</v>
      </c>
      <c r="R2242">
        <v>1</v>
      </c>
      <c r="S2242" t="s">
        <v>2380</v>
      </c>
      <c r="T2242" t="s">
        <v>2383</v>
      </c>
      <c r="U2242" s="8">
        <v>45947.44667824074</v>
      </c>
      <c r="V2242" s="8">
        <v>45952.958333333336</v>
      </c>
      <c r="W2242">
        <v>1</v>
      </c>
      <c r="X2242">
        <v>1.2847220000000001E-3</v>
      </c>
      <c r="Y2242" t="s">
        <v>3748</v>
      </c>
      <c r="Z2242" t="s">
        <v>3777</v>
      </c>
      <c r="AA2242" t="s">
        <v>2305</v>
      </c>
      <c r="AB2242" t="s">
        <v>1278</v>
      </c>
      <c r="AC2242" t="s">
        <v>3778</v>
      </c>
      <c r="AE2242">
        <v>1</v>
      </c>
      <c r="AO2242" t="s">
        <v>2712</v>
      </c>
      <c r="AP2242" t="s">
        <v>2401</v>
      </c>
    </row>
    <row r="2243" spans="1:42">
      <c r="A2243" t="s">
        <v>10091</v>
      </c>
      <c r="B2243" t="s">
        <v>2389</v>
      </c>
      <c r="C2243" t="s">
        <v>2378</v>
      </c>
      <c r="D2243" t="s">
        <v>2379</v>
      </c>
      <c r="E2243" t="s">
        <v>2452</v>
      </c>
      <c r="F2243" t="s">
        <v>3500</v>
      </c>
      <c r="G2243" t="s">
        <v>2452</v>
      </c>
      <c r="H2243" t="b">
        <v>1</v>
      </c>
      <c r="I2243" s="8">
        <v>45952.535000000003</v>
      </c>
      <c r="J2243" t="s">
        <v>2380</v>
      </c>
      <c r="K2243">
        <v>6091180</v>
      </c>
      <c r="L2243">
        <v>609865</v>
      </c>
      <c r="M2243" t="s">
        <v>2381</v>
      </c>
      <c r="P2243" t="s">
        <v>2394</v>
      </c>
      <c r="Q2243" t="s">
        <v>2383</v>
      </c>
      <c r="R2243">
        <v>1</v>
      </c>
      <c r="S2243" t="s">
        <v>2380</v>
      </c>
      <c r="T2243" t="s">
        <v>2383</v>
      </c>
      <c r="U2243" s="8">
        <v>45947.450497685182</v>
      </c>
      <c r="V2243" s="8">
        <v>45952.958333333336</v>
      </c>
      <c r="W2243">
        <v>1</v>
      </c>
      <c r="X2243">
        <v>3.0845023149999999</v>
      </c>
      <c r="Y2243" t="s">
        <v>3501</v>
      </c>
      <c r="Z2243" t="s">
        <v>10092</v>
      </c>
      <c r="AA2243" t="s">
        <v>7487</v>
      </c>
      <c r="AB2243" t="s">
        <v>1278</v>
      </c>
      <c r="AC2243" t="s">
        <v>10093</v>
      </c>
      <c r="AE2243">
        <v>1</v>
      </c>
      <c r="AO2243" t="s">
        <v>2957</v>
      </c>
      <c r="AP2243" t="s">
        <v>2401</v>
      </c>
    </row>
    <row r="2244" spans="1:42">
      <c r="A2244" t="s">
        <v>8118</v>
      </c>
      <c r="B2244" t="s">
        <v>2389</v>
      </c>
      <c r="C2244" t="s">
        <v>2390</v>
      </c>
      <c r="D2244" t="s">
        <v>2379</v>
      </c>
      <c r="E2244" t="s">
        <v>33</v>
      </c>
      <c r="F2244">
        <v>4227</v>
      </c>
      <c r="G2244" t="s">
        <v>33</v>
      </c>
      <c r="H2244" t="b">
        <v>1</v>
      </c>
      <c r="I2244" s="8">
        <v>45951.512060185189</v>
      </c>
      <c r="J2244" t="s">
        <v>2380</v>
      </c>
      <c r="K2244">
        <v>1203776</v>
      </c>
      <c r="L2244">
        <v>604477</v>
      </c>
      <c r="M2244" t="s">
        <v>2381</v>
      </c>
      <c r="P2244" t="s">
        <v>2394</v>
      </c>
      <c r="Q2244" t="s">
        <v>2395</v>
      </c>
      <c r="R2244">
        <v>1</v>
      </c>
      <c r="S2244" t="s">
        <v>2380</v>
      </c>
      <c r="T2244" t="s">
        <v>2383</v>
      </c>
      <c r="U2244" s="8">
        <v>45947.454108796293</v>
      </c>
      <c r="V2244" s="8">
        <v>45952.958333333336</v>
      </c>
      <c r="W2244">
        <v>1</v>
      </c>
      <c r="X2244">
        <v>2.0579513889999999</v>
      </c>
      <c r="Y2244" t="s">
        <v>4558</v>
      </c>
      <c r="Z2244" t="s">
        <v>8119</v>
      </c>
      <c r="AA2244" t="s">
        <v>8120</v>
      </c>
      <c r="AB2244" t="s">
        <v>1278</v>
      </c>
      <c r="AC2244" t="s">
        <v>8121</v>
      </c>
      <c r="AD2244" t="s">
        <v>2708</v>
      </c>
      <c r="AE2244">
        <v>1</v>
      </c>
      <c r="AO2244" t="s">
        <v>4137</v>
      </c>
      <c r="AP2244" t="s">
        <v>2401</v>
      </c>
    </row>
    <row r="2245" spans="1:42">
      <c r="A2245" t="s">
        <v>6460</v>
      </c>
      <c r="B2245" t="s">
        <v>2389</v>
      </c>
      <c r="C2245" t="s">
        <v>2390</v>
      </c>
      <c r="D2245" t="s">
        <v>2379</v>
      </c>
      <c r="E2245" t="s">
        <v>25</v>
      </c>
      <c r="F2245" t="s">
        <v>2541</v>
      </c>
      <c r="G2245" t="s">
        <v>25</v>
      </c>
      <c r="H2245" t="b">
        <v>1</v>
      </c>
      <c r="I2245" s="8">
        <v>45951.641805555555</v>
      </c>
      <c r="J2245" t="s">
        <v>2380</v>
      </c>
      <c r="K2245">
        <v>1203859</v>
      </c>
      <c r="L2245">
        <v>608626</v>
      </c>
      <c r="M2245" t="s">
        <v>2381</v>
      </c>
      <c r="N2245">
        <v>5</v>
      </c>
      <c r="P2245" t="s">
        <v>2427</v>
      </c>
      <c r="Q2245" t="s">
        <v>2383</v>
      </c>
      <c r="R2245">
        <v>1</v>
      </c>
      <c r="S2245" t="s">
        <v>2380</v>
      </c>
      <c r="T2245" t="s">
        <v>2383</v>
      </c>
      <c r="U2245" s="8">
        <v>45947.475011574075</v>
      </c>
      <c r="V2245" s="8">
        <v>45952.958333333336</v>
      </c>
      <c r="W2245">
        <v>1</v>
      </c>
      <c r="X2245">
        <v>2.1667939810000001</v>
      </c>
      <c r="Y2245" t="s">
        <v>2542</v>
      </c>
      <c r="Z2245" t="s">
        <v>6461</v>
      </c>
      <c r="AA2245" t="s">
        <v>2551</v>
      </c>
      <c r="AB2245" t="s">
        <v>1278</v>
      </c>
      <c r="AC2245" t="s">
        <v>6462</v>
      </c>
      <c r="AD2245" t="s">
        <v>2708</v>
      </c>
      <c r="AE2245">
        <v>1</v>
      </c>
      <c r="AO2245" t="s">
        <v>2547</v>
      </c>
      <c r="AP2245" t="s">
        <v>2401</v>
      </c>
    </row>
    <row r="2246" spans="1:42">
      <c r="A2246" t="s">
        <v>6463</v>
      </c>
      <c r="B2246" t="s">
        <v>2389</v>
      </c>
      <c r="C2246" t="s">
        <v>2390</v>
      </c>
      <c r="D2246" t="s">
        <v>2379</v>
      </c>
      <c r="E2246" t="s">
        <v>25</v>
      </c>
      <c r="F2246" t="s">
        <v>2541</v>
      </c>
      <c r="G2246" t="s">
        <v>25</v>
      </c>
      <c r="H2246" t="b">
        <v>1</v>
      </c>
      <c r="I2246" s="8">
        <v>45951.649131944447</v>
      </c>
      <c r="J2246" t="s">
        <v>2380</v>
      </c>
      <c r="K2246">
        <v>1203863</v>
      </c>
      <c r="L2246">
        <v>608626</v>
      </c>
      <c r="M2246" t="s">
        <v>2381</v>
      </c>
      <c r="N2246">
        <v>5</v>
      </c>
      <c r="P2246" t="s">
        <v>2427</v>
      </c>
      <c r="Q2246" t="s">
        <v>2383</v>
      </c>
      <c r="R2246">
        <v>1</v>
      </c>
      <c r="S2246" t="s">
        <v>2380</v>
      </c>
      <c r="T2246" t="s">
        <v>2383</v>
      </c>
      <c r="U2246" s="8">
        <v>45947.475023148145</v>
      </c>
      <c r="V2246" s="8">
        <v>45952.958333333336</v>
      </c>
      <c r="W2246">
        <v>1</v>
      </c>
      <c r="X2246">
        <v>2.1741087960000001</v>
      </c>
      <c r="Y2246" t="s">
        <v>2542</v>
      </c>
      <c r="Z2246" t="s">
        <v>6464</v>
      </c>
      <c r="AA2246" t="s">
        <v>2551</v>
      </c>
      <c r="AB2246" t="s">
        <v>1278</v>
      </c>
      <c r="AC2246" t="s">
        <v>6465</v>
      </c>
      <c r="AD2246" t="s">
        <v>2708</v>
      </c>
      <c r="AE2246">
        <v>1</v>
      </c>
      <c r="AO2246" t="s">
        <v>2547</v>
      </c>
      <c r="AP2246" t="s">
        <v>2401</v>
      </c>
    </row>
    <row r="2247" spans="1:42">
      <c r="A2247" t="s">
        <v>6466</v>
      </c>
      <c r="B2247" t="s">
        <v>2389</v>
      </c>
      <c r="C2247" t="s">
        <v>2390</v>
      </c>
      <c r="D2247" t="s">
        <v>2379</v>
      </c>
      <c r="E2247" t="s">
        <v>25</v>
      </c>
      <c r="F2247" t="s">
        <v>2541</v>
      </c>
      <c r="G2247" t="s">
        <v>25</v>
      </c>
      <c r="H2247" t="b">
        <v>1</v>
      </c>
      <c r="I2247" s="8">
        <v>45951.643472222226</v>
      </c>
      <c r="J2247" t="s">
        <v>2380</v>
      </c>
      <c r="K2247">
        <v>1203861</v>
      </c>
      <c r="L2247">
        <v>608626</v>
      </c>
      <c r="M2247" t="s">
        <v>2381</v>
      </c>
      <c r="N2247">
        <v>5</v>
      </c>
      <c r="P2247" t="s">
        <v>2427</v>
      </c>
      <c r="Q2247" t="s">
        <v>2383</v>
      </c>
      <c r="R2247">
        <v>1</v>
      </c>
      <c r="S2247" t="s">
        <v>2380</v>
      </c>
      <c r="T2247" t="s">
        <v>2383</v>
      </c>
      <c r="U2247" s="8">
        <v>45947.475729166668</v>
      </c>
      <c r="V2247" s="8">
        <v>45952.958333333336</v>
      </c>
      <c r="W2247">
        <v>1</v>
      </c>
      <c r="X2247">
        <v>2.1677430559999999</v>
      </c>
      <c r="Y2247" t="s">
        <v>2542</v>
      </c>
      <c r="Z2247" t="s">
        <v>6467</v>
      </c>
      <c r="AA2247" t="s">
        <v>2551</v>
      </c>
      <c r="AB2247" t="s">
        <v>1278</v>
      </c>
      <c r="AC2247" t="s">
        <v>6468</v>
      </c>
      <c r="AD2247" t="s">
        <v>2708</v>
      </c>
      <c r="AE2247">
        <v>1</v>
      </c>
      <c r="AO2247" t="s">
        <v>2547</v>
      </c>
      <c r="AP2247" t="s">
        <v>2401</v>
      </c>
    </row>
    <row r="2248" spans="1:42">
      <c r="A2248" t="s">
        <v>7009</v>
      </c>
      <c r="B2248" t="s">
        <v>2389</v>
      </c>
      <c r="C2248" t="s">
        <v>2378</v>
      </c>
      <c r="D2248" t="s">
        <v>2379</v>
      </c>
      <c r="E2248" t="s">
        <v>2452</v>
      </c>
      <c r="F2248" t="s">
        <v>4566</v>
      </c>
      <c r="G2248" t="s">
        <v>2452</v>
      </c>
      <c r="H2248" t="b">
        <v>1</v>
      </c>
      <c r="I2248" s="8">
        <v>45952.629004629627</v>
      </c>
      <c r="J2248" t="s">
        <v>2380</v>
      </c>
      <c r="K2248">
        <v>1204033</v>
      </c>
      <c r="L2248">
        <v>603800</v>
      </c>
      <c r="M2248" t="s">
        <v>2381</v>
      </c>
      <c r="P2248" t="s">
        <v>2394</v>
      </c>
      <c r="Q2248" t="s">
        <v>2383</v>
      </c>
      <c r="R2248">
        <v>1</v>
      </c>
      <c r="S2248" t="s">
        <v>2380</v>
      </c>
      <c r="T2248" t="s">
        <v>2383</v>
      </c>
      <c r="U2248" s="8">
        <v>45947.475856481484</v>
      </c>
      <c r="V2248" s="8">
        <v>45958.958333333336</v>
      </c>
      <c r="W2248">
        <v>1</v>
      </c>
      <c r="X2248">
        <v>3.1531481480000001</v>
      </c>
      <c r="Y2248" t="s">
        <v>4567</v>
      </c>
      <c r="Z2248" t="s">
        <v>7010</v>
      </c>
      <c r="AA2248" t="s">
        <v>4570</v>
      </c>
      <c r="AB2248" t="s">
        <v>1278</v>
      </c>
      <c r="AC2248" t="s">
        <v>7011</v>
      </c>
      <c r="AD2248" t="s">
        <v>2708</v>
      </c>
      <c r="AE2248">
        <v>1</v>
      </c>
      <c r="AO2248" t="s">
        <v>2388</v>
      </c>
      <c r="AP2248" t="s">
        <v>2401</v>
      </c>
    </row>
    <row r="2249" spans="1:42">
      <c r="A2249" t="s">
        <v>6469</v>
      </c>
      <c r="B2249" t="s">
        <v>2389</v>
      </c>
      <c r="C2249" t="s">
        <v>2390</v>
      </c>
      <c r="D2249" t="s">
        <v>2379</v>
      </c>
      <c r="E2249" t="s">
        <v>25</v>
      </c>
      <c r="F2249" t="s">
        <v>2541</v>
      </c>
      <c r="G2249" t="s">
        <v>25</v>
      </c>
      <c r="H2249" t="b">
        <v>1</v>
      </c>
      <c r="I2249" s="8">
        <v>45952.436921296299</v>
      </c>
      <c r="J2249" t="s">
        <v>2380</v>
      </c>
      <c r="K2249">
        <v>1203940</v>
      </c>
      <c r="L2249">
        <v>608626</v>
      </c>
      <c r="M2249" t="s">
        <v>2381</v>
      </c>
      <c r="N2249">
        <v>5</v>
      </c>
      <c r="P2249" t="s">
        <v>2427</v>
      </c>
      <c r="Q2249" t="s">
        <v>2383</v>
      </c>
      <c r="R2249">
        <v>1</v>
      </c>
      <c r="S2249" t="s">
        <v>2380</v>
      </c>
      <c r="T2249" t="s">
        <v>2383</v>
      </c>
      <c r="U2249" s="8">
        <v>45947.476400462961</v>
      </c>
      <c r="V2249" s="8">
        <v>45952.958333333336</v>
      </c>
      <c r="W2249">
        <v>1</v>
      </c>
      <c r="X2249">
        <v>2.9605208329999999</v>
      </c>
      <c r="Y2249" t="s">
        <v>2542</v>
      </c>
      <c r="Z2249" t="s">
        <v>6470</v>
      </c>
      <c r="AA2249" t="s">
        <v>2551</v>
      </c>
      <c r="AB2249" t="s">
        <v>1278</v>
      </c>
      <c r="AC2249" t="s">
        <v>6471</v>
      </c>
      <c r="AD2249" t="s">
        <v>2708</v>
      </c>
      <c r="AE2249">
        <v>1</v>
      </c>
      <c r="AO2249" t="s">
        <v>2547</v>
      </c>
      <c r="AP2249" t="s">
        <v>2401</v>
      </c>
    </row>
    <row r="2250" spans="1:42">
      <c r="A2250" t="s">
        <v>6472</v>
      </c>
      <c r="B2250" t="s">
        <v>2389</v>
      </c>
      <c r="C2250" t="s">
        <v>2378</v>
      </c>
      <c r="D2250" t="s">
        <v>2379</v>
      </c>
      <c r="E2250" t="s">
        <v>25</v>
      </c>
      <c r="F2250" t="s">
        <v>2541</v>
      </c>
      <c r="G2250" t="s">
        <v>25</v>
      </c>
      <c r="H2250" t="b">
        <v>1</v>
      </c>
      <c r="I2250" s="8">
        <v>45952.501886574071</v>
      </c>
      <c r="J2250" t="s">
        <v>2380</v>
      </c>
      <c r="K2250">
        <v>1203966</v>
      </c>
      <c r="L2250">
        <v>608626</v>
      </c>
      <c r="M2250" t="s">
        <v>2381</v>
      </c>
      <c r="N2250">
        <v>5</v>
      </c>
      <c r="P2250" t="s">
        <v>2427</v>
      </c>
      <c r="Q2250" t="s">
        <v>2383</v>
      </c>
      <c r="R2250">
        <v>1</v>
      </c>
      <c r="S2250" t="s">
        <v>2380</v>
      </c>
      <c r="T2250" t="s">
        <v>2383</v>
      </c>
      <c r="U2250" s="8">
        <v>45947.476585648146</v>
      </c>
      <c r="V2250" s="8">
        <v>45952.958333333336</v>
      </c>
      <c r="W2250">
        <v>1</v>
      </c>
      <c r="X2250">
        <v>3.0253009259999999</v>
      </c>
      <c r="Y2250" t="s">
        <v>2542</v>
      </c>
      <c r="Z2250" t="s">
        <v>6473</v>
      </c>
      <c r="AA2250" t="s">
        <v>2551</v>
      </c>
      <c r="AB2250" t="s">
        <v>1278</v>
      </c>
      <c r="AC2250" t="s">
        <v>6474</v>
      </c>
      <c r="AD2250" t="s">
        <v>2708</v>
      </c>
      <c r="AE2250">
        <v>1</v>
      </c>
      <c r="AO2250" t="s">
        <v>2547</v>
      </c>
      <c r="AP2250" t="s">
        <v>2401</v>
      </c>
    </row>
    <row r="2251" spans="1:42">
      <c r="A2251" t="s">
        <v>6475</v>
      </c>
      <c r="B2251" t="s">
        <v>2389</v>
      </c>
      <c r="C2251" t="s">
        <v>2390</v>
      </c>
      <c r="D2251" t="s">
        <v>2379</v>
      </c>
      <c r="E2251" t="s">
        <v>25</v>
      </c>
      <c r="F2251" t="s">
        <v>2541</v>
      </c>
      <c r="G2251" t="s">
        <v>25</v>
      </c>
      <c r="H2251" t="b">
        <v>1</v>
      </c>
      <c r="I2251" s="8">
        <v>45952.400393518517</v>
      </c>
      <c r="J2251" t="s">
        <v>2380</v>
      </c>
      <c r="K2251">
        <v>1203897</v>
      </c>
      <c r="L2251">
        <v>608639</v>
      </c>
      <c r="M2251" t="s">
        <v>2381</v>
      </c>
      <c r="N2251">
        <v>5</v>
      </c>
      <c r="P2251" t="s">
        <v>2427</v>
      </c>
      <c r="Q2251" t="s">
        <v>2383</v>
      </c>
      <c r="R2251">
        <v>1</v>
      </c>
      <c r="S2251" t="s">
        <v>2380</v>
      </c>
      <c r="T2251" t="s">
        <v>2383</v>
      </c>
      <c r="U2251" s="8">
        <v>45947.477152777778</v>
      </c>
      <c r="V2251" s="8">
        <v>45952.958333333336</v>
      </c>
      <c r="W2251">
        <v>1</v>
      </c>
      <c r="X2251">
        <v>2.9232407409999999</v>
      </c>
      <c r="Y2251" t="s">
        <v>2542</v>
      </c>
      <c r="Z2251" t="s">
        <v>6476</v>
      </c>
      <c r="AA2251" t="s">
        <v>5741</v>
      </c>
      <c r="AB2251" t="s">
        <v>1278</v>
      </c>
      <c r="AC2251" t="s">
        <v>6477</v>
      </c>
      <c r="AD2251" t="s">
        <v>2708</v>
      </c>
      <c r="AE2251">
        <v>1</v>
      </c>
      <c r="AO2251" t="s">
        <v>2547</v>
      </c>
      <c r="AP2251" t="s">
        <v>2401</v>
      </c>
    </row>
    <row r="2252" spans="1:42">
      <c r="A2252" t="s">
        <v>6478</v>
      </c>
      <c r="B2252" t="s">
        <v>2389</v>
      </c>
      <c r="C2252" t="s">
        <v>2390</v>
      </c>
      <c r="D2252" t="s">
        <v>2379</v>
      </c>
      <c r="E2252" t="s">
        <v>25</v>
      </c>
      <c r="F2252" t="s">
        <v>2541</v>
      </c>
      <c r="G2252" t="s">
        <v>25</v>
      </c>
      <c r="H2252" t="b">
        <v>1</v>
      </c>
      <c r="I2252" s="8">
        <v>45952.457997685182</v>
      </c>
      <c r="J2252" t="s">
        <v>2380</v>
      </c>
      <c r="K2252">
        <v>1203948</v>
      </c>
      <c r="L2252">
        <v>608626</v>
      </c>
      <c r="M2252" t="s">
        <v>2381</v>
      </c>
      <c r="N2252">
        <v>5</v>
      </c>
      <c r="P2252" t="s">
        <v>2427</v>
      </c>
      <c r="Q2252" t="s">
        <v>2383</v>
      </c>
      <c r="R2252">
        <v>1</v>
      </c>
      <c r="S2252" t="s">
        <v>2380</v>
      </c>
      <c r="T2252" t="s">
        <v>2383</v>
      </c>
      <c r="U2252" s="8">
        <v>45947.477280092593</v>
      </c>
      <c r="V2252" s="8">
        <v>45952.958333333336</v>
      </c>
      <c r="W2252">
        <v>1</v>
      </c>
      <c r="X2252">
        <v>2.9807175930000001</v>
      </c>
      <c r="Y2252" t="s">
        <v>2542</v>
      </c>
      <c r="Z2252" t="s">
        <v>6479</v>
      </c>
      <c r="AA2252" t="s">
        <v>2551</v>
      </c>
      <c r="AB2252" t="s">
        <v>1278</v>
      </c>
      <c r="AC2252" t="s">
        <v>6480</v>
      </c>
      <c r="AD2252" t="s">
        <v>2708</v>
      </c>
      <c r="AE2252">
        <v>1</v>
      </c>
      <c r="AO2252" t="s">
        <v>2547</v>
      </c>
      <c r="AP2252" t="s">
        <v>2401</v>
      </c>
    </row>
    <row r="2253" spans="1:42">
      <c r="A2253" t="s">
        <v>6481</v>
      </c>
      <c r="B2253" t="s">
        <v>2389</v>
      </c>
      <c r="C2253" t="s">
        <v>2390</v>
      </c>
      <c r="D2253" t="s">
        <v>2379</v>
      </c>
      <c r="E2253" t="s">
        <v>25</v>
      </c>
      <c r="F2253" t="s">
        <v>2541</v>
      </c>
      <c r="G2253" t="s">
        <v>25</v>
      </c>
      <c r="H2253" t="b">
        <v>1</v>
      </c>
      <c r="I2253" s="8">
        <v>45952.396469907406</v>
      </c>
      <c r="J2253" t="s">
        <v>2380</v>
      </c>
      <c r="K2253">
        <v>1203896</v>
      </c>
      <c r="L2253">
        <v>608634</v>
      </c>
      <c r="M2253" t="s">
        <v>2381</v>
      </c>
      <c r="N2253">
        <v>5</v>
      </c>
      <c r="P2253" t="s">
        <v>2427</v>
      </c>
      <c r="Q2253" t="s">
        <v>2383</v>
      </c>
      <c r="R2253">
        <v>1</v>
      </c>
      <c r="S2253" t="s">
        <v>2380</v>
      </c>
      <c r="T2253" t="s">
        <v>2383</v>
      </c>
      <c r="U2253" s="8">
        <v>45947.477824074071</v>
      </c>
      <c r="V2253" s="8">
        <v>45952.958333333336</v>
      </c>
      <c r="W2253">
        <v>1</v>
      </c>
      <c r="X2253">
        <v>2.9186458329999998</v>
      </c>
      <c r="Y2253" t="s">
        <v>2542</v>
      </c>
      <c r="Z2253" t="s">
        <v>6482</v>
      </c>
      <c r="AA2253" t="s">
        <v>3154</v>
      </c>
      <c r="AB2253" t="s">
        <v>1278</v>
      </c>
      <c r="AC2253" t="s">
        <v>6483</v>
      </c>
      <c r="AD2253" t="s">
        <v>2708</v>
      </c>
      <c r="AE2253">
        <v>1</v>
      </c>
      <c r="AO2253" t="s">
        <v>2547</v>
      </c>
      <c r="AP2253" t="s">
        <v>2401</v>
      </c>
    </row>
    <row r="2254" spans="1:42">
      <c r="A2254" t="s">
        <v>6484</v>
      </c>
      <c r="B2254" t="s">
        <v>2389</v>
      </c>
      <c r="C2254" t="s">
        <v>2378</v>
      </c>
      <c r="D2254" t="s">
        <v>2379</v>
      </c>
      <c r="E2254" t="s">
        <v>25</v>
      </c>
      <c r="F2254" t="s">
        <v>2541</v>
      </c>
      <c r="G2254" t="s">
        <v>25</v>
      </c>
      <c r="H2254" t="b">
        <v>1</v>
      </c>
      <c r="I2254" s="8">
        <v>45952.499027777776</v>
      </c>
      <c r="J2254" t="s">
        <v>2380</v>
      </c>
      <c r="K2254">
        <v>1203965</v>
      </c>
      <c r="L2254">
        <v>608626</v>
      </c>
      <c r="M2254" t="s">
        <v>2381</v>
      </c>
      <c r="N2254">
        <v>5</v>
      </c>
      <c r="P2254" t="s">
        <v>2427</v>
      </c>
      <c r="Q2254" t="s">
        <v>2383</v>
      </c>
      <c r="R2254">
        <v>1</v>
      </c>
      <c r="S2254" t="s">
        <v>2380</v>
      </c>
      <c r="T2254" t="s">
        <v>2383</v>
      </c>
      <c r="U2254" s="8">
        <v>45947.477951388886</v>
      </c>
      <c r="V2254" s="8">
        <v>45952.958333333336</v>
      </c>
      <c r="W2254">
        <v>1</v>
      </c>
      <c r="X2254">
        <v>3.0210763890000001</v>
      </c>
      <c r="Y2254" t="s">
        <v>2542</v>
      </c>
      <c r="Z2254" t="s">
        <v>6485</v>
      </c>
      <c r="AA2254" t="s">
        <v>2551</v>
      </c>
      <c r="AB2254" t="s">
        <v>1278</v>
      </c>
      <c r="AC2254" t="s">
        <v>6486</v>
      </c>
      <c r="AD2254" t="s">
        <v>2708</v>
      </c>
      <c r="AE2254">
        <v>1</v>
      </c>
      <c r="AO2254" t="s">
        <v>2547</v>
      </c>
      <c r="AP2254" t="s">
        <v>2401</v>
      </c>
    </row>
    <row r="2255" spans="1:42">
      <c r="A2255" t="s">
        <v>8148</v>
      </c>
      <c r="B2255" t="s">
        <v>2389</v>
      </c>
      <c r="C2255" t="s">
        <v>2390</v>
      </c>
      <c r="D2255" t="s">
        <v>2379</v>
      </c>
      <c r="E2255" t="s">
        <v>33</v>
      </c>
      <c r="F2255">
        <v>4056</v>
      </c>
      <c r="G2255" t="s">
        <v>33</v>
      </c>
      <c r="H2255" t="b">
        <v>1</v>
      </c>
      <c r="I2255" s="8">
        <v>45951.555289351854</v>
      </c>
      <c r="J2255" t="s">
        <v>2380</v>
      </c>
      <c r="K2255">
        <v>1203810</v>
      </c>
      <c r="L2255">
        <v>604999</v>
      </c>
      <c r="M2255" t="s">
        <v>2381</v>
      </c>
      <c r="P2255" t="s">
        <v>2394</v>
      </c>
      <c r="Q2255" t="s">
        <v>2395</v>
      </c>
      <c r="R2255">
        <v>1</v>
      </c>
      <c r="S2255" t="s">
        <v>2380</v>
      </c>
      <c r="T2255" t="s">
        <v>2383</v>
      </c>
      <c r="U2255" s="8">
        <v>45947.478009259263</v>
      </c>
      <c r="V2255" s="8">
        <v>45952.958333333336</v>
      </c>
      <c r="W2255">
        <v>1</v>
      </c>
      <c r="X2255">
        <v>2.0772800930000002</v>
      </c>
      <c r="Y2255" t="s">
        <v>3379</v>
      </c>
      <c r="Z2255" t="s">
        <v>8149</v>
      </c>
      <c r="AA2255" t="s">
        <v>8150</v>
      </c>
      <c r="AB2255" t="s">
        <v>1278</v>
      </c>
      <c r="AC2255" t="s">
        <v>8151</v>
      </c>
      <c r="AD2255" t="s">
        <v>2708</v>
      </c>
      <c r="AE2255">
        <v>1</v>
      </c>
      <c r="AO2255" t="s">
        <v>4137</v>
      </c>
      <c r="AP2255" t="s">
        <v>2401</v>
      </c>
    </row>
    <row r="2256" spans="1:42">
      <c r="A2256" t="s">
        <v>6487</v>
      </c>
      <c r="B2256" t="s">
        <v>2389</v>
      </c>
      <c r="C2256" t="s">
        <v>2378</v>
      </c>
      <c r="D2256" t="s">
        <v>2379</v>
      </c>
      <c r="E2256" t="s">
        <v>25</v>
      </c>
      <c r="F2256" t="s">
        <v>2541</v>
      </c>
      <c r="G2256" t="s">
        <v>25</v>
      </c>
      <c r="H2256" t="b">
        <v>1</v>
      </c>
      <c r="I2256" s="8">
        <v>45952.506863425922</v>
      </c>
      <c r="J2256" t="s">
        <v>2380</v>
      </c>
      <c r="K2256">
        <v>1203967</v>
      </c>
      <c r="L2256">
        <v>608626</v>
      </c>
      <c r="M2256" t="s">
        <v>2381</v>
      </c>
      <c r="N2256">
        <v>5</v>
      </c>
      <c r="P2256" t="s">
        <v>2427</v>
      </c>
      <c r="Q2256" t="s">
        <v>2383</v>
      </c>
      <c r="R2256">
        <v>1</v>
      </c>
      <c r="S2256" t="s">
        <v>2380</v>
      </c>
      <c r="T2256" t="s">
        <v>2383</v>
      </c>
      <c r="U2256" s="8">
        <v>45947.478634259256</v>
      </c>
      <c r="V2256" s="8">
        <v>45952.958333333336</v>
      </c>
      <c r="W2256">
        <v>1</v>
      </c>
      <c r="X2256">
        <v>3.0282291670000001</v>
      </c>
      <c r="Y2256" t="s">
        <v>2542</v>
      </c>
      <c r="Z2256" t="s">
        <v>6488</v>
      </c>
      <c r="AA2256" t="s">
        <v>2551</v>
      </c>
      <c r="AB2256" t="s">
        <v>1278</v>
      </c>
      <c r="AC2256" t="s">
        <v>6489</v>
      </c>
      <c r="AD2256" t="s">
        <v>2708</v>
      </c>
      <c r="AE2256">
        <v>1</v>
      </c>
      <c r="AO2256" t="s">
        <v>2547</v>
      </c>
      <c r="AP2256" t="s">
        <v>2401</v>
      </c>
    </row>
    <row r="2257" spans="1:42">
      <c r="A2257" t="s">
        <v>6490</v>
      </c>
      <c r="B2257" t="s">
        <v>2389</v>
      </c>
      <c r="C2257" t="s">
        <v>2378</v>
      </c>
      <c r="D2257" t="s">
        <v>2379</v>
      </c>
      <c r="E2257" t="s">
        <v>25</v>
      </c>
      <c r="F2257" t="s">
        <v>2541</v>
      </c>
      <c r="G2257" t="s">
        <v>25</v>
      </c>
      <c r="H2257" t="b">
        <v>1</v>
      </c>
      <c r="I2257" s="8">
        <v>45952.492581018516</v>
      </c>
      <c r="J2257" t="s">
        <v>2380</v>
      </c>
      <c r="K2257">
        <v>1203956</v>
      </c>
      <c r="L2257">
        <v>608626</v>
      </c>
      <c r="M2257" t="s">
        <v>2381</v>
      </c>
      <c r="N2257">
        <v>5</v>
      </c>
      <c r="P2257" t="s">
        <v>2427</v>
      </c>
      <c r="Q2257" t="s">
        <v>2383</v>
      </c>
      <c r="R2257">
        <v>1</v>
      </c>
      <c r="S2257" t="s">
        <v>2380</v>
      </c>
      <c r="T2257" t="s">
        <v>2383</v>
      </c>
      <c r="U2257" s="8">
        <v>45947.478831018518</v>
      </c>
      <c r="V2257" s="8">
        <v>45952.958333333336</v>
      </c>
      <c r="W2257">
        <v>1</v>
      </c>
      <c r="X2257">
        <v>3.0137499999999999</v>
      </c>
      <c r="Y2257" t="s">
        <v>2542</v>
      </c>
      <c r="Z2257" t="s">
        <v>6491</v>
      </c>
      <c r="AA2257" t="s">
        <v>2551</v>
      </c>
      <c r="AB2257" t="s">
        <v>1278</v>
      </c>
      <c r="AC2257" t="s">
        <v>6492</v>
      </c>
      <c r="AD2257" t="s">
        <v>2708</v>
      </c>
      <c r="AE2257">
        <v>1</v>
      </c>
      <c r="AO2257" t="s">
        <v>2547</v>
      </c>
      <c r="AP2257" t="s">
        <v>2401</v>
      </c>
    </row>
    <row r="2258" spans="1:42">
      <c r="A2258" t="s">
        <v>7356</v>
      </c>
      <c r="B2258" t="s">
        <v>2389</v>
      </c>
      <c r="C2258" t="s">
        <v>2443</v>
      </c>
      <c r="D2258" t="s">
        <v>2443</v>
      </c>
      <c r="E2258" t="s">
        <v>25</v>
      </c>
      <c r="F2258" t="s">
        <v>2637</v>
      </c>
      <c r="G2258" t="s">
        <v>25</v>
      </c>
      <c r="H2258" t="b">
        <v>1</v>
      </c>
      <c r="I2258" s="8">
        <v>45953.687291666669</v>
      </c>
      <c r="J2258" t="s">
        <v>2380</v>
      </c>
      <c r="K2258">
        <v>1204342</v>
      </c>
      <c r="L2258">
        <v>603986</v>
      </c>
      <c r="M2258" t="s">
        <v>2381</v>
      </c>
      <c r="N2258">
        <v>5</v>
      </c>
      <c r="P2258" t="s">
        <v>2394</v>
      </c>
      <c r="Q2258" t="s">
        <v>2383</v>
      </c>
      <c r="R2258">
        <v>1</v>
      </c>
      <c r="S2258" t="s">
        <v>2380</v>
      </c>
      <c r="T2258" t="s">
        <v>2383</v>
      </c>
      <c r="U2258" s="8">
        <v>45947.478888888887</v>
      </c>
      <c r="V2258" s="8">
        <v>45952.958333333336</v>
      </c>
      <c r="W2258">
        <v>1</v>
      </c>
      <c r="X2258">
        <v>4.208402778</v>
      </c>
      <c r="Y2258" t="s">
        <v>2638</v>
      </c>
      <c r="Z2258" t="s">
        <v>7357</v>
      </c>
      <c r="AA2258" t="s">
        <v>2641</v>
      </c>
      <c r="AB2258" t="s">
        <v>1278</v>
      </c>
      <c r="AC2258" t="s">
        <v>7358</v>
      </c>
      <c r="AD2258" t="s">
        <v>2708</v>
      </c>
      <c r="AE2258">
        <v>1</v>
      </c>
      <c r="AO2258" t="s">
        <v>2388</v>
      </c>
      <c r="AP2258" t="s">
        <v>2401</v>
      </c>
    </row>
    <row r="2259" spans="1:42">
      <c r="A2259" t="s">
        <v>6493</v>
      </c>
      <c r="B2259" t="s">
        <v>2389</v>
      </c>
      <c r="C2259" t="s">
        <v>2390</v>
      </c>
      <c r="D2259" t="s">
        <v>2379</v>
      </c>
      <c r="E2259" t="s">
        <v>25</v>
      </c>
      <c r="F2259" t="s">
        <v>2541</v>
      </c>
      <c r="G2259" t="s">
        <v>25</v>
      </c>
      <c r="H2259" t="b">
        <v>1</v>
      </c>
      <c r="I2259" s="8">
        <v>45952.461226851854</v>
      </c>
      <c r="J2259" t="s">
        <v>2380</v>
      </c>
      <c r="K2259">
        <v>1203950</v>
      </c>
      <c r="L2259">
        <v>608626</v>
      </c>
      <c r="M2259" t="s">
        <v>2381</v>
      </c>
      <c r="N2259">
        <v>5</v>
      </c>
      <c r="P2259" t="s">
        <v>2427</v>
      </c>
      <c r="Q2259" t="s">
        <v>2383</v>
      </c>
      <c r="R2259">
        <v>1</v>
      </c>
      <c r="S2259" t="s">
        <v>2380</v>
      </c>
      <c r="T2259" t="s">
        <v>2383</v>
      </c>
      <c r="U2259" s="8">
        <v>45947.479398148149</v>
      </c>
      <c r="V2259" s="8">
        <v>45952.958333333336</v>
      </c>
      <c r="W2259">
        <v>1</v>
      </c>
      <c r="X2259">
        <v>2.9818287040000002</v>
      </c>
      <c r="Y2259" t="s">
        <v>2542</v>
      </c>
      <c r="Z2259" t="s">
        <v>6494</v>
      </c>
      <c r="AA2259" t="s">
        <v>2551</v>
      </c>
      <c r="AB2259" t="s">
        <v>1278</v>
      </c>
      <c r="AC2259" t="s">
        <v>6495</v>
      </c>
      <c r="AD2259" t="s">
        <v>2708</v>
      </c>
      <c r="AE2259">
        <v>1</v>
      </c>
      <c r="AO2259" t="s">
        <v>2547</v>
      </c>
      <c r="AP2259" t="s">
        <v>2401</v>
      </c>
    </row>
    <row r="2260" spans="1:42">
      <c r="A2260" t="s">
        <v>6496</v>
      </c>
      <c r="B2260" t="s">
        <v>2389</v>
      </c>
      <c r="C2260" t="s">
        <v>2390</v>
      </c>
      <c r="D2260" t="s">
        <v>2379</v>
      </c>
      <c r="E2260" t="s">
        <v>25</v>
      </c>
      <c r="F2260" t="s">
        <v>2541</v>
      </c>
      <c r="G2260" t="s">
        <v>25</v>
      </c>
      <c r="H2260" t="b">
        <v>1</v>
      </c>
      <c r="I2260" s="8">
        <v>45952.432951388888</v>
      </c>
      <c r="J2260" t="s">
        <v>2380</v>
      </c>
      <c r="K2260">
        <v>1203929</v>
      </c>
      <c r="L2260">
        <v>608626</v>
      </c>
      <c r="M2260" t="s">
        <v>2381</v>
      </c>
      <c r="N2260">
        <v>5</v>
      </c>
      <c r="P2260" t="s">
        <v>2427</v>
      </c>
      <c r="Q2260" t="s">
        <v>2383</v>
      </c>
      <c r="R2260">
        <v>1</v>
      </c>
      <c r="S2260" t="s">
        <v>2380</v>
      </c>
      <c r="T2260" t="s">
        <v>2383</v>
      </c>
      <c r="U2260" s="8">
        <v>45947.479467592595</v>
      </c>
      <c r="V2260" s="8">
        <v>45952.958333333336</v>
      </c>
      <c r="W2260">
        <v>1</v>
      </c>
      <c r="X2260">
        <v>2.953483796</v>
      </c>
      <c r="Y2260" t="s">
        <v>2542</v>
      </c>
      <c r="Z2260" t="s">
        <v>6497</v>
      </c>
      <c r="AA2260" t="s">
        <v>2551</v>
      </c>
      <c r="AB2260" t="s">
        <v>1278</v>
      </c>
      <c r="AC2260" t="s">
        <v>6498</v>
      </c>
      <c r="AD2260" t="s">
        <v>2708</v>
      </c>
      <c r="AE2260">
        <v>1</v>
      </c>
      <c r="AO2260" t="s">
        <v>2547</v>
      </c>
      <c r="AP2260" t="s">
        <v>2401</v>
      </c>
    </row>
    <row r="2261" spans="1:42">
      <c r="A2261" t="s">
        <v>6499</v>
      </c>
      <c r="B2261" t="s">
        <v>2389</v>
      </c>
      <c r="C2261" t="s">
        <v>2390</v>
      </c>
      <c r="D2261" t="s">
        <v>2379</v>
      </c>
      <c r="E2261" t="s">
        <v>25</v>
      </c>
      <c r="F2261" t="s">
        <v>2541</v>
      </c>
      <c r="G2261" t="s">
        <v>25</v>
      </c>
      <c r="H2261" t="b">
        <v>1</v>
      </c>
      <c r="I2261" s="8">
        <v>45952.435208333336</v>
      </c>
      <c r="J2261" t="s">
        <v>2380</v>
      </c>
      <c r="K2261">
        <v>1203939</v>
      </c>
      <c r="L2261">
        <v>608626</v>
      </c>
      <c r="M2261" t="s">
        <v>2381</v>
      </c>
      <c r="N2261">
        <v>5</v>
      </c>
      <c r="P2261" t="s">
        <v>2427</v>
      </c>
      <c r="Q2261" t="s">
        <v>2383</v>
      </c>
      <c r="R2261">
        <v>1</v>
      </c>
      <c r="S2261" t="s">
        <v>2380</v>
      </c>
      <c r="T2261" t="s">
        <v>2383</v>
      </c>
      <c r="U2261" s="8">
        <v>45947.479537037034</v>
      </c>
      <c r="V2261" s="8">
        <v>45952.958333333336</v>
      </c>
      <c r="W2261">
        <v>1</v>
      </c>
      <c r="X2261">
        <v>2.9556712959999998</v>
      </c>
      <c r="Y2261" t="s">
        <v>2542</v>
      </c>
      <c r="Z2261" t="s">
        <v>6500</v>
      </c>
      <c r="AA2261" t="s">
        <v>2551</v>
      </c>
      <c r="AB2261" t="s">
        <v>1278</v>
      </c>
      <c r="AC2261" t="s">
        <v>6501</v>
      </c>
      <c r="AD2261" t="s">
        <v>2708</v>
      </c>
      <c r="AE2261">
        <v>1</v>
      </c>
      <c r="AO2261" t="s">
        <v>2547</v>
      </c>
      <c r="AP2261" t="s">
        <v>2401</v>
      </c>
    </row>
    <row r="2262" spans="1:42">
      <c r="A2262" t="s">
        <v>6502</v>
      </c>
      <c r="B2262" t="s">
        <v>2389</v>
      </c>
      <c r="C2262" t="s">
        <v>2390</v>
      </c>
      <c r="D2262" t="s">
        <v>2379</v>
      </c>
      <c r="E2262" t="s">
        <v>25</v>
      </c>
      <c r="F2262" t="s">
        <v>2541</v>
      </c>
      <c r="G2262" t="s">
        <v>25</v>
      </c>
      <c r="H2262" t="b">
        <v>1</v>
      </c>
      <c r="I2262" s="8">
        <v>45951.660462962966</v>
      </c>
      <c r="J2262" t="s">
        <v>2380</v>
      </c>
      <c r="K2262">
        <v>1203872</v>
      </c>
      <c r="L2262">
        <v>608626</v>
      </c>
      <c r="M2262" t="s">
        <v>2381</v>
      </c>
      <c r="N2262">
        <v>5</v>
      </c>
      <c r="P2262" t="s">
        <v>2427</v>
      </c>
      <c r="Q2262" t="s">
        <v>2383</v>
      </c>
      <c r="R2262">
        <v>1</v>
      </c>
      <c r="S2262" t="s">
        <v>2380</v>
      </c>
      <c r="T2262" t="s">
        <v>2383</v>
      </c>
      <c r="U2262" s="8">
        <v>45947.47960648148</v>
      </c>
      <c r="V2262" s="8">
        <v>45952.958333333336</v>
      </c>
      <c r="W2262">
        <v>1</v>
      </c>
      <c r="X2262">
        <v>2.1808564810000002</v>
      </c>
      <c r="Y2262" t="s">
        <v>2542</v>
      </c>
      <c r="Z2262" t="s">
        <v>6503</v>
      </c>
      <c r="AA2262" t="s">
        <v>2551</v>
      </c>
      <c r="AB2262" t="s">
        <v>1278</v>
      </c>
      <c r="AC2262" t="s">
        <v>6504</v>
      </c>
      <c r="AD2262" t="s">
        <v>2708</v>
      </c>
      <c r="AE2262">
        <v>1</v>
      </c>
      <c r="AO2262" t="s">
        <v>2547</v>
      </c>
      <c r="AP2262" t="s">
        <v>2401</v>
      </c>
    </row>
    <row r="2263" spans="1:42">
      <c r="A2263" t="s">
        <v>6505</v>
      </c>
      <c r="B2263" t="s">
        <v>2389</v>
      </c>
      <c r="C2263" t="s">
        <v>2390</v>
      </c>
      <c r="D2263" t="s">
        <v>2379</v>
      </c>
      <c r="E2263" t="s">
        <v>25</v>
      </c>
      <c r="F2263" t="s">
        <v>2541</v>
      </c>
      <c r="G2263" t="s">
        <v>25</v>
      </c>
      <c r="H2263" t="b">
        <v>1</v>
      </c>
      <c r="I2263" s="8">
        <v>45951.6641087963</v>
      </c>
      <c r="J2263" t="s">
        <v>2380</v>
      </c>
      <c r="K2263">
        <v>1203877</v>
      </c>
      <c r="L2263">
        <v>608626</v>
      </c>
      <c r="M2263" t="s">
        <v>2381</v>
      </c>
      <c r="N2263">
        <v>5</v>
      </c>
      <c r="P2263" t="s">
        <v>2427</v>
      </c>
      <c r="Q2263" t="s">
        <v>2383</v>
      </c>
      <c r="R2263">
        <v>1</v>
      </c>
      <c r="S2263" t="s">
        <v>2380</v>
      </c>
      <c r="T2263" t="s">
        <v>2383</v>
      </c>
      <c r="U2263" s="8">
        <v>45947.480868055558</v>
      </c>
      <c r="V2263" s="8">
        <v>45952.958333333336</v>
      </c>
      <c r="W2263">
        <v>1</v>
      </c>
      <c r="X2263">
        <v>2.1832407410000001</v>
      </c>
      <c r="Y2263" t="s">
        <v>2542</v>
      </c>
      <c r="Z2263" t="s">
        <v>6506</v>
      </c>
      <c r="AA2263" t="s">
        <v>2551</v>
      </c>
      <c r="AB2263" t="s">
        <v>1278</v>
      </c>
      <c r="AC2263" t="s">
        <v>6507</v>
      </c>
      <c r="AD2263" t="s">
        <v>2708</v>
      </c>
      <c r="AE2263">
        <v>1</v>
      </c>
      <c r="AO2263" t="s">
        <v>2547</v>
      </c>
      <c r="AP2263" t="s">
        <v>2401</v>
      </c>
    </row>
    <row r="2264" spans="1:42">
      <c r="A2264" t="s">
        <v>2893</v>
      </c>
      <c r="B2264" t="s">
        <v>2389</v>
      </c>
      <c r="C2264" t="s">
        <v>2390</v>
      </c>
      <c r="D2264" t="s">
        <v>2379</v>
      </c>
      <c r="E2264" t="s">
        <v>25</v>
      </c>
      <c r="F2264" t="s">
        <v>2541</v>
      </c>
      <c r="G2264" t="s">
        <v>25</v>
      </c>
      <c r="H2264" t="b">
        <v>1</v>
      </c>
      <c r="I2264" s="8">
        <v>45952.418483796297</v>
      </c>
      <c r="J2264" t="s">
        <v>2380</v>
      </c>
      <c r="L2264">
        <v>608626</v>
      </c>
      <c r="M2264" t="s">
        <v>2381</v>
      </c>
      <c r="P2264" t="s">
        <v>2427</v>
      </c>
      <c r="Q2264" t="s">
        <v>2383</v>
      </c>
      <c r="R2264">
        <v>1</v>
      </c>
      <c r="S2264" t="s">
        <v>2380</v>
      </c>
      <c r="T2264" t="s">
        <v>2383</v>
      </c>
      <c r="U2264" s="8">
        <v>45947.480925925927</v>
      </c>
      <c r="V2264" s="8">
        <v>45952.958333333336</v>
      </c>
      <c r="W2264">
        <v>1</v>
      </c>
      <c r="X2264">
        <v>2.93755787</v>
      </c>
      <c r="Y2264" t="s">
        <v>2542</v>
      </c>
      <c r="Z2264" t="s">
        <v>2894</v>
      </c>
      <c r="AA2264" t="s">
        <v>2551</v>
      </c>
      <c r="AB2264" t="s">
        <v>1278</v>
      </c>
      <c r="AC2264" t="s">
        <v>2895</v>
      </c>
      <c r="AE2264">
        <v>1</v>
      </c>
      <c r="AO2264" t="s">
        <v>2547</v>
      </c>
      <c r="AP2264" t="s">
        <v>2401</v>
      </c>
    </row>
    <row r="2265" spans="1:42">
      <c r="A2265" t="s">
        <v>6508</v>
      </c>
      <c r="B2265" t="s">
        <v>2389</v>
      </c>
      <c r="C2265" t="s">
        <v>2390</v>
      </c>
      <c r="D2265" t="s">
        <v>2379</v>
      </c>
      <c r="E2265" t="s">
        <v>25</v>
      </c>
      <c r="F2265" t="s">
        <v>2541</v>
      </c>
      <c r="G2265" t="s">
        <v>25</v>
      </c>
      <c r="H2265" t="b">
        <v>1</v>
      </c>
      <c r="I2265" s="8">
        <v>45952.422986111109</v>
      </c>
      <c r="J2265" t="s">
        <v>2380</v>
      </c>
      <c r="K2265">
        <v>1203904</v>
      </c>
      <c r="L2265">
        <v>608626</v>
      </c>
      <c r="M2265" t="s">
        <v>2381</v>
      </c>
      <c r="N2265">
        <v>5</v>
      </c>
      <c r="P2265" t="s">
        <v>2427</v>
      </c>
      <c r="Q2265" t="s">
        <v>2383</v>
      </c>
      <c r="R2265">
        <v>1</v>
      </c>
      <c r="S2265" t="s">
        <v>2380</v>
      </c>
      <c r="T2265" t="s">
        <v>2383</v>
      </c>
      <c r="U2265" s="8">
        <v>45947.481481481482</v>
      </c>
      <c r="V2265" s="8">
        <v>45952.958333333336</v>
      </c>
      <c r="W2265">
        <v>1</v>
      </c>
      <c r="X2265">
        <v>2.9415046299999998</v>
      </c>
      <c r="Y2265" t="s">
        <v>2542</v>
      </c>
      <c r="Z2265" t="s">
        <v>6509</v>
      </c>
      <c r="AA2265" t="s">
        <v>2551</v>
      </c>
      <c r="AB2265" t="s">
        <v>1278</v>
      </c>
      <c r="AC2265" t="s">
        <v>6510</v>
      </c>
      <c r="AD2265" t="s">
        <v>2708</v>
      </c>
      <c r="AE2265">
        <v>1</v>
      </c>
      <c r="AO2265" t="s">
        <v>2547</v>
      </c>
      <c r="AP2265" t="s">
        <v>2401</v>
      </c>
    </row>
    <row r="2266" spans="1:42">
      <c r="A2266" t="s">
        <v>6511</v>
      </c>
      <c r="B2266" t="s">
        <v>2389</v>
      </c>
      <c r="C2266" t="s">
        <v>2390</v>
      </c>
      <c r="D2266" t="s">
        <v>2379</v>
      </c>
      <c r="E2266" t="s">
        <v>25</v>
      </c>
      <c r="F2266" t="s">
        <v>2541</v>
      </c>
      <c r="G2266" t="s">
        <v>25</v>
      </c>
      <c r="H2266" t="b">
        <v>1</v>
      </c>
      <c r="I2266" s="8">
        <v>45952.394849537035</v>
      </c>
      <c r="J2266" t="s">
        <v>2380</v>
      </c>
      <c r="K2266">
        <v>1203895</v>
      </c>
      <c r="L2266">
        <v>608635</v>
      </c>
      <c r="M2266" t="s">
        <v>2381</v>
      </c>
      <c r="N2266">
        <v>5</v>
      </c>
      <c r="P2266" t="s">
        <v>2427</v>
      </c>
      <c r="Q2266" t="s">
        <v>2383</v>
      </c>
      <c r="R2266">
        <v>1</v>
      </c>
      <c r="S2266" t="s">
        <v>2380</v>
      </c>
      <c r="T2266" t="s">
        <v>2383</v>
      </c>
      <c r="U2266" s="8">
        <v>45947.482233796298</v>
      </c>
      <c r="V2266" s="8">
        <v>45952.958333333336</v>
      </c>
      <c r="W2266">
        <v>1</v>
      </c>
      <c r="X2266">
        <v>2.9126157410000002</v>
      </c>
      <c r="Y2266" t="s">
        <v>2542</v>
      </c>
      <c r="Z2266" t="s">
        <v>6512</v>
      </c>
      <c r="AA2266" t="s">
        <v>6513</v>
      </c>
      <c r="AB2266" t="s">
        <v>1278</v>
      </c>
      <c r="AC2266" t="s">
        <v>6514</v>
      </c>
      <c r="AD2266" t="s">
        <v>2708</v>
      </c>
      <c r="AE2266">
        <v>1</v>
      </c>
      <c r="AO2266" t="s">
        <v>2547</v>
      </c>
      <c r="AP2266" t="s">
        <v>2401</v>
      </c>
    </row>
    <row r="2267" spans="1:42">
      <c r="A2267" t="s">
        <v>6515</v>
      </c>
      <c r="B2267" t="s">
        <v>2389</v>
      </c>
      <c r="C2267" t="s">
        <v>2390</v>
      </c>
      <c r="D2267" t="s">
        <v>2379</v>
      </c>
      <c r="E2267" t="s">
        <v>25</v>
      </c>
      <c r="F2267" t="s">
        <v>2541</v>
      </c>
      <c r="G2267" t="s">
        <v>25</v>
      </c>
      <c r="H2267" t="b">
        <v>1</v>
      </c>
      <c r="I2267" s="8">
        <v>45952.415601851855</v>
      </c>
      <c r="J2267" t="s">
        <v>2380</v>
      </c>
      <c r="K2267">
        <v>1203900</v>
      </c>
      <c r="L2267">
        <v>608626</v>
      </c>
      <c r="M2267" t="s">
        <v>2381</v>
      </c>
      <c r="N2267">
        <v>5</v>
      </c>
      <c r="P2267" t="s">
        <v>2427</v>
      </c>
      <c r="Q2267" t="s">
        <v>2383</v>
      </c>
      <c r="R2267">
        <v>1</v>
      </c>
      <c r="S2267" t="s">
        <v>2380</v>
      </c>
      <c r="T2267" t="s">
        <v>2383</v>
      </c>
      <c r="U2267" s="8">
        <v>45947.482245370367</v>
      </c>
      <c r="V2267" s="8">
        <v>45952.958333333336</v>
      </c>
      <c r="W2267">
        <v>1</v>
      </c>
      <c r="X2267">
        <v>2.9333564810000001</v>
      </c>
      <c r="Y2267" t="s">
        <v>2542</v>
      </c>
      <c r="Z2267" t="s">
        <v>6516</v>
      </c>
      <c r="AA2267" t="s">
        <v>2551</v>
      </c>
      <c r="AB2267" t="s">
        <v>1278</v>
      </c>
      <c r="AC2267" t="s">
        <v>6517</v>
      </c>
      <c r="AD2267" t="s">
        <v>2708</v>
      </c>
      <c r="AE2267">
        <v>1</v>
      </c>
      <c r="AO2267" t="s">
        <v>2547</v>
      </c>
      <c r="AP2267" t="s">
        <v>2401</v>
      </c>
    </row>
    <row r="2268" spans="1:42">
      <c r="A2268" t="s">
        <v>6518</v>
      </c>
      <c r="B2268" t="s">
        <v>2389</v>
      </c>
      <c r="C2268" t="s">
        <v>2390</v>
      </c>
      <c r="D2268" t="s">
        <v>2379</v>
      </c>
      <c r="E2268" t="s">
        <v>25</v>
      </c>
      <c r="F2268" t="s">
        <v>2541</v>
      </c>
      <c r="G2268" t="s">
        <v>25</v>
      </c>
      <c r="H2268" t="b">
        <v>1</v>
      </c>
      <c r="I2268" s="8">
        <v>45951.668414351851</v>
      </c>
      <c r="J2268" t="s">
        <v>2380</v>
      </c>
      <c r="K2268">
        <v>1203881</v>
      </c>
      <c r="L2268">
        <v>608626</v>
      </c>
      <c r="M2268" t="s">
        <v>2381</v>
      </c>
      <c r="N2268">
        <v>5</v>
      </c>
      <c r="P2268" t="s">
        <v>2427</v>
      </c>
      <c r="Q2268" t="s">
        <v>2383</v>
      </c>
      <c r="R2268">
        <v>1</v>
      </c>
      <c r="S2268" t="s">
        <v>2380</v>
      </c>
      <c r="T2268" t="s">
        <v>2383</v>
      </c>
      <c r="U2268" s="8">
        <v>45947.482361111113</v>
      </c>
      <c r="V2268" s="8">
        <v>45952.958333333336</v>
      </c>
      <c r="W2268">
        <v>1</v>
      </c>
      <c r="X2268">
        <v>2.1860532410000002</v>
      </c>
      <c r="Y2268" t="s">
        <v>2542</v>
      </c>
      <c r="Z2268" t="s">
        <v>6519</v>
      </c>
      <c r="AA2268" t="s">
        <v>2551</v>
      </c>
      <c r="AB2268" t="s">
        <v>1278</v>
      </c>
      <c r="AC2268" t="s">
        <v>6520</v>
      </c>
      <c r="AD2268" t="s">
        <v>2708</v>
      </c>
      <c r="AE2268">
        <v>1</v>
      </c>
      <c r="AO2268" t="s">
        <v>2547</v>
      </c>
      <c r="AP2268" t="s">
        <v>2401</v>
      </c>
    </row>
    <row r="2269" spans="1:42">
      <c r="A2269" t="s">
        <v>6521</v>
      </c>
      <c r="B2269" t="s">
        <v>2389</v>
      </c>
      <c r="C2269" t="s">
        <v>2390</v>
      </c>
      <c r="D2269" t="s">
        <v>2379</v>
      </c>
      <c r="E2269" t="s">
        <v>25</v>
      </c>
      <c r="F2269" t="s">
        <v>2541</v>
      </c>
      <c r="G2269" t="s">
        <v>25</v>
      </c>
      <c r="H2269" t="b">
        <v>1</v>
      </c>
      <c r="I2269" s="8">
        <v>45952.428530092591</v>
      </c>
      <c r="J2269" t="s">
        <v>2380</v>
      </c>
      <c r="K2269">
        <v>1203906</v>
      </c>
      <c r="L2269">
        <v>608626</v>
      </c>
      <c r="M2269" t="s">
        <v>2381</v>
      </c>
      <c r="N2269">
        <v>5</v>
      </c>
      <c r="P2269" t="s">
        <v>2427</v>
      </c>
      <c r="Q2269" t="s">
        <v>2383</v>
      </c>
      <c r="R2269">
        <v>1</v>
      </c>
      <c r="S2269" t="s">
        <v>2380</v>
      </c>
      <c r="T2269" t="s">
        <v>2383</v>
      </c>
      <c r="U2269" s="8">
        <v>45947.48300925926</v>
      </c>
      <c r="V2269" s="8">
        <v>45952.958333333336</v>
      </c>
      <c r="W2269">
        <v>1</v>
      </c>
      <c r="X2269">
        <v>2.9455208329999998</v>
      </c>
      <c r="Y2269" t="s">
        <v>2542</v>
      </c>
      <c r="Z2269" t="s">
        <v>6522</v>
      </c>
      <c r="AA2269" t="s">
        <v>2551</v>
      </c>
      <c r="AB2269" t="s">
        <v>1278</v>
      </c>
      <c r="AC2269" t="s">
        <v>6523</v>
      </c>
      <c r="AD2269" t="s">
        <v>2708</v>
      </c>
      <c r="AE2269">
        <v>1</v>
      </c>
      <c r="AO2269" t="s">
        <v>2547</v>
      </c>
      <c r="AP2269" t="s">
        <v>2401</v>
      </c>
    </row>
    <row r="2270" spans="1:42">
      <c r="A2270" t="s">
        <v>9290</v>
      </c>
      <c r="B2270" t="s">
        <v>2389</v>
      </c>
      <c r="C2270" t="s">
        <v>2378</v>
      </c>
      <c r="D2270" t="s">
        <v>2379</v>
      </c>
      <c r="E2270" t="s">
        <v>25</v>
      </c>
      <c r="F2270" t="s">
        <v>2541</v>
      </c>
      <c r="G2270" t="s">
        <v>25</v>
      </c>
      <c r="H2270" t="b">
        <v>1</v>
      </c>
      <c r="I2270" s="8">
        <v>45952.553425925929</v>
      </c>
      <c r="J2270" t="s">
        <v>2380</v>
      </c>
      <c r="K2270">
        <v>1203898</v>
      </c>
      <c r="L2270">
        <v>608639</v>
      </c>
      <c r="M2270" t="s">
        <v>2381</v>
      </c>
      <c r="N2270">
        <v>5</v>
      </c>
      <c r="P2270" t="s">
        <v>2427</v>
      </c>
      <c r="Q2270" t="s">
        <v>2383</v>
      </c>
      <c r="R2270">
        <v>1</v>
      </c>
      <c r="S2270" t="s">
        <v>2380</v>
      </c>
      <c r="T2270" t="s">
        <v>2383</v>
      </c>
      <c r="U2270" s="8">
        <v>45947.48300925926</v>
      </c>
      <c r="V2270" s="8">
        <v>45952.958333333336</v>
      </c>
      <c r="W2270">
        <v>1</v>
      </c>
      <c r="X2270">
        <v>3.0704166669999999</v>
      </c>
      <c r="Y2270" t="s">
        <v>2542</v>
      </c>
      <c r="Z2270" t="s">
        <v>9291</v>
      </c>
      <c r="AA2270" t="s">
        <v>5741</v>
      </c>
      <c r="AB2270" t="s">
        <v>1278</v>
      </c>
      <c r="AC2270" t="s">
        <v>9292</v>
      </c>
      <c r="AD2270" t="s">
        <v>2708</v>
      </c>
      <c r="AE2270">
        <v>1</v>
      </c>
      <c r="AH2270" t="s">
        <v>2723</v>
      </c>
      <c r="AI2270" s="8">
        <v>45952.421898148146</v>
      </c>
      <c r="AK2270" t="s">
        <v>2719</v>
      </c>
      <c r="AL2270" t="s">
        <v>2724</v>
      </c>
      <c r="AO2270" t="s">
        <v>2547</v>
      </c>
      <c r="AP2270" t="s">
        <v>2401</v>
      </c>
    </row>
    <row r="2271" spans="1:42">
      <c r="A2271" t="s">
        <v>6524</v>
      </c>
      <c r="B2271" t="s">
        <v>2389</v>
      </c>
      <c r="C2271" t="s">
        <v>2390</v>
      </c>
      <c r="D2271" t="s">
        <v>2379</v>
      </c>
      <c r="E2271" t="s">
        <v>25</v>
      </c>
      <c r="F2271" t="s">
        <v>2541</v>
      </c>
      <c r="G2271" t="s">
        <v>25</v>
      </c>
      <c r="H2271" t="b">
        <v>1</v>
      </c>
      <c r="I2271" s="8">
        <v>45952.417766203704</v>
      </c>
      <c r="J2271" t="s">
        <v>2380</v>
      </c>
      <c r="K2271">
        <v>1203902</v>
      </c>
      <c r="L2271">
        <v>608626</v>
      </c>
      <c r="M2271" t="s">
        <v>2381</v>
      </c>
      <c r="N2271">
        <v>5</v>
      </c>
      <c r="P2271" t="s">
        <v>2427</v>
      </c>
      <c r="Q2271" t="s">
        <v>2383</v>
      </c>
      <c r="R2271">
        <v>1</v>
      </c>
      <c r="S2271" t="s">
        <v>2380</v>
      </c>
      <c r="T2271" t="s">
        <v>2383</v>
      </c>
      <c r="U2271" s="8">
        <v>45947.483796296299</v>
      </c>
      <c r="V2271" s="8">
        <v>45952.958333333336</v>
      </c>
      <c r="W2271">
        <v>1</v>
      </c>
      <c r="X2271">
        <v>2.9339699069999998</v>
      </c>
      <c r="Y2271" t="s">
        <v>2542</v>
      </c>
      <c r="Z2271" t="s">
        <v>6525</v>
      </c>
      <c r="AA2271" t="s">
        <v>2551</v>
      </c>
      <c r="AB2271" t="s">
        <v>1278</v>
      </c>
      <c r="AC2271" t="s">
        <v>6526</v>
      </c>
      <c r="AD2271" t="s">
        <v>2708</v>
      </c>
      <c r="AE2271">
        <v>1</v>
      </c>
      <c r="AO2271" t="s">
        <v>2547</v>
      </c>
      <c r="AP2271" t="s">
        <v>2401</v>
      </c>
    </row>
    <row r="2272" spans="1:42">
      <c r="A2272" t="s">
        <v>6527</v>
      </c>
      <c r="B2272" t="s">
        <v>2389</v>
      </c>
      <c r="C2272" t="s">
        <v>2390</v>
      </c>
      <c r="D2272" t="s">
        <v>2379</v>
      </c>
      <c r="E2272" t="s">
        <v>25</v>
      </c>
      <c r="F2272" t="s">
        <v>2541</v>
      </c>
      <c r="G2272" t="s">
        <v>25</v>
      </c>
      <c r="H2272" t="b">
        <v>1</v>
      </c>
      <c r="I2272" s="8">
        <v>45952.421273148146</v>
      </c>
      <c r="J2272" t="s">
        <v>2380</v>
      </c>
      <c r="K2272">
        <v>1203903</v>
      </c>
      <c r="L2272">
        <v>608626</v>
      </c>
      <c r="M2272" t="s">
        <v>2381</v>
      </c>
      <c r="N2272">
        <v>5</v>
      </c>
      <c r="P2272" t="s">
        <v>2427</v>
      </c>
      <c r="Q2272" t="s">
        <v>2383</v>
      </c>
      <c r="R2272">
        <v>1</v>
      </c>
      <c r="S2272" t="s">
        <v>2380</v>
      </c>
      <c r="T2272" t="s">
        <v>2383</v>
      </c>
      <c r="U2272" s="8">
        <v>45947.483796296299</v>
      </c>
      <c r="V2272" s="8">
        <v>45952.958333333336</v>
      </c>
      <c r="W2272">
        <v>1</v>
      </c>
      <c r="X2272">
        <v>2.9374768520000001</v>
      </c>
      <c r="Y2272" t="s">
        <v>2542</v>
      </c>
      <c r="Z2272" t="s">
        <v>6528</v>
      </c>
      <c r="AA2272" t="s">
        <v>2551</v>
      </c>
      <c r="AB2272" t="s">
        <v>1278</v>
      </c>
      <c r="AC2272" t="s">
        <v>6529</v>
      </c>
      <c r="AD2272" t="s">
        <v>2708</v>
      </c>
      <c r="AE2272">
        <v>1</v>
      </c>
      <c r="AO2272" t="s">
        <v>2547</v>
      </c>
      <c r="AP2272" t="s">
        <v>2401</v>
      </c>
    </row>
    <row r="2273" spans="1:42">
      <c r="A2273" t="s">
        <v>6530</v>
      </c>
      <c r="B2273" t="s">
        <v>2389</v>
      </c>
      <c r="C2273" t="s">
        <v>2390</v>
      </c>
      <c r="D2273" t="s">
        <v>2379</v>
      </c>
      <c r="E2273" t="s">
        <v>25</v>
      </c>
      <c r="F2273" t="s">
        <v>2541</v>
      </c>
      <c r="G2273" t="s">
        <v>25</v>
      </c>
      <c r="H2273" t="b">
        <v>1</v>
      </c>
      <c r="I2273" s="8">
        <v>45952.430810185186</v>
      </c>
      <c r="J2273" t="s">
        <v>2380</v>
      </c>
      <c r="K2273">
        <v>1203907</v>
      </c>
      <c r="L2273">
        <v>608626</v>
      </c>
      <c r="M2273" t="s">
        <v>2381</v>
      </c>
      <c r="N2273">
        <v>5</v>
      </c>
      <c r="P2273" t="s">
        <v>2427</v>
      </c>
      <c r="Q2273" t="s">
        <v>2383</v>
      </c>
      <c r="R2273">
        <v>1</v>
      </c>
      <c r="S2273" t="s">
        <v>2380</v>
      </c>
      <c r="T2273" t="s">
        <v>2383</v>
      </c>
      <c r="U2273" s="8">
        <v>45947.484398148146</v>
      </c>
      <c r="V2273" s="8">
        <v>45952.958333333336</v>
      </c>
      <c r="W2273">
        <v>1</v>
      </c>
      <c r="X2273">
        <v>2.946412037</v>
      </c>
      <c r="Y2273" t="s">
        <v>2542</v>
      </c>
      <c r="Z2273" t="s">
        <v>6531</v>
      </c>
      <c r="AA2273" t="s">
        <v>2551</v>
      </c>
      <c r="AB2273" t="s">
        <v>1278</v>
      </c>
      <c r="AC2273" t="s">
        <v>6532</v>
      </c>
      <c r="AD2273" t="s">
        <v>2708</v>
      </c>
      <c r="AE2273">
        <v>1</v>
      </c>
      <c r="AO2273" t="s">
        <v>2547</v>
      </c>
      <c r="AP2273" t="s">
        <v>2401</v>
      </c>
    </row>
    <row r="2274" spans="1:42">
      <c r="A2274" t="s">
        <v>6533</v>
      </c>
      <c r="B2274" t="s">
        <v>2389</v>
      </c>
      <c r="C2274" t="s">
        <v>2390</v>
      </c>
      <c r="D2274" t="s">
        <v>2379</v>
      </c>
      <c r="E2274" t="s">
        <v>25</v>
      </c>
      <c r="F2274" t="s">
        <v>2541</v>
      </c>
      <c r="G2274" t="s">
        <v>25</v>
      </c>
      <c r="H2274" t="b">
        <v>1</v>
      </c>
      <c r="I2274" s="8">
        <v>45952.426493055558</v>
      </c>
      <c r="J2274" t="s">
        <v>2380</v>
      </c>
      <c r="K2274">
        <v>1203905</v>
      </c>
      <c r="L2274">
        <v>608626</v>
      </c>
      <c r="M2274" t="s">
        <v>2381</v>
      </c>
      <c r="N2274">
        <v>5</v>
      </c>
      <c r="P2274" t="s">
        <v>2427</v>
      </c>
      <c r="Q2274" t="s">
        <v>2383</v>
      </c>
      <c r="R2274">
        <v>1</v>
      </c>
      <c r="S2274" t="s">
        <v>2380</v>
      </c>
      <c r="T2274" t="s">
        <v>2383</v>
      </c>
      <c r="U2274" s="8">
        <v>45947.484479166669</v>
      </c>
      <c r="V2274" s="8">
        <v>45952.958333333336</v>
      </c>
      <c r="W2274">
        <v>1</v>
      </c>
      <c r="X2274">
        <v>2.942013889</v>
      </c>
      <c r="Y2274" t="s">
        <v>2542</v>
      </c>
      <c r="Z2274" t="s">
        <v>6534</v>
      </c>
      <c r="AA2274" t="s">
        <v>2551</v>
      </c>
      <c r="AB2274" t="s">
        <v>1278</v>
      </c>
      <c r="AC2274" t="s">
        <v>6535</v>
      </c>
      <c r="AD2274" t="s">
        <v>2708</v>
      </c>
      <c r="AE2274">
        <v>1</v>
      </c>
      <c r="AO2274" t="s">
        <v>2547</v>
      </c>
      <c r="AP2274" t="s">
        <v>2401</v>
      </c>
    </row>
    <row r="2275" spans="1:42">
      <c r="A2275" t="s">
        <v>8153</v>
      </c>
      <c r="B2275" t="s">
        <v>2389</v>
      </c>
      <c r="C2275" t="s">
        <v>2415</v>
      </c>
      <c r="D2275" t="s">
        <v>2379</v>
      </c>
      <c r="E2275" t="s">
        <v>33</v>
      </c>
      <c r="F2275">
        <v>6347</v>
      </c>
      <c r="G2275" t="s">
        <v>33</v>
      </c>
      <c r="H2275" t="b">
        <v>1</v>
      </c>
      <c r="I2275" s="8">
        <v>45951.458148148151</v>
      </c>
      <c r="J2275" t="s">
        <v>2380</v>
      </c>
      <c r="K2275">
        <v>1203739</v>
      </c>
      <c r="L2275">
        <v>604402</v>
      </c>
      <c r="M2275" t="s">
        <v>2381</v>
      </c>
      <c r="P2275" t="s">
        <v>2394</v>
      </c>
      <c r="Q2275" t="s">
        <v>2395</v>
      </c>
      <c r="R2275">
        <v>1</v>
      </c>
      <c r="S2275" t="s">
        <v>2380</v>
      </c>
      <c r="T2275" t="s">
        <v>2383</v>
      </c>
      <c r="U2275" s="8">
        <v>45947.487881944442</v>
      </c>
      <c r="V2275" s="8">
        <v>45952.958333333336</v>
      </c>
      <c r="W2275">
        <v>1</v>
      </c>
      <c r="X2275">
        <v>1.9702662040000001</v>
      </c>
      <c r="Y2275" t="s">
        <v>8152</v>
      </c>
      <c r="Z2275" t="s">
        <v>8154</v>
      </c>
      <c r="AA2275" t="s">
        <v>8155</v>
      </c>
      <c r="AB2275" t="s">
        <v>1278</v>
      </c>
      <c r="AC2275" t="s">
        <v>8156</v>
      </c>
      <c r="AD2275" t="s">
        <v>2708</v>
      </c>
      <c r="AE2275">
        <v>1</v>
      </c>
      <c r="AO2275" t="s">
        <v>4137</v>
      </c>
      <c r="AP2275" t="s">
        <v>2401</v>
      </c>
    </row>
    <row r="2276" spans="1:42">
      <c r="A2276" t="s">
        <v>8157</v>
      </c>
      <c r="B2276" t="s">
        <v>2389</v>
      </c>
      <c r="C2276" t="s">
        <v>2415</v>
      </c>
      <c r="D2276" t="s">
        <v>2379</v>
      </c>
      <c r="E2276" t="s">
        <v>33</v>
      </c>
      <c r="F2276">
        <v>6347</v>
      </c>
      <c r="G2276" t="s">
        <v>33</v>
      </c>
      <c r="H2276" t="b">
        <v>1</v>
      </c>
      <c r="I2276" s="8">
        <v>45951.456875000003</v>
      </c>
      <c r="J2276" t="s">
        <v>2380</v>
      </c>
      <c r="K2276">
        <v>1203735</v>
      </c>
      <c r="L2276">
        <v>604402</v>
      </c>
      <c r="M2276" t="s">
        <v>2381</v>
      </c>
      <c r="P2276" t="s">
        <v>2394</v>
      </c>
      <c r="Q2276" t="s">
        <v>2395</v>
      </c>
      <c r="R2276">
        <v>1</v>
      </c>
      <c r="S2276" t="s">
        <v>2380</v>
      </c>
      <c r="T2276" t="s">
        <v>2383</v>
      </c>
      <c r="U2276" s="8">
        <v>45947.488645833335</v>
      </c>
      <c r="V2276" s="8">
        <v>45952.958333333336</v>
      </c>
      <c r="W2276">
        <v>1</v>
      </c>
      <c r="X2276">
        <v>1.9682291670000001</v>
      </c>
      <c r="Y2276" t="s">
        <v>8152</v>
      </c>
      <c r="Z2276" t="s">
        <v>8158</v>
      </c>
      <c r="AA2276" t="s">
        <v>8155</v>
      </c>
      <c r="AB2276" t="s">
        <v>1278</v>
      </c>
      <c r="AC2276" t="s">
        <v>8159</v>
      </c>
      <c r="AD2276" t="s">
        <v>2708</v>
      </c>
      <c r="AE2276">
        <v>1</v>
      </c>
      <c r="AO2276" t="s">
        <v>4137</v>
      </c>
      <c r="AP2276" t="s">
        <v>2401</v>
      </c>
    </row>
    <row r="2277" spans="1:42">
      <c r="A2277" t="s">
        <v>8122</v>
      </c>
      <c r="B2277" t="s">
        <v>2389</v>
      </c>
      <c r="C2277" t="s">
        <v>2390</v>
      </c>
      <c r="D2277" t="s">
        <v>2379</v>
      </c>
      <c r="E2277" t="s">
        <v>33</v>
      </c>
      <c r="F2277">
        <v>4227</v>
      </c>
      <c r="G2277" t="s">
        <v>33</v>
      </c>
      <c r="H2277" t="b">
        <v>1</v>
      </c>
      <c r="I2277" s="8">
        <v>45951.514444444445</v>
      </c>
      <c r="J2277" t="s">
        <v>2380</v>
      </c>
      <c r="K2277">
        <v>1203791</v>
      </c>
      <c r="L2277">
        <v>604477</v>
      </c>
      <c r="M2277" t="s">
        <v>2381</v>
      </c>
      <c r="P2277" t="s">
        <v>2394</v>
      </c>
      <c r="Q2277" t="s">
        <v>2395</v>
      </c>
      <c r="R2277">
        <v>1</v>
      </c>
      <c r="S2277" t="s">
        <v>2380</v>
      </c>
      <c r="T2277" t="s">
        <v>2383</v>
      </c>
      <c r="U2277" s="8">
        <v>45947.49</v>
      </c>
      <c r="V2277" s="8">
        <v>45952.958333333336</v>
      </c>
      <c r="W2277">
        <v>1</v>
      </c>
      <c r="X2277">
        <v>2.0244444439999998</v>
      </c>
      <c r="Y2277" t="s">
        <v>4558</v>
      </c>
      <c r="Z2277" t="s">
        <v>8123</v>
      </c>
      <c r="AA2277" t="s">
        <v>8120</v>
      </c>
      <c r="AB2277" t="s">
        <v>1278</v>
      </c>
      <c r="AC2277" t="s">
        <v>8124</v>
      </c>
      <c r="AD2277" t="s">
        <v>2708</v>
      </c>
      <c r="AE2277">
        <v>1</v>
      </c>
      <c r="AO2277" t="s">
        <v>4137</v>
      </c>
      <c r="AP2277" t="s">
        <v>2401</v>
      </c>
    </row>
    <row r="2278" spans="1:42">
      <c r="A2278" t="s">
        <v>8160</v>
      </c>
      <c r="B2278" t="s">
        <v>2389</v>
      </c>
      <c r="C2278" t="s">
        <v>2415</v>
      </c>
      <c r="D2278" t="s">
        <v>2379</v>
      </c>
      <c r="E2278" t="s">
        <v>33</v>
      </c>
      <c r="F2278">
        <v>6347</v>
      </c>
      <c r="G2278" t="s">
        <v>33</v>
      </c>
      <c r="H2278" t="b">
        <v>1</v>
      </c>
      <c r="I2278" s="8">
        <v>45951.46234953704</v>
      </c>
      <c r="J2278" t="s">
        <v>2380</v>
      </c>
      <c r="K2278">
        <v>1203745</v>
      </c>
      <c r="L2278">
        <v>604402</v>
      </c>
      <c r="M2278" t="s">
        <v>2381</v>
      </c>
      <c r="P2278" t="s">
        <v>2394</v>
      </c>
      <c r="Q2278" t="s">
        <v>2395</v>
      </c>
      <c r="R2278">
        <v>1</v>
      </c>
      <c r="S2278" t="s">
        <v>2380</v>
      </c>
      <c r="T2278" t="s">
        <v>2383</v>
      </c>
      <c r="U2278" s="8">
        <v>45947.490706018521</v>
      </c>
      <c r="V2278" s="8">
        <v>45952.958333333336</v>
      </c>
      <c r="W2278">
        <v>1</v>
      </c>
      <c r="X2278">
        <v>1.9716435189999999</v>
      </c>
      <c r="Y2278" t="s">
        <v>8152</v>
      </c>
      <c r="Z2278" t="s">
        <v>8161</v>
      </c>
      <c r="AA2278" t="s">
        <v>8155</v>
      </c>
      <c r="AB2278" t="s">
        <v>1278</v>
      </c>
      <c r="AC2278" t="s">
        <v>8162</v>
      </c>
      <c r="AD2278" t="s">
        <v>2708</v>
      </c>
      <c r="AE2278">
        <v>1</v>
      </c>
      <c r="AO2278" t="s">
        <v>4137</v>
      </c>
      <c r="AP2278" t="s">
        <v>2401</v>
      </c>
    </row>
    <row r="2279" spans="1:42">
      <c r="A2279" t="s">
        <v>8163</v>
      </c>
      <c r="B2279" t="s">
        <v>2389</v>
      </c>
      <c r="C2279" t="s">
        <v>2415</v>
      </c>
      <c r="D2279" t="s">
        <v>2379</v>
      </c>
      <c r="E2279" t="s">
        <v>33</v>
      </c>
      <c r="F2279">
        <v>6347</v>
      </c>
      <c r="G2279" t="s">
        <v>33</v>
      </c>
      <c r="H2279" t="b">
        <v>1</v>
      </c>
      <c r="I2279" s="8">
        <v>45951.436273148145</v>
      </c>
      <c r="J2279" t="s">
        <v>2380</v>
      </c>
      <c r="K2279">
        <v>1203727</v>
      </c>
      <c r="L2279">
        <v>604402</v>
      </c>
      <c r="M2279" t="s">
        <v>2381</v>
      </c>
      <c r="P2279" t="s">
        <v>2394</v>
      </c>
      <c r="Q2279" t="s">
        <v>2395</v>
      </c>
      <c r="R2279">
        <v>1</v>
      </c>
      <c r="S2279" t="s">
        <v>2380</v>
      </c>
      <c r="T2279" t="s">
        <v>2383</v>
      </c>
      <c r="U2279" s="8">
        <v>45947.491400462961</v>
      </c>
      <c r="V2279" s="8">
        <v>45952.958333333336</v>
      </c>
      <c r="W2279">
        <v>1</v>
      </c>
      <c r="X2279">
        <v>1.944872685</v>
      </c>
      <c r="Y2279" t="s">
        <v>8152</v>
      </c>
      <c r="Z2279" t="s">
        <v>8164</v>
      </c>
      <c r="AA2279" t="s">
        <v>8155</v>
      </c>
      <c r="AB2279" t="s">
        <v>1278</v>
      </c>
      <c r="AC2279" t="s">
        <v>8165</v>
      </c>
      <c r="AD2279" t="s">
        <v>2708</v>
      </c>
      <c r="AE2279">
        <v>1</v>
      </c>
      <c r="AO2279" t="s">
        <v>4137</v>
      </c>
      <c r="AP2279" t="s">
        <v>2401</v>
      </c>
    </row>
    <row r="2280" spans="1:42">
      <c r="A2280" t="s">
        <v>10355</v>
      </c>
      <c r="B2280" t="s">
        <v>2389</v>
      </c>
      <c r="C2280" t="s">
        <v>2378</v>
      </c>
      <c r="D2280" t="s">
        <v>2379</v>
      </c>
      <c r="E2280" t="s">
        <v>2452</v>
      </c>
      <c r="F2280" t="s">
        <v>4897</v>
      </c>
      <c r="G2280" t="s">
        <v>2452</v>
      </c>
      <c r="H2280" t="b">
        <v>1</v>
      </c>
      <c r="I2280" s="8">
        <v>45952.564085648148</v>
      </c>
      <c r="J2280" t="s">
        <v>2380</v>
      </c>
      <c r="L2280">
        <v>606967</v>
      </c>
      <c r="M2280" t="s">
        <v>2381</v>
      </c>
      <c r="P2280" t="s">
        <v>2394</v>
      </c>
      <c r="Q2280" t="s">
        <v>2383</v>
      </c>
      <c r="R2280">
        <v>1</v>
      </c>
      <c r="S2280" t="s">
        <v>2380</v>
      </c>
      <c r="T2280" t="s">
        <v>2383</v>
      </c>
      <c r="U2280" s="8">
        <v>45947.492129629631</v>
      </c>
      <c r="V2280" s="8">
        <v>45952.958333333336</v>
      </c>
      <c r="W2280">
        <v>1</v>
      </c>
      <c r="X2280">
        <v>3.0719560189999999</v>
      </c>
      <c r="Y2280" t="s">
        <v>4898</v>
      </c>
      <c r="Z2280" t="s">
        <v>10356</v>
      </c>
      <c r="AA2280" t="s">
        <v>5069</v>
      </c>
      <c r="AB2280" t="s">
        <v>1278</v>
      </c>
      <c r="AC2280" t="s">
        <v>10357</v>
      </c>
      <c r="AE2280">
        <v>1</v>
      </c>
      <c r="AO2280" t="s">
        <v>2715</v>
      </c>
      <c r="AP2280" t="s">
        <v>2401</v>
      </c>
    </row>
    <row r="2281" spans="1:42">
      <c r="A2281" t="s">
        <v>8166</v>
      </c>
      <c r="B2281" t="s">
        <v>2389</v>
      </c>
      <c r="C2281" t="s">
        <v>2415</v>
      </c>
      <c r="D2281" t="s">
        <v>2379</v>
      </c>
      <c r="E2281" t="s">
        <v>33</v>
      </c>
      <c r="F2281">
        <v>6347</v>
      </c>
      <c r="G2281" t="s">
        <v>33</v>
      </c>
      <c r="H2281" t="b">
        <v>1</v>
      </c>
      <c r="I2281" s="8">
        <v>45951.4608912037</v>
      </c>
      <c r="J2281" t="s">
        <v>2380</v>
      </c>
      <c r="K2281">
        <v>1203743</v>
      </c>
      <c r="L2281">
        <v>604402</v>
      </c>
      <c r="M2281" t="s">
        <v>2381</v>
      </c>
      <c r="P2281" t="s">
        <v>2394</v>
      </c>
      <c r="Q2281" t="s">
        <v>2395</v>
      </c>
      <c r="R2281">
        <v>1</v>
      </c>
      <c r="S2281" t="s">
        <v>2380</v>
      </c>
      <c r="T2281" t="s">
        <v>2383</v>
      </c>
      <c r="U2281" s="8">
        <v>45947.492789351854</v>
      </c>
      <c r="V2281" s="8">
        <v>45952.958333333336</v>
      </c>
      <c r="W2281">
        <v>1</v>
      </c>
      <c r="X2281">
        <v>1.968101852</v>
      </c>
      <c r="Y2281" t="s">
        <v>8152</v>
      </c>
      <c r="Z2281" t="s">
        <v>8167</v>
      </c>
      <c r="AA2281" t="s">
        <v>8155</v>
      </c>
      <c r="AB2281" t="s">
        <v>1278</v>
      </c>
      <c r="AC2281" t="s">
        <v>8168</v>
      </c>
      <c r="AD2281" t="s">
        <v>2708</v>
      </c>
      <c r="AE2281">
        <v>1</v>
      </c>
      <c r="AO2281" t="s">
        <v>4137</v>
      </c>
      <c r="AP2281" t="s">
        <v>2401</v>
      </c>
    </row>
    <row r="2282" spans="1:42">
      <c r="A2282" t="s">
        <v>8169</v>
      </c>
      <c r="B2282" t="s">
        <v>2389</v>
      </c>
      <c r="C2282" t="s">
        <v>2415</v>
      </c>
      <c r="D2282" t="s">
        <v>2379</v>
      </c>
      <c r="E2282" t="s">
        <v>33</v>
      </c>
      <c r="F2282">
        <v>6347</v>
      </c>
      <c r="G2282" t="s">
        <v>33</v>
      </c>
      <c r="H2282" t="b">
        <v>1</v>
      </c>
      <c r="I2282" s="8">
        <v>45951.459537037037</v>
      </c>
      <c r="J2282" t="s">
        <v>2380</v>
      </c>
      <c r="K2282">
        <v>1203741</v>
      </c>
      <c r="L2282">
        <v>604402</v>
      </c>
      <c r="M2282" t="s">
        <v>2381</v>
      </c>
      <c r="P2282" t="s">
        <v>2394</v>
      </c>
      <c r="Q2282" t="s">
        <v>2395</v>
      </c>
      <c r="R2282">
        <v>1</v>
      </c>
      <c r="S2282" t="s">
        <v>2380</v>
      </c>
      <c r="T2282" t="s">
        <v>2383</v>
      </c>
      <c r="U2282" s="8">
        <v>45947.494953703703</v>
      </c>
      <c r="V2282" s="8">
        <v>45952.958333333336</v>
      </c>
      <c r="W2282">
        <v>1</v>
      </c>
      <c r="X2282">
        <v>1.964583333</v>
      </c>
      <c r="Y2282" t="s">
        <v>8152</v>
      </c>
      <c r="Z2282" t="s">
        <v>8170</v>
      </c>
      <c r="AA2282" t="s">
        <v>8155</v>
      </c>
      <c r="AB2282" t="s">
        <v>1278</v>
      </c>
      <c r="AC2282" t="s">
        <v>8171</v>
      </c>
      <c r="AD2282" t="s">
        <v>2708</v>
      </c>
      <c r="AE2282">
        <v>1</v>
      </c>
      <c r="AO2282" t="s">
        <v>4137</v>
      </c>
      <c r="AP2282" t="s">
        <v>2401</v>
      </c>
    </row>
    <row r="2283" spans="1:42">
      <c r="A2283" t="s">
        <v>6248</v>
      </c>
      <c r="B2283" t="s">
        <v>2389</v>
      </c>
      <c r="C2283" t="s">
        <v>2443</v>
      </c>
      <c r="D2283" t="s">
        <v>2443</v>
      </c>
      <c r="E2283" t="s">
        <v>25</v>
      </c>
      <c r="F2283" t="s">
        <v>2541</v>
      </c>
      <c r="G2283" t="s">
        <v>25</v>
      </c>
      <c r="H2283" t="b">
        <v>1</v>
      </c>
      <c r="I2283" s="8">
        <v>45954.672256944446</v>
      </c>
      <c r="J2283" t="s">
        <v>2380</v>
      </c>
      <c r="K2283">
        <v>1204592</v>
      </c>
      <c r="L2283">
        <v>608175</v>
      </c>
      <c r="M2283" t="s">
        <v>2381</v>
      </c>
      <c r="N2283">
        <v>5</v>
      </c>
      <c r="P2283" t="s">
        <v>2548</v>
      </c>
      <c r="Q2283" t="s">
        <v>2383</v>
      </c>
      <c r="R2283">
        <v>1</v>
      </c>
      <c r="S2283" t="s">
        <v>2380</v>
      </c>
      <c r="T2283" t="s">
        <v>2383</v>
      </c>
      <c r="U2283" s="8">
        <v>45947.510648148149</v>
      </c>
      <c r="V2283" s="8">
        <v>45952.958333333336</v>
      </c>
      <c r="W2283">
        <v>1</v>
      </c>
      <c r="X2283">
        <v>5.1616087960000003</v>
      </c>
      <c r="Y2283" t="s">
        <v>2542</v>
      </c>
      <c r="Z2283" t="s">
        <v>6249</v>
      </c>
      <c r="AA2283" t="s">
        <v>2545</v>
      </c>
      <c r="AB2283" t="s">
        <v>1278</v>
      </c>
      <c r="AC2283" t="s">
        <v>6250</v>
      </c>
      <c r="AD2283" t="s">
        <v>2708</v>
      </c>
      <c r="AE2283">
        <v>1</v>
      </c>
      <c r="AO2283" t="s">
        <v>2547</v>
      </c>
      <c r="AP2283" t="s">
        <v>2401</v>
      </c>
    </row>
    <row r="2284" spans="1:42">
      <c r="A2284" t="s">
        <v>3809</v>
      </c>
      <c r="B2284" t="s">
        <v>2389</v>
      </c>
      <c r="C2284" t="s">
        <v>2378</v>
      </c>
      <c r="D2284" t="s">
        <v>2379</v>
      </c>
      <c r="E2284" t="s">
        <v>24</v>
      </c>
      <c r="F2284" t="s">
        <v>3747</v>
      </c>
      <c r="G2284" t="s">
        <v>24</v>
      </c>
      <c r="H2284" t="b">
        <v>1</v>
      </c>
      <c r="I2284" s="8">
        <v>45952.673437500001</v>
      </c>
      <c r="J2284" t="s">
        <v>2380</v>
      </c>
      <c r="L2284">
        <v>601861</v>
      </c>
      <c r="M2284" t="s">
        <v>2381</v>
      </c>
      <c r="P2284" t="s">
        <v>2394</v>
      </c>
      <c r="Q2284" t="s">
        <v>2383</v>
      </c>
      <c r="R2284">
        <v>1</v>
      </c>
      <c r="S2284" t="s">
        <v>2380</v>
      </c>
      <c r="T2284" t="s">
        <v>2383</v>
      </c>
      <c r="U2284" s="8">
        <v>45947.529479166667</v>
      </c>
      <c r="V2284" s="8">
        <v>45958.958333333336</v>
      </c>
      <c r="W2284">
        <v>1</v>
      </c>
      <c r="X2284">
        <v>3.143958333</v>
      </c>
      <c r="Y2284" t="s">
        <v>3748</v>
      </c>
      <c r="Z2284" t="s">
        <v>3810</v>
      </c>
      <c r="AA2284" t="s">
        <v>3811</v>
      </c>
      <c r="AB2284" t="s">
        <v>1278</v>
      </c>
      <c r="AC2284" t="s">
        <v>3812</v>
      </c>
      <c r="AE2284">
        <v>1</v>
      </c>
      <c r="AO2284" t="s">
        <v>2712</v>
      </c>
      <c r="AP2284" t="s">
        <v>2401</v>
      </c>
    </row>
    <row r="2285" spans="1:42">
      <c r="A2285" t="s">
        <v>5854</v>
      </c>
      <c r="B2285" t="s">
        <v>2389</v>
      </c>
      <c r="C2285" t="s">
        <v>2438</v>
      </c>
      <c r="D2285" t="s">
        <v>2379</v>
      </c>
      <c r="E2285" t="s">
        <v>307</v>
      </c>
      <c r="F2285" t="s">
        <v>2578</v>
      </c>
      <c r="G2285" t="s">
        <v>307</v>
      </c>
      <c r="H2285" t="b">
        <v>1</v>
      </c>
      <c r="I2285" s="8">
        <v>45947.543564814812</v>
      </c>
      <c r="J2285" t="s">
        <v>2380</v>
      </c>
      <c r="K2285">
        <v>1203200</v>
      </c>
      <c r="L2285">
        <v>601016</v>
      </c>
      <c r="M2285" t="s">
        <v>2381</v>
      </c>
      <c r="Q2285" t="s">
        <v>2383</v>
      </c>
      <c r="R2285">
        <v>1</v>
      </c>
      <c r="S2285" t="s">
        <v>2380</v>
      </c>
      <c r="T2285" t="s">
        <v>2383</v>
      </c>
      <c r="U2285" s="8">
        <v>45947.536770833336</v>
      </c>
      <c r="V2285" s="8">
        <v>45952.958333333336</v>
      </c>
      <c r="W2285">
        <v>1</v>
      </c>
      <c r="X2285">
        <v>6.7939810000000002E-3</v>
      </c>
      <c r="Y2285" t="s">
        <v>2579</v>
      </c>
      <c r="Z2285" t="s">
        <v>5855</v>
      </c>
      <c r="AA2285" t="s">
        <v>5856</v>
      </c>
      <c r="AB2285" t="s">
        <v>1278</v>
      </c>
      <c r="AD2285" t="s">
        <v>2708</v>
      </c>
      <c r="AE2285">
        <v>1</v>
      </c>
      <c r="AO2285" t="s">
        <v>2547</v>
      </c>
      <c r="AP2285" t="s">
        <v>2401</v>
      </c>
    </row>
    <row r="2286" spans="1:42">
      <c r="A2286" t="s">
        <v>9515</v>
      </c>
      <c r="B2286" t="s">
        <v>2389</v>
      </c>
      <c r="C2286" t="s">
        <v>2390</v>
      </c>
      <c r="D2286" t="s">
        <v>2379</v>
      </c>
      <c r="E2286" t="s">
        <v>25</v>
      </c>
      <c r="F2286">
        <v>6343</v>
      </c>
      <c r="G2286" t="s">
        <v>25</v>
      </c>
      <c r="H2286" t="b">
        <v>1</v>
      </c>
      <c r="I2286" s="8">
        <v>45947.637372685182</v>
      </c>
      <c r="J2286" t="s">
        <v>2380</v>
      </c>
      <c r="K2286">
        <v>1203205</v>
      </c>
      <c r="L2286">
        <v>605693</v>
      </c>
      <c r="M2286" t="s">
        <v>2381</v>
      </c>
      <c r="N2286">
        <v>5</v>
      </c>
      <c r="P2286" t="s">
        <v>2394</v>
      </c>
      <c r="Q2286" t="s">
        <v>2383</v>
      </c>
      <c r="R2286">
        <v>1</v>
      </c>
      <c r="S2286" t="s">
        <v>2380</v>
      </c>
      <c r="T2286" t="s">
        <v>2383</v>
      </c>
      <c r="U2286" s="8">
        <v>45945.634386574071</v>
      </c>
      <c r="V2286" s="8">
        <v>45950.958333333336</v>
      </c>
      <c r="W2286">
        <v>1</v>
      </c>
      <c r="X2286">
        <v>2.0029861109999998</v>
      </c>
      <c r="Y2286" t="s">
        <v>2662</v>
      </c>
      <c r="Z2286" t="s">
        <v>9516</v>
      </c>
      <c r="AA2286" t="s">
        <v>8934</v>
      </c>
      <c r="AB2286" t="s">
        <v>1278</v>
      </c>
      <c r="AC2286" t="s">
        <v>9517</v>
      </c>
      <c r="AD2286" t="s">
        <v>2708</v>
      </c>
      <c r="AE2286">
        <v>1</v>
      </c>
      <c r="AH2286" t="s">
        <v>24</v>
      </c>
      <c r="AI2286" s="8">
        <v>45947.609143518515</v>
      </c>
      <c r="AK2286" t="s">
        <v>2719</v>
      </c>
      <c r="AL2286" t="s">
        <v>2719</v>
      </c>
      <c r="AO2286" t="s">
        <v>2388</v>
      </c>
      <c r="AP2286" t="s">
        <v>8931</v>
      </c>
    </row>
    <row r="2287" spans="1:42">
      <c r="A2287" t="s">
        <v>9518</v>
      </c>
      <c r="B2287" t="s">
        <v>2389</v>
      </c>
      <c r="C2287" t="s">
        <v>2390</v>
      </c>
      <c r="D2287" t="s">
        <v>2379</v>
      </c>
      <c r="E2287" t="s">
        <v>25</v>
      </c>
      <c r="F2287">
        <v>6343</v>
      </c>
      <c r="G2287" t="s">
        <v>25</v>
      </c>
      <c r="H2287" t="b">
        <v>1</v>
      </c>
      <c r="I2287" s="8">
        <v>45947.637442129628</v>
      </c>
      <c r="J2287" t="s">
        <v>2380</v>
      </c>
      <c r="K2287">
        <v>1203206</v>
      </c>
      <c r="L2287">
        <v>605693</v>
      </c>
      <c r="M2287" t="s">
        <v>2381</v>
      </c>
      <c r="N2287">
        <v>5</v>
      </c>
      <c r="P2287" t="s">
        <v>2394</v>
      </c>
      <c r="Q2287" t="s">
        <v>2383</v>
      </c>
      <c r="R2287">
        <v>1</v>
      </c>
      <c r="S2287" t="s">
        <v>2380</v>
      </c>
      <c r="T2287" t="s">
        <v>2383</v>
      </c>
      <c r="U2287" s="8">
        <v>45945.634386574071</v>
      </c>
      <c r="V2287" s="8">
        <v>45950.958333333336</v>
      </c>
      <c r="W2287">
        <v>1</v>
      </c>
      <c r="X2287">
        <v>2.0030555560000001</v>
      </c>
      <c r="Y2287" t="s">
        <v>2662</v>
      </c>
      <c r="Z2287" t="s">
        <v>9519</v>
      </c>
      <c r="AA2287" t="s">
        <v>8934</v>
      </c>
      <c r="AB2287" t="s">
        <v>1278</v>
      </c>
      <c r="AC2287" t="s">
        <v>9520</v>
      </c>
      <c r="AD2287" t="s">
        <v>2708</v>
      </c>
      <c r="AE2287">
        <v>1</v>
      </c>
      <c r="AH2287" t="s">
        <v>33</v>
      </c>
      <c r="AI2287" s="8">
        <v>45947.605682870373</v>
      </c>
      <c r="AK2287" t="s">
        <v>2719</v>
      </c>
      <c r="AL2287" t="s">
        <v>2719</v>
      </c>
      <c r="AO2287" t="s">
        <v>2388</v>
      </c>
      <c r="AP2287" t="s">
        <v>8931</v>
      </c>
    </row>
    <row r="2288" spans="1:42">
      <c r="A2288" t="s">
        <v>10172</v>
      </c>
      <c r="B2288" t="s">
        <v>2389</v>
      </c>
      <c r="C2288" t="s">
        <v>2443</v>
      </c>
      <c r="D2288" t="s">
        <v>2443</v>
      </c>
      <c r="E2288" t="s">
        <v>25</v>
      </c>
      <c r="F2288">
        <v>3801</v>
      </c>
      <c r="G2288" t="s">
        <v>25</v>
      </c>
      <c r="H2288" t="b">
        <v>1</v>
      </c>
      <c r="I2288" s="8">
        <v>45959.382465277777</v>
      </c>
      <c r="J2288" t="s">
        <v>2380</v>
      </c>
      <c r="L2288">
        <v>604465</v>
      </c>
      <c r="M2288" t="s">
        <v>2381</v>
      </c>
      <c r="N2288">
        <v>5</v>
      </c>
      <c r="P2288" t="s">
        <v>2548</v>
      </c>
      <c r="Q2288" t="s">
        <v>2395</v>
      </c>
      <c r="R2288">
        <v>1</v>
      </c>
      <c r="S2288" t="s">
        <v>2380</v>
      </c>
      <c r="T2288" t="s">
        <v>2383</v>
      </c>
      <c r="U2288" s="8">
        <v>45947.569965277777</v>
      </c>
      <c r="V2288" s="8">
        <v>45958.958333333336</v>
      </c>
      <c r="W2288">
        <v>1</v>
      </c>
      <c r="X2288">
        <v>7.8125</v>
      </c>
      <c r="Y2288" t="s">
        <v>3318</v>
      </c>
      <c r="Z2288" t="s">
        <v>10173</v>
      </c>
      <c r="AA2288" t="s">
        <v>9148</v>
      </c>
      <c r="AB2288" t="s">
        <v>1278</v>
      </c>
      <c r="AC2288" t="s">
        <v>10174</v>
      </c>
      <c r="AE2288">
        <v>1</v>
      </c>
      <c r="AO2288" t="s">
        <v>4137</v>
      </c>
      <c r="AP2288" t="s">
        <v>2401</v>
      </c>
    </row>
    <row r="2289" spans="1:42">
      <c r="A2289" t="s">
        <v>3876</v>
      </c>
      <c r="B2289" t="s">
        <v>2389</v>
      </c>
      <c r="C2289" t="s">
        <v>2415</v>
      </c>
      <c r="D2289" t="s">
        <v>2379</v>
      </c>
      <c r="E2289" t="s">
        <v>2452</v>
      </c>
      <c r="F2289" t="s">
        <v>3747</v>
      </c>
      <c r="G2289" t="s">
        <v>2452</v>
      </c>
      <c r="H2289" t="b">
        <v>1</v>
      </c>
      <c r="I2289" s="8">
        <v>45951.567071759258</v>
      </c>
      <c r="J2289" t="s">
        <v>2380</v>
      </c>
      <c r="L2289">
        <v>603140</v>
      </c>
      <c r="M2289" t="s">
        <v>2381</v>
      </c>
      <c r="P2289" t="s">
        <v>2394</v>
      </c>
      <c r="Q2289" t="s">
        <v>2383</v>
      </c>
      <c r="R2289">
        <v>1</v>
      </c>
      <c r="S2289" t="s">
        <v>2380</v>
      </c>
      <c r="T2289" t="s">
        <v>2383</v>
      </c>
      <c r="U2289" s="8">
        <v>45947.576574074075</v>
      </c>
      <c r="V2289" s="8">
        <v>45952.958333333336</v>
      </c>
      <c r="W2289">
        <v>1</v>
      </c>
      <c r="X2289">
        <v>1.990497685</v>
      </c>
      <c r="Y2289" t="s">
        <v>3748</v>
      </c>
      <c r="Z2289" t="s">
        <v>3877</v>
      </c>
      <c r="AA2289" t="s">
        <v>3853</v>
      </c>
      <c r="AB2289" t="s">
        <v>1278</v>
      </c>
      <c r="AC2289" t="s">
        <v>3854</v>
      </c>
      <c r="AE2289">
        <v>1</v>
      </c>
      <c r="AO2289" t="s">
        <v>2712</v>
      </c>
      <c r="AP2289" t="s">
        <v>2401</v>
      </c>
    </row>
    <row r="2290" spans="1:42">
      <c r="A2290" t="s">
        <v>5358</v>
      </c>
      <c r="B2290" t="s">
        <v>2389</v>
      </c>
      <c r="C2290" t="s">
        <v>2390</v>
      </c>
      <c r="D2290" t="s">
        <v>2379</v>
      </c>
      <c r="E2290" t="s">
        <v>2452</v>
      </c>
      <c r="F2290" t="s">
        <v>2779</v>
      </c>
      <c r="G2290" t="s">
        <v>2452</v>
      </c>
      <c r="H2290" t="b">
        <v>1</v>
      </c>
      <c r="I2290" s="8">
        <v>45951.584699074076</v>
      </c>
      <c r="J2290" t="s">
        <v>2380</v>
      </c>
      <c r="K2290">
        <v>1203827</v>
      </c>
      <c r="L2290">
        <v>602662</v>
      </c>
      <c r="M2290" t="s">
        <v>2381</v>
      </c>
      <c r="P2290" t="s">
        <v>2394</v>
      </c>
      <c r="Q2290" t="s">
        <v>2383</v>
      </c>
      <c r="R2290">
        <v>1</v>
      </c>
      <c r="S2290" t="s">
        <v>2380</v>
      </c>
      <c r="T2290" t="s">
        <v>2383</v>
      </c>
      <c r="U2290" s="8">
        <v>45947.577314814815</v>
      </c>
      <c r="V2290" s="8">
        <v>45952.958333333336</v>
      </c>
      <c r="W2290">
        <v>1</v>
      </c>
      <c r="X2290">
        <v>2.0073842590000002</v>
      </c>
      <c r="Y2290" t="s">
        <v>1352</v>
      </c>
      <c r="Z2290" t="s">
        <v>5359</v>
      </c>
      <c r="AA2290" t="s">
        <v>5360</v>
      </c>
      <c r="AB2290" t="s">
        <v>1278</v>
      </c>
      <c r="AC2290" t="s">
        <v>5361</v>
      </c>
      <c r="AD2290" t="s">
        <v>2708</v>
      </c>
      <c r="AE2290">
        <v>1</v>
      </c>
      <c r="AO2290" t="s">
        <v>2408</v>
      </c>
      <c r="AP2290" t="s">
        <v>2401</v>
      </c>
    </row>
    <row r="2291" spans="1:42">
      <c r="A2291" t="s">
        <v>3878</v>
      </c>
      <c r="B2291" t="s">
        <v>2389</v>
      </c>
      <c r="C2291" t="s">
        <v>2415</v>
      </c>
      <c r="D2291" t="s">
        <v>2379</v>
      </c>
      <c r="E2291" t="s">
        <v>2452</v>
      </c>
      <c r="F2291" t="s">
        <v>3747</v>
      </c>
      <c r="G2291" t="s">
        <v>2452</v>
      </c>
      <c r="H2291" t="b">
        <v>1</v>
      </c>
      <c r="I2291" s="8">
        <v>45951.569884259261</v>
      </c>
      <c r="J2291" t="s">
        <v>2380</v>
      </c>
      <c r="L2291">
        <v>603140</v>
      </c>
      <c r="M2291" t="s">
        <v>2381</v>
      </c>
      <c r="P2291" t="s">
        <v>2394</v>
      </c>
      <c r="Q2291" t="s">
        <v>2383</v>
      </c>
      <c r="R2291">
        <v>1</v>
      </c>
      <c r="S2291" t="s">
        <v>2380</v>
      </c>
      <c r="T2291" t="s">
        <v>2383</v>
      </c>
      <c r="U2291" s="8">
        <v>45947.589895833335</v>
      </c>
      <c r="V2291" s="8">
        <v>45952.958333333336</v>
      </c>
      <c r="W2291">
        <v>1</v>
      </c>
      <c r="X2291">
        <v>1.979988426</v>
      </c>
      <c r="Y2291" t="s">
        <v>3748</v>
      </c>
      <c r="Z2291" t="s">
        <v>3879</v>
      </c>
      <c r="AA2291" t="s">
        <v>3853</v>
      </c>
      <c r="AB2291" t="s">
        <v>1278</v>
      </c>
      <c r="AC2291" t="s">
        <v>3880</v>
      </c>
      <c r="AE2291">
        <v>1</v>
      </c>
      <c r="AO2291" t="s">
        <v>2712</v>
      </c>
      <c r="AP2291" t="s">
        <v>2401</v>
      </c>
    </row>
    <row r="2292" spans="1:42">
      <c r="A2292" t="s">
        <v>9722</v>
      </c>
      <c r="B2292" t="s">
        <v>2389</v>
      </c>
      <c r="C2292" t="s">
        <v>2390</v>
      </c>
      <c r="D2292" t="s">
        <v>2379</v>
      </c>
      <c r="E2292" t="s">
        <v>28</v>
      </c>
      <c r="F2292" t="s">
        <v>8565</v>
      </c>
      <c r="G2292" t="s">
        <v>28</v>
      </c>
      <c r="H2292" t="b">
        <v>1</v>
      </c>
      <c r="I2292" s="8">
        <v>45952.597824074073</v>
      </c>
      <c r="J2292" t="s">
        <v>2380</v>
      </c>
      <c r="K2292">
        <v>1204019</v>
      </c>
      <c r="L2292">
        <v>603331</v>
      </c>
      <c r="M2292" t="s">
        <v>2381</v>
      </c>
      <c r="N2292">
        <v>15</v>
      </c>
      <c r="P2292" t="s">
        <v>2394</v>
      </c>
      <c r="Q2292" t="s">
        <v>2383</v>
      </c>
      <c r="R2292">
        <v>1</v>
      </c>
      <c r="S2292" t="s">
        <v>2380</v>
      </c>
      <c r="T2292" t="s">
        <v>2383</v>
      </c>
      <c r="U2292" s="8">
        <v>45947.610405092593</v>
      </c>
      <c r="V2292" s="8">
        <v>45952.958333333336</v>
      </c>
      <c r="W2292">
        <v>1</v>
      </c>
      <c r="X2292">
        <v>2.9874189809999998</v>
      </c>
      <c r="Y2292" t="s">
        <v>8566</v>
      </c>
      <c r="Z2292" t="s">
        <v>9723</v>
      </c>
      <c r="AA2292" t="s">
        <v>8569</v>
      </c>
      <c r="AB2292" t="s">
        <v>1278</v>
      </c>
      <c r="AC2292" t="s">
        <v>9724</v>
      </c>
      <c r="AD2292" t="s">
        <v>2708</v>
      </c>
      <c r="AE2292">
        <v>1</v>
      </c>
      <c r="AO2292" t="s">
        <v>3608</v>
      </c>
      <c r="AP2292" t="s">
        <v>2401</v>
      </c>
    </row>
    <row r="2293" spans="1:42">
      <c r="A2293" t="s">
        <v>10345</v>
      </c>
      <c r="B2293" t="s">
        <v>2389</v>
      </c>
      <c r="C2293" t="s">
        <v>2390</v>
      </c>
      <c r="D2293" t="s">
        <v>2379</v>
      </c>
      <c r="E2293" t="s">
        <v>2452</v>
      </c>
      <c r="F2293" t="s">
        <v>4112</v>
      </c>
      <c r="G2293" t="s">
        <v>2452</v>
      </c>
      <c r="H2293" t="b">
        <v>1</v>
      </c>
      <c r="I2293" s="8">
        <v>45952.562395833331</v>
      </c>
      <c r="J2293" t="s">
        <v>2380</v>
      </c>
      <c r="L2293">
        <v>606818</v>
      </c>
      <c r="M2293" t="s">
        <v>2381</v>
      </c>
      <c r="P2293" t="s">
        <v>2394</v>
      </c>
      <c r="Q2293" t="s">
        <v>2383</v>
      </c>
      <c r="R2293">
        <v>1</v>
      </c>
      <c r="S2293" t="s">
        <v>2380</v>
      </c>
      <c r="T2293" t="s">
        <v>2383</v>
      </c>
      <c r="U2293" s="8">
        <v>45947.612557870372</v>
      </c>
      <c r="V2293" s="8">
        <v>45952.958333333336</v>
      </c>
      <c r="W2293">
        <v>1</v>
      </c>
      <c r="X2293">
        <v>2.9498379629999998</v>
      </c>
      <c r="Y2293" t="s">
        <v>3901</v>
      </c>
      <c r="Z2293" t="s">
        <v>10346</v>
      </c>
      <c r="AA2293" t="s">
        <v>10347</v>
      </c>
      <c r="AB2293" t="s">
        <v>1278</v>
      </c>
      <c r="AC2293" t="s">
        <v>10348</v>
      </c>
      <c r="AE2293">
        <v>1</v>
      </c>
      <c r="AO2293" t="s">
        <v>2715</v>
      </c>
      <c r="AP2293" t="s">
        <v>2401</v>
      </c>
    </row>
    <row r="2294" spans="1:42">
      <c r="A2294" t="s">
        <v>6945</v>
      </c>
      <c r="B2294" t="s">
        <v>2389</v>
      </c>
      <c r="C2294" t="s">
        <v>2390</v>
      </c>
      <c r="D2294" t="s">
        <v>2379</v>
      </c>
      <c r="E2294" t="s">
        <v>2452</v>
      </c>
      <c r="F2294" t="s">
        <v>2578</v>
      </c>
      <c r="G2294" t="s">
        <v>2452</v>
      </c>
      <c r="H2294" t="b">
        <v>1</v>
      </c>
      <c r="I2294" s="8">
        <v>45952.556481481479</v>
      </c>
      <c r="J2294" t="s">
        <v>2380</v>
      </c>
      <c r="K2294">
        <v>1203994</v>
      </c>
      <c r="L2294">
        <v>608106</v>
      </c>
      <c r="M2294" t="s">
        <v>2381</v>
      </c>
      <c r="P2294" t="s">
        <v>2394</v>
      </c>
      <c r="Q2294" t="s">
        <v>2383</v>
      </c>
      <c r="R2294">
        <v>1</v>
      </c>
      <c r="S2294" t="s">
        <v>2380</v>
      </c>
      <c r="T2294" t="s">
        <v>2383</v>
      </c>
      <c r="U2294" s="8">
        <v>45947.614027777781</v>
      </c>
      <c r="V2294" s="8">
        <v>45952.958333333336</v>
      </c>
      <c r="W2294">
        <v>1</v>
      </c>
      <c r="X2294">
        <v>2.9424537040000001</v>
      </c>
      <c r="Y2294" t="s">
        <v>2579</v>
      </c>
      <c r="Z2294" t="s">
        <v>6946</v>
      </c>
      <c r="AA2294" t="s">
        <v>6947</v>
      </c>
      <c r="AB2294" t="s">
        <v>1278</v>
      </c>
      <c r="AC2294" t="s">
        <v>6948</v>
      </c>
      <c r="AD2294" t="s">
        <v>2708</v>
      </c>
      <c r="AE2294">
        <v>1</v>
      </c>
      <c r="AO2294" t="s">
        <v>2388</v>
      </c>
      <c r="AP2294" t="s">
        <v>2401</v>
      </c>
    </row>
    <row r="2295" spans="1:42">
      <c r="A2295" t="s">
        <v>7870</v>
      </c>
      <c r="B2295" t="s">
        <v>2389</v>
      </c>
      <c r="C2295" t="s">
        <v>2390</v>
      </c>
      <c r="D2295" t="s">
        <v>2379</v>
      </c>
      <c r="E2295" t="s">
        <v>2416</v>
      </c>
      <c r="F2295" t="s">
        <v>2578</v>
      </c>
      <c r="G2295" t="s">
        <v>2416</v>
      </c>
      <c r="H2295" t="b">
        <v>1</v>
      </c>
      <c r="I2295" s="8">
        <v>45952.457453703704</v>
      </c>
      <c r="J2295" t="s">
        <v>2380</v>
      </c>
      <c r="K2295">
        <v>1203949</v>
      </c>
      <c r="L2295">
        <v>602946</v>
      </c>
      <c r="M2295" t="s">
        <v>2381</v>
      </c>
      <c r="P2295" t="s">
        <v>2427</v>
      </c>
      <c r="Q2295" t="s">
        <v>2383</v>
      </c>
      <c r="R2295">
        <v>1</v>
      </c>
      <c r="S2295" t="s">
        <v>2380</v>
      </c>
      <c r="T2295" t="s">
        <v>2383</v>
      </c>
      <c r="U2295" s="8">
        <v>45947.623379629629</v>
      </c>
      <c r="V2295" s="8">
        <v>45952.958333333336</v>
      </c>
      <c r="W2295">
        <v>1</v>
      </c>
      <c r="X2295">
        <v>2.8340740740000001</v>
      </c>
      <c r="Y2295" t="s">
        <v>2579</v>
      </c>
      <c r="Z2295" t="s">
        <v>7871</v>
      </c>
      <c r="AA2295" t="s">
        <v>7872</v>
      </c>
      <c r="AB2295" t="s">
        <v>1278</v>
      </c>
      <c r="AC2295" t="s">
        <v>7873</v>
      </c>
      <c r="AD2295" t="s">
        <v>2708</v>
      </c>
      <c r="AE2295">
        <v>1</v>
      </c>
      <c r="AO2295" t="s">
        <v>2957</v>
      </c>
      <c r="AP2295" t="s">
        <v>2401</v>
      </c>
    </row>
    <row r="2296" spans="1:42">
      <c r="A2296" t="s">
        <v>9321</v>
      </c>
      <c r="B2296" t="s">
        <v>2389</v>
      </c>
      <c r="C2296" t="s">
        <v>2390</v>
      </c>
      <c r="D2296" t="s">
        <v>2379</v>
      </c>
      <c r="E2296" t="s">
        <v>33</v>
      </c>
      <c r="F2296">
        <v>4256</v>
      </c>
      <c r="G2296" t="s">
        <v>33</v>
      </c>
      <c r="H2296" t="b">
        <v>1</v>
      </c>
      <c r="I2296" s="8">
        <v>45952.413113425922</v>
      </c>
      <c r="J2296" t="s">
        <v>2380</v>
      </c>
      <c r="K2296">
        <v>1203816</v>
      </c>
      <c r="L2296">
        <v>603960</v>
      </c>
      <c r="M2296" t="s">
        <v>2381</v>
      </c>
      <c r="P2296" t="s">
        <v>2394</v>
      </c>
      <c r="Q2296" t="s">
        <v>2383</v>
      </c>
      <c r="R2296">
        <v>1</v>
      </c>
      <c r="S2296" t="s">
        <v>2380</v>
      </c>
      <c r="T2296" t="s">
        <v>2383</v>
      </c>
      <c r="U2296" s="8">
        <v>45947.623865740738</v>
      </c>
      <c r="V2296" s="8">
        <v>45952.958333333336</v>
      </c>
      <c r="W2296">
        <v>1</v>
      </c>
      <c r="X2296">
        <v>2.7892476849999999</v>
      </c>
      <c r="Y2296" t="s">
        <v>6764</v>
      </c>
      <c r="Z2296" t="s">
        <v>9322</v>
      </c>
      <c r="AA2296" t="s">
        <v>6819</v>
      </c>
      <c r="AB2296" t="s">
        <v>1278</v>
      </c>
      <c r="AC2296" t="s">
        <v>9323</v>
      </c>
      <c r="AD2296" t="s">
        <v>2708</v>
      </c>
      <c r="AE2296">
        <v>1</v>
      </c>
      <c r="AF2296">
        <v>2</v>
      </c>
      <c r="AH2296" t="s">
        <v>2723</v>
      </c>
      <c r="AI2296" s="8">
        <v>45952.40662037037</v>
      </c>
      <c r="AK2296" t="s">
        <v>2719</v>
      </c>
      <c r="AL2296" t="s">
        <v>2724</v>
      </c>
      <c r="AO2296" t="s">
        <v>2388</v>
      </c>
      <c r="AP2296" t="s">
        <v>2401</v>
      </c>
    </row>
    <row r="2297" spans="1:42">
      <c r="A2297" t="s">
        <v>3242</v>
      </c>
      <c r="B2297" t="s">
        <v>2389</v>
      </c>
      <c r="C2297" t="s">
        <v>2390</v>
      </c>
      <c r="D2297" t="s">
        <v>2379</v>
      </c>
      <c r="E2297" t="s">
        <v>24</v>
      </c>
      <c r="F2297">
        <v>6394</v>
      </c>
      <c r="G2297" t="s">
        <v>24</v>
      </c>
      <c r="H2297" t="b">
        <v>1</v>
      </c>
      <c r="I2297" s="8">
        <v>45952.434039351851</v>
      </c>
      <c r="J2297" t="s">
        <v>2380</v>
      </c>
      <c r="L2297">
        <v>606989</v>
      </c>
      <c r="M2297" t="s">
        <v>2381</v>
      </c>
      <c r="Q2297" t="s">
        <v>2383</v>
      </c>
      <c r="R2297">
        <v>1</v>
      </c>
      <c r="S2297" t="s">
        <v>2380</v>
      </c>
      <c r="T2297" t="s">
        <v>2383</v>
      </c>
      <c r="U2297" s="8">
        <v>45947.625925925924</v>
      </c>
      <c r="V2297" s="8">
        <v>45952.958333333336</v>
      </c>
      <c r="W2297">
        <v>1</v>
      </c>
      <c r="X2297">
        <v>2.8081134259999998</v>
      </c>
      <c r="Y2297" t="s">
        <v>3241</v>
      </c>
      <c r="Z2297" t="s">
        <v>3243</v>
      </c>
      <c r="AA2297" t="s">
        <v>3244</v>
      </c>
      <c r="AB2297" t="s">
        <v>1278</v>
      </c>
      <c r="AC2297" t="s">
        <v>3245</v>
      </c>
      <c r="AE2297">
        <v>1</v>
      </c>
      <c r="AO2297" t="s">
        <v>2388</v>
      </c>
      <c r="AP2297" t="s">
        <v>2401</v>
      </c>
    </row>
    <row r="2298" spans="1:42">
      <c r="A2298" t="s">
        <v>3246</v>
      </c>
      <c r="B2298" t="s">
        <v>2389</v>
      </c>
      <c r="C2298" t="s">
        <v>2390</v>
      </c>
      <c r="D2298" t="s">
        <v>2379</v>
      </c>
      <c r="E2298" t="s">
        <v>24</v>
      </c>
      <c r="F2298">
        <v>6394</v>
      </c>
      <c r="G2298" t="s">
        <v>24</v>
      </c>
      <c r="H2298" t="b">
        <v>1</v>
      </c>
      <c r="I2298" s="8">
        <v>45952.434837962966</v>
      </c>
      <c r="J2298" t="s">
        <v>2380</v>
      </c>
      <c r="L2298">
        <v>606989</v>
      </c>
      <c r="M2298" t="s">
        <v>2381</v>
      </c>
      <c r="Q2298" t="s">
        <v>2383</v>
      </c>
      <c r="R2298">
        <v>1</v>
      </c>
      <c r="S2298" t="s">
        <v>2380</v>
      </c>
      <c r="T2298" t="s">
        <v>2383</v>
      </c>
      <c r="U2298" s="8">
        <v>45947.626435185186</v>
      </c>
      <c r="V2298" s="8">
        <v>45952.958333333336</v>
      </c>
      <c r="W2298">
        <v>1</v>
      </c>
      <c r="X2298">
        <v>2.808402778</v>
      </c>
      <c r="Y2298" t="s">
        <v>3241</v>
      </c>
      <c r="Z2298" t="s">
        <v>3247</v>
      </c>
      <c r="AA2298" t="s">
        <v>3244</v>
      </c>
      <c r="AB2298" t="s">
        <v>1278</v>
      </c>
      <c r="AC2298" t="s">
        <v>3248</v>
      </c>
      <c r="AE2298">
        <v>1</v>
      </c>
      <c r="AO2298" t="s">
        <v>2388</v>
      </c>
      <c r="AP2298" t="s">
        <v>2401</v>
      </c>
    </row>
    <row r="2299" spans="1:42">
      <c r="A2299" t="s">
        <v>6658</v>
      </c>
      <c r="B2299" t="s">
        <v>2389</v>
      </c>
      <c r="C2299" t="s">
        <v>2390</v>
      </c>
      <c r="D2299" t="s">
        <v>2379</v>
      </c>
      <c r="E2299" t="s">
        <v>33</v>
      </c>
      <c r="F2299">
        <v>4227</v>
      </c>
      <c r="G2299" t="s">
        <v>33</v>
      </c>
      <c r="H2299" t="b">
        <v>1</v>
      </c>
      <c r="I2299" s="8">
        <v>45952.437442129631</v>
      </c>
      <c r="J2299" t="s">
        <v>2380</v>
      </c>
      <c r="K2299">
        <v>1203941</v>
      </c>
      <c r="L2299">
        <v>602282</v>
      </c>
      <c r="M2299" t="s">
        <v>2381</v>
      </c>
      <c r="P2299" t="s">
        <v>2394</v>
      </c>
      <c r="Q2299" t="s">
        <v>2383</v>
      </c>
      <c r="R2299">
        <v>1</v>
      </c>
      <c r="S2299" t="s">
        <v>2380</v>
      </c>
      <c r="T2299" t="s">
        <v>2383</v>
      </c>
      <c r="U2299" s="8">
        <v>45947.631597222222</v>
      </c>
      <c r="V2299" s="8">
        <v>45952.958333333336</v>
      </c>
      <c r="W2299">
        <v>1</v>
      </c>
      <c r="X2299">
        <v>2.805844907</v>
      </c>
      <c r="Y2299" t="s">
        <v>4558</v>
      </c>
      <c r="Z2299" t="s">
        <v>6659</v>
      </c>
      <c r="AA2299" t="s">
        <v>4561</v>
      </c>
      <c r="AB2299" t="s">
        <v>1278</v>
      </c>
      <c r="AC2299" t="s">
        <v>6660</v>
      </c>
      <c r="AD2299" t="s">
        <v>2708</v>
      </c>
      <c r="AE2299">
        <v>1</v>
      </c>
      <c r="AO2299" t="s">
        <v>2388</v>
      </c>
      <c r="AP2299" t="s">
        <v>2401</v>
      </c>
    </row>
    <row r="2300" spans="1:42">
      <c r="A2300" t="s">
        <v>5114</v>
      </c>
      <c r="B2300" t="s">
        <v>2389</v>
      </c>
      <c r="C2300" t="s">
        <v>2443</v>
      </c>
      <c r="D2300" t="s">
        <v>2443</v>
      </c>
      <c r="E2300" t="s">
        <v>12</v>
      </c>
      <c r="F2300" t="s">
        <v>5085</v>
      </c>
      <c r="G2300" t="s">
        <v>12</v>
      </c>
      <c r="H2300" t="b">
        <v>1</v>
      </c>
      <c r="I2300" s="8">
        <v>45958.437326388892</v>
      </c>
      <c r="J2300" t="s">
        <v>2380</v>
      </c>
      <c r="K2300">
        <v>1204861</v>
      </c>
      <c r="L2300">
        <v>602945</v>
      </c>
      <c r="M2300" t="s">
        <v>2381</v>
      </c>
      <c r="P2300" t="s">
        <v>5107</v>
      </c>
      <c r="Q2300" t="s">
        <v>2383</v>
      </c>
      <c r="R2300">
        <v>1</v>
      </c>
      <c r="S2300" t="s">
        <v>2380</v>
      </c>
      <c r="T2300" t="s">
        <v>5086</v>
      </c>
      <c r="U2300" s="8">
        <v>45947.636840277781</v>
      </c>
      <c r="V2300" s="8">
        <v>45952.958333333336</v>
      </c>
      <c r="W2300">
        <v>1</v>
      </c>
      <c r="X2300">
        <v>6.8004861109999997</v>
      </c>
      <c r="Y2300" t="s">
        <v>5087</v>
      </c>
      <c r="Z2300" t="s">
        <v>5115</v>
      </c>
      <c r="AA2300" t="s">
        <v>5090</v>
      </c>
      <c r="AB2300" t="s">
        <v>1278</v>
      </c>
      <c r="AC2300" t="s">
        <v>5116</v>
      </c>
      <c r="AD2300" t="s">
        <v>2708</v>
      </c>
      <c r="AE2300">
        <v>1</v>
      </c>
      <c r="AO2300" t="s">
        <v>2720</v>
      </c>
      <c r="AP2300" t="s">
        <v>2401</v>
      </c>
    </row>
    <row r="2301" spans="1:42">
      <c r="A2301" t="s">
        <v>840</v>
      </c>
      <c r="B2301" t="s">
        <v>2377</v>
      </c>
      <c r="C2301" t="s">
        <v>2438</v>
      </c>
      <c r="D2301" t="s">
        <v>2379</v>
      </c>
      <c r="E2301" t="s">
        <v>28</v>
      </c>
      <c r="F2301" t="s">
        <v>2588</v>
      </c>
      <c r="G2301" t="s">
        <v>28</v>
      </c>
      <c r="H2301" t="b">
        <v>1</v>
      </c>
      <c r="I2301" s="8">
        <v>45947.664467592593</v>
      </c>
      <c r="J2301" t="s">
        <v>2380</v>
      </c>
      <c r="L2301">
        <v>602197</v>
      </c>
      <c r="M2301" t="s">
        <v>2381</v>
      </c>
      <c r="N2301">
        <v>20</v>
      </c>
      <c r="Q2301" t="s">
        <v>2383</v>
      </c>
      <c r="R2301">
        <v>1</v>
      </c>
      <c r="S2301" t="s">
        <v>2380</v>
      </c>
      <c r="T2301" t="s">
        <v>2383</v>
      </c>
      <c r="U2301" s="8">
        <v>45947.651006944441</v>
      </c>
      <c r="V2301" s="8">
        <v>45952.958333333336</v>
      </c>
      <c r="W2301">
        <v>1</v>
      </c>
      <c r="X2301">
        <v>1.3460648E-2</v>
      </c>
      <c r="Y2301" t="s">
        <v>2579</v>
      </c>
      <c r="Z2301" t="s">
        <v>9879</v>
      </c>
      <c r="AA2301" t="s">
        <v>8804</v>
      </c>
      <c r="AB2301" t="s">
        <v>1278</v>
      </c>
      <c r="AC2301" t="s">
        <v>4542</v>
      </c>
      <c r="AD2301" t="s">
        <v>2708</v>
      </c>
      <c r="AE2301">
        <v>1</v>
      </c>
      <c r="AO2301" t="s">
        <v>3644</v>
      </c>
      <c r="AP2301" t="s">
        <v>2401</v>
      </c>
    </row>
    <row r="2302" spans="1:42">
      <c r="A2302" t="s">
        <v>6989</v>
      </c>
      <c r="B2302" t="s">
        <v>2389</v>
      </c>
      <c r="C2302" t="s">
        <v>2415</v>
      </c>
      <c r="D2302" t="s">
        <v>2379</v>
      </c>
      <c r="E2302" t="s">
        <v>2452</v>
      </c>
      <c r="F2302">
        <v>3802</v>
      </c>
      <c r="G2302" t="s">
        <v>2452</v>
      </c>
      <c r="H2302" t="b">
        <v>1</v>
      </c>
      <c r="I2302" s="8">
        <v>45951.591770833336</v>
      </c>
      <c r="J2302" t="s">
        <v>2380</v>
      </c>
      <c r="K2302">
        <v>1203829</v>
      </c>
      <c r="L2302">
        <v>609845</v>
      </c>
      <c r="M2302" t="s">
        <v>2381</v>
      </c>
      <c r="P2302" t="s">
        <v>2394</v>
      </c>
      <c r="Q2302" t="s">
        <v>2383</v>
      </c>
      <c r="R2302">
        <v>1</v>
      </c>
      <c r="S2302" t="s">
        <v>2380</v>
      </c>
      <c r="T2302" t="s">
        <v>2383</v>
      </c>
      <c r="U2302" s="8">
        <v>45947.657557870371</v>
      </c>
      <c r="V2302" s="8">
        <v>45952.958333333336</v>
      </c>
      <c r="W2302">
        <v>1</v>
      </c>
      <c r="X2302">
        <v>1.934212963</v>
      </c>
      <c r="Y2302" t="s">
        <v>4477</v>
      </c>
      <c r="Z2302" t="s">
        <v>6990</v>
      </c>
      <c r="AA2302" t="s">
        <v>4480</v>
      </c>
      <c r="AB2302" t="s">
        <v>1278</v>
      </c>
      <c r="AC2302" t="s">
        <v>6991</v>
      </c>
      <c r="AD2302" t="s">
        <v>2708</v>
      </c>
      <c r="AE2302">
        <v>1</v>
      </c>
      <c r="AO2302" t="s">
        <v>2388</v>
      </c>
      <c r="AP2302" t="s">
        <v>2401</v>
      </c>
    </row>
    <row r="2303" spans="1:42">
      <c r="A2303" t="s">
        <v>10369</v>
      </c>
      <c r="B2303" t="s">
        <v>2389</v>
      </c>
      <c r="C2303" t="s">
        <v>2390</v>
      </c>
      <c r="D2303" t="s">
        <v>2379</v>
      </c>
      <c r="E2303" t="s">
        <v>2452</v>
      </c>
      <c r="F2303" t="s">
        <v>2578</v>
      </c>
      <c r="G2303" t="s">
        <v>2452</v>
      </c>
      <c r="H2303" t="b">
        <v>1</v>
      </c>
      <c r="I2303" s="8">
        <v>45952.584155092591</v>
      </c>
      <c r="J2303" t="s">
        <v>2380</v>
      </c>
      <c r="K2303">
        <v>1201256</v>
      </c>
      <c r="L2303">
        <v>602857</v>
      </c>
      <c r="M2303" t="s">
        <v>2381</v>
      </c>
      <c r="P2303" t="s">
        <v>2394</v>
      </c>
      <c r="Q2303" t="s">
        <v>2383</v>
      </c>
      <c r="R2303">
        <v>1</v>
      </c>
      <c r="S2303" t="s">
        <v>2380</v>
      </c>
      <c r="T2303" t="s">
        <v>2383</v>
      </c>
      <c r="U2303" s="8">
        <v>45947.658402777779</v>
      </c>
      <c r="V2303" s="8">
        <v>45952.958333333336</v>
      </c>
      <c r="W2303">
        <v>1</v>
      </c>
      <c r="X2303">
        <v>2.925752315</v>
      </c>
      <c r="Y2303" t="s">
        <v>2579</v>
      </c>
      <c r="Z2303" t="s">
        <v>10370</v>
      </c>
      <c r="AA2303" t="s">
        <v>5975</v>
      </c>
      <c r="AB2303" t="s">
        <v>1278</v>
      </c>
      <c r="AC2303" t="s">
        <v>10371</v>
      </c>
      <c r="AE2303">
        <v>1</v>
      </c>
      <c r="AO2303" t="s">
        <v>2547</v>
      </c>
      <c r="AP2303" t="s">
        <v>2401</v>
      </c>
    </row>
    <row r="2304" spans="1:42">
      <c r="A2304" t="s">
        <v>3372</v>
      </c>
      <c r="B2304" t="s">
        <v>2389</v>
      </c>
      <c r="C2304" t="s">
        <v>2390</v>
      </c>
      <c r="D2304" t="s">
        <v>2379</v>
      </c>
      <c r="E2304" t="s">
        <v>2452</v>
      </c>
      <c r="F2304" t="s">
        <v>2578</v>
      </c>
      <c r="G2304" t="s">
        <v>2452</v>
      </c>
      <c r="H2304" t="b">
        <v>1</v>
      </c>
      <c r="I2304" s="8">
        <v>45952.609340277777</v>
      </c>
      <c r="J2304" t="s">
        <v>2380</v>
      </c>
      <c r="L2304">
        <v>609810</v>
      </c>
      <c r="M2304" t="s">
        <v>2381</v>
      </c>
      <c r="P2304" t="s">
        <v>2394</v>
      </c>
      <c r="Q2304" t="s">
        <v>2383</v>
      </c>
      <c r="R2304">
        <v>1</v>
      </c>
      <c r="S2304" t="s">
        <v>2380</v>
      </c>
      <c r="T2304" t="s">
        <v>2383</v>
      </c>
      <c r="U2304" s="8">
        <v>45947.659837962965</v>
      </c>
      <c r="V2304" s="8">
        <v>45952.958333333336</v>
      </c>
      <c r="W2304">
        <v>1</v>
      </c>
      <c r="X2304">
        <v>2.9495023150000002</v>
      </c>
      <c r="Y2304" t="s">
        <v>2579</v>
      </c>
      <c r="Z2304" t="s">
        <v>3373</v>
      </c>
      <c r="AA2304" t="s">
        <v>2645</v>
      </c>
      <c r="AB2304" t="s">
        <v>1278</v>
      </c>
      <c r="AC2304" t="s">
        <v>3374</v>
      </c>
      <c r="AE2304">
        <v>1</v>
      </c>
      <c r="AO2304" t="s">
        <v>2388</v>
      </c>
      <c r="AP2304" t="s">
        <v>2401</v>
      </c>
    </row>
    <row r="2305" spans="1:42">
      <c r="A2305" t="s">
        <v>9414</v>
      </c>
      <c r="B2305" t="s">
        <v>2389</v>
      </c>
      <c r="C2305" t="s">
        <v>2390</v>
      </c>
      <c r="D2305" t="s">
        <v>2379</v>
      </c>
      <c r="E2305" t="s">
        <v>24</v>
      </c>
      <c r="F2305">
        <v>6400</v>
      </c>
      <c r="G2305" t="s">
        <v>24</v>
      </c>
      <c r="H2305" t="b">
        <v>1</v>
      </c>
      <c r="I2305" s="8">
        <v>45952.510659722226</v>
      </c>
      <c r="J2305" t="s">
        <v>2380</v>
      </c>
      <c r="L2305">
        <v>605880</v>
      </c>
      <c r="M2305" t="s">
        <v>2381</v>
      </c>
      <c r="P2305" t="s">
        <v>2394</v>
      </c>
      <c r="Q2305" t="s">
        <v>2383</v>
      </c>
      <c r="R2305">
        <v>1</v>
      </c>
      <c r="S2305" t="s">
        <v>2380</v>
      </c>
      <c r="T2305" t="s">
        <v>2383</v>
      </c>
      <c r="U2305" s="8">
        <v>45947.661180555559</v>
      </c>
      <c r="V2305" s="8">
        <v>45952.958333333336</v>
      </c>
      <c r="W2305">
        <v>1</v>
      </c>
      <c r="X2305">
        <v>2.8494791670000001</v>
      </c>
      <c r="Y2305" t="s">
        <v>9413</v>
      </c>
      <c r="Z2305" t="s">
        <v>9415</v>
      </c>
      <c r="AA2305" t="s">
        <v>9416</v>
      </c>
      <c r="AB2305" t="s">
        <v>1278</v>
      </c>
      <c r="AC2305" t="s">
        <v>3248</v>
      </c>
      <c r="AE2305">
        <v>1</v>
      </c>
      <c r="AO2305" t="s">
        <v>2388</v>
      </c>
      <c r="AP2305" t="s">
        <v>8931</v>
      </c>
    </row>
    <row r="2306" spans="1:42">
      <c r="A2306" t="s">
        <v>6949</v>
      </c>
      <c r="B2306" t="s">
        <v>2389</v>
      </c>
      <c r="C2306" t="s">
        <v>2415</v>
      </c>
      <c r="D2306" t="s">
        <v>2379</v>
      </c>
      <c r="E2306" t="s">
        <v>2452</v>
      </c>
      <c r="F2306" t="s">
        <v>2578</v>
      </c>
      <c r="G2306" t="s">
        <v>2452</v>
      </c>
      <c r="H2306" t="b">
        <v>1</v>
      </c>
      <c r="I2306" s="8">
        <v>45951.608252314814</v>
      </c>
      <c r="J2306" t="s">
        <v>2380</v>
      </c>
      <c r="K2306">
        <v>1203837</v>
      </c>
      <c r="L2306">
        <v>603444</v>
      </c>
      <c r="M2306" t="s">
        <v>2381</v>
      </c>
      <c r="P2306" t="s">
        <v>2394</v>
      </c>
      <c r="Q2306" t="s">
        <v>2383</v>
      </c>
      <c r="R2306">
        <v>1</v>
      </c>
      <c r="S2306" t="s">
        <v>2380</v>
      </c>
      <c r="T2306" t="s">
        <v>2383</v>
      </c>
      <c r="U2306" s="8">
        <v>45947.663310185184</v>
      </c>
      <c r="V2306" s="8">
        <v>45952.958333333336</v>
      </c>
      <c r="W2306">
        <v>1</v>
      </c>
      <c r="X2306">
        <v>1.94494213</v>
      </c>
      <c r="Y2306" t="s">
        <v>2579</v>
      </c>
      <c r="Z2306" t="s">
        <v>6950</v>
      </c>
      <c r="AA2306" t="s">
        <v>6753</v>
      </c>
      <c r="AB2306" t="s">
        <v>1278</v>
      </c>
      <c r="AC2306" t="s">
        <v>6951</v>
      </c>
      <c r="AD2306" t="s">
        <v>2708</v>
      </c>
      <c r="AE2306">
        <v>1</v>
      </c>
      <c r="AO2306" t="s">
        <v>2388</v>
      </c>
      <c r="AP2306" t="s">
        <v>2401</v>
      </c>
    </row>
    <row r="2307" spans="1:42">
      <c r="A2307" t="s">
        <v>944</v>
      </c>
      <c r="B2307" t="s">
        <v>2377</v>
      </c>
      <c r="C2307" t="s">
        <v>2438</v>
      </c>
      <c r="D2307" t="s">
        <v>2379</v>
      </c>
      <c r="E2307" t="s">
        <v>28</v>
      </c>
      <c r="F2307" t="s">
        <v>2588</v>
      </c>
      <c r="G2307" t="s">
        <v>28</v>
      </c>
      <c r="H2307" t="b">
        <v>1</v>
      </c>
      <c r="I2307" s="8">
        <v>45947.667372685188</v>
      </c>
      <c r="J2307" t="s">
        <v>2380</v>
      </c>
      <c r="L2307">
        <v>602197</v>
      </c>
      <c r="M2307" t="s">
        <v>2381</v>
      </c>
      <c r="N2307">
        <v>15</v>
      </c>
      <c r="Q2307" t="s">
        <v>2383</v>
      </c>
      <c r="R2307">
        <v>1</v>
      </c>
      <c r="S2307" t="s">
        <v>2380</v>
      </c>
      <c r="T2307" t="s">
        <v>2383</v>
      </c>
      <c r="U2307" s="8">
        <v>45947.663321759261</v>
      </c>
      <c r="V2307" s="8">
        <v>45952.958333333336</v>
      </c>
      <c r="W2307">
        <v>1</v>
      </c>
      <c r="X2307">
        <v>4.0509259999999998E-3</v>
      </c>
      <c r="Y2307" t="s">
        <v>2579</v>
      </c>
      <c r="Z2307" t="s">
        <v>9878</v>
      </c>
      <c r="AA2307" t="s">
        <v>8804</v>
      </c>
      <c r="AB2307" t="s">
        <v>1278</v>
      </c>
      <c r="AC2307" t="s">
        <v>4825</v>
      </c>
      <c r="AD2307" t="s">
        <v>2708</v>
      </c>
      <c r="AE2307">
        <v>1</v>
      </c>
      <c r="AO2307" t="s">
        <v>3644</v>
      </c>
      <c r="AP2307" t="s">
        <v>2401</v>
      </c>
    </row>
    <row r="2308" spans="1:42">
      <c r="A2308" t="s">
        <v>5592</v>
      </c>
      <c r="B2308" t="s">
        <v>2389</v>
      </c>
      <c r="C2308" t="s">
        <v>2415</v>
      </c>
      <c r="D2308" t="s">
        <v>2379</v>
      </c>
      <c r="E2308" t="s">
        <v>307</v>
      </c>
      <c r="F2308" t="s">
        <v>2417</v>
      </c>
      <c r="G2308" t="s">
        <v>307</v>
      </c>
      <c r="H2308" t="b">
        <v>1</v>
      </c>
      <c r="I2308" s="8">
        <v>45950.734282407408</v>
      </c>
      <c r="J2308" t="s">
        <v>2380</v>
      </c>
      <c r="K2308">
        <v>1203693</v>
      </c>
      <c r="L2308">
        <v>601190</v>
      </c>
      <c r="M2308" t="s">
        <v>2381</v>
      </c>
      <c r="P2308" t="s">
        <v>2394</v>
      </c>
      <c r="Q2308" t="s">
        <v>2383</v>
      </c>
      <c r="R2308">
        <v>1</v>
      </c>
      <c r="S2308" t="s">
        <v>2380</v>
      </c>
      <c r="T2308" t="s">
        <v>2383</v>
      </c>
      <c r="U2308" s="8">
        <v>45947.668900462966</v>
      </c>
      <c r="V2308" s="8">
        <v>45952.958333333336</v>
      </c>
      <c r="W2308">
        <v>1</v>
      </c>
      <c r="X2308">
        <v>1.0653819440000001</v>
      </c>
      <c r="Y2308" t="s">
        <v>2418</v>
      </c>
      <c r="Z2308" t="s">
        <v>5593</v>
      </c>
      <c r="AA2308" t="s">
        <v>5594</v>
      </c>
      <c r="AB2308" t="s">
        <v>1278</v>
      </c>
      <c r="AD2308" t="s">
        <v>2708</v>
      </c>
      <c r="AE2308">
        <v>1</v>
      </c>
      <c r="AO2308" t="s">
        <v>2540</v>
      </c>
      <c r="AP2308" t="s">
        <v>2401</v>
      </c>
    </row>
    <row r="2309" spans="1:42">
      <c r="A2309" t="s">
        <v>6952</v>
      </c>
      <c r="B2309" t="s">
        <v>2389</v>
      </c>
      <c r="C2309" t="s">
        <v>2390</v>
      </c>
      <c r="D2309" t="s">
        <v>2379</v>
      </c>
      <c r="E2309" t="s">
        <v>2452</v>
      </c>
      <c r="F2309" t="s">
        <v>2578</v>
      </c>
      <c r="G2309" t="s">
        <v>2452</v>
      </c>
      <c r="H2309" t="b">
        <v>1</v>
      </c>
      <c r="I2309" s="8">
        <v>45952.571527777778</v>
      </c>
      <c r="J2309" t="s">
        <v>2380</v>
      </c>
      <c r="K2309">
        <v>1204002</v>
      </c>
      <c r="L2309">
        <v>603303</v>
      </c>
      <c r="M2309" t="s">
        <v>2381</v>
      </c>
      <c r="P2309" t="s">
        <v>2394</v>
      </c>
      <c r="Q2309" t="s">
        <v>2383</v>
      </c>
      <c r="R2309">
        <v>1</v>
      </c>
      <c r="S2309" t="s">
        <v>2380</v>
      </c>
      <c r="T2309" t="s">
        <v>2383</v>
      </c>
      <c r="U2309" s="8">
        <v>45947.672511574077</v>
      </c>
      <c r="V2309" s="8">
        <v>45952.958333333336</v>
      </c>
      <c r="W2309">
        <v>1</v>
      </c>
      <c r="X2309">
        <v>2.899016204</v>
      </c>
      <c r="Y2309" t="s">
        <v>2579</v>
      </c>
      <c r="Z2309" t="s">
        <v>6953</v>
      </c>
      <c r="AA2309" t="s">
        <v>4599</v>
      </c>
      <c r="AB2309" t="s">
        <v>1278</v>
      </c>
      <c r="AC2309" t="s">
        <v>6954</v>
      </c>
      <c r="AD2309" t="s">
        <v>2708</v>
      </c>
      <c r="AE2309">
        <v>1</v>
      </c>
      <c r="AO2309" t="s">
        <v>2388</v>
      </c>
      <c r="AP2309" t="s">
        <v>2401</v>
      </c>
    </row>
    <row r="2310" spans="1:42">
      <c r="A2310" t="s">
        <v>3818</v>
      </c>
      <c r="B2310" t="s">
        <v>2389</v>
      </c>
      <c r="C2310" t="s">
        <v>2390</v>
      </c>
      <c r="D2310" t="s">
        <v>2379</v>
      </c>
      <c r="E2310" t="s">
        <v>24</v>
      </c>
      <c r="F2310" t="s">
        <v>3747</v>
      </c>
      <c r="G2310" t="s">
        <v>24</v>
      </c>
      <c r="H2310" t="b">
        <v>1</v>
      </c>
      <c r="I2310" s="8">
        <v>45952.576527777775</v>
      </c>
      <c r="J2310" t="s">
        <v>2380</v>
      </c>
      <c r="K2310">
        <v>1102273</v>
      </c>
      <c r="L2310">
        <v>601527</v>
      </c>
      <c r="M2310" t="s">
        <v>2381</v>
      </c>
      <c r="P2310" t="s">
        <v>3817</v>
      </c>
      <c r="Q2310" t="s">
        <v>2383</v>
      </c>
      <c r="R2310">
        <v>1</v>
      </c>
      <c r="S2310" t="s">
        <v>2380</v>
      </c>
      <c r="T2310" t="s">
        <v>2383</v>
      </c>
      <c r="U2310" s="8">
        <v>45947.684965277775</v>
      </c>
      <c r="V2310" s="8">
        <v>45952.958333333336</v>
      </c>
      <c r="W2310">
        <v>1</v>
      </c>
      <c r="X2310">
        <v>2.8915625</v>
      </c>
      <c r="Y2310" t="s">
        <v>3748</v>
      </c>
      <c r="Z2310" t="s">
        <v>3819</v>
      </c>
      <c r="AA2310" t="s">
        <v>3815</v>
      </c>
      <c r="AB2310" t="s">
        <v>1278</v>
      </c>
      <c r="AC2310" t="s">
        <v>3816</v>
      </c>
      <c r="AE2310">
        <v>1</v>
      </c>
      <c r="AO2310" t="s">
        <v>2712</v>
      </c>
      <c r="AP2310" t="s">
        <v>2401</v>
      </c>
    </row>
    <row r="2311" spans="1:42">
      <c r="A2311" t="s">
        <v>3813</v>
      </c>
      <c r="B2311" t="s">
        <v>2389</v>
      </c>
      <c r="C2311" t="s">
        <v>2390</v>
      </c>
      <c r="D2311" t="s">
        <v>2379</v>
      </c>
      <c r="E2311" t="s">
        <v>24</v>
      </c>
      <c r="F2311" t="s">
        <v>3747</v>
      </c>
      <c r="G2311" t="s">
        <v>24</v>
      </c>
      <c r="H2311" t="b">
        <v>1</v>
      </c>
      <c r="I2311" s="8">
        <v>45952.438171296293</v>
      </c>
      <c r="J2311" t="s">
        <v>2380</v>
      </c>
      <c r="K2311">
        <v>1102273</v>
      </c>
      <c r="L2311">
        <v>601527</v>
      </c>
      <c r="M2311" t="s">
        <v>2381</v>
      </c>
      <c r="P2311" t="s">
        <v>2394</v>
      </c>
      <c r="Q2311" t="s">
        <v>2383</v>
      </c>
      <c r="R2311">
        <v>1</v>
      </c>
      <c r="S2311" t="s">
        <v>2380</v>
      </c>
      <c r="T2311" t="s">
        <v>2383</v>
      </c>
      <c r="U2311" s="8">
        <v>45947.685833333337</v>
      </c>
      <c r="V2311" s="8">
        <v>45952.958333333336</v>
      </c>
      <c r="W2311">
        <v>1</v>
      </c>
      <c r="X2311">
        <v>2.752337963</v>
      </c>
      <c r="Y2311" t="s">
        <v>3748</v>
      </c>
      <c r="Z2311" t="s">
        <v>3814</v>
      </c>
      <c r="AA2311" t="s">
        <v>3815</v>
      </c>
      <c r="AB2311" t="s">
        <v>1278</v>
      </c>
      <c r="AC2311" t="s">
        <v>3816</v>
      </c>
      <c r="AE2311">
        <v>1</v>
      </c>
      <c r="AO2311" t="s">
        <v>2712</v>
      </c>
      <c r="AP2311" t="s">
        <v>2401</v>
      </c>
    </row>
    <row r="2312" spans="1:42">
      <c r="A2312" t="s">
        <v>10005</v>
      </c>
      <c r="B2312" t="s">
        <v>2389</v>
      </c>
      <c r="C2312" t="s">
        <v>2390</v>
      </c>
      <c r="D2312" t="s">
        <v>2379</v>
      </c>
      <c r="E2312" t="s">
        <v>24</v>
      </c>
      <c r="F2312" t="s">
        <v>10003</v>
      </c>
      <c r="G2312" t="s">
        <v>24</v>
      </c>
      <c r="H2312" t="b">
        <v>1</v>
      </c>
      <c r="I2312" s="8">
        <v>45952.440763888888</v>
      </c>
      <c r="J2312" t="s">
        <v>2380</v>
      </c>
      <c r="L2312">
        <v>602976</v>
      </c>
      <c r="M2312" t="s">
        <v>2381</v>
      </c>
      <c r="P2312" t="s">
        <v>2394</v>
      </c>
      <c r="Q2312" t="s">
        <v>2383</v>
      </c>
      <c r="R2312">
        <v>1</v>
      </c>
      <c r="S2312" t="s">
        <v>2380</v>
      </c>
      <c r="T2312" t="s">
        <v>2383</v>
      </c>
      <c r="U2312" s="8">
        <v>45947.694224537037</v>
      </c>
      <c r="V2312" s="8">
        <v>45952.958333333336</v>
      </c>
      <c r="W2312">
        <v>1</v>
      </c>
      <c r="X2312">
        <v>2.7465393520000001</v>
      </c>
      <c r="Y2312" t="s">
        <v>10004</v>
      </c>
      <c r="Z2312" t="s">
        <v>10006</v>
      </c>
      <c r="AA2312" t="s">
        <v>10007</v>
      </c>
      <c r="AB2312" t="s">
        <v>1278</v>
      </c>
      <c r="AC2312" t="s">
        <v>10008</v>
      </c>
      <c r="AE2312">
        <v>1</v>
      </c>
      <c r="AO2312" t="s">
        <v>2957</v>
      </c>
      <c r="AP2312" t="s">
        <v>2401</v>
      </c>
    </row>
    <row r="2313" spans="1:42">
      <c r="A2313" t="s">
        <v>2735</v>
      </c>
      <c r="B2313" t="s">
        <v>2377</v>
      </c>
      <c r="C2313" t="s">
        <v>2438</v>
      </c>
      <c r="D2313" t="s">
        <v>2379</v>
      </c>
      <c r="E2313" t="s">
        <v>24</v>
      </c>
      <c r="F2313" t="s">
        <v>2402</v>
      </c>
      <c r="G2313" t="s">
        <v>24</v>
      </c>
      <c r="H2313" t="b">
        <v>1</v>
      </c>
      <c r="I2313" s="8">
        <v>45950.45752314815</v>
      </c>
      <c r="J2313" t="s">
        <v>2380</v>
      </c>
      <c r="L2313">
        <v>602549</v>
      </c>
      <c r="M2313" t="s">
        <v>2381</v>
      </c>
      <c r="P2313" t="s">
        <v>2427</v>
      </c>
      <c r="Q2313" t="s">
        <v>2383</v>
      </c>
      <c r="R2313">
        <v>1</v>
      </c>
      <c r="S2313" t="s">
        <v>2380</v>
      </c>
      <c r="T2313" t="s">
        <v>2383</v>
      </c>
      <c r="U2313" s="8">
        <v>45947.698101851849</v>
      </c>
      <c r="V2313" s="8">
        <v>45952.958333333336</v>
      </c>
      <c r="W2313">
        <v>1</v>
      </c>
      <c r="X2313">
        <v>0.75942129599999997</v>
      </c>
      <c r="Y2313" t="s">
        <v>2403</v>
      </c>
      <c r="Z2313" t="s">
        <v>2736</v>
      </c>
      <c r="AA2313" t="s">
        <v>1460</v>
      </c>
      <c r="AB2313" t="s">
        <v>1278</v>
      </c>
      <c r="AC2313" t="s">
        <v>2737</v>
      </c>
      <c r="AE2313">
        <v>1</v>
      </c>
      <c r="AO2313" t="s">
        <v>2408</v>
      </c>
      <c r="AP2313" t="s">
        <v>2401</v>
      </c>
    </row>
    <row r="2314" spans="1:42">
      <c r="A2314" t="s">
        <v>4295</v>
      </c>
      <c r="B2314" t="s">
        <v>2389</v>
      </c>
      <c r="C2314" t="s">
        <v>2415</v>
      </c>
      <c r="D2314" t="s">
        <v>2379</v>
      </c>
      <c r="E2314" t="s">
        <v>33</v>
      </c>
      <c r="F2314" t="s">
        <v>2431</v>
      </c>
      <c r="G2314" t="s">
        <v>33</v>
      </c>
      <c r="H2314" t="b">
        <v>1</v>
      </c>
      <c r="I2314" s="8">
        <v>45951.561516203707</v>
      </c>
      <c r="J2314" t="s">
        <v>2380</v>
      </c>
      <c r="K2314">
        <v>1203817</v>
      </c>
      <c r="L2314">
        <v>602731</v>
      </c>
      <c r="M2314" t="s">
        <v>2381</v>
      </c>
      <c r="P2314" t="s">
        <v>2394</v>
      </c>
      <c r="Q2314" t="s">
        <v>2383</v>
      </c>
      <c r="R2314">
        <v>1</v>
      </c>
      <c r="S2314" t="s">
        <v>2380</v>
      </c>
      <c r="T2314" t="s">
        <v>2383</v>
      </c>
      <c r="U2314" s="8">
        <v>45947.700509259259</v>
      </c>
      <c r="V2314" s="8">
        <v>45952.958333333336</v>
      </c>
      <c r="W2314">
        <v>1</v>
      </c>
      <c r="X2314">
        <v>1.8610069440000001</v>
      </c>
      <c r="Y2314" t="s">
        <v>2433</v>
      </c>
      <c r="Z2314" t="s">
        <v>4296</v>
      </c>
      <c r="AA2314" t="s">
        <v>2993</v>
      </c>
      <c r="AB2314" t="s">
        <v>1278</v>
      </c>
      <c r="AC2314" t="s">
        <v>4297</v>
      </c>
      <c r="AD2314" t="s">
        <v>2708</v>
      </c>
      <c r="AE2314">
        <v>1</v>
      </c>
      <c r="AO2314" t="s">
        <v>2408</v>
      </c>
      <c r="AP2314" t="s">
        <v>2401</v>
      </c>
    </row>
    <row r="2315" spans="1:42">
      <c r="A2315" t="s">
        <v>9543</v>
      </c>
      <c r="B2315" t="s">
        <v>2377</v>
      </c>
      <c r="C2315" t="s">
        <v>2443</v>
      </c>
      <c r="D2315" t="s">
        <v>2443</v>
      </c>
      <c r="E2315" t="s">
        <v>25</v>
      </c>
      <c r="F2315" t="s">
        <v>2578</v>
      </c>
      <c r="G2315" t="s">
        <v>25</v>
      </c>
      <c r="H2315" t="b">
        <v>1</v>
      </c>
      <c r="I2315" s="8">
        <v>45954.61314814815</v>
      </c>
      <c r="J2315" t="s">
        <v>2380</v>
      </c>
      <c r="L2315">
        <v>608020</v>
      </c>
      <c r="M2315" t="s">
        <v>2381</v>
      </c>
      <c r="Q2315" t="s">
        <v>2383</v>
      </c>
      <c r="R2315">
        <v>1</v>
      </c>
      <c r="S2315" t="s">
        <v>2380</v>
      </c>
      <c r="T2315" t="s">
        <v>2383</v>
      </c>
      <c r="U2315" s="8">
        <v>45947.711041666669</v>
      </c>
      <c r="V2315" s="8">
        <v>45952.958333333336</v>
      </c>
      <c r="W2315">
        <v>1</v>
      </c>
      <c r="X2315">
        <v>4.9021064809999997</v>
      </c>
      <c r="Y2315" t="s">
        <v>2579</v>
      </c>
      <c r="Z2315" t="s">
        <v>9544</v>
      </c>
      <c r="AA2315" t="s">
        <v>1293</v>
      </c>
      <c r="AB2315" t="s">
        <v>1278</v>
      </c>
      <c r="AC2315" t="s">
        <v>9545</v>
      </c>
      <c r="AE2315">
        <v>1</v>
      </c>
      <c r="AH2315" t="s">
        <v>2723</v>
      </c>
      <c r="AI2315" s="8">
        <v>45954.467430555553</v>
      </c>
      <c r="AK2315" t="s">
        <v>2719</v>
      </c>
      <c r="AL2315" t="s">
        <v>2719</v>
      </c>
      <c r="AO2315" t="s">
        <v>2388</v>
      </c>
      <c r="AP2315" t="s">
        <v>2401</v>
      </c>
    </row>
    <row r="2316" spans="1:42">
      <c r="A2316" t="s">
        <v>7707</v>
      </c>
      <c r="B2316" t="s">
        <v>2389</v>
      </c>
      <c r="C2316" t="s">
        <v>2415</v>
      </c>
      <c r="D2316" t="s">
        <v>2379</v>
      </c>
      <c r="E2316" t="s">
        <v>2452</v>
      </c>
      <c r="F2316" t="s">
        <v>3193</v>
      </c>
      <c r="G2316" t="s">
        <v>2452</v>
      </c>
      <c r="H2316" t="b">
        <v>1</v>
      </c>
      <c r="I2316" s="8">
        <v>45951.621782407405</v>
      </c>
      <c r="J2316" t="s">
        <v>2380</v>
      </c>
      <c r="K2316">
        <v>1203846</v>
      </c>
      <c r="L2316">
        <v>605084</v>
      </c>
      <c r="M2316" t="s">
        <v>2381</v>
      </c>
      <c r="P2316" t="s">
        <v>2394</v>
      </c>
      <c r="Q2316" t="s">
        <v>2383</v>
      </c>
      <c r="R2316">
        <v>1</v>
      </c>
      <c r="S2316" t="s">
        <v>2380</v>
      </c>
      <c r="T2316" t="s">
        <v>2383</v>
      </c>
      <c r="U2316" s="8">
        <v>45947.719456018516</v>
      </c>
      <c r="V2316" s="8">
        <v>45952.958333333336</v>
      </c>
      <c r="W2316">
        <v>1</v>
      </c>
      <c r="X2316">
        <v>1.902326389</v>
      </c>
      <c r="Y2316" t="s">
        <v>3194</v>
      </c>
      <c r="Z2316" t="s">
        <v>7708</v>
      </c>
      <c r="AA2316" t="s">
        <v>7709</v>
      </c>
      <c r="AB2316" t="s">
        <v>1278</v>
      </c>
      <c r="AC2316" t="s">
        <v>7710</v>
      </c>
      <c r="AD2316" t="s">
        <v>2708</v>
      </c>
      <c r="AE2316">
        <v>1</v>
      </c>
      <c r="AO2316" t="s">
        <v>2957</v>
      </c>
      <c r="AP2316" t="s">
        <v>2401</v>
      </c>
    </row>
    <row r="2317" spans="1:42">
      <c r="A2317" t="s">
        <v>6955</v>
      </c>
      <c r="B2317" t="s">
        <v>2389</v>
      </c>
      <c r="C2317" t="s">
        <v>2390</v>
      </c>
      <c r="D2317" t="s">
        <v>2379</v>
      </c>
      <c r="E2317" t="s">
        <v>2452</v>
      </c>
      <c r="F2317" t="s">
        <v>2578</v>
      </c>
      <c r="G2317" t="s">
        <v>2452</v>
      </c>
      <c r="H2317" t="b">
        <v>1</v>
      </c>
      <c r="I2317" s="8">
        <v>45952.560416666667</v>
      </c>
      <c r="J2317" t="s">
        <v>2380</v>
      </c>
      <c r="K2317">
        <v>1203997</v>
      </c>
      <c r="L2317">
        <v>603385</v>
      </c>
      <c r="M2317" t="s">
        <v>2381</v>
      </c>
      <c r="P2317" t="s">
        <v>2394</v>
      </c>
      <c r="Q2317" t="s">
        <v>2383</v>
      </c>
      <c r="R2317">
        <v>1</v>
      </c>
      <c r="S2317" t="s">
        <v>2380</v>
      </c>
      <c r="T2317" t="s">
        <v>2383</v>
      </c>
      <c r="U2317" s="8">
        <v>45947.746793981481</v>
      </c>
      <c r="V2317" s="8">
        <v>45952.958333333336</v>
      </c>
      <c r="W2317">
        <v>1</v>
      </c>
      <c r="X2317">
        <v>2.8136226849999999</v>
      </c>
      <c r="Y2317" t="s">
        <v>2579</v>
      </c>
      <c r="Z2317" t="s">
        <v>6956</v>
      </c>
      <c r="AA2317" t="s">
        <v>6957</v>
      </c>
      <c r="AB2317" t="s">
        <v>1278</v>
      </c>
      <c r="AC2317" t="s">
        <v>6958</v>
      </c>
      <c r="AD2317" t="s">
        <v>2708</v>
      </c>
      <c r="AE2317">
        <v>1</v>
      </c>
      <c r="AO2317" t="s">
        <v>2388</v>
      </c>
      <c r="AP2317" t="s">
        <v>2401</v>
      </c>
    </row>
    <row r="2318" spans="1:42">
      <c r="A2318" t="s">
        <v>6959</v>
      </c>
      <c r="B2318" t="s">
        <v>2389</v>
      </c>
      <c r="C2318" t="s">
        <v>2390</v>
      </c>
      <c r="D2318" t="s">
        <v>2379</v>
      </c>
      <c r="E2318" t="s">
        <v>2452</v>
      </c>
      <c r="F2318" t="s">
        <v>2578</v>
      </c>
      <c r="G2318" t="s">
        <v>2452</v>
      </c>
      <c r="H2318" t="b">
        <v>1</v>
      </c>
      <c r="I2318" s="8">
        <v>45952.567916666667</v>
      </c>
      <c r="J2318" t="s">
        <v>2380</v>
      </c>
      <c r="K2318">
        <v>1203999</v>
      </c>
      <c r="L2318">
        <v>603385</v>
      </c>
      <c r="M2318" t="s">
        <v>2381</v>
      </c>
      <c r="P2318" t="s">
        <v>2394</v>
      </c>
      <c r="Q2318" t="s">
        <v>2383</v>
      </c>
      <c r="R2318">
        <v>1</v>
      </c>
      <c r="S2318" t="s">
        <v>2380</v>
      </c>
      <c r="T2318" t="s">
        <v>2383</v>
      </c>
      <c r="U2318" s="8">
        <v>45947.771180555559</v>
      </c>
      <c r="V2318" s="8">
        <v>45952.958333333336</v>
      </c>
      <c r="W2318">
        <v>1</v>
      </c>
      <c r="X2318">
        <v>2.796736111</v>
      </c>
      <c r="Y2318" t="s">
        <v>2579</v>
      </c>
      <c r="Z2318" t="s">
        <v>6960</v>
      </c>
      <c r="AA2318" t="s">
        <v>6957</v>
      </c>
      <c r="AB2318" t="s">
        <v>1278</v>
      </c>
      <c r="AC2318" t="s">
        <v>6961</v>
      </c>
      <c r="AD2318" t="s">
        <v>2708</v>
      </c>
      <c r="AE2318">
        <v>1</v>
      </c>
      <c r="AO2318" t="s">
        <v>2388</v>
      </c>
      <c r="AP2318" t="s">
        <v>2401</v>
      </c>
    </row>
    <row r="2319" spans="1:42">
      <c r="A2319" t="s">
        <v>85</v>
      </c>
      <c r="B2319" t="s">
        <v>2377</v>
      </c>
      <c r="C2319" t="s">
        <v>2438</v>
      </c>
      <c r="D2319" t="s">
        <v>2379</v>
      </c>
      <c r="E2319" t="s">
        <v>84</v>
      </c>
      <c r="F2319" t="s">
        <v>4141</v>
      </c>
      <c r="G2319" t="s">
        <v>84</v>
      </c>
      <c r="H2319" t="b">
        <v>1</v>
      </c>
      <c r="I2319" s="8">
        <v>45948.344629629632</v>
      </c>
      <c r="J2319" t="s">
        <v>2393</v>
      </c>
      <c r="L2319">
        <v>605394</v>
      </c>
      <c r="M2319" t="s">
        <v>2381</v>
      </c>
      <c r="Q2319" t="s">
        <v>2383</v>
      </c>
      <c r="R2319">
        <v>1</v>
      </c>
      <c r="S2319" t="s">
        <v>2393</v>
      </c>
      <c r="T2319" t="s">
        <v>2383</v>
      </c>
      <c r="U2319" s="8">
        <v>45948.320717592593</v>
      </c>
      <c r="V2319" s="8">
        <v>45952.958333333336</v>
      </c>
      <c r="W2319">
        <v>1</v>
      </c>
      <c r="X2319">
        <v>2.3912037000000001E-2</v>
      </c>
      <c r="Y2319" t="s">
        <v>4142</v>
      </c>
      <c r="Z2319" t="s">
        <v>4143</v>
      </c>
      <c r="AA2319" t="s">
        <v>4144</v>
      </c>
      <c r="AB2319" t="s">
        <v>1278</v>
      </c>
      <c r="AC2319" t="s">
        <v>4145</v>
      </c>
      <c r="AD2319" t="s">
        <v>2708</v>
      </c>
      <c r="AE2319">
        <v>1</v>
      </c>
      <c r="AO2319" t="s">
        <v>4146</v>
      </c>
      <c r="AP2319" t="s">
        <v>2401</v>
      </c>
    </row>
    <row r="2320" spans="1:42">
      <c r="A2320" t="s">
        <v>6251</v>
      </c>
      <c r="B2320" t="s">
        <v>2389</v>
      </c>
      <c r="C2320" t="s">
        <v>2390</v>
      </c>
      <c r="D2320" t="s">
        <v>2379</v>
      </c>
      <c r="E2320" t="s">
        <v>25</v>
      </c>
      <c r="F2320" t="s">
        <v>2541</v>
      </c>
      <c r="G2320" t="s">
        <v>25</v>
      </c>
      <c r="H2320" t="b">
        <v>1</v>
      </c>
      <c r="I2320" s="8">
        <v>45952.557164351849</v>
      </c>
      <c r="J2320" t="s">
        <v>2380</v>
      </c>
      <c r="K2320">
        <v>1203995</v>
      </c>
      <c r="L2320">
        <v>602299</v>
      </c>
      <c r="M2320" t="s">
        <v>2381</v>
      </c>
      <c r="N2320">
        <v>5</v>
      </c>
      <c r="P2320" t="s">
        <v>2548</v>
      </c>
      <c r="Q2320" t="s">
        <v>2383</v>
      </c>
      <c r="R2320">
        <v>1</v>
      </c>
      <c r="S2320" t="s">
        <v>2380</v>
      </c>
      <c r="T2320" t="s">
        <v>2383</v>
      </c>
      <c r="U2320" s="8">
        <v>45948.404432870368</v>
      </c>
      <c r="V2320" s="8">
        <v>45952.958333333336</v>
      </c>
      <c r="W2320">
        <v>1</v>
      </c>
      <c r="X2320">
        <v>2.152731481</v>
      </c>
      <c r="Y2320" t="s">
        <v>2542</v>
      </c>
      <c r="Z2320" t="s">
        <v>6252</v>
      </c>
      <c r="AA2320" t="s">
        <v>2927</v>
      </c>
      <c r="AB2320" t="s">
        <v>1278</v>
      </c>
      <c r="AC2320" t="s">
        <v>6253</v>
      </c>
      <c r="AD2320" t="s">
        <v>2708</v>
      </c>
      <c r="AE2320">
        <v>1</v>
      </c>
      <c r="AO2320" t="s">
        <v>2547</v>
      </c>
      <c r="AP2320" t="s">
        <v>2401</v>
      </c>
    </row>
    <row r="2321" spans="1:42">
      <c r="A2321" t="s">
        <v>6254</v>
      </c>
      <c r="B2321" t="s">
        <v>2389</v>
      </c>
      <c r="C2321" t="s">
        <v>2443</v>
      </c>
      <c r="D2321" t="s">
        <v>2443</v>
      </c>
      <c r="E2321" t="s">
        <v>25</v>
      </c>
      <c r="F2321" t="s">
        <v>2541</v>
      </c>
      <c r="G2321" t="s">
        <v>25</v>
      </c>
      <c r="H2321" t="b">
        <v>1</v>
      </c>
      <c r="I2321" s="8">
        <v>45954.617662037039</v>
      </c>
      <c r="J2321" t="s">
        <v>2380</v>
      </c>
      <c r="K2321">
        <v>1204564</v>
      </c>
      <c r="L2321">
        <v>602299</v>
      </c>
      <c r="M2321" t="s">
        <v>2381</v>
      </c>
      <c r="N2321">
        <v>5</v>
      </c>
      <c r="P2321" t="s">
        <v>2548</v>
      </c>
      <c r="Q2321" t="s">
        <v>2383</v>
      </c>
      <c r="R2321">
        <v>1</v>
      </c>
      <c r="S2321" t="s">
        <v>2380</v>
      </c>
      <c r="T2321" t="s">
        <v>2383</v>
      </c>
      <c r="U2321" s="8">
        <v>45948.406469907408</v>
      </c>
      <c r="V2321" s="8">
        <v>45952.958333333336</v>
      </c>
      <c r="W2321">
        <v>1</v>
      </c>
      <c r="X2321">
        <v>4.2111921299999997</v>
      </c>
      <c r="Y2321" t="s">
        <v>2542</v>
      </c>
      <c r="Z2321" t="s">
        <v>6255</v>
      </c>
      <c r="AA2321" t="s">
        <v>2927</v>
      </c>
      <c r="AB2321" t="s">
        <v>1278</v>
      </c>
      <c r="AC2321" t="s">
        <v>6256</v>
      </c>
      <c r="AD2321" t="s">
        <v>2708</v>
      </c>
      <c r="AE2321">
        <v>1</v>
      </c>
      <c r="AO2321" t="s">
        <v>2547</v>
      </c>
      <c r="AP2321" t="s">
        <v>2401</v>
      </c>
    </row>
    <row r="2322" spans="1:42">
      <c r="A2322" t="s">
        <v>6257</v>
      </c>
      <c r="B2322" t="s">
        <v>2389</v>
      </c>
      <c r="C2322" t="s">
        <v>2390</v>
      </c>
      <c r="D2322" t="s">
        <v>2379</v>
      </c>
      <c r="E2322" t="s">
        <v>25</v>
      </c>
      <c r="F2322" t="s">
        <v>2541</v>
      </c>
      <c r="G2322" t="s">
        <v>25</v>
      </c>
      <c r="H2322" t="b">
        <v>1</v>
      </c>
      <c r="I2322" s="8">
        <v>45952.56391203704</v>
      </c>
      <c r="J2322" t="s">
        <v>2380</v>
      </c>
      <c r="K2322">
        <v>1203998</v>
      </c>
      <c r="L2322">
        <v>602299</v>
      </c>
      <c r="M2322" t="s">
        <v>2381</v>
      </c>
      <c r="N2322">
        <v>5</v>
      </c>
      <c r="P2322" t="s">
        <v>2548</v>
      </c>
      <c r="Q2322" t="s">
        <v>2383</v>
      </c>
      <c r="R2322">
        <v>1</v>
      </c>
      <c r="S2322" t="s">
        <v>2380</v>
      </c>
      <c r="T2322" t="s">
        <v>2383</v>
      </c>
      <c r="U2322" s="8">
        <v>45948.408622685187</v>
      </c>
      <c r="V2322" s="8">
        <v>45952.958333333336</v>
      </c>
      <c r="W2322">
        <v>1</v>
      </c>
      <c r="X2322">
        <v>2.155289352</v>
      </c>
      <c r="Y2322" t="s">
        <v>2542</v>
      </c>
      <c r="Z2322" t="s">
        <v>6258</v>
      </c>
      <c r="AA2322" t="s">
        <v>2927</v>
      </c>
      <c r="AB2322" t="s">
        <v>1278</v>
      </c>
      <c r="AC2322" t="s">
        <v>6259</v>
      </c>
      <c r="AD2322" t="s">
        <v>2708</v>
      </c>
      <c r="AE2322">
        <v>1</v>
      </c>
      <c r="AO2322" t="s">
        <v>2547</v>
      </c>
      <c r="AP2322" t="s">
        <v>2401</v>
      </c>
    </row>
    <row r="2323" spans="1:42">
      <c r="A2323" t="s">
        <v>9318</v>
      </c>
      <c r="B2323" t="s">
        <v>2389</v>
      </c>
      <c r="C2323" t="s">
        <v>2390</v>
      </c>
      <c r="D2323" t="s">
        <v>2379</v>
      </c>
      <c r="E2323" t="s">
        <v>25</v>
      </c>
      <c r="F2323" t="s">
        <v>2541</v>
      </c>
      <c r="G2323" t="s">
        <v>25</v>
      </c>
      <c r="H2323" t="b">
        <v>1</v>
      </c>
      <c r="I2323" s="8">
        <v>45952.658506944441</v>
      </c>
      <c r="J2323" t="s">
        <v>2380</v>
      </c>
      <c r="K2323">
        <v>1203996</v>
      </c>
      <c r="L2323">
        <v>602299</v>
      </c>
      <c r="M2323" t="s">
        <v>2381</v>
      </c>
      <c r="N2323">
        <v>5</v>
      </c>
      <c r="P2323" t="s">
        <v>2548</v>
      </c>
      <c r="Q2323" t="s">
        <v>2383</v>
      </c>
      <c r="R2323">
        <v>1</v>
      </c>
      <c r="S2323" t="s">
        <v>2380</v>
      </c>
      <c r="T2323" t="s">
        <v>2383</v>
      </c>
      <c r="U2323" s="8">
        <v>45948.410069444442</v>
      </c>
      <c r="V2323" s="8">
        <v>45952.958333333336</v>
      </c>
      <c r="W2323">
        <v>1</v>
      </c>
      <c r="X2323">
        <v>2.2484375000000001</v>
      </c>
      <c r="Y2323" t="s">
        <v>2542</v>
      </c>
      <c r="Z2323" t="s">
        <v>9319</v>
      </c>
      <c r="AA2323" t="s">
        <v>2927</v>
      </c>
      <c r="AB2323" t="s">
        <v>1278</v>
      </c>
      <c r="AC2323" t="s">
        <v>9320</v>
      </c>
      <c r="AD2323" t="s">
        <v>2708</v>
      </c>
      <c r="AE2323">
        <v>1</v>
      </c>
      <c r="AF2323">
        <v>2</v>
      </c>
      <c r="AH2323" t="s">
        <v>2723</v>
      </c>
      <c r="AI2323" s="8">
        <v>45952.635335648149</v>
      </c>
      <c r="AK2323" t="s">
        <v>2719</v>
      </c>
      <c r="AL2323" t="s">
        <v>2724</v>
      </c>
      <c r="AO2323" t="s">
        <v>2547</v>
      </c>
      <c r="AP2323" t="s">
        <v>2401</v>
      </c>
    </row>
    <row r="2324" spans="1:42">
      <c r="A2324" t="s">
        <v>6260</v>
      </c>
      <c r="B2324" t="s">
        <v>2389</v>
      </c>
      <c r="C2324" t="s">
        <v>2443</v>
      </c>
      <c r="D2324" t="s">
        <v>2443</v>
      </c>
      <c r="E2324" t="s">
        <v>25</v>
      </c>
      <c r="F2324" t="s">
        <v>2541</v>
      </c>
      <c r="G2324" t="s">
        <v>25</v>
      </c>
      <c r="H2324" t="b">
        <v>1</v>
      </c>
      <c r="I2324" s="8">
        <v>45954.630671296298</v>
      </c>
      <c r="J2324" t="s">
        <v>2380</v>
      </c>
      <c r="K2324">
        <v>1204575</v>
      </c>
      <c r="L2324">
        <v>602299</v>
      </c>
      <c r="M2324" t="s">
        <v>2381</v>
      </c>
      <c r="N2324">
        <v>5</v>
      </c>
      <c r="P2324" t="s">
        <v>2548</v>
      </c>
      <c r="Q2324" t="s">
        <v>2383</v>
      </c>
      <c r="R2324">
        <v>1</v>
      </c>
      <c r="S2324" t="s">
        <v>2380</v>
      </c>
      <c r="T2324" t="s">
        <v>2383</v>
      </c>
      <c r="U2324" s="8">
        <v>45948.414895833332</v>
      </c>
      <c r="V2324" s="8">
        <v>45952.958333333336</v>
      </c>
      <c r="W2324">
        <v>1</v>
      </c>
      <c r="X2324">
        <v>4.2157754629999999</v>
      </c>
      <c r="Y2324" t="s">
        <v>2542</v>
      </c>
      <c r="Z2324" t="s">
        <v>6261</v>
      </c>
      <c r="AA2324" t="s">
        <v>2927</v>
      </c>
      <c r="AB2324" t="s">
        <v>1278</v>
      </c>
      <c r="AC2324" t="s">
        <v>6262</v>
      </c>
      <c r="AD2324" t="s">
        <v>2708</v>
      </c>
      <c r="AE2324">
        <v>1</v>
      </c>
      <c r="AO2324" t="s">
        <v>2547</v>
      </c>
      <c r="AP2324" t="s">
        <v>2401</v>
      </c>
    </row>
    <row r="2325" spans="1:42">
      <c r="A2325" t="s">
        <v>6263</v>
      </c>
      <c r="B2325" t="s">
        <v>2389</v>
      </c>
      <c r="C2325" t="s">
        <v>2390</v>
      </c>
      <c r="D2325" t="s">
        <v>2379</v>
      </c>
      <c r="E2325" t="s">
        <v>25</v>
      </c>
      <c r="F2325" t="s">
        <v>2541</v>
      </c>
      <c r="G2325" t="s">
        <v>25</v>
      </c>
      <c r="H2325" t="b">
        <v>1</v>
      </c>
      <c r="I2325" s="8">
        <v>45952.553182870368</v>
      </c>
      <c r="J2325" t="s">
        <v>2380</v>
      </c>
      <c r="K2325">
        <v>1203992</v>
      </c>
      <c r="L2325">
        <v>602299</v>
      </c>
      <c r="M2325" t="s">
        <v>2381</v>
      </c>
      <c r="N2325">
        <v>5</v>
      </c>
      <c r="P2325" t="s">
        <v>2548</v>
      </c>
      <c r="Q2325" t="s">
        <v>2383</v>
      </c>
      <c r="R2325">
        <v>1</v>
      </c>
      <c r="S2325" t="s">
        <v>2380</v>
      </c>
      <c r="T2325" t="s">
        <v>2383</v>
      </c>
      <c r="U2325" s="8">
        <v>45948.416921296295</v>
      </c>
      <c r="V2325" s="8">
        <v>45952.958333333336</v>
      </c>
      <c r="W2325">
        <v>1</v>
      </c>
      <c r="X2325">
        <v>2.1362615740000002</v>
      </c>
      <c r="Y2325" t="s">
        <v>2542</v>
      </c>
      <c r="Z2325" t="s">
        <v>6264</v>
      </c>
      <c r="AA2325" t="s">
        <v>2927</v>
      </c>
      <c r="AB2325" t="s">
        <v>1278</v>
      </c>
      <c r="AC2325" t="s">
        <v>6265</v>
      </c>
      <c r="AD2325" t="s">
        <v>2708</v>
      </c>
      <c r="AE2325">
        <v>1</v>
      </c>
      <c r="AO2325" t="s">
        <v>2547</v>
      </c>
      <c r="AP2325" t="s">
        <v>2401</v>
      </c>
    </row>
    <row r="2326" spans="1:42">
      <c r="A2326" t="s">
        <v>9284</v>
      </c>
      <c r="B2326" t="s">
        <v>2389</v>
      </c>
      <c r="C2326" t="s">
        <v>2443</v>
      </c>
      <c r="D2326" t="s">
        <v>2443</v>
      </c>
      <c r="E2326" t="s">
        <v>25</v>
      </c>
      <c r="F2326" t="s">
        <v>2541</v>
      </c>
      <c r="G2326" t="s">
        <v>25</v>
      </c>
      <c r="H2326" t="b">
        <v>1</v>
      </c>
      <c r="I2326" s="8">
        <v>45954.665497685186</v>
      </c>
      <c r="J2326" t="s">
        <v>2380</v>
      </c>
      <c r="K2326">
        <v>1204565</v>
      </c>
      <c r="L2326">
        <v>602299</v>
      </c>
      <c r="M2326" t="s">
        <v>2381</v>
      </c>
      <c r="N2326">
        <v>5</v>
      </c>
      <c r="P2326" t="s">
        <v>2548</v>
      </c>
      <c r="Q2326" t="s">
        <v>2383</v>
      </c>
      <c r="R2326">
        <v>1</v>
      </c>
      <c r="S2326" t="s">
        <v>2380</v>
      </c>
      <c r="T2326" t="s">
        <v>2383</v>
      </c>
      <c r="U2326" s="8">
        <v>45948.419074074074</v>
      </c>
      <c r="V2326" s="8">
        <v>45952.958333333336</v>
      </c>
      <c r="W2326">
        <v>1</v>
      </c>
      <c r="X2326">
        <v>4.246423611</v>
      </c>
      <c r="Y2326" t="s">
        <v>2542</v>
      </c>
      <c r="Z2326" t="s">
        <v>9285</v>
      </c>
      <c r="AA2326" t="s">
        <v>2927</v>
      </c>
      <c r="AB2326" t="s">
        <v>1278</v>
      </c>
      <c r="AC2326" t="s">
        <v>9286</v>
      </c>
      <c r="AD2326" t="s">
        <v>2708</v>
      </c>
      <c r="AE2326">
        <v>1</v>
      </c>
      <c r="AH2326" t="s">
        <v>2723</v>
      </c>
      <c r="AI2326" s="8">
        <v>45954.659155092595</v>
      </c>
      <c r="AK2326" t="s">
        <v>2719</v>
      </c>
      <c r="AL2326" t="s">
        <v>2724</v>
      </c>
      <c r="AO2326" t="s">
        <v>2547</v>
      </c>
      <c r="AP2326" t="s">
        <v>2401</v>
      </c>
    </row>
    <row r="2327" spans="1:42">
      <c r="A2327" t="s">
        <v>6266</v>
      </c>
      <c r="B2327" t="s">
        <v>2389</v>
      </c>
      <c r="C2327" t="s">
        <v>2390</v>
      </c>
      <c r="D2327" t="s">
        <v>2379</v>
      </c>
      <c r="E2327" t="s">
        <v>25</v>
      </c>
      <c r="F2327" t="s">
        <v>2541</v>
      </c>
      <c r="G2327" t="s">
        <v>25</v>
      </c>
      <c r="H2327" t="b">
        <v>1</v>
      </c>
      <c r="I2327" s="8">
        <v>45952.636041666665</v>
      </c>
      <c r="J2327" t="s">
        <v>2380</v>
      </c>
      <c r="K2327">
        <v>1204039</v>
      </c>
      <c r="L2327">
        <v>602299</v>
      </c>
      <c r="M2327" t="s">
        <v>2381</v>
      </c>
      <c r="N2327">
        <v>5</v>
      </c>
      <c r="P2327" t="s">
        <v>2548</v>
      </c>
      <c r="Q2327" t="s">
        <v>2383</v>
      </c>
      <c r="R2327">
        <v>1</v>
      </c>
      <c r="S2327" t="s">
        <v>2380</v>
      </c>
      <c r="T2327" t="s">
        <v>2383</v>
      </c>
      <c r="U2327" s="8">
        <v>45948.423958333333</v>
      </c>
      <c r="V2327" s="8">
        <v>45952.958333333336</v>
      </c>
      <c r="W2327">
        <v>1</v>
      </c>
      <c r="X2327">
        <v>2.2120833329999998</v>
      </c>
      <c r="Y2327" t="s">
        <v>2542</v>
      </c>
      <c r="Z2327" t="s">
        <v>6267</v>
      </c>
      <c r="AA2327" t="s">
        <v>2927</v>
      </c>
      <c r="AB2327" t="s">
        <v>1278</v>
      </c>
      <c r="AC2327" t="s">
        <v>6268</v>
      </c>
      <c r="AD2327" t="s">
        <v>2708</v>
      </c>
      <c r="AE2327">
        <v>1</v>
      </c>
      <c r="AO2327" t="s">
        <v>2547</v>
      </c>
      <c r="AP2327" t="s">
        <v>2401</v>
      </c>
    </row>
    <row r="2328" spans="1:42">
      <c r="A2328" t="s">
        <v>6269</v>
      </c>
      <c r="B2328" t="s">
        <v>2389</v>
      </c>
      <c r="C2328" t="s">
        <v>2390</v>
      </c>
      <c r="D2328" t="s">
        <v>2379</v>
      </c>
      <c r="E2328" t="s">
        <v>25</v>
      </c>
      <c r="F2328" t="s">
        <v>2541</v>
      </c>
      <c r="G2328" t="s">
        <v>25</v>
      </c>
      <c r="H2328" t="b">
        <v>1</v>
      </c>
      <c r="I2328" s="8">
        <v>45952.621134259258</v>
      </c>
      <c r="J2328" t="s">
        <v>2380</v>
      </c>
      <c r="K2328">
        <v>1204031</v>
      </c>
      <c r="L2328">
        <v>602299</v>
      </c>
      <c r="M2328" t="s">
        <v>2381</v>
      </c>
      <c r="N2328">
        <v>5</v>
      </c>
      <c r="P2328" t="s">
        <v>2548</v>
      </c>
      <c r="Q2328" t="s">
        <v>2383</v>
      </c>
      <c r="R2328">
        <v>1</v>
      </c>
      <c r="S2328" t="s">
        <v>2380</v>
      </c>
      <c r="T2328" t="s">
        <v>2383</v>
      </c>
      <c r="U2328" s="8">
        <v>45948.425300925926</v>
      </c>
      <c r="V2328" s="8">
        <v>45952.958333333336</v>
      </c>
      <c r="W2328">
        <v>1</v>
      </c>
      <c r="X2328">
        <v>2.1958333329999999</v>
      </c>
      <c r="Y2328" t="s">
        <v>2542</v>
      </c>
      <c r="Z2328" t="s">
        <v>6270</v>
      </c>
      <c r="AA2328" t="s">
        <v>2927</v>
      </c>
      <c r="AB2328" t="s">
        <v>1278</v>
      </c>
      <c r="AC2328" t="s">
        <v>6271</v>
      </c>
      <c r="AD2328" t="s">
        <v>2708</v>
      </c>
      <c r="AE2328">
        <v>1</v>
      </c>
      <c r="AO2328" t="s">
        <v>2547</v>
      </c>
      <c r="AP2328" t="s">
        <v>2401</v>
      </c>
    </row>
    <row r="2329" spans="1:42">
      <c r="A2329" t="s">
        <v>6272</v>
      </c>
      <c r="B2329" t="s">
        <v>2389</v>
      </c>
      <c r="C2329" t="s">
        <v>2443</v>
      </c>
      <c r="D2329" t="s">
        <v>2443</v>
      </c>
      <c r="E2329" t="s">
        <v>25</v>
      </c>
      <c r="F2329" t="s">
        <v>2541</v>
      </c>
      <c r="G2329" t="s">
        <v>25</v>
      </c>
      <c r="H2329" t="b">
        <v>1</v>
      </c>
      <c r="I2329" s="8">
        <v>45954.621620370373</v>
      </c>
      <c r="J2329" t="s">
        <v>2380</v>
      </c>
      <c r="K2329">
        <v>1204567</v>
      </c>
      <c r="L2329">
        <v>602299</v>
      </c>
      <c r="M2329" t="s">
        <v>2381</v>
      </c>
      <c r="N2329">
        <v>5</v>
      </c>
      <c r="P2329" t="s">
        <v>2548</v>
      </c>
      <c r="Q2329" t="s">
        <v>2383</v>
      </c>
      <c r="R2329">
        <v>1</v>
      </c>
      <c r="S2329" t="s">
        <v>2380</v>
      </c>
      <c r="T2329" t="s">
        <v>2383</v>
      </c>
      <c r="U2329" s="8">
        <v>45948.426817129628</v>
      </c>
      <c r="V2329" s="8">
        <v>45952.958333333336</v>
      </c>
      <c r="W2329">
        <v>1</v>
      </c>
      <c r="X2329">
        <v>4.1948032409999998</v>
      </c>
      <c r="Y2329" t="s">
        <v>2542</v>
      </c>
      <c r="Z2329" t="s">
        <v>6273</v>
      </c>
      <c r="AA2329" t="s">
        <v>2927</v>
      </c>
      <c r="AB2329" t="s">
        <v>1278</v>
      </c>
      <c r="AC2329" t="s">
        <v>6274</v>
      </c>
      <c r="AD2329" t="s">
        <v>2708</v>
      </c>
      <c r="AE2329">
        <v>1</v>
      </c>
      <c r="AO2329" t="s">
        <v>2547</v>
      </c>
      <c r="AP2329" t="s">
        <v>2401</v>
      </c>
    </row>
    <row r="2330" spans="1:42">
      <c r="A2330" t="s">
        <v>6275</v>
      </c>
      <c r="B2330" t="s">
        <v>2389</v>
      </c>
      <c r="C2330" t="s">
        <v>2390</v>
      </c>
      <c r="D2330" t="s">
        <v>2379</v>
      </c>
      <c r="E2330" t="s">
        <v>25</v>
      </c>
      <c r="F2330" t="s">
        <v>2541</v>
      </c>
      <c r="G2330" t="s">
        <v>25</v>
      </c>
      <c r="H2330" t="b">
        <v>1</v>
      </c>
      <c r="I2330" s="8">
        <v>45952.628622685188</v>
      </c>
      <c r="J2330" t="s">
        <v>2380</v>
      </c>
      <c r="K2330">
        <v>1204035</v>
      </c>
      <c r="L2330">
        <v>602299</v>
      </c>
      <c r="M2330" t="s">
        <v>2381</v>
      </c>
      <c r="N2330">
        <v>5</v>
      </c>
      <c r="P2330" t="s">
        <v>2548</v>
      </c>
      <c r="Q2330" t="s">
        <v>2383</v>
      </c>
      <c r="R2330">
        <v>1</v>
      </c>
      <c r="S2330" t="s">
        <v>2380</v>
      </c>
      <c r="T2330" t="s">
        <v>2383</v>
      </c>
      <c r="U2330" s="8">
        <v>45948.430960648147</v>
      </c>
      <c r="V2330" s="8">
        <v>45952.958333333336</v>
      </c>
      <c r="W2330">
        <v>1</v>
      </c>
      <c r="X2330">
        <v>2.1976620370000002</v>
      </c>
      <c r="Y2330" t="s">
        <v>2542</v>
      </c>
      <c r="Z2330" t="s">
        <v>6276</v>
      </c>
      <c r="AA2330" t="s">
        <v>2927</v>
      </c>
      <c r="AB2330" t="s">
        <v>1278</v>
      </c>
      <c r="AC2330" t="s">
        <v>6277</v>
      </c>
      <c r="AD2330" t="s">
        <v>2708</v>
      </c>
      <c r="AE2330">
        <v>1</v>
      </c>
      <c r="AO2330" t="s">
        <v>2547</v>
      </c>
      <c r="AP2330" t="s">
        <v>2401</v>
      </c>
    </row>
    <row r="2331" spans="1:42">
      <c r="A2331" t="s">
        <v>6278</v>
      </c>
      <c r="B2331" t="s">
        <v>2389</v>
      </c>
      <c r="C2331" t="s">
        <v>2390</v>
      </c>
      <c r="D2331" t="s">
        <v>2379</v>
      </c>
      <c r="E2331" t="s">
        <v>25</v>
      </c>
      <c r="F2331" t="s">
        <v>2541</v>
      </c>
      <c r="G2331" t="s">
        <v>25</v>
      </c>
      <c r="H2331" t="b">
        <v>1</v>
      </c>
      <c r="I2331" s="8">
        <v>45952.610520833332</v>
      </c>
      <c r="J2331" t="s">
        <v>2380</v>
      </c>
      <c r="K2331">
        <v>1204026</v>
      </c>
      <c r="L2331">
        <v>602299</v>
      </c>
      <c r="M2331" t="s">
        <v>2381</v>
      </c>
      <c r="N2331">
        <v>5</v>
      </c>
      <c r="P2331" t="s">
        <v>2548</v>
      </c>
      <c r="Q2331" t="s">
        <v>2383</v>
      </c>
      <c r="R2331">
        <v>1</v>
      </c>
      <c r="S2331" t="s">
        <v>2380</v>
      </c>
      <c r="T2331" t="s">
        <v>2383</v>
      </c>
      <c r="U2331" s="8">
        <v>45948.432314814818</v>
      </c>
      <c r="V2331" s="8">
        <v>45952.958333333336</v>
      </c>
      <c r="W2331">
        <v>1</v>
      </c>
      <c r="X2331">
        <v>2.1782060190000001</v>
      </c>
      <c r="Y2331" t="s">
        <v>2542</v>
      </c>
      <c r="Z2331" t="s">
        <v>6279</v>
      </c>
      <c r="AA2331" t="s">
        <v>2927</v>
      </c>
      <c r="AB2331" t="s">
        <v>1278</v>
      </c>
      <c r="AC2331" t="s">
        <v>6280</v>
      </c>
      <c r="AD2331" t="s">
        <v>2708</v>
      </c>
      <c r="AE2331">
        <v>1</v>
      </c>
      <c r="AO2331" t="s">
        <v>2547</v>
      </c>
      <c r="AP2331" t="s">
        <v>2401</v>
      </c>
    </row>
    <row r="2332" spans="1:42">
      <c r="A2332" t="s">
        <v>6281</v>
      </c>
      <c r="B2332" t="s">
        <v>2389</v>
      </c>
      <c r="C2332" t="s">
        <v>2390</v>
      </c>
      <c r="D2332" t="s">
        <v>2379</v>
      </c>
      <c r="E2332" t="s">
        <v>25</v>
      </c>
      <c r="F2332" t="s">
        <v>2541</v>
      </c>
      <c r="G2332" t="s">
        <v>25</v>
      </c>
      <c r="H2332" t="b">
        <v>1</v>
      </c>
      <c r="I2332" s="8">
        <v>45952.638148148151</v>
      </c>
      <c r="J2332" t="s">
        <v>2380</v>
      </c>
      <c r="K2332">
        <v>1204041</v>
      </c>
      <c r="L2332">
        <v>602299</v>
      </c>
      <c r="M2332" t="s">
        <v>2381</v>
      </c>
      <c r="N2332">
        <v>5</v>
      </c>
      <c r="P2332" t="s">
        <v>2548</v>
      </c>
      <c r="Q2332" t="s">
        <v>2383</v>
      </c>
      <c r="R2332">
        <v>1</v>
      </c>
      <c r="S2332" t="s">
        <v>2380</v>
      </c>
      <c r="T2332" t="s">
        <v>2383</v>
      </c>
      <c r="U2332" s="8">
        <v>45948.441412037035</v>
      </c>
      <c r="V2332" s="8">
        <v>45952.958333333336</v>
      </c>
      <c r="W2332">
        <v>1</v>
      </c>
      <c r="X2332">
        <v>2.1967361109999999</v>
      </c>
      <c r="Y2332" t="s">
        <v>2542</v>
      </c>
      <c r="Z2332" t="s">
        <v>6282</v>
      </c>
      <c r="AA2332" t="s">
        <v>2927</v>
      </c>
      <c r="AB2332" t="s">
        <v>1278</v>
      </c>
      <c r="AC2332" t="s">
        <v>6283</v>
      </c>
      <c r="AD2332" t="s">
        <v>2708</v>
      </c>
      <c r="AE2332">
        <v>1</v>
      </c>
      <c r="AO2332" t="s">
        <v>2547</v>
      </c>
      <c r="AP2332" t="s">
        <v>2401</v>
      </c>
    </row>
    <row r="2333" spans="1:42">
      <c r="A2333" t="s">
        <v>6284</v>
      </c>
      <c r="B2333" t="s">
        <v>2389</v>
      </c>
      <c r="C2333" t="s">
        <v>2390</v>
      </c>
      <c r="D2333" t="s">
        <v>2379</v>
      </c>
      <c r="E2333" t="s">
        <v>25</v>
      </c>
      <c r="F2333" t="s">
        <v>2541</v>
      </c>
      <c r="G2333" t="s">
        <v>25</v>
      </c>
      <c r="H2333" t="b">
        <v>1</v>
      </c>
      <c r="I2333" s="8">
        <v>45952.576412037037</v>
      </c>
      <c r="J2333" t="s">
        <v>2380</v>
      </c>
      <c r="K2333">
        <v>1204006</v>
      </c>
      <c r="L2333">
        <v>602299</v>
      </c>
      <c r="M2333" t="s">
        <v>2381</v>
      </c>
      <c r="N2333">
        <v>5</v>
      </c>
      <c r="P2333" t="s">
        <v>2548</v>
      </c>
      <c r="Q2333" t="s">
        <v>2383</v>
      </c>
      <c r="R2333">
        <v>1</v>
      </c>
      <c r="S2333" t="s">
        <v>2380</v>
      </c>
      <c r="T2333" t="s">
        <v>2383</v>
      </c>
      <c r="U2333" s="8">
        <v>45948.442754629628</v>
      </c>
      <c r="V2333" s="8">
        <v>45952.958333333336</v>
      </c>
      <c r="W2333">
        <v>1</v>
      </c>
      <c r="X2333">
        <v>2.1336574069999998</v>
      </c>
      <c r="Y2333" t="s">
        <v>2542</v>
      </c>
      <c r="Z2333" t="s">
        <v>6285</v>
      </c>
      <c r="AA2333" t="s">
        <v>2927</v>
      </c>
      <c r="AB2333" t="s">
        <v>1278</v>
      </c>
      <c r="AC2333" t="s">
        <v>6286</v>
      </c>
      <c r="AD2333" t="s">
        <v>2708</v>
      </c>
      <c r="AE2333">
        <v>1</v>
      </c>
      <c r="AO2333" t="s">
        <v>2547</v>
      </c>
      <c r="AP2333" t="s">
        <v>2401</v>
      </c>
    </row>
    <row r="2334" spans="1:42">
      <c r="A2334" t="s">
        <v>6287</v>
      </c>
      <c r="B2334" t="s">
        <v>2389</v>
      </c>
      <c r="C2334" t="s">
        <v>2443</v>
      </c>
      <c r="D2334" t="s">
        <v>2443</v>
      </c>
      <c r="E2334" t="s">
        <v>25</v>
      </c>
      <c r="F2334" t="s">
        <v>2541</v>
      </c>
      <c r="G2334" t="s">
        <v>25</v>
      </c>
      <c r="H2334" t="b">
        <v>1</v>
      </c>
      <c r="I2334" s="8">
        <v>45954.641365740739</v>
      </c>
      <c r="J2334" t="s">
        <v>2380</v>
      </c>
      <c r="K2334">
        <v>1204583</v>
      </c>
      <c r="L2334">
        <v>602299</v>
      </c>
      <c r="M2334" t="s">
        <v>2381</v>
      </c>
      <c r="N2334">
        <v>5</v>
      </c>
      <c r="P2334" t="s">
        <v>2548</v>
      </c>
      <c r="Q2334" t="s">
        <v>2383</v>
      </c>
      <c r="R2334">
        <v>1</v>
      </c>
      <c r="S2334" t="s">
        <v>2380</v>
      </c>
      <c r="T2334" t="s">
        <v>2383</v>
      </c>
      <c r="U2334" s="8">
        <v>45948.444872685184</v>
      </c>
      <c r="V2334" s="8">
        <v>45952.958333333336</v>
      </c>
      <c r="W2334">
        <v>1</v>
      </c>
      <c r="X2334">
        <v>4.1964930560000004</v>
      </c>
      <c r="Y2334" t="s">
        <v>2542</v>
      </c>
      <c r="Z2334" t="s">
        <v>6288</v>
      </c>
      <c r="AA2334" t="s">
        <v>2927</v>
      </c>
      <c r="AB2334" t="s">
        <v>1278</v>
      </c>
      <c r="AC2334" t="s">
        <v>6289</v>
      </c>
      <c r="AD2334" t="s">
        <v>2708</v>
      </c>
      <c r="AE2334">
        <v>1</v>
      </c>
      <c r="AO2334" t="s">
        <v>2547</v>
      </c>
      <c r="AP2334" t="s">
        <v>2401</v>
      </c>
    </row>
    <row r="2335" spans="1:42">
      <c r="A2335" t="s">
        <v>6290</v>
      </c>
      <c r="B2335" t="s">
        <v>2389</v>
      </c>
      <c r="C2335" t="s">
        <v>2390</v>
      </c>
      <c r="D2335" t="s">
        <v>2379</v>
      </c>
      <c r="E2335" t="s">
        <v>25</v>
      </c>
      <c r="F2335" t="s">
        <v>2541</v>
      </c>
      <c r="G2335" t="s">
        <v>25</v>
      </c>
      <c r="H2335" t="b">
        <v>1</v>
      </c>
      <c r="I2335" s="8">
        <v>45952.624618055554</v>
      </c>
      <c r="J2335" t="s">
        <v>2380</v>
      </c>
      <c r="K2335">
        <v>1204032</v>
      </c>
      <c r="L2335">
        <v>602299</v>
      </c>
      <c r="M2335" t="s">
        <v>2381</v>
      </c>
      <c r="N2335">
        <v>5</v>
      </c>
      <c r="P2335" t="s">
        <v>2548</v>
      </c>
      <c r="Q2335" t="s">
        <v>2383</v>
      </c>
      <c r="R2335">
        <v>1</v>
      </c>
      <c r="S2335" t="s">
        <v>2380</v>
      </c>
      <c r="T2335" t="s">
        <v>2383</v>
      </c>
      <c r="U2335" s="8">
        <v>45948.456030092595</v>
      </c>
      <c r="V2335" s="8">
        <v>45952.958333333336</v>
      </c>
      <c r="W2335">
        <v>1</v>
      </c>
      <c r="X2335">
        <v>2.1685879629999998</v>
      </c>
      <c r="Y2335" t="s">
        <v>2542</v>
      </c>
      <c r="Z2335" t="s">
        <v>6291</v>
      </c>
      <c r="AA2335" t="s">
        <v>2927</v>
      </c>
      <c r="AB2335" t="s">
        <v>1278</v>
      </c>
      <c r="AC2335" t="s">
        <v>6292</v>
      </c>
      <c r="AD2335" t="s">
        <v>2708</v>
      </c>
      <c r="AE2335">
        <v>1</v>
      </c>
      <c r="AO2335" t="s">
        <v>2547</v>
      </c>
      <c r="AP2335" t="s">
        <v>2401</v>
      </c>
    </row>
    <row r="2336" spans="1:42">
      <c r="A2336" t="s">
        <v>6293</v>
      </c>
      <c r="B2336" t="s">
        <v>2389</v>
      </c>
      <c r="C2336" t="s">
        <v>2390</v>
      </c>
      <c r="D2336" t="s">
        <v>2379</v>
      </c>
      <c r="E2336" t="s">
        <v>25</v>
      </c>
      <c r="F2336" t="s">
        <v>2541</v>
      </c>
      <c r="G2336" t="s">
        <v>25</v>
      </c>
      <c r="H2336" t="b">
        <v>1</v>
      </c>
      <c r="I2336" s="8">
        <v>45952.596724537034</v>
      </c>
      <c r="J2336" t="s">
        <v>2380</v>
      </c>
      <c r="K2336">
        <v>1204018</v>
      </c>
      <c r="L2336">
        <v>602299</v>
      </c>
      <c r="M2336" t="s">
        <v>2381</v>
      </c>
      <c r="N2336">
        <v>5</v>
      </c>
      <c r="P2336" t="s">
        <v>2548</v>
      </c>
      <c r="Q2336" t="s">
        <v>2383</v>
      </c>
      <c r="R2336">
        <v>1</v>
      </c>
      <c r="S2336" t="s">
        <v>2380</v>
      </c>
      <c r="T2336" t="s">
        <v>2383</v>
      </c>
      <c r="U2336" s="8">
        <v>45948.457418981481</v>
      </c>
      <c r="V2336" s="8">
        <v>45952.958333333336</v>
      </c>
      <c r="W2336">
        <v>1</v>
      </c>
      <c r="X2336">
        <v>2.1393055560000001</v>
      </c>
      <c r="Y2336" t="s">
        <v>2542</v>
      </c>
      <c r="Z2336" t="s">
        <v>6294</v>
      </c>
      <c r="AA2336" t="s">
        <v>2927</v>
      </c>
      <c r="AB2336" t="s">
        <v>1278</v>
      </c>
      <c r="AC2336" t="s">
        <v>6295</v>
      </c>
      <c r="AD2336" t="s">
        <v>2708</v>
      </c>
      <c r="AE2336">
        <v>1</v>
      </c>
      <c r="AO2336" t="s">
        <v>2547</v>
      </c>
      <c r="AP2336" t="s">
        <v>2401</v>
      </c>
    </row>
    <row r="2337" spans="1:42">
      <c r="A2337" t="s">
        <v>6296</v>
      </c>
      <c r="B2337" t="s">
        <v>2389</v>
      </c>
      <c r="C2337" t="s">
        <v>2443</v>
      </c>
      <c r="D2337" t="s">
        <v>2443</v>
      </c>
      <c r="E2337" t="s">
        <v>25</v>
      </c>
      <c r="F2337" t="s">
        <v>2541</v>
      </c>
      <c r="G2337" t="s">
        <v>25</v>
      </c>
      <c r="H2337" t="b">
        <v>1</v>
      </c>
      <c r="I2337" s="8">
        <v>45954.623379629629</v>
      </c>
      <c r="J2337" t="s">
        <v>2380</v>
      </c>
      <c r="K2337">
        <v>1204571</v>
      </c>
      <c r="L2337">
        <v>602299</v>
      </c>
      <c r="M2337" t="s">
        <v>2381</v>
      </c>
      <c r="N2337">
        <v>5</v>
      </c>
      <c r="P2337" t="s">
        <v>2548</v>
      </c>
      <c r="Q2337" t="s">
        <v>2383</v>
      </c>
      <c r="R2337">
        <v>1</v>
      </c>
      <c r="S2337" t="s">
        <v>2380</v>
      </c>
      <c r="T2337" t="s">
        <v>2383</v>
      </c>
      <c r="U2337" s="8">
        <v>45948.45957175926</v>
      </c>
      <c r="V2337" s="8">
        <v>45952.958333333336</v>
      </c>
      <c r="W2337">
        <v>1</v>
      </c>
      <c r="X2337">
        <v>4.1638078700000003</v>
      </c>
      <c r="Y2337" t="s">
        <v>2542</v>
      </c>
      <c r="Z2337" t="s">
        <v>6297</v>
      </c>
      <c r="AA2337" t="s">
        <v>2927</v>
      </c>
      <c r="AB2337" t="s">
        <v>1278</v>
      </c>
      <c r="AC2337" t="s">
        <v>6298</v>
      </c>
      <c r="AD2337" t="s">
        <v>2708</v>
      </c>
      <c r="AE2337">
        <v>1</v>
      </c>
      <c r="AO2337" t="s">
        <v>2547</v>
      </c>
      <c r="AP2337" t="s">
        <v>2401</v>
      </c>
    </row>
    <row r="2338" spans="1:42">
      <c r="A2338" t="s">
        <v>6299</v>
      </c>
      <c r="B2338" t="s">
        <v>2389</v>
      </c>
      <c r="C2338" t="s">
        <v>2390</v>
      </c>
      <c r="D2338" t="s">
        <v>2379</v>
      </c>
      <c r="E2338" t="s">
        <v>25</v>
      </c>
      <c r="F2338" t="s">
        <v>2541</v>
      </c>
      <c r="G2338" t="s">
        <v>25</v>
      </c>
      <c r="H2338" t="b">
        <v>1</v>
      </c>
      <c r="I2338" s="8">
        <v>45952.633761574078</v>
      </c>
      <c r="J2338" t="s">
        <v>2380</v>
      </c>
      <c r="K2338">
        <v>1204038</v>
      </c>
      <c r="L2338">
        <v>602299</v>
      </c>
      <c r="M2338" t="s">
        <v>2381</v>
      </c>
      <c r="N2338">
        <v>5</v>
      </c>
      <c r="P2338" t="s">
        <v>2548</v>
      </c>
      <c r="Q2338" t="s">
        <v>2383</v>
      </c>
      <c r="R2338">
        <v>1</v>
      </c>
      <c r="S2338" t="s">
        <v>2380</v>
      </c>
      <c r="T2338" t="s">
        <v>2383</v>
      </c>
      <c r="U2338" s="8">
        <v>45948.460972222223</v>
      </c>
      <c r="V2338" s="8">
        <v>45952.958333333336</v>
      </c>
      <c r="W2338">
        <v>1</v>
      </c>
      <c r="X2338">
        <v>2.1727893520000001</v>
      </c>
      <c r="Y2338" t="s">
        <v>2542</v>
      </c>
      <c r="Z2338" t="s">
        <v>6300</v>
      </c>
      <c r="AA2338" t="s">
        <v>2927</v>
      </c>
      <c r="AB2338" t="s">
        <v>1278</v>
      </c>
      <c r="AC2338" t="s">
        <v>6301</v>
      </c>
      <c r="AD2338" t="s">
        <v>2708</v>
      </c>
      <c r="AE2338">
        <v>1</v>
      </c>
      <c r="AO2338" t="s">
        <v>2547</v>
      </c>
      <c r="AP2338" t="s">
        <v>2401</v>
      </c>
    </row>
    <row r="2339" spans="1:42">
      <c r="A2339" t="s">
        <v>6302</v>
      </c>
      <c r="B2339" t="s">
        <v>2389</v>
      </c>
      <c r="C2339" t="s">
        <v>2390</v>
      </c>
      <c r="D2339" t="s">
        <v>2379</v>
      </c>
      <c r="E2339" t="s">
        <v>25</v>
      </c>
      <c r="F2339" t="s">
        <v>2541</v>
      </c>
      <c r="G2339" t="s">
        <v>25</v>
      </c>
      <c r="H2339" t="b">
        <v>1</v>
      </c>
      <c r="I2339" s="8">
        <v>45952.587638888886</v>
      </c>
      <c r="J2339" t="s">
        <v>2380</v>
      </c>
      <c r="K2339">
        <v>1204015</v>
      </c>
      <c r="L2339">
        <v>602299</v>
      </c>
      <c r="M2339" t="s">
        <v>2381</v>
      </c>
      <c r="N2339">
        <v>5</v>
      </c>
      <c r="P2339" t="s">
        <v>2548</v>
      </c>
      <c r="Q2339" t="s">
        <v>2383</v>
      </c>
      <c r="R2339">
        <v>1</v>
      </c>
      <c r="S2339" t="s">
        <v>2380</v>
      </c>
      <c r="T2339" t="s">
        <v>2383</v>
      </c>
      <c r="U2339" s="8">
        <v>45948.463750000003</v>
      </c>
      <c r="V2339" s="8">
        <v>45952.958333333336</v>
      </c>
      <c r="W2339">
        <v>1</v>
      </c>
      <c r="X2339">
        <v>2.1238888889999998</v>
      </c>
      <c r="Y2339" t="s">
        <v>2542</v>
      </c>
      <c r="Z2339" t="s">
        <v>6303</v>
      </c>
      <c r="AA2339" t="s">
        <v>2927</v>
      </c>
      <c r="AB2339" t="s">
        <v>1278</v>
      </c>
      <c r="AC2339" t="s">
        <v>6304</v>
      </c>
      <c r="AD2339" t="s">
        <v>2708</v>
      </c>
      <c r="AE2339">
        <v>1</v>
      </c>
      <c r="AO2339" t="s">
        <v>2547</v>
      </c>
      <c r="AP2339" t="s">
        <v>2401</v>
      </c>
    </row>
    <row r="2340" spans="1:42">
      <c r="A2340" t="s">
        <v>10329</v>
      </c>
      <c r="B2340" t="s">
        <v>2377</v>
      </c>
      <c r="C2340" t="s">
        <v>2390</v>
      </c>
      <c r="D2340" t="s">
        <v>2379</v>
      </c>
      <c r="E2340" t="s">
        <v>2416</v>
      </c>
      <c r="F2340" t="s">
        <v>4112</v>
      </c>
      <c r="G2340" t="s">
        <v>2416</v>
      </c>
      <c r="H2340" t="b">
        <v>1</v>
      </c>
      <c r="I2340" s="8">
        <v>45952.599502314813</v>
      </c>
      <c r="J2340" t="s">
        <v>2380</v>
      </c>
      <c r="L2340">
        <v>603681</v>
      </c>
      <c r="M2340" t="s">
        <v>2381</v>
      </c>
      <c r="Q2340" t="s">
        <v>2383</v>
      </c>
      <c r="R2340">
        <v>1</v>
      </c>
      <c r="S2340" t="s">
        <v>2380</v>
      </c>
      <c r="T2340" t="s">
        <v>2383</v>
      </c>
      <c r="U2340" s="8">
        <v>45948.463807870372</v>
      </c>
      <c r="V2340" s="8">
        <v>45952.958333333336</v>
      </c>
      <c r="W2340">
        <v>1</v>
      </c>
      <c r="X2340">
        <v>2.1356944439999999</v>
      </c>
      <c r="Y2340" t="s">
        <v>3901</v>
      </c>
      <c r="Z2340" t="s">
        <v>10330</v>
      </c>
      <c r="AA2340" t="s">
        <v>4975</v>
      </c>
      <c r="AB2340" t="s">
        <v>1278</v>
      </c>
      <c r="AC2340" t="s">
        <v>10331</v>
      </c>
      <c r="AE2340">
        <v>1</v>
      </c>
      <c r="AO2340" t="s">
        <v>2715</v>
      </c>
      <c r="AP2340" t="s">
        <v>2401</v>
      </c>
    </row>
    <row r="2341" spans="1:42">
      <c r="A2341" t="s">
        <v>6305</v>
      </c>
      <c r="B2341" t="s">
        <v>2389</v>
      </c>
      <c r="C2341" t="s">
        <v>2443</v>
      </c>
      <c r="D2341" t="s">
        <v>2443</v>
      </c>
      <c r="E2341" t="s">
        <v>25</v>
      </c>
      <c r="F2341" t="s">
        <v>2541</v>
      </c>
      <c r="G2341" t="s">
        <v>25</v>
      </c>
      <c r="H2341" t="b">
        <v>1</v>
      </c>
      <c r="I2341" s="8">
        <v>45954.639652777776</v>
      </c>
      <c r="J2341" t="s">
        <v>2380</v>
      </c>
      <c r="K2341">
        <v>1204582</v>
      </c>
      <c r="L2341">
        <v>602299</v>
      </c>
      <c r="M2341" t="s">
        <v>2381</v>
      </c>
      <c r="N2341">
        <v>5</v>
      </c>
      <c r="P2341" t="s">
        <v>2548</v>
      </c>
      <c r="Q2341" t="s">
        <v>2383</v>
      </c>
      <c r="R2341">
        <v>1</v>
      </c>
      <c r="S2341" t="s">
        <v>2380</v>
      </c>
      <c r="T2341" t="s">
        <v>2383</v>
      </c>
      <c r="U2341" s="8">
        <v>45948.474918981483</v>
      </c>
      <c r="V2341" s="8">
        <v>45952.958333333336</v>
      </c>
      <c r="W2341">
        <v>1</v>
      </c>
      <c r="X2341">
        <v>4.1647337960000002</v>
      </c>
      <c r="Y2341" t="s">
        <v>2542</v>
      </c>
      <c r="Z2341" t="s">
        <v>6306</v>
      </c>
      <c r="AA2341" t="s">
        <v>2927</v>
      </c>
      <c r="AB2341" t="s">
        <v>1278</v>
      </c>
      <c r="AC2341" t="s">
        <v>6307</v>
      </c>
      <c r="AD2341" t="s">
        <v>2708</v>
      </c>
      <c r="AE2341">
        <v>1</v>
      </c>
      <c r="AO2341" t="s">
        <v>2547</v>
      </c>
      <c r="AP2341" t="s">
        <v>2401</v>
      </c>
    </row>
    <row r="2342" spans="1:42">
      <c r="A2342" t="s">
        <v>6308</v>
      </c>
      <c r="B2342" t="s">
        <v>2389</v>
      </c>
      <c r="C2342" t="s">
        <v>2390</v>
      </c>
      <c r="D2342" t="s">
        <v>2379</v>
      </c>
      <c r="E2342" t="s">
        <v>25</v>
      </c>
      <c r="F2342" t="s">
        <v>2541</v>
      </c>
      <c r="G2342" t="s">
        <v>25</v>
      </c>
      <c r="H2342" t="b">
        <v>1</v>
      </c>
      <c r="I2342" s="8">
        <v>45952.60832175926</v>
      </c>
      <c r="J2342" t="s">
        <v>2380</v>
      </c>
      <c r="K2342">
        <v>1204025</v>
      </c>
      <c r="L2342">
        <v>602299</v>
      </c>
      <c r="M2342" t="s">
        <v>2381</v>
      </c>
      <c r="N2342">
        <v>5</v>
      </c>
      <c r="P2342" t="s">
        <v>2548</v>
      </c>
      <c r="Q2342" t="s">
        <v>2383</v>
      </c>
      <c r="R2342">
        <v>1</v>
      </c>
      <c r="S2342" t="s">
        <v>2380</v>
      </c>
      <c r="T2342" t="s">
        <v>2383</v>
      </c>
      <c r="U2342" s="8">
        <v>45948.477060185185</v>
      </c>
      <c r="V2342" s="8">
        <v>45952.958333333336</v>
      </c>
      <c r="W2342">
        <v>1</v>
      </c>
      <c r="X2342">
        <v>2.1312615739999998</v>
      </c>
      <c r="Y2342" t="s">
        <v>2542</v>
      </c>
      <c r="Z2342" t="s">
        <v>6309</v>
      </c>
      <c r="AA2342" t="s">
        <v>2927</v>
      </c>
      <c r="AB2342" t="s">
        <v>1278</v>
      </c>
      <c r="AC2342" t="s">
        <v>6310</v>
      </c>
      <c r="AD2342" t="s">
        <v>2708</v>
      </c>
      <c r="AE2342">
        <v>1</v>
      </c>
      <c r="AO2342" t="s">
        <v>2547</v>
      </c>
      <c r="AP2342" t="s">
        <v>2401</v>
      </c>
    </row>
    <row r="2343" spans="1:42">
      <c r="A2343" t="s">
        <v>6311</v>
      </c>
      <c r="B2343" t="s">
        <v>2389</v>
      </c>
      <c r="C2343" t="s">
        <v>2390</v>
      </c>
      <c r="D2343" t="s">
        <v>2379</v>
      </c>
      <c r="E2343" t="s">
        <v>25</v>
      </c>
      <c r="F2343" t="s">
        <v>2541</v>
      </c>
      <c r="G2343" t="s">
        <v>25</v>
      </c>
      <c r="H2343" t="b">
        <v>1</v>
      </c>
      <c r="I2343" s="8">
        <v>45952.568101851852</v>
      </c>
      <c r="J2343" t="s">
        <v>2380</v>
      </c>
      <c r="K2343">
        <v>1204000</v>
      </c>
      <c r="L2343">
        <v>602299</v>
      </c>
      <c r="M2343" t="s">
        <v>2381</v>
      </c>
      <c r="N2343">
        <v>5</v>
      </c>
      <c r="P2343" t="s">
        <v>2548</v>
      </c>
      <c r="Q2343" t="s">
        <v>2383</v>
      </c>
      <c r="R2343">
        <v>1</v>
      </c>
      <c r="S2343" t="s">
        <v>2380</v>
      </c>
      <c r="T2343" t="s">
        <v>2383</v>
      </c>
      <c r="U2343" s="8">
        <v>45948.479178240741</v>
      </c>
      <c r="V2343" s="8">
        <v>45952.958333333336</v>
      </c>
      <c r="W2343">
        <v>1</v>
      </c>
      <c r="X2343">
        <v>2.0889236109999998</v>
      </c>
      <c r="Y2343" t="s">
        <v>2542</v>
      </c>
      <c r="Z2343" t="s">
        <v>6312</v>
      </c>
      <c r="AA2343" t="s">
        <v>2927</v>
      </c>
      <c r="AB2343" t="s">
        <v>1278</v>
      </c>
      <c r="AC2343" t="s">
        <v>6313</v>
      </c>
      <c r="AD2343" t="s">
        <v>2708</v>
      </c>
      <c r="AE2343">
        <v>1</v>
      </c>
      <c r="AO2343" t="s">
        <v>2547</v>
      </c>
      <c r="AP2343" t="s">
        <v>2401</v>
      </c>
    </row>
    <row r="2344" spans="1:42">
      <c r="A2344" t="s">
        <v>6314</v>
      </c>
      <c r="B2344" t="s">
        <v>2389</v>
      </c>
      <c r="C2344" t="s">
        <v>2443</v>
      </c>
      <c r="D2344" t="s">
        <v>2443</v>
      </c>
      <c r="E2344" t="s">
        <v>25</v>
      </c>
      <c r="F2344" t="s">
        <v>2541</v>
      </c>
      <c r="G2344" t="s">
        <v>25</v>
      </c>
      <c r="H2344" t="b">
        <v>1</v>
      </c>
      <c r="I2344" s="8">
        <v>45954.625902777778</v>
      </c>
      <c r="J2344" t="s">
        <v>2380</v>
      </c>
      <c r="K2344">
        <v>1204573</v>
      </c>
      <c r="L2344">
        <v>602299</v>
      </c>
      <c r="M2344" t="s">
        <v>2381</v>
      </c>
      <c r="N2344">
        <v>5</v>
      </c>
      <c r="P2344" t="s">
        <v>2548</v>
      </c>
      <c r="Q2344" t="s">
        <v>2383</v>
      </c>
      <c r="R2344">
        <v>1</v>
      </c>
      <c r="S2344" t="s">
        <v>2380</v>
      </c>
      <c r="T2344" t="s">
        <v>2383</v>
      </c>
      <c r="U2344" s="8">
        <v>45948.481215277781</v>
      </c>
      <c r="V2344" s="8">
        <v>45952.958333333336</v>
      </c>
      <c r="W2344">
        <v>1</v>
      </c>
      <c r="X2344">
        <v>4.1446874999999999</v>
      </c>
      <c r="Y2344" t="s">
        <v>2542</v>
      </c>
      <c r="Z2344" t="s">
        <v>6315</v>
      </c>
      <c r="AA2344" t="s">
        <v>2927</v>
      </c>
      <c r="AB2344" t="s">
        <v>1278</v>
      </c>
      <c r="AC2344" t="s">
        <v>6316</v>
      </c>
      <c r="AD2344" t="s">
        <v>2708</v>
      </c>
      <c r="AE2344">
        <v>1</v>
      </c>
      <c r="AO2344" t="s">
        <v>2547</v>
      </c>
      <c r="AP2344" t="s">
        <v>2401</v>
      </c>
    </row>
    <row r="2345" spans="1:42">
      <c r="A2345" t="s">
        <v>6317</v>
      </c>
      <c r="B2345" t="s">
        <v>2389</v>
      </c>
      <c r="C2345" t="s">
        <v>2390</v>
      </c>
      <c r="D2345" t="s">
        <v>2379</v>
      </c>
      <c r="E2345" t="s">
        <v>25</v>
      </c>
      <c r="F2345" t="s">
        <v>2541</v>
      </c>
      <c r="G2345" t="s">
        <v>25</v>
      </c>
      <c r="H2345" t="b">
        <v>1</v>
      </c>
      <c r="I2345" s="8">
        <v>45952.593819444446</v>
      </c>
      <c r="J2345" t="s">
        <v>2380</v>
      </c>
      <c r="K2345">
        <v>1204016</v>
      </c>
      <c r="L2345">
        <v>602299</v>
      </c>
      <c r="M2345" t="s">
        <v>2381</v>
      </c>
      <c r="N2345">
        <v>5</v>
      </c>
      <c r="P2345" t="s">
        <v>2548</v>
      </c>
      <c r="Q2345" t="s">
        <v>2383</v>
      </c>
      <c r="R2345">
        <v>1</v>
      </c>
      <c r="S2345" t="s">
        <v>2380</v>
      </c>
      <c r="T2345" t="s">
        <v>2383</v>
      </c>
      <c r="U2345" s="8">
        <v>45948.483310185184</v>
      </c>
      <c r="V2345" s="8">
        <v>45952.958333333336</v>
      </c>
      <c r="W2345">
        <v>1</v>
      </c>
      <c r="X2345">
        <v>2.1105092590000001</v>
      </c>
      <c r="Y2345" t="s">
        <v>2542</v>
      </c>
      <c r="Z2345" t="s">
        <v>6318</v>
      </c>
      <c r="AA2345" t="s">
        <v>2927</v>
      </c>
      <c r="AB2345" t="s">
        <v>1278</v>
      </c>
      <c r="AD2345" t="s">
        <v>2708</v>
      </c>
      <c r="AE2345">
        <v>1</v>
      </c>
      <c r="AO2345" t="s">
        <v>2547</v>
      </c>
      <c r="AP2345" t="s">
        <v>2401</v>
      </c>
    </row>
    <row r="2346" spans="1:42">
      <c r="A2346" t="s">
        <v>6319</v>
      </c>
      <c r="B2346" t="s">
        <v>2389</v>
      </c>
      <c r="C2346" t="s">
        <v>2390</v>
      </c>
      <c r="D2346" t="s">
        <v>2379</v>
      </c>
      <c r="E2346" t="s">
        <v>25</v>
      </c>
      <c r="F2346" t="s">
        <v>2541</v>
      </c>
      <c r="G2346" t="s">
        <v>25</v>
      </c>
      <c r="H2346" t="b">
        <v>1</v>
      </c>
      <c r="I2346" s="8">
        <v>45952.569907407407</v>
      </c>
      <c r="J2346" t="s">
        <v>2380</v>
      </c>
      <c r="K2346">
        <v>1204001</v>
      </c>
      <c r="L2346">
        <v>602299</v>
      </c>
      <c r="M2346" t="s">
        <v>2381</v>
      </c>
      <c r="N2346">
        <v>5</v>
      </c>
      <c r="P2346" t="s">
        <v>2548</v>
      </c>
      <c r="Q2346" t="s">
        <v>2383</v>
      </c>
      <c r="R2346">
        <v>1</v>
      </c>
      <c r="S2346" t="s">
        <v>2380</v>
      </c>
      <c r="T2346" t="s">
        <v>2383</v>
      </c>
      <c r="U2346" s="8">
        <v>45948.484074074076</v>
      </c>
      <c r="V2346" s="8">
        <v>45952.958333333336</v>
      </c>
      <c r="W2346">
        <v>1</v>
      </c>
      <c r="X2346">
        <v>2.0858333330000001</v>
      </c>
      <c r="Y2346" t="s">
        <v>2542</v>
      </c>
      <c r="Z2346" t="s">
        <v>6320</v>
      </c>
      <c r="AA2346" t="s">
        <v>2927</v>
      </c>
      <c r="AB2346" t="s">
        <v>1278</v>
      </c>
      <c r="AC2346" t="s">
        <v>6321</v>
      </c>
      <c r="AD2346" t="s">
        <v>2708</v>
      </c>
      <c r="AE2346">
        <v>1</v>
      </c>
      <c r="AO2346" t="s">
        <v>2547</v>
      </c>
      <c r="AP2346" t="s">
        <v>2401</v>
      </c>
    </row>
    <row r="2347" spans="1:42">
      <c r="A2347" t="s">
        <v>6322</v>
      </c>
      <c r="B2347" t="s">
        <v>2389</v>
      </c>
      <c r="C2347" t="s">
        <v>2443</v>
      </c>
      <c r="D2347" t="s">
        <v>2443</v>
      </c>
      <c r="E2347" t="s">
        <v>25</v>
      </c>
      <c r="F2347" t="s">
        <v>2541</v>
      </c>
      <c r="G2347" t="s">
        <v>25</v>
      </c>
      <c r="H2347" t="b">
        <v>1</v>
      </c>
      <c r="I2347" s="8">
        <v>45954.628622685188</v>
      </c>
      <c r="J2347" t="s">
        <v>2380</v>
      </c>
      <c r="K2347">
        <v>1204574</v>
      </c>
      <c r="L2347">
        <v>602299</v>
      </c>
      <c r="M2347" t="s">
        <v>2381</v>
      </c>
      <c r="N2347">
        <v>5</v>
      </c>
      <c r="P2347" t="s">
        <v>2548</v>
      </c>
      <c r="Q2347" t="s">
        <v>2383</v>
      </c>
      <c r="R2347">
        <v>1</v>
      </c>
      <c r="S2347" t="s">
        <v>2380</v>
      </c>
      <c r="T2347" t="s">
        <v>2383</v>
      </c>
      <c r="U2347" s="8">
        <v>45948.48542824074</v>
      </c>
      <c r="V2347" s="8">
        <v>45952.958333333336</v>
      </c>
      <c r="W2347">
        <v>1</v>
      </c>
      <c r="X2347">
        <v>4.1431944439999997</v>
      </c>
      <c r="Y2347" t="s">
        <v>2542</v>
      </c>
      <c r="Z2347" t="s">
        <v>6323</v>
      </c>
      <c r="AA2347" t="s">
        <v>2927</v>
      </c>
      <c r="AB2347" t="s">
        <v>1278</v>
      </c>
      <c r="AC2347" t="s">
        <v>6324</v>
      </c>
      <c r="AD2347" t="s">
        <v>2708</v>
      </c>
      <c r="AE2347">
        <v>1</v>
      </c>
      <c r="AO2347" t="s">
        <v>2547</v>
      </c>
      <c r="AP2347" t="s">
        <v>2401</v>
      </c>
    </row>
    <row r="2348" spans="1:42">
      <c r="A2348" t="s">
        <v>730</v>
      </c>
      <c r="B2348" t="s">
        <v>2377</v>
      </c>
      <c r="C2348" t="s">
        <v>2438</v>
      </c>
      <c r="D2348" t="s">
        <v>2379</v>
      </c>
      <c r="E2348" t="s">
        <v>84</v>
      </c>
      <c r="F2348" t="s">
        <v>4141</v>
      </c>
      <c r="G2348" t="s">
        <v>84</v>
      </c>
      <c r="H2348" t="b">
        <v>1</v>
      </c>
      <c r="I2348" s="8">
        <v>45948.504895833335</v>
      </c>
      <c r="J2348" t="s">
        <v>2393</v>
      </c>
      <c r="L2348">
        <v>605378</v>
      </c>
      <c r="M2348" t="s">
        <v>2381</v>
      </c>
      <c r="Q2348" t="s">
        <v>2383</v>
      </c>
      <c r="R2348">
        <v>1</v>
      </c>
      <c r="S2348" t="s">
        <v>2393</v>
      </c>
      <c r="T2348" t="s">
        <v>2383</v>
      </c>
      <c r="U2348" s="8">
        <v>45948.491180555553</v>
      </c>
      <c r="V2348" s="8">
        <v>45952.958333333336</v>
      </c>
      <c r="W2348">
        <v>1</v>
      </c>
      <c r="X2348">
        <v>1.3715277999999999E-2</v>
      </c>
      <c r="Y2348" t="s">
        <v>4142</v>
      </c>
      <c r="Z2348" t="s">
        <v>4147</v>
      </c>
      <c r="AA2348" t="s">
        <v>4148</v>
      </c>
      <c r="AB2348" t="s">
        <v>1278</v>
      </c>
      <c r="AC2348" t="s">
        <v>4149</v>
      </c>
      <c r="AD2348" t="s">
        <v>2708</v>
      </c>
      <c r="AE2348">
        <v>1</v>
      </c>
      <c r="AO2348" t="s">
        <v>4146</v>
      </c>
      <c r="AP2348" t="s">
        <v>2401</v>
      </c>
    </row>
    <row r="2349" spans="1:42">
      <c r="A2349" t="s">
        <v>6325</v>
      </c>
      <c r="B2349" t="s">
        <v>2389</v>
      </c>
      <c r="C2349" t="s">
        <v>2390</v>
      </c>
      <c r="D2349" t="s">
        <v>2379</v>
      </c>
      <c r="E2349" t="s">
        <v>25</v>
      </c>
      <c r="F2349" t="s">
        <v>2541</v>
      </c>
      <c r="G2349" t="s">
        <v>25</v>
      </c>
      <c r="H2349" t="b">
        <v>1</v>
      </c>
      <c r="I2349" s="8">
        <v>45952.612326388888</v>
      </c>
      <c r="J2349" t="s">
        <v>2380</v>
      </c>
      <c r="K2349">
        <v>1204027</v>
      </c>
      <c r="L2349">
        <v>602299</v>
      </c>
      <c r="M2349" t="s">
        <v>2381</v>
      </c>
      <c r="N2349">
        <v>5</v>
      </c>
      <c r="P2349" t="s">
        <v>2548</v>
      </c>
      <c r="Q2349" t="s">
        <v>2383</v>
      </c>
      <c r="R2349">
        <v>1</v>
      </c>
      <c r="S2349" t="s">
        <v>2380</v>
      </c>
      <c r="T2349" t="s">
        <v>2383</v>
      </c>
      <c r="U2349" s="8">
        <v>45948.493148148147</v>
      </c>
      <c r="V2349" s="8">
        <v>45952.958333333336</v>
      </c>
      <c r="W2349">
        <v>1</v>
      </c>
      <c r="X2349">
        <v>2.1191782410000002</v>
      </c>
      <c r="Y2349" t="s">
        <v>2542</v>
      </c>
      <c r="Z2349" t="s">
        <v>6326</v>
      </c>
      <c r="AA2349" t="s">
        <v>2927</v>
      </c>
      <c r="AB2349" t="s">
        <v>1278</v>
      </c>
      <c r="AC2349" t="s">
        <v>6327</v>
      </c>
      <c r="AD2349" t="s">
        <v>2708</v>
      </c>
      <c r="AE2349">
        <v>1</v>
      </c>
      <c r="AO2349" t="s">
        <v>2547</v>
      </c>
      <c r="AP2349" t="s">
        <v>2401</v>
      </c>
    </row>
    <row r="2350" spans="1:42">
      <c r="A2350" t="s">
        <v>6328</v>
      </c>
      <c r="B2350" t="s">
        <v>2389</v>
      </c>
      <c r="C2350" t="s">
        <v>2390</v>
      </c>
      <c r="D2350" t="s">
        <v>2379</v>
      </c>
      <c r="E2350" t="s">
        <v>25</v>
      </c>
      <c r="F2350" t="s">
        <v>2541</v>
      </c>
      <c r="G2350" t="s">
        <v>25</v>
      </c>
      <c r="H2350" t="b">
        <v>1</v>
      </c>
      <c r="I2350" s="8">
        <v>45952.573113425926</v>
      </c>
      <c r="J2350" t="s">
        <v>2380</v>
      </c>
      <c r="K2350">
        <v>1204003</v>
      </c>
      <c r="L2350">
        <v>602299</v>
      </c>
      <c r="M2350" t="s">
        <v>2381</v>
      </c>
      <c r="N2350">
        <v>5</v>
      </c>
      <c r="P2350" t="s">
        <v>2548</v>
      </c>
      <c r="Q2350" t="s">
        <v>2383</v>
      </c>
      <c r="R2350">
        <v>1</v>
      </c>
      <c r="S2350" t="s">
        <v>2380</v>
      </c>
      <c r="T2350" t="s">
        <v>2383</v>
      </c>
      <c r="U2350" s="8">
        <v>45948.495196759257</v>
      </c>
      <c r="V2350" s="8">
        <v>45952.958333333336</v>
      </c>
      <c r="W2350">
        <v>1</v>
      </c>
      <c r="X2350">
        <v>2.0779166670000002</v>
      </c>
      <c r="Y2350" t="s">
        <v>2542</v>
      </c>
      <c r="Z2350" t="s">
        <v>6329</v>
      </c>
      <c r="AA2350" t="s">
        <v>2927</v>
      </c>
      <c r="AB2350" t="s">
        <v>1278</v>
      </c>
      <c r="AC2350" t="s">
        <v>6330</v>
      </c>
      <c r="AD2350" t="s">
        <v>2708</v>
      </c>
      <c r="AE2350">
        <v>1</v>
      </c>
      <c r="AO2350" t="s">
        <v>2547</v>
      </c>
      <c r="AP2350" t="s">
        <v>2401</v>
      </c>
    </row>
    <row r="2351" spans="1:42">
      <c r="A2351" t="s">
        <v>6331</v>
      </c>
      <c r="B2351" t="s">
        <v>2389</v>
      </c>
      <c r="C2351" t="s">
        <v>2443</v>
      </c>
      <c r="D2351" t="s">
        <v>2443</v>
      </c>
      <c r="E2351" t="s">
        <v>25</v>
      </c>
      <c r="F2351" t="s">
        <v>2541</v>
      </c>
      <c r="G2351" t="s">
        <v>25</v>
      </c>
      <c r="H2351" t="b">
        <v>1</v>
      </c>
      <c r="I2351" s="8">
        <v>45954.632430555554</v>
      </c>
      <c r="J2351" t="s">
        <v>2380</v>
      </c>
      <c r="K2351">
        <v>1204576</v>
      </c>
      <c r="L2351">
        <v>602299</v>
      </c>
      <c r="M2351" t="s">
        <v>2381</v>
      </c>
      <c r="N2351">
        <v>5</v>
      </c>
      <c r="P2351" t="s">
        <v>2548</v>
      </c>
      <c r="Q2351" t="s">
        <v>2383</v>
      </c>
      <c r="R2351">
        <v>1</v>
      </c>
      <c r="S2351" t="s">
        <v>2380</v>
      </c>
      <c r="T2351" t="s">
        <v>2383</v>
      </c>
      <c r="U2351" s="8">
        <v>45948.497337962966</v>
      </c>
      <c r="V2351" s="8">
        <v>45952.958333333336</v>
      </c>
      <c r="W2351">
        <v>1</v>
      </c>
      <c r="X2351">
        <v>4.1350925930000004</v>
      </c>
      <c r="Y2351" t="s">
        <v>2542</v>
      </c>
      <c r="Z2351" t="s">
        <v>6332</v>
      </c>
      <c r="AA2351" t="s">
        <v>2927</v>
      </c>
      <c r="AB2351" t="s">
        <v>1278</v>
      </c>
      <c r="AC2351" t="s">
        <v>6333</v>
      </c>
      <c r="AD2351" t="s">
        <v>2708</v>
      </c>
      <c r="AE2351">
        <v>1</v>
      </c>
      <c r="AO2351" t="s">
        <v>2547</v>
      </c>
      <c r="AP2351" t="s">
        <v>2401</v>
      </c>
    </row>
    <row r="2352" spans="1:42">
      <c r="A2352" t="s">
        <v>6334</v>
      </c>
      <c r="B2352" t="s">
        <v>2389</v>
      </c>
      <c r="C2352" t="s">
        <v>2390</v>
      </c>
      <c r="D2352" t="s">
        <v>2379</v>
      </c>
      <c r="E2352" t="s">
        <v>25</v>
      </c>
      <c r="F2352" t="s">
        <v>2541</v>
      </c>
      <c r="G2352" t="s">
        <v>25</v>
      </c>
      <c r="H2352" t="b">
        <v>1</v>
      </c>
      <c r="I2352" s="8">
        <v>45952.602881944447</v>
      </c>
      <c r="J2352" t="s">
        <v>2380</v>
      </c>
      <c r="K2352">
        <v>1204023</v>
      </c>
      <c r="L2352">
        <v>602299</v>
      </c>
      <c r="M2352" t="s">
        <v>2381</v>
      </c>
      <c r="N2352">
        <v>5</v>
      </c>
      <c r="P2352" t="s">
        <v>2548</v>
      </c>
      <c r="Q2352" t="s">
        <v>2383</v>
      </c>
      <c r="R2352">
        <v>1</v>
      </c>
      <c r="S2352" t="s">
        <v>2380</v>
      </c>
      <c r="T2352" t="s">
        <v>2383</v>
      </c>
      <c r="U2352" s="8">
        <v>45948.498680555553</v>
      </c>
      <c r="V2352" s="8">
        <v>45952.958333333336</v>
      </c>
      <c r="W2352">
        <v>1</v>
      </c>
      <c r="X2352">
        <v>2.104201389</v>
      </c>
      <c r="Y2352" t="s">
        <v>2542</v>
      </c>
      <c r="Z2352" t="s">
        <v>6335</v>
      </c>
      <c r="AA2352" t="s">
        <v>2927</v>
      </c>
      <c r="AB2352" t="s">
        <v>1278</v>
      </c>
      <c r="AC2352" t="s">
        <v>6336</v>
      </c>
      <c r="AD2352" t="s">
        <v>2708</v>
      </c>
      <c r="AE2352">
        <v>1</v>
      </c>
      <c r="AO2352" t="s">
        <v>2547</v>
      </c>
      <c r="AP2352" t="s">
        <v>2401</v>
      </c>
    </row>
    <row r="2353" spans="1:42">
      <c r="A2353" t="s">
        <v>6337</v>
      </c>
      <c r="B2353" t="s">
        <v>2389</v>
      </c>
      <c r="C2353" t="s">
        <v>2390</v>
      </c>
      <c r="D2353" t="s">
        <v>2379</v>
      </c>
      <c r="E2353" t="s">
        <v>25</v>
      </c>
      <c r="F2353" t="s">
        <v>2541</v>
      </c>
      <c r="G2353" t="s">
        <v>25</v>
      </c>
      <c r="H2353" t="b">
        <v>1</v>
      </c>
      <c r="I2353" s="8">
        <v>45952.579016203701</v>
      </c>
      <c r="J2353" t="s">
        <v>2380</v>
      </c>
      <c r="K2353">
        <v>1204007</v>
      </c>
      <c r="L2353">
        <v>602299</v>
      </c>
      <c r="M2353" t="s">
        <v>2381</v>
      </c>
      <c r="N2353">
        <v>5</v>
      </c>
      <c r="P2353" t="s">
        <v>2548</v>
      </c>
      <c r="Q2353" t="s">
        <v>2383</v>
      </c>
      <c r="R2353">
        <v>1</v>
      </c>
      <c r="S2353" t="s">
        <v>2380</v>
      </c>
      <c r="T2353" t="s">
        <v>2383</v>
      </c>
      <c r="U2353" s="8">
        <v>45948.500127314815</v>
      </c>
      <c r="V2353" s="8">
        <v>45952.958333333336</v>
      </c>
      <c r="W2353">
        <v>1</v>
      </c>
      <c r="X2353">
        <v>2.0788888889999999</v>
      </c>
      <c r="Y2353" t="s">
        <v>2542</v>
      </c>
      <c r="Z2353" t="s">
        <v>6338</v>
      </c>
      <c r="AA2353" t="s">
        <v>2927</v>
      </c>
      <c r="AB2353" t="s">
        <v>1278</v>
      </c>
      <c r="AC2353" t="s">
        <v>6339</v>
      </c>
      <c r="AD2353" t="s">
        <v>2708</v>
      </c>
      <c r="AE2353">
        <v>1</v>
      </c>
      <c r="AO2353" t="s">
        <v>2547</v>
      </c>
      <c r="AP2353" t="s">
        <v>2401</v>
      </c>
    </row>
    <row r="2354" spans="1:42">
      <c r="A2354" t="s">
        <v>7786</v>
      </c>
      <c r="B2354" t="s">
        <v>2389</v>
      </c>
      <c r="C2354" t="s">
        <v>2390</v>
      </c>
      <c r="D2354" t="s">
        <v>2379</v>
      </c>
      <c r="E2354" t="s">
        <v>2452</v>
      </c>
      <c r="F2354" t="s">
        <v>3526</v>
      </c>
      <c r="G2354" t="s">
        <v>2452</v>
      </c>
      <c r="H2354" t="b">
        <v>1</v>
      </c>
      <c r="I2354" s="8">
        <v>45951.576481481483</v>
      </c>
      <c r="J2354" t="s">
        <v>2380</v>
      </c>
      <c r="K2354">
        <v>1203825</v>
      </c>
      <c r="L2354">
        <v>602189</v>
      </c>
      <c r="M2354" t="s">
        <v>2381</v>
      </c>
      <c r="P2354" t="s">
        <v>2394</v>
      </c>
      <c r="Q2354" t="s">
        <v>2383</v>
      </c>
      <c r="R2354">
        <v>1</v>
      </c>
      <c r="S2354" t="s">
        <v>2380</v>
      </c>
      <c r="T2354" t="s">
        <v>2383</v>
      </c>
      <c r="U2354" s="8">
        <v>45949.54383101852</v>
      </c>
      <c r="V2354" s="8">
        <v>45952.958333333336</v>
      </c>
      <c r="W2354">
        <v>1</v>
      </c>
      <c r="X2354">
        <v>2.032650463</v>
      </c>
      <c r="Y2354" t="s">
        <v>3527</v>
      </c>
      <c r="Z2354" t="s">
        <v>7787</v>
      </c>
      <c r="AA2354" t="s">
        <v>3530</v>
      </c>
      <c r="AB2354" t="s">
        <v>1278</v>
      </c>
      <c r="AC2354" t="s">
        <v>7788</v>
      </c>
      <c r="AD2354" t="s">
        <v>2708</v>
      </c>
      <c r="AE2354">
        <v>1</v>
      </c>
      <c r="AO2354" t="s">
        <v>2957</v>
      </c>
      <c r="AP2354" t="s">
        <v>2401</v>
      </c>
    </row>
    <row r="2355" spans="1:42">
      <c r="A2355" t="s">
        <v>954</v>
      </c>
      <c r="B2355" t="s">
        <v>2377</v>
      </c>
      <c r="C2355" t="s">
        <v>2438</v>
      </c>
      <c r="D2355" t="s">
        <v>2379</v>
      </c>
      <c r="E2355" t="s">
        <v>33</v>
      </c>
      <c r="F2355" t="s">
        <v>2409</v>
      </c>
      <c r="G2355" t="s">
        <v>33</v>
      </c>
      <c r="H2355" t="b">
        <v>1</v>
      </c>
      <c r="I2355" s="8">
        <v>45950.501562500001</v>
      </c>
      <c r="J2355" t="s">
        <v>2380</v>
      </c>
      <c r="L2355">
        <v>608028</v>
      </c>
      <c r="M2355" t="s">
        <v>2381</v>
      </c>
      <c r="Q2355" t="s">
        <v>2383</v>
      </c>
      <c r="R2355">
        <v>1</v>
      </c>
      <c r="S2355" t="s">
        <v>2380</v>
      </c>
      <c r="T2355" t="s">
        <v>2383</v>
      </c>
      <c r="U2355" s="8">
        <v>45949.632557870369</v>
      </c>
      <c r="V2355" s="8">
        <v>45952.958333333336</v>
      </c>
      <c r="W2355">
        <v>1</v>
      </c>
      <c r="X2355">
        <v>0.86900462999999994</v>
      </c>
      <c r="Y2355" t="s">
        <v>2410</v>
      </c>
      <c r="Z2355" t="s">
        <v>9298</v>
      </c>
      <c r="AA2355" t="s">
        <v>8806</v>
      </c>
      <c r="AB2355" t="s">
        <v>1278</v>
      </c>
      <c r="AC2355" t="s">
        <v>9204</v>
      </c>
      <c r="AD2355" t="s">
        <v>2708</v>
      </c>
      <c r="AE2355">
        <v>1</v>
      </c>
      <c r="AH2355" t="s">
        <v>2723</v>
      </c>
      <c r="AI2355" s="8">
        <v>45950.498726851853</v>
      </c>
      <c r="AK2355" t="s">
        <v>2719</v>
      </c>
      <c r="AL2355" t="s">
        <v>2724</v>
      </c>
      <c r="AO2355" t="s">
        <v>3644</v>
      </c>
      <c r="AP2355" t="s">
        <v>2401</v>
      </c>
    </row>
    <row r="2356" spans="1:42">
      <c r="A2356" t="s">
        <v>1106</v>
      </c>
      <c r="B2356" t="s">
        <v>2377</v>
      </c>
      <c r="C2356" t="s">
        <v>2438</v>
      </c>
      <c r="D2356" t="s">
        <v>2379</v>
      </c>
      <c r="E2356" t="s">
        <v>33</v>
      </c>
      <c r="F2356" t="s">
        <v>2409</v>
      </c>
      <c r="G2356" t="s">
        <v>33</v>
      </c>
      <c r="H2356" t="b">
        <v>1</v>
      </c>
      <c r="I2356" s="8">
        <v>45950.501493055555</v>
      </c>
      <c r="J2356" t="s">
        <v>2380</v>
      </c>
      <c r="L2356">
        <v>608028</v>
      </c>
      <c r="M2356" t="s">
        <v>2381</v>
      </c>
      <c r="Q2356" t="s">
        <v>2383</v>
      </c>
      <c r="R2356">
        <v>1</v>
      </c>
      <c r="S2356" t="s">
        <v>2380</v>
      </c>
      <c r="T2356" t="s">
        <v>2383</v>
      </c>
      <c r="U2356" s="8">
        <v>45949.632743055554</v>
      </c>
      <c r="V2356" s="8">
        <v>45952.958333333336</v>
      </c>
      <c r="W2356">
        <v>1</v>
      </c>
      <c r="X2356">
        <v>0.86875000000000002</v>
      </c>
      <c r="Y2356" t="s">
        <v>2410</v>
      </c>
      <c r="Z2356" t="s">
        <v>9299</v>
      </c>
      <c r="AA2356" t="s">
        <v>8806</v>
      </c>
      <c r="AB2356" t="s">
        <v>1278</v>
      </c>
      <c r="AC2356" t="s">
        <v>8807</v>
      </c>
      <c r="AD2356" t="s">
        <v>2708</v>
      </c>
      <c r="AE2356">
        <v>1</v>
      </c>
      <c r="AH2356" t="s">
        <v>2723</v>
      </c>
      <c r="AI2356" s="8">
        <v>45950.498611111114</v>
      </c>
      <c r="AK2356" t="s">
        <v>2719</v>
      </c>
      <c r="AL2356" t="s">
        <v>2724</v>
      </c>
      <c r="AO2356" t="s">
        <v>3644</v>
      </c>
      <c r="AP2356" t="s">
        <v>2401</v>
      </c>
    </row>
    <row r="2357" spans="1:42">
      <c r="A2357" t="s">
        <v>7061</v>
      </c>
      <c r="B2357" t="s">
        <v>2389</v>
      </c>
      <c r="C2357" t="s">
        <v>2378</v>
      </c>
      <c r="D2357" t="s">
        <v>2379</v>
      </c>
      <c r="E2357" t="s">
        <v>2452</v>
      </c>
      <c r="F2357" t="s">
        <v>3249</v>
      </c>
      <c r="G2357" t="s">
        <v>2452</v>
      </c>
      <c r="H2357" t="b">
        <v>1</v>
      </c>
      <c r="I2357" s="8">
        <v>45953.481608796297</v>
      </c>
      <c r="J2357" t="s">
        <v>2380</v>
      </c>
      <c r="K2357">
        <v>1204169</v>
      </c>
      <c r="L2357">
        <v>602303</v>
      </c>
      <c r="M2357" t="s">
        <v>2381</v>
      </c>
      <c r="P2357" t="s">
        <v>2427</v>
      </c>
      <c r="Q2357" t="s">
        <v>2383</v>
      </c>
      <c r="R2357">
        <v>1</v>
      </c>
      <c r="S2357" t="s">
        <v>2380</v>
      </c>
      <c r="T2357" t="s">
        <v>2383</v>
      </c>
      <c r="U2357" s="8">
        <v>45950.355729166666</v>
      </c>
      <c r="V2357" s="8">
        <v>45953.958333333336</v>
      </c>
      <c r="W2357">
        <v>1</v>
      </c>
      <c r="X2357">
        <v>3.12587963</v>
      </c>
      <c r="Y2357" t="s">
        <v>3250</v>
      </c>
      <c r="Z2357" t="s">
        <v>7062</v>
      </c>
      <c r="AA2357" t="s">
        <v>3253</v>
      </c>
      <c r="AB2357" t="s">
        <v>1278</v>
      </c>
      <c r="AC2357" t="s">
        <v>7063</v>
      </c>
      <c r="AD2357" t="s">
        <v>2708</v>
      </c>
      <c r="AE2357">
        <v>1</v>
      </c>
      <c r="AO2357" t="s">
        <v>2388</v>
      </c>
      <c r="AP2357" t="s">
        <v>2401</v>
      </c>
    </row>
    <row r="2358" spans="1:42">
      <c r="A2358" t="s">
        <v>6536</v>
      </c>
      <c r="B2358" t="s">
        <v>2389</v>
      </c>
      <c r="C2358" t="s">
        <v>2390</v>
      </c>
      <c r="D2358" t="s">
        <v>2379</v>
      </c>
      <c r="E2358" t="s">
        <v>25</v>
      </c>
      <c r="F2358" t="s">
        <v>2541</v>
      </c>
      <c r="G2358" t="s">
        <v>25</v>
      </c>
      <c r="H2358" t="b">
        <v>1</v>
      </c>
      <c r="I2358" s="8">
        <v>45953.362696759257</v>
      </c>
      <c r="J2358" t="s">
        <v>2380</v>
      </c>
      <c r="K2358">
        <v>1204100</v>
      </c>
      <c r="L2358">
        <v>601441</v>
      </c>
      <c r="M2358" t="s">
        <v>2381</v>
      </c>
      <c r="N2358">
        <v>5</v>
      </c>
      <c r="P2358" t="s">
        <v>2427</v>
      </c>
      <c r="Q2358" t="s">
        <v>2383</v>
      </c>
      <c r="R2358">
        <v>1</v>
      </c>
      <c r="S2358" t="s">
        <v>2380</v>
      </c>
      <c r="T2358" t="s">
        <v>2383</v>
      </c>
      <c r="U2358" s="8">
        <v>45950.370648148149</v>
      </c>
      <c r="V2358" s="8">
        <v>45953.958333333336</v>
      </c>
      <c r="W2358">
        <v>1</v>
      </c>
      <c r="X2358">
        <v>2.992048611</v>
      </c>
      <c r="Y2358" t="s">
        <v>2542</v>
      </c>
      <c r="Z2358" t="s">
        <v>6537</v>
      </c>
      <c r="AA2358" t="s">
        <v>2884</v>
      </c>
      <c r="AB2358" t="s">
        <v>1278</v>
      </c>
      <c r="AC2358" t="s">
        <v>6538</v>
      </c>
      <c r="AD2358" t="s">
        <v>2708</v>
      </c>
      <c r="AE2358">
        <v>1</v>
      </c>
      <c r="AO2358" t="s">
        <v>2547</v>
      </c>
      <c r="AP2358" t="s">
        <v>2401</v>
      </c>
    </row>
    <row r="2359" spans="1:42">
      <c r="A2359" t="s">
        <v>3305</v>
      </c>
      <c r="B2359" t="s">
        <v>2389</v>
      </c>
      <c r="C2359" t="s">
        <v>2390</v>
      </c>
      <c r="D2359" t="s">
        <v>2379</v>
      </c>
      <c r="E2359" t="s">
        <v>307</v>
      </c>
      <c r="F2359" t="s">
        <v>2588</v>
      </c>
      <c r="G2359" t="s">
        <v>307</v>
      </c>
      <c r="H2359" t="b">
        <v>1</v>
      </c>
      <c r="I2359" s="8">
        <v>45950.672685185185</v>
      </c>
      <c r="J2359" t="s">
        <v>2380</v>
      </c>
      <c r="L2359">
        <v>602590</v>
      </c>
      <c r="M2359" t="s">
        <v>2381</v>
      </c>
      <c r="P2359" t="s">
        <v>2427</v>
      </c>
      <c r="Q2359" t="s">
        <v>2383</v>
      </c>
      <c r="R2359">
        <v>1</v>
      </c>
      <c r="S2359" t="s">
        <v>2380</v>
      </c>
      <c r="T2359" t="s">
        <v>2383</v>
      </c>
      <c r="U2359" s="8">
        <v>45946.344965277778</v>
      </c>
      <c r="V2359" s="8">
        <v>45951.958333333336</v>
      </c>
      <c r="W2359">
        <v>1</v>
      </c>
      <c r="X2359">
        <v>2.3277199070000001</v>
      </c>
      <c r="Y2359" t="s">
        <v>2579</v>
      </c>
      <c r="Z2359" t="s">
        <v>3306</v>
      </c>
      <c r="AA2359" t="s">
        <v>3307</v>
      </c>
      <c r="AB2359" t="s">
        <v>1278</v>
      </c>
      <c r="AC2359" t="s">
        <v>2800</v>
      </c>
      <c r="AE2359">
        <v>1</v>
      </c>
      <c r="AO2359" t="s">
        <v>2388</v>
      </c>
      <c r="AP2359" t="s">
        <v>2401</v>
      </c>
    </row>
    <row r="2360" spans="1:42">
      <c r="A2360" t="s">
        <v>7362</v>
      </c>
      <c r="B2360" t="s">
        <v>2389</v>
      </c>
      <c r="C2360" t="s">
        <v>2390</v>
      </c>
      <c r="D2360" t="s">
        <v>2379</v>
      </c>
      <c r="E2360" t="s">
        <v>25</v>
      </c>
      <c r="F2360" t="s">
        <v>2588</v>
      </c>
      <c r="G2360" t="s">
        <v>25</v>
      </c>
      <c r="H2360" t="b">
        <v>1</v>
      </c>
      <c r="I2360" s="8">
        <v>45950.442835648151</v>
      </c>
      <c r="J2360" t="s">
        <v>2380</v>
      </c>
      <c r="K2360">
        <v>1203518</v>
      </c>
      <c r="L2360">
        <v>602590</v>
      </c>
      <c r="M2360" t="s">
        <v>2381</v>
      </c>
      <c r="N2360">
        <v>5</v>
      </c>
      <c r="P2360" t="s">
        <v>2427</v>
      </c>
      <c r="Q2360" t="s">
        <v>2383</v>
      </c>
      <c r="R2360">
        <v>1</v>
      </c>
      <c r="S2360" t="s">
        <v>2380</v>
      </c>
      <c r="T2360" t="s">
        <v>2383</v>
      </c>
      <c r="U2360" s="8">
        <v>45946.344965277778</v>
      </c>
      <c r="V2360" s="8">
        <v>45951.958333333336</v>
      </c>
      <c r="W2360">
        <v>1</v>
      </c>
      <c r="X2360">
        <v>2.0978703699999999</v>
      </c>
      <c r="Y2360" t="s">
        <v>2579</v>
      </c>
      <c r="Z2360" t="s">
        <v>7363</v>
      </c>
      <c r="AA2360" t="s">
        <v>3307</v>
      </c>
      <c r="AB2360" t="s">
        <v>1278</v>
      </c>
      <c r="AC2360" t="s">
        <v>7364</v>
      </c>
      <c r="AD2360" t="s">
        <v>2708</v>
      </c>
      <c r="AE2360">
        <v>1</v>
      </c>
      <c r="AO2360" t="s">
        <v>2388</v>
      </c>
      <c r="AP2360" t="s">
        <v>2401</v>
      </c>
    </row>
    <row r="2361" spans="1:42">
      <c r="A2361" t="s">
        <v>7344</v>
      </c>
      <c r="B2361" t="s">
        <v>2389</v>
      </c>
      <c r="C2361" t="s">
        <v>2443</v>
      </c>
      <c r="D2361" t="s">
        <v>2443</v>
      </c>
      <c r="E2361" t="s">
        <v>25</v>
      </c>
      <c r="F2361" t="s">
        <v>4566</v>
      </c>
      <c r="G2361" t="s">
        <v>25</v>
      </c>
      <c r="H2361" t="b">
        <v>1</v>
      </c>
      <c r="I2361" s="8">
        <v>45958.625324074077</v>
      </c>
      <c r="J2361" t="s">
        <v>2380</v>
      </c>
      <c r="K2361">
        <v>1205348</v>
      </c>
      <c r="L2361">
        <v>603800</v>
      </c>
      <c r="M2361" t="s">
        <v>2381</v>
      </c>
      <c r="N2361">
        <v>5</v>
      </c>
      <c r="P2361" t="s">
        <v>2394</v>
      </c>
      <c r="Q2361" t="s">
        <v>2383</v>
      </c>
      <c r="R2361">
        <v>1</v>
      </c>
      <c r="S2361" t="s">
        <v>2380</v>
      </c>
      <c r="T2361" t="s">
        <v>2383</v>
      </c>
      <c r="U2361" s="8">
        <v>45950.376712962963</v>
      </c>
      <c r="V2361" s="8">
        <v>45953.958333333336</v>
      </c>
      <c r="W2361">
        <v>1</v>
      </c>
      <c r="X2361">
        <v>6.2486111109999998</v>
      </c>
      <c r="Y2361" t="s">
        <v>4567</v>
      </c>
      <c r="Z2361" t="s">
        <v>7345</v>
      </c>
      <c r="AA2361" t="s">
        <v>4570</v>
      </c>
      <c r="AB2361" t="s">
        <v>1278</v>
      </c>
      <c r="AC2361" t="s">
        <v>7346</v>
      </c>
      <c r="AD2361" t="s">
        <v>2708</v>
      </c>
      <c r="AE2361">
        <v>1</v>
      </c>
      <c r="AO2361" t="s">
        <v>2388</v>
      </c>
      <c r="AP2361" t="s">
        <v>2401</v>
      </c>
    </row>
    <row r="2362" spans="1:42">
      <c r="A2362" t="s">
        <v>3881</v>
      </c>
      <c r="B2362" t="s">
        <v>2389</v>
      </c>
      <c r="C2362" t="s">
        <v>2390</v>
      </c>
      <c r="D2362" t="s">
        <v>2379</v>
      </c>
      <c r="E2362" t="s">
        <v>2452</v>
      </c>
      <c r="F2362" t="s">
        <v>3747</v>
      </c>
      <c r="G2362" t="s">
        <v>2452</v>
      </c>
      <c r="H2362" t="b">
        <v>1</v>
      </c>
      <c r="I2362" s="8">
        <v>45952.653877314813</v>
      </c>
      <c r="J2362" t="s">
        <v>2380</v>
      </c>
      <c r="L2362">
        <v>606823</v>
      </c>
      <c r="M2362" t="s">
        <v>2381</v>
      </c>
      <c r="P2362" t="s">
        <v>2394</v>
      </c>
      <c r="Q2362" t="s">
        <v>2383</v>
      </c>
      <c r="R2362">
        <v>1</v>
      </c>
      <c r="S2362" t="s">
        <v>2380</v>
      </c>
      <c r="T2362" t="s">
        <v>2383</v>
      </c>
      <c r="U2362" s="8">
        <v>45950.378807870373</v>
      </c>
      <c r="V2362" s="8">
        <v>45953.958333333336</v>
      </c>
      <c r="W2362">
        <v>1</v>
      </c>
      <c r="X2362">
        <v>2.2750694440000001</v>
      </c>
      <c r="Y2362" t="s">
        <v>3748</v>
      </c>
      <c r="Z2362" t="s">
        <v>3882</v>
      </c>
      <c r="AA2362" t="s">
        <v>3883</v>
      </c>
      <c r="AB2362" t="s">
        <v>1278</v>
      </c>
      <c r="AC2362" t="s">
        <v>3884</v>
      </c>
      <c r="AE2362">
        <v>1</v>
      </c>
      <c r="AO2362" t="s">
        <v>2712</v>
      </c>
      <c r="AP2362" t="s">
        <v>2401</v>
      </c>
    </row>
    <row r="2363" spans="1:42">
      <c r="A2363" t="s">
        <v>3387</v>
      </c>
      <c r="B2363" t="s">
        <v>2389</v>
      </c>
      <c r="C2363" t="s">
        <v>2378</v>
      </c>
      <c r="D2363" t="s">
        <v>2379</v>
      </c>
      <c r="E2363" t="s">
        <v>2452</v>
      </c>
      <c r="F2363" t="s">
        <v>2627</v>
      </c>
      <c r="G2363" t="s">
        <v>2452</v>
      </c>
      <c r="H2363" t="b">
        <v>1</v>
      </c>
      <c r="I2363" s="8">
        <v>45953.640289351853</v>
      </c>
      <c r="J2363" t="s">
        <v>2380</v>
      </c>
      <c r="L2363">
        <v>606859</v>
      </c>
      <c r="M2363" t="s">
        <v>2381</v>
      </c>
      <c r="P2363" t="s">
        <v>2394</v>
      </c>
      <c r="Q2363" t="s">
        <v>2383</v>
      </c>
      <c r="R2363">
        <v>1</v>
      </c>
      <c r="S2363" t="s">
        <v>2380</v>
      </c>
      <c r="T2363" t="s">
        <v>2383</v>
      </c>
      <c r="U2363" s="8">
        <v>45950.390763888892</v>
      </c>
      <c r="V2363" s="8">
        <v>45953.958333333336</v>
      </c>
      <c r="W2363">
        <v>1</v>
      </c>
      <c r="X2363">
        <v>3.2495254629999999</v>
      </c>
      <c r="Y2363" t="s">
        <v>2628</v>
      </c>
      <c r="Z2363" t="s">
        <v>3388</v>
      </c>
      <c r="AA2363" t="s">
        <v>692</v>
      </c>
      <c r="AB2363" t="s">
        <v>1278</v>
      </c>
      <c r="AC2363" t="s">
        <v>3389</v>
      </c>
      <c r="AE2363">
        <v>1</v>
      </c>
      <c r="AO2363" t="s">
        <v>2388</v>
      </c>
      <c r="AP2363" t="s">
        <v>2401</v>
      </c>
    </row>
    <row r="2364" spans="1:42">
      <c r="A2364" t="s">
        <v>7995</v>
      </c>
      <c r="B2364" t="s">
        <v>2389</v>
      </c>
      <c r="C2364" t="s">
        <v>2443</v>
      </c>
      <c r="D2364" t="s">
        <v>2443</v>
      </c>
      <c r="E2364" t="s">
        <v>25</v>
      </c>
      <c r="F2364" t="s">
        <v>4709</v>
      </c>
      <c r="G2364" t="s">
        <v>25</v>
      </c>
      <c r="H2364" t="b">
        <v>1</v>
      </c>
      <c r="I2364" s="8">
        <v>45954.376851851855</v>
      </c>
      <c r="J2364" t="s">
        <v>2380</v>
      </c>
      <c r="K2364">
        <v>1204355</v>
      </c>
      <c r="L2364">
        <v>603168</v>
      </c>
      <c r="M2364" t="s">
        <v>2381</v>
      </c>
      <c r="N2364">
        <v>5</v>
      </c>
      <c r="P2364" t="s">
        <v>2394</v>
      </c>
      <c r="Q2364" t="s">
        <v>2383</v>
      </c>
      <c r="R2364">
        <v>1</v>
      </c>
      <c r="S2364" t="s">
        <v>2380</v>
      </c>
      <c r="T2364" t="s">
        <v>2383</v>
      </c>
      <c r="U2364" s="8">
        <v>45950.397129629629</v>
      </c>
      <c r="V2364" s="8">
        <v>45953.958333333336</v>
      </c>
      <c r="W2364">
        <v>1</v>
      </c>
      <c r="X2364">
        <v>3.9797222219999999</v>
      </c>
      <c r="Y2364" t="s">
        <v>4653</v>
      </c>
      <c r="Z2364" t="s">
        <v>7996</v>
      </c>
      <c r="AA2364" t="s">
        <v>4712</v>
      </c>
      <c r="AB2364" t="s">
        <v>1278</v>
      </c>
      <c r="AC2364" t="s">
        <v>7997</v>
      </c>
      <c r="AD2364" t="s">
        <v>2708</v>
      </c>
      <c r="AE2364">
        <v>1</v>
      </c>
      <c r="AO2364" t="s">
        <v>2957</v>
      </c>
      <c r="AP2364" t="s">
        <v>2401</v>
      </c>
    </row>
    <row r="2365" spans="1:42">
      <c r="A2365" t="s">
        <v>3375</v>
      </c>
      <c r="B2365" t="s">
        <v>2389</v>
      </c>
      <c r="C2365" t="s">
        <v>2390</v>
      </c>
      <c r="D2365" t="s">
        <v>2379</v>
      </c>
      <c r="E2365" t="s">
        <v>2452</v>
      </c>
      <c r="F2365" t="s">
        <v>2578</v>
      </c>
      <c r="G2365" t="s">
        <v>2452</v>
      </c>
      <c r="H2365" t="b">
        <v>1</v>
      </c>
      <c r="I2365" s="8">
        <v>45952.664421296293</v>
      </c>
      <c r="J2365" t="s">
        <v>2380</v>
      </c>
      <c r="L2365">
        <v>605141</v>
      </c>
      <c r="M2365" t="s">
        <v>2381</v>
      </c>
      <c r="P2365" t="s">
        <v>2394</v>
      </c>
      <c r="Q2365" t="s">
        <v>2383</v>
      </c>
      <c r="R2365">
        <v>1</v>
      </c>
      <c r="S2365" t="s">
        <v>2380</v>
      </c>
      <c r="T2365" t="s">
        <v>2383</v>
      </c>
      <c r="U2365" s="8">
        <v>45950.397777777776</v>
      </c>
      <c r="V2365" s="8">
        <v>45953.958333333336</v>
      </c>
      <c r="W2365">
        <v>1</v>
      </c>
      <c r="X2365">
        <v>2.2666435190000001</v>
      </c>
      <c r="Y2365" t="s">
        <v>2579</v>
      </c>
      <c r="Z2365" t="s">
        <v>3376</v>
      </c>
      <c r="AA2365" t="s">
        <v>3377</v>
      </c>
      <c r="AB2365" t="s">
        <v>1278</v>
      </c>
      <c r="AC2365" t="s">
        <v>3378</v>
      </c>
      <c r="AE2365">
        <v>1</v>
      </c>
      <c r="AO2365" t="s">
        <v>2388</v>
      </c>
      <c r="AP2365" t="s">
        <v>2401</v>
      </c>
    </row>
    <row r="2366" spans="1:42">
      <c r="A2366" t="s">
        <v>844</v>
      </c>
      <c r="B2366" t="s">
        <v>2377</v>
      </c>
      <c r="C2366" t="s">
        <v>2415</v>
      </c>
      <c r="D2366" t="s">
        <v>2379</v>
      </c>
      <c r="E2366" t="s">
        <v>33</v>
      </c>
      <c r="F2366" t="s">
        <v>2402</v>
      </c>
      <c r="G2366" t="s">
        <v>33</v>
      </c>
      <c r="H2366" t="b">
        <v>1</v>
      </c>
      <c r="I2366" s="8">
        <v>45951.436145833337</v>
      </c>
      <c r="J2366" t="s">
        <v>2380</v>
      </c>
      <c r="L2366">
        <v>603505</v>
      </c>
      <c r="M2366" t="s">
        <v>2381</v>
      </c>
      <c r="Q2366" t="s">
        <v>2383</v>
      </c>
      <c r="R2366">
        <v>1</v>
      </c>
      <c r="S2366" t="s">
        <v>2380</v>
      </c>
      <c r="T2366" t="s">
        <v>2383</v>
      </c>
      <c r="U2366" s="8">
        <v>45950.408715277779</v>
      </c>
      <c r="V2366" s="8">
        <v>45953.958333333336</v>
      </c>
      <c r="W2366">
        <v>1</v>
      </c>
      <c r="X2366">
        <v>1.0274305560000001</v>
      </c>
      <c r="Y2366" t="s">
        <v>2403</v>
      </c>
      <c r="Z2366" t="s">
        <v>5215</v>
      </c>
      <c r="AA2366" t="s">
        <v>2773</v>
      </c>
      <c r="AB2366" t="s">
        <v>1278</v>
      </c>
      <c r="AC2366" t="s">
        <v>5216</v>
      </c>
      <c r="AD2366" t="s">
        <v>2708</v>
      </c>
      <c r="AE2366">
        <v>1</v>
      </c>
      <c r="AH2366" t="s">
        <v>24</v>
      </c>
      <c r="AI2366" s="8">
        <v>45951.431863425925</v>
      </c>
      <c r="AK2366" t="s">
        <v>2719</v>
      </c>
      <c r="AL2366" t="s">
        <v>2719</v>
      </c>
      <c r="AO2366" t="s">
        <v>2408</v>
      </c>
      <c r="AP2366" t="s">
        <v>2401</v>
      </c>
    </row>
    <row r="2367" spans="1:42">
      <c r="A2367" t="s">
        <v>8323</v>
      </c>
      <c r="B2367" t="s">
        <v>2389</v>
      </c>
      <c r="C2367" t="s">
        <v>2390</v>
      </c>
      <c r="D2367" t="s">
        <v>2379</v>
      </c>
      <c r="E2367" t="s">
        <v>25</v>
      </c>
      <c r="F2367" t="s">
        <v>2627</v>
      </c>
      <c r="G2367" t="s">
        <v>25</v>
      </c>
      <c r="H2367" t="b">
        <v>1</v>
      </c>
      <c r="I2367" s="8">
        <v>45952.701342592591</v>
      </c>
      <c r="J2367" t="s">
        <v>2380</v>
      </c>
      <c r="K2367">
        <v>1204093</v>
      </c>
      <c r="L2367">
        <v>604362</v>
      </c>
      <c r="M2367" t="s">
        <v>2381</v>
      </c>
      <c r="N2367">
        <v>5</v>
      </c>
      <c r="P2367" t="s">
        <v>2394</v>
      </c>
      <c r="Q2367" t="s">
        <v>2395</v>
      </c>
      <c r="R2367">
        <v>1</v>
      </c>
      <c r="S2367" t="s">
        <v>2380</v>
      </c>
      <c r="T2367" t="s">
        <v>2383</v>
      </c>
      <c r="U2367" s="8">
        <v>45950.409108796295</v>
      </c>
      <c r="V2367" s="8">
        <v>45953.958333333336</v>
      </c>
      <c r="W2367">
        <v>1</v>
      </c>
      <c r="X2367">
        <v>2.2922337960000001</v>
      </c>
      <c r="Y2367" t="s">
        <v>2628</v>
      </c>
      <c r="Z2367" t="s">
        <v>8324</v>
      </c>
      <c r="AA2367" t="s">
        <v>8325</v>
      </c>
      <c r="AB2367" t="s">
        <v>1278</v>
      </c>
      <c r="AC2367" t="s">
        <v>8326</v>
      </c>
      <c r="AD2367" t="s">
        <v>2708</v>
      </c>
      <c r="AE2367">
        <v>1</v>
      </c>
      <c r="AO2367" t="s">
        <v>4137</v>
      </c>
      <c r="AP2367" t="s">
        <v>2401</v>
      </c>
    </row>
    <row r="2368" spans="1:42">
      <c r="A2368" t="s">
        <v>3121</v>
      </c>
      <c r="B2368" t="s">
        <v>2389</v>
      </c>
      <c r="C2368" t="s">
        <v>2378</v>
      </c>
      <c r="D2368" t="s">
        <v>2379</v>
      </c>
      <c r="E2368" t="s">
        <v>2452</v>
      </c>
      <c r="F2368" t="s">
        <v>2541</v>
      </c>
      <c r="G2368" t="s">
        <v>2452</v>
      </c>
      <c r="H2368" t="b">
        <v>1</v>
      </c>
      <c r="I2368" s="8">
        <v>45953.602523148147</v>
      </c>
      <c r="J2368" t="s">
        <v>2380</v>
      </c>
      <c r="K2368">
        <v>1204256</v>
      </c>
      <c r="L2368">
        <v>608399</v>
      </c>
      <c r="M2368" t="s">
        <v>2381</v>
      </c>
      <c r="P2368" t="s">
        <v>3117</v>
      </c>
      <c r="Q2368" t="s">
        <v>2383</v>
      </c>
      <c r="R2368">
        <v>1</v>
      </c>
      <c r="S2368" t="s">
        <v>2380</v>
      </c>
      <c r="T2368" t="s">
        <v>2383</v>
      </c>
      <c r="U2368" s="8">
        <v>45950.412986111114</v>
      </c>
      <c r="V2368" s="8">
        <v>45953.958333333336</v>
      </c>
      <c r="W2368">
        <v>1</v>
      </c>
      <c r="X2368">
        <v>3.189537037</v>
      </c>
      <c r="Y2368" t="s">
        <v>2542</v>
      </c>
      <c r="Z2368" t="s">
        <v>3122</v>
      </c>
      <c r="AA2368" t="s">
        <v>2576</v>
      </c>
      <c r="AB2368" t="s">
        <v>1278</v>
      </c>
      <c r="AC2368" t="s">
        <v>3123</v>
      </c>
      <c r="AD2368" t="s">
        <v>2708</v>
      </c>
      <c r="AE2368">
        <v>1</v>
      </c>
      <c r="AO2368" t="s">
        <v>2547</v>
      </c>
      <c r="AP2368" t="s">
        <v>2401</v>
      </c>
    </row>
    <row r="2369" spans="1:42">
      <c r="A2369" t="s">
        <v>9417</v>
      </c>
      <c r="B2369" t="s">
        <v>2389</v>
      </c>
      <c r="C2369" t="s">
        <v>2378</v>
      </c>
      <c r="D2369" t="s">
        <v>2379</v>
      </c>
      <c r="E2369" t="s">
        <v>2452</v>
      </c>
      <c r="F2369">
        <v>6394</v>
      </c>
      <c r="G2369" t="s">
        <v>2452</v>
      </c>
      <c r="H2369" t="b">
        <v>1</v>
      </c>
      <c r="I2369" s="8">
        <v>45953.660671296297</v>
      </c>
      <c r="J2369" t="s">
        <v>2380</v>
      </c>
      <c r="L2369">
        <v>605798</v>
      </c>
      <c r="M2369" t="s">
        <v>2381</v>
      </c>
      <c r="P2369" t="s">
        <v>2394</v>
      </c>
      <c r="Q2369" t="s">
        <v>2383</v>
      </c>
      <c r="R2369">
        <v>1</v>
      </c>
      <c r="S2369" t="s">
        <v>2380</v>
      </c>
      <c r="T2369" t="s">
        <v>2383</v>
      </c>
      <c r="U2369" s="8">
        <v>45950.413391203707</v>
      </c>
      <c r="V2369" s="8">
        <v>45953.958333333336</v>
      </c>
      <c r="W2369">
        <v>1</v>
      </c>
      <c r="X2369">
        <v>3.2472800930000001</v>
      </c>
      <c r="Y2369" t="s">
        <v>3241</v>
      </c>
      <c r="Z2369" t="s">
        <v>9418</v>
      </c>
      <c r="AA2369" t="s">
        <v>9419</v>
      </c>
      <c r="AB2369" t="s">
        <v>1278</v>
      </c>
      <c r="AC2369" t="s">
        <v>9420</v>
      </c>
      <c r="AE2369">
        <v>1</v>
      </c>
      <c r="AO2369" t="s">
        <v>2388</v>
      </c>
      <c r="AP2369" t="s">
        <v>8931</v>
      </c>
    </row>
    <row r="2370" spans="1:42">
      <c r="A2370" t="s">
        <v>8111</v>
      </c>
      <c r="B2370" t="s">
        <v>2389</v>
      </c>
      <c r="C2370" t="s">
        <v>2378</v>
      </c>
      <c r="D2370" t="s">
        <v>2379</v>
      </c>
      <c r="E2370" t="s">
        <v>33</v>
      </c>
      <c r="F2370" t="s">
        <v>8109</v>
      </c>
      <c r="G2370" t="s">
        <v>33</v>
      </c>
      <c r="H2370" t="b">
        <v>1</v>
      </c>
      <c r="I2370" s="8">
        <v>45953.563750000001</v>
      </c>
      <c r="J2370" t="s">
        <v>2380</v>
      </c>
      <c r="K2370">
        <v>1204222</v>
      </c>
      <c r="L2370">
        <v>604185</v>
      </c>
      <c r="M2370" t="s">
        <v>2381</v>
      </c>
      <c r="P2370" t="s">
        <v>2394</v>
      </c>
      <c r="Q2370" t="s">
        <v>2395</v>
      </c>
      <c r="R2370">
        <v>1</v>
      </c>
      <c r="S2370" t="s">
        <v>2380</v>
      </c>
      <c r="T2370" t="s">
        <v>2383</v>
      </c>
      <c r="U2370" s="8">
        <v>45950.423206018517</v>
      </c>
      <c r="V2370" s="8">
        <v>45953.958333333336</v>
      </c>
      <c r="W2370">
        <v>1</v>
      </c>
      <c r="X2370">
        <v>3.140543981</v>
      </c>
      <c r="Y2370" t="s">
        <v>8110</v>
      </c>
      <c r="Z2370" t="s">
        <v>8112</v>
      </c>
      <c r="AA2370" t="s">
        <v>8113</v>
      </c>
      <c r="AB2370" t="s">
        <v>1278</v>
      </c>
      <c r="AC2370" t="s">
        <v>8114</v>
      </c>
      <c r="AD2370" t="s">
        <v>2708</v>
      </c>
      <c r="AE2370">
        <v>1</v>
      </c>
      <c r="AO2370" t="s">
        <v>4137</v>
      </c>
      <c r="AP2370" t="s">
        <v>2401</v>
      </c>
    </row>
    <row r="2371" spans="1:42">
      <c r="A2371" t="s">
        <v>8115</v>
      </c>
      <c r="B2371" t="s">
        <v>2389</v>
      </c>
      <c r="C2371" t="s">
        <v>2378</v>
      </c>
      <c r="D2371" t="s">
        <v>2379</v>
      </c>
      <c r="E2371" t="s">
        <v>33</v>
      </c>
      <c r="F2371" t="s">
        <v>8109</v>
      </c>
      <c r="G2371" t="s">
        <v>33</v>
      </c>
      <c r="H2371" t="b">
        <v>1</v>
      </c>
      <c r="I2371" s="8">
        <v>45953.566319444442</v>
      </c>
      <c r="J2371" t="s">
        <v>2380</v>
      </c>
      <c r="K2371">
        <v>1204223</v>
      </c>
      <c r="L2371">
        <v>604185</v>
      </c>
      <c r="M2371" t="s">
        <v>2381</v>
      </c>
      <c r="P2371" t="s">
        <v>2394</v>
      </c>
      <c r="Q2371" t="s">
        <v>2395</v>
      </c>
      <c r="R2371">
        <v>1</v>
      </c>
      <c r="S2371" t="s">
        <v>2380</v>
      </c>
      <c r="T2371" t="s">
        <v>2383</v>
      </c>
      <c r="U2371" s="8">
        <v>45950.435219907406</v>
      </c>
      <c r="V2371" s="8">
        <v>45953.958333333336</v>
      </c>
      <c r="W2371">
        <v>1</v>
      </c>
      <c r="X2371">
        <v>3.1310995369999999</v>
      </c>
      <c r="Y2371" t="s">
        <v>8110</v>
      </c>
      <c r="Z2371" t="s">
        <v>8116</v>
      </c>
      <c r="AA2371" t="s">
        <v>8113</v>
      </c>
      <c r="AB2371" t="s">
        <v>1278</v>
      </c>
      <c r="AC2371" t="s">
        <v>8117</v>
      </c>
      <c r="AD2371" t="s">
        <v>2708</v>
      </c>
      <c r="AE2371">
        <v>1</v>
      </c>
      <c r="AO2371" t="s">
        <v>4137</v>
      </c>
      <c r="AP2371" t="s">
        <v>2401</v>
      </c>
    </row>
    <row r="2372" spans="1:42">
      <c r="A2372" t="s">
        <v>9467</v>
      </c>
      <c r="B2372" t="s">
        <v>2389</v>
      </c>
      <c r="C2372" t="s">
        <v>2378</v>
      </c>
      <c r="D2372" t="s">
        <v>2379</v>
      </c>
      <c r="E2372" t="s">
        <v>25</v>
      </c>
      <c r="F2372">
        <v>6397</v>
      </c>
      <c r="G2372" t="s">
        <v>25</v>
      </c>
      <c r="H2372" t="b">
        <v>1</v>
      </c>
      <c r="I2372" s="8">
        <v>45953.643935185188</v>
      </c>
      <c r="J2372" t="s">
        <v>2380</v>
      </c>
      <c r="K2372">
        <v>1204318</v>
      </c>
      <c r="L2372">
        <v>605657</v>
      </c>
      <c r="M2372" t="s">
        <v>2381</v>
      </c>
      <c r="N2372">
        <v>5</v>
      </c>
      <c r="P2372" t="s">
        <v>2394</v>
      </c>
      <c r="Q2372" t="s">
        <v>2383</v>
      </c>
      <c r="R2372">
        <v>1</v>
      </c>
      <c r="S2372" t="s">
        <v>2380</v>
      </c>
      <c r="T2372" t="s">
        <v>2383</v>
      </c>
      <c r="U2372" s="8">
        <v>45950.437939814816</v>
      </c>
      <c r="V2372" s="8">
        <v>45953.958333333336</v>
      </c>
      <c r="W2372">
        <v>1</v>
      </c>
      <c r="X2372">
        <v>3.2059953700000001</v>
      </c>
      <c r="Y2372" t="s">
        <v>2607</v>
      </c>
      <c r="Z2372" t="s">
        <v>9468</v>
      </c>
      <c r="AA2372" t="s">
        <v>9469</v>
      </c>
      <c r="AB2372" t="s">
        <v>1278</v>
      </c>
      <c r="AC2372" t="s">
        <v>9470</v>
      </c>
      <c r="AD2372" t="s">
        <v>2708</v>
      </c>
      <c r="AE2372">
        <v>1</v>
      </c>
      <c r="AO2372" t="s">
        <v>2388</v>
      </c>
      <c r="AP2372" t="s">
        <v>8931</v>
      </c>
    </row>
    <row r="2373" spans="1:42">
      <c r="A2373" t="s">
        <v>7347</v>
      </c>
      <c r="B2373" t="s">
        <v>2389</v>
      </c>
      <c r="C2373" t="s">
        <v>2378</v>
      </c>
      <c r="D2373" t="s">
        <v>2379</v>
      </c>
      <c r="E2373" t="s">
        <v>25</v>
      </c>
      <c r="F2373" t="s">
        <v>4566</v>
      </c>
      <c r="G2373" t="s">
        <v>25</v>
      </c>
      <c r="H2373" t="b">
        <v>1</v>
      </c>
      <c r="I2373" s="8">
        <v>45953.682766203703</v>
      </c>
      <c r="J2373" t="s">
        <v>2380</v>
      </c>
      <c r="K2373">
        <v>1204341</v>
      </c>
      <c r="L2373">
        <v>603800</v>
      </c>
      <c r="M2373" t="s">
        <v>2381</v>
      </c>
      <c r="N2373">
        <v>5</v>
      </c>
      <c r="P2373" t="s">
        <v>2394</v>
      </c>
      <c r="Q2373" t="s">
        <v>2383</v>
      </c>
      <c r="R2373">
        <v>1</v>
      </c>
      <c r="S2373" t="s">
        <v>2380</v>
      </c>
      <c r="T2373" t="s">
        <v>2383</v>
      </c>
      <c r="U2373" s="8">
        <v>45950.440185185187</v>
      </c>
      <c r="V2373" s="8">
        <v>45953.958333333336</v>
      </c>
      <c r="W2373">
        <v>1</v>
      </c>
      <c r="X2373">
        <v>3.2425810190000002</v>
      </c>
      <c r="Y2373" t="s">
        <v>4567</v>
      </c>
      <c r="Z2373" t="s">
        <v>7348</v>
      </c>
      <c r="AA2373" t="s">
        <v>4570</v>
      </c>
      <c r="AB2373" t="s">
        <v>1278</v>
      </c>
      <c r="AC2373" t="s">
        <v>7349</v>
      </c>
      <c r="AD2373" t="s">
        <v>2708</v>
      </c>
      <c r="AE2373">
        <v>1</v>
      </c>
      <c r="AO2373" t="s">
        <v>2388</v>
      </c>
      <c r="AP2373" t="s">
        <v>2401</v>
      </c>
    </row>
    <row r="2374" spans="1:42">
      <c r="A2374" t="s">
        <v>2694</v>
      </c>
      <c r="B2374" t="s">
        <v>2377</v>
      </c>
      <c r="C2374" t="s">
        <v>2378</v>
      </c>
      <c r="D2374" t="s">
        <v>2379</v>
      </c>
      <c r="E2374" t="s">
        <v>2416</v>
      </c>
      <c r="G2374" t="s">
        <v>2416</v>
      </c>
      <c r="H2374" t="b">
        <v>1</v>
      </c>
      <c r="I2374" s="8">
        <v>45953.633229166669</v>
      </c>
      <c r="J2374" t="s">
        <v>2380</v>
      </c>
      <c r="L2374">
        <v>606793</v>
      </c>
      <c r="M2374" t="s">
        <v>2381</v>
      </c>
      <c r="Q2374" t="s">
        <v>2383</v>
      </c>
      <c r="R2374">
        <v>1</v>
      </c>
      <c r="S2374" t="s">
        <v>2380</v>
      </c>
      <c r="T2374" t="s">
        <v>2383</v>
      </c>
      <c r="U2374" s="8">
        <v>45950.442048611112</v>
      </c>
      <c r="V2374" s="8">
        <v>45953.958333333336</v>
      </c>
      <c r="W2374">
        <v>1</v>
      </c>
      <c r="X2374">
        <v>3.1911805559999999</v>
      </c>
      <c r="Z2374" t="s">
        <v>2695</v>
      </c>
      <c r="AA2374">
        <v>606793</v>
      </c>
      <c r="AB2374" t="s">
        <v>1278</v>
      </c>
      <c r="AC2374" t="s">
        <v>2696</v>
      </c>
      <c r="AE2374">
        <v>1</v>
      </c>
    </row>
    <row r="2375" spans="1:42">
      <c r="A2375" t="s">
        <v>7983</v>
      </c>
      <c r="B2375" t="s">
        <v>2389</v>
      </c>
      <c r="C2375" t="s">
        <v>2390</v>
      </c>
      <c r="D2375" t="s">
        <v>2379</v>
      </c>
      <c r="E2375" t="s">
        <v>25</v>
      </c>
      <c r="F2375" t="s">
        <v>3514</v>
      </c>
      <c r="G2375" t="s">
        <v>25</v>
      </c>
      <c r="H2375" t="b">
        <v>1</v>
      </c>
      <c r="I2375" s="8">
        <v>45953.33384259259</v>
      </c>
      <c r="J2375" t="s">
        <v>2380</v>
      </c>
      <c r="K2375">
        <v>1204095</v>
      </c>
      <c r="L2375">
        <v>603695</v>
      </c>
      <c r="M2375" t="s">
        <v>2381</v>
      </c>
      <c r="N2375">
        <v>5</v>
      </c>
      <c r="P2375" t="s">
        <v>2394</v>
      </c>
      <c r="Q2375" t="s">
        <v>2383</v>
      </c>
      <c r="R2375">
        <v>1</v>
      </c>
      <c r="S2375" t="s">
        <v>2380</v>
      </c>
      <c r="T2375" t="s">
        <v>2383</v>
      </c>
      <c r="U2375" s="8">
        <v>45950.443738425929</v>
      </c>
      <c r="V2375" s="8">
        <v>45953.958333333336</v>
      </c>
      <c r="W2375">
        <v>1</v>
      </c>
      <c r="X2375">
        <v>2.8901041670000001</v>
      </c>
      <c r="Y2375" t="s">
        <v>3515</v>
      </c>
      <c r="Z2375" t="s">
        <v>7984</v>
      </c>
      <c r="AA2375" t="s">
        <v>3518</v>
      </c>
      <c r="AB2375" t="s">
        <v>1278</v>
      </c>
      <c r="AC2375" t="s">
        <v>7985</v>
      </c>
      <c r="AD2375" t="s">
        <v>2708</v>
      </c>
      <c r="AE2375">
        <v>1</v>
      </c>
      <c r="AO2375" t="s">
        <v>2957</v>
      </c>
      <c r="AP2375" t="s">
        <v>2401</v>
      </c>
    </row>
    <row r="2376" spans="1:42">
      <c r="A2376" t="s">
        <v>8007</v>
      </c>
      <c r="B2376" t="s">
        <v>2389</v>
      </c>
      <c r="C2376" t="s">
        <v>2378</v>
      </c>
      <c r="D2376" t="s">
        <v>2379</v>
      </c>
      <c r="E2376" t="s">
        <v>25</v>
      </c>
      <c r="F2376" t="s">
        <v>4756</v>
      </c>
      <c r="G2376" t="s">
        <v>25</v>
      </c>
      <c r="H2376" t="b">
        <v>1</v>
      </c>
      <c r="I2376" s="8">
        <v>45953.631516203706</v>
      </c>
      <c r="J2376" t="s">
        <v>2380</v>
      </c>
      <c r="K2376">
        <v>1204313</v>
      </c>
      <c r="L2376">
        <v>608491</v>
      </c>
      <c r="M2376" t="s">
        <v>2381</v>
      </c>
      <c r="N2376">
        <v>5</v>
      </c>
      <c r="P2376" t="s">
        <v>2394</v>
      </c>
      <c r="Q2376" t="s">
        <v>2383</v>
      </c>
      <c r="R2376">
        <v>1</v>
      </c>
      <c r="S2376" t="s">
        <v>2380</v>
      </c>
      <c r="T2376" t="s">
        <v>2383</v>
      </c>
      <c r="U2376" s="8">
        <v>45950.444444444445</v>
      </c>
      <c r="V2376" s="8">
        <v>45953.958333333336</v>
      </c>
      <c r="W2376">
        <v>1</v>
      </c>
      <c r="X2376">
        <v>3.1870717590000002</v>
      </c>
      <c r="Y2376" t="s">
        <v>4757</v>
      </c>
      <c r="Z2376" t="s">
        <v>8008</v>
      </c>
      <c r="AA2376" t="s">
        <v>4760</v>
      </c>
      <c r="AB2376" t="s">
        <v>1278</v>
      </c>
      <c r="AC2376" t="s">
        <v>8009</v>
      </c>
      <c r="AD2376" t="s">
        <v>2708</v>
      </c>
      <c r="AE2376">
        <v>1</v>
      </c>
      <c r="AO2376" t="s">
        <v>2957</v>
      </c>
      <c r="AP2376" t="s">
        <v>2401</v>
      </c>
    </row>
    <row r="2377" spans="1:42">
      <c r="A2377" t="s">
        <v>7986</v>
      </c>
      <c r="B2377" t="s">
        <v>2389</v>
      </c>
      <c r="C2377" t="s">
        <v>2390</v>
      </c>
      <c r="D2377" t="s">
        <v>2379</v>
      </c>
      <c r="E2377" t="s">
        <v>25</v>
      </c>
      <c r="F2377" t="s">
        <v>3514</v>
      </c>
      <c r="G2377" t="s">
        <v>25</v>
      </c>
      <c r="H2377" t="b">
        <v>1</v>
      </c>
      <c r="I2377" s="8">
        <v>45953.357372685183</v>
      </c>
      <c r="J2377" t="s">
        <v>2380</v>
      </c>
      <c r="K2377">
        <v>1204099</v>
      </c>
      <c r="L2377">
        <v>603695</v>
      </c>
      <c r="M2377" t="s">
        <v>2381</v>
      </c>
      <c r="N2377">
        <v>5</v>
      </c>
      <c r="P2377" t="s">
        <v>2394</v>
      </c>
      <c r="Q2377" t="s">
        <v>2383</v>
      </c>
      <c r="R2377">
        <v>1</v>
      </c>
      <c r="S2377" t="s">
        <v>2380</v>
      </c>
      <c r="T2377" t="s">
        <v>2383</v>
      </c>
      <c r="U2377" s="8">
        <v>45950.447928240741</v>
      </c>
      <c r="V2377" s="8">
        <v>45953.958333333336</v>
      </c>
      <c r="W2377">
        <v>1</v>
      </c>
      <c r="X2377">
        <v>2.909444444</v>
      </c>
      <c r="Y2377" t="s">
        <v>3515</v>
      </c>
      <c r="Z2377" t="s">
        <v>7987</v>
      </c>
      <c r="AA2377" t="s">
        <v>3518</v>
      </c>
      <c r="AB2377" t="s">
        <v>1278</v>
      </c>
      <c r="AC2377" t="s">
        <v>7988</v>
      </c>
      <c r="AD2377" t="s">
        <v>2708</v>
      </c>
      <c r="AE2377">
        <v>1</v>
      </c>
      <c r="AO2377" t="s">
        <v>2957</v>
      </c>
      <c r="AP2377" t="s">
        <v>2401</v>
      </c>
    </row>
    <row r="2378" spans="1:42">
      <c r="A2378" t="s">
        <v>95</v>
      </c>
      <c r="B2378" t="s">
        <v>2377</v>
      </c>
      <c r="C2378" t="s">
        <v>2415</v>
      </c>
      <c r="D2378" t="s">
        <v>2379</v>
      </c>
      <c r="E2378" t="s">
        <v>33</v>
      </c>
      <c r="F2378" t="s">
        <v>4122</v>
      </c>
      <c r="G2378" t="s">
        <v>33</v>
      </c>
      <c r="H2378" t="b">
        <v>1</v>
      </c>
      <c r="I2378" s="8">
        <v>45952.422743055555</v>
      </c>
      <c r="J2378" t="s">
        <v>2380</v>
      </c>
      <c r="L2378">
        <v>602334</v>
      </c>
      <c r="M2378" t="s">
        <v>2381</v>
      </c>
      <c r="Q2378" t="s">
        <v>2383</v>
      </c>
      <c r="R2378">
        <v>1</v>
      </c>
      <c r="S2378" t="s">
        <v>2380</v>
      </c>
      <c r="T2378" t="s">
        <v>2383</v>
      </c>
      <c r="U2378" s="8">
        <v>45950.451805555553</v>
      </c>
      <c r="V2378" s="8">
        <v>45953.958333333336</v>
      </c>
      <c r="W2378">
        <v>1</v>
      </c>
      <c r="X2378">
        <v>1.9709375</v>
      </c>
      <c r="Y2378" t="s">
        <v>1352</v>
      </c>
      <c r="Z2378" t="s">
        <v>9330</v>
      </c>
      <c r="AA2378" t="s">
        <v>1288</v>
      </c>
      <c r="AB2378" t="s">
        <v>1278</v>
      </c>
      <c r="AC2378" t="s">
        <v>9331</v>
      </c>
      <c r="AD2378" t="s">
        <v>2708</v>
      </c>
      <c r="AE2378">
        <v>1</v>
      </c>
      <c r="AF2378">
        <v>2</v>
      </c>
      <c r="AH2378" t="s">
        <v>2723</v>
      </c>
      <c r="AI2378" s="8">
        <v>45952.416354166664</v>
      </c>
      <c r="AK2378" t="s">
        <v>2719</v>
      </c>
      <c r="AL2378" t="s">
        <v>2724</v>
      </c>
      <c r="AO2378" t="s">
        <v>4121</v>
      </c>
      <c r="AP2378" t="s">
        <v>2401</v>
      </c>
    </row>
    <row r="2379" spans="1:42">
      <c r="A2379" t="s">
        <v>7319</v>
      </c>
      <c r="B2379" t="s">
        <v>2389</v>
      </c>
      <c r="C2379" t="s">
        <v>2378</v>
      </c>
      <c r="D2379" t="s">
        <v>2379</v>
      </c>
      <c r="E2379" t="s">
        <v>25</v>
      </c>
      <c r="F2379">
        <v>4056</v>
      </c>
      <c r="G2379" t="s">
        <v>25</v>
      </c>
      <c r="H2379" t="b">
        <v>1</v>
      </c>
      <c r="I2379" s="8">
        <v>45953.634432870371</v>
      </c>
      <c r="J2379" t="s">
        <v>2380</v>
      </c>
      <c r="K2379">
        <v>1204314</v>
      </c>
      <c r="L2379">
        <v>603236</v>
      </c>
      <c r="M2379" t="s">
        <v>2381</v>
      </c>
      <c r="N2379">
        <v>5</v>
      </c>
      <c r="P2379" t="s">
        <v>2394</v>
      </c>
      <c r="Q2379" t="s">
        <v>2383</v>
      </c>
      <c r="R2379">
        <v>1</v>
      </c>
      <c r="S2379" t="s">
        <v>2380</v>
      </c>
      <c r="T2379" t="s">
        <v>2383</v>
      </c>
      <c r="U2379" s="8">
        <v>45950.452037037037</v>
      </c>
      <c r="V2379" s="8">
        <v>45953.958333333336</v>
      </c>
      <c r="W2379">
        <v>1</v>
      </c>
      <c r="X2379">
        <v>3.1823958330000002</v>
      </c>
      <c r="Y2379" t="s">
        <v>3379</v>
      </c>
      <c r="Z2379" t="s">
        <v>7320</v>
      </c>
      <c r="AA2379" t="s">
        <v>7321</v>
      </c>
      <c r="AB2379" t="s">
        <v>1278</v>
      </c>
      <c r="AC2379" t="s">
        <v>7322</v>
      </c>
      <c r="AD2379" t="s">
        <v>2708</v>
      </c>
      <c r="AE2379">
        <v>1</v>
      </c>
      <c r="AO2379" t="s">
        <v>2388</v>
      </c>
      <c r="AP2379" t="s">
        <v>2401</v>
      </c>
    </row>
    <row r="2380" spans="1:42">
      <c r="A2380" t="s">
        <v>97</v>
      </c>
      <c r="B2380" t="s">
        <v>2377</v>
      </c>
      <c r="C2380" t="s">
        <v>2415</v>
      </c>
      <c r="D2380" t="s">
        <v>2379</v>
      </c>
      <c r="E2380" t="s">
        <v>33</v>
      </c>
      <c r="F2380" t="s">
        <v>4122</v>
      </c>
      <c r="G2380" t="s">
        <v>33</v>
      </c>
      <c r="H2380" t="b">
        <v>1</v>
      </c>
      <c r="I2380" s="8">
        <v>45952.422685185185</v>
      </c>
      <c r="J2380" t="s">
        <v>2380</v>
      </c>
      <c r="L2380">
        <v>602334</v>
      </c>
      <c r="M2380" t="s">
        <v>2381</v>
      </c>
      <c r="Q2380" t="s">
        <v>2383</v>
      </c>
      <c r="R2380">
        <v>1</v>
      </c>
      <c r="S2380" t="s">
        <v>2380</v>
      </c>
      <c r="T2380" t="s">
        <v>2383</v>
      </c>
      <c r="U2380" s="8">
        <v>45950.45207175926</v>
      </c>
      <c r="V2380" s="8">
        <v>45953.958333333336</v>
      </c>
      <c r="W2380">
        <v>1</v>
      </c>
      <c r="X2380">
        <v>1.9706134259999999</v>
      </c>
      <c r="Y2380" t="s">
        <v>1352</v>
      </c>
      <c r="Z2380" t="s">
        <v>9332</v>
      </c>
      <c r="AA2380" t="s">
        <v>1288</v>
      </c>
      <c r="AB2380" t="s">
        <v>1278</v>
      </c>
      <c r="AC2380" t="s">
        <v>9333</v>
      </c>
      <c r="AD2380" t="s">
        <v>2708</v>
      </c>
      <c r="AE2380">
        <v>1</v>
      </c>
      <c r="AF2380">
        <v>2</v>
      </c>
      <c r="AH2380" t="s">
        <v>2723</v>
      </c>
      <c r="AI2380" s="8">
        <v>45952.41609953704</v>
      </c>
      <c r="AK2380" t="s">
        <v>2719</v>
      </c>
      <c r="AL2380" t="s">
        <v>2724</v>
      </c>
      <c r="AO2380" t="s">
        <v>4121</v>
      </c>
      <c r="AP2380" t="s">
        <v>2401</v>
      </c>
    </row>
    <row r="2381" spans="1:42">
      <c r="A2381" t="s">
        <v>962</v>
      </c>
      <c r="B2381" t="s">
        <v>2377</v>
      </c>
      <c r="C2381" t="s">
        <v>2415</v>
      </c>
      <c r="D2381" t="s">
        <v>2379</v>
      </c>
      <c r="E2381" t="s">
        <v>33</v>
      </c>
      <c r="F2381" t="s">
        <v>4122</v>
      </c>
      <c r="G2381" t="s">
        <v>33</v>
      </c>
      <c r="H2381" t="b">
        <v>1</v>
      </c>
      <c r="I2381" s="8">
        <v>45952.422500000001</v>
      </c>
      <c r="J2381" t="s">
        <v>2380</v>
      </c>
      <c r="L2381">
        <v>602334</v>
      </c>
      <c r="M2381" t="s">
        <v>2381</v>
      </c>
      <c r="Q2381" t="s">
        <v>2383</v>
      </c>
      <c r="R2381">
        <v>1</v>
      </c>
      <c r="S2381" t="s">
        <v>2380</v>
      </c>
      <c r="T2381" t="s">
        <v>2383</v>
      </c>
      <c r="U2381" s="8">
        <v>45950.45239583333</v>
      </c>
      <c r="V2381" s="8">
        <v>45953.958333333336</v>
      </c>
      <c r="W2381">
        <v>1</v>
      </c>
      <c r="X2381">
        <v>1.9701041669999999</v>
      </c>
      <c r="Y2381" t="s">
        <v>1352</v>
      </c>
      <c r="Z2381" t="s">
        <v>9296</v>
      </c>
      <c r="AA2381" t="s">
        <v>1288</v>
      </c>
      <c r="AB2381" t="s">
        <v>1278</v>
      </c>
      <c r="AC2381" t="s">
        <v>9297</v>
      </c>
      <c r="AD2381" t="s">
        <v>2708</v>
      </c>
      <c r="AE2381">
        <v>1</v>
      </c>
      <c r="AH2381" t="s">
        <v>2723</v>
      </c>
      <c r="AI2381" s="8">
        <v>45952.41646990741</v>
      </c>
      <c r="AK2381" t="s">
        <v>2719</v>
      </c>
      <c r="AL2381" t="s">
        <v>2724</v>
      </c>
      <c r="AO2381" t="s">
        <v>4121</v>
      </c>
      <c r="AP2381" t="s">
        <v>2401</v>
      </c>
    </row>
    <row r="2382" spans="1:42">
      <c r="A2382" t="s">
        <v>6340</v>
      </c>
      <c r="B2382" t="s">
        <v>2389</v>
      </c>
      <c r="C2382" t="s">
        <v>2378</v>
      </c>
      <c r="D2382" t="s">
        <v>2379</v>
      </c>
      <c r="E2382" t="s">
        <v>25</v>
      </c>
      <c r="F2382" t="s">
        <v>2541</v>
      </c>
      <c r="G2382" t="s">
        <v>25</v>
      </c>
      <c r="H2382" t="b">
        <v>1</v>
      </c>
      <c r="I2382" s="8">
        <v>45953.673101851855</v>
      </c>
      <c r="J2382" t="s">
        <v>2380</v>
      </c>
      <c r="K2382">
        <v>1204337</v>
      </c>
      <c r="L2382">
        <v>601441</v>
      </c>
      <c r="M2382" t="s">
        <v>2381</v>
      </c>
      <c r="N2382">
        <v>5</v>
      </c>
      <c r="P2382" t="s">
        <v>2548</v>
      </c>
      <c r="Q2382" t="s">
        <v>2383</v>
      </c>
      <c r="R2382">
        <v>1</v>
      </c>
      <c r="S2382" t="s">
        <v>2380</v>
      </c>
      <c r="T2382" t="s">
        <v>2383</v>
      </c>
      <c r="U2382" s="8">
        <v>45950.452569444446</v>
      </c>
      <c r="V2382" s="8">
        <v>45953.958333333336</v>
      </c>
      <c r="W2382">
        <v>1</v>
      </c>
      <c r="X2382">
        <v>3.2205324069999999</v>
      </c>
      <c r="Y2382" t="s">
        <v>2542</v>
      </c>
      <c r="Z2382" t="s">
        <v>6341</v>
      </c>
      <c r="AA2382" t="s">
        <v>2884</v>
      </c>
      <c r="AB2382" t="s">
        <v>1278</v>
      </c>
      <c r="AC2382" t="s">
        <v>6342</v>
      </c>
      <c r="AD2382" t="s">
        <v>2708</v>
      </c>
      <c r="AE2382">
        <v>1</v>
      </c>
      <c r="AO2382" t="s">
        <v>2547</v>
      </c>
      <c r="AP2382" t="s">
        <v>2401</v>
      </c>
    </row>
    <row r="2383" spans="1:42">
      <c r="A2383" t="s">
        <v>734</v>
      </c>
      <c r="B2383" t="s">
        <v>2377</v>
      </c>
      <c r="C2383" t="s">
        <v>2415</v>
      </c>
      <c r="D2383" t="s">
        <v>2379</v>
      </c>
      <c r="E2383" t="s">
        <v>33</v>
      </c>
      <c r="F2383" t="s">
        <v>4122</v>
      </c>
      <c r="G2383" t="s">
        <v>33</v>
      </c>
      <c r="H2383" t="b">
        <v>1</v>
      </c>
      <c r="I2383" s="8">
        <v>45952.422800925924</v>
      </c>
      <c r="J2383" t="s">
        <v>2380</v>
      </c>
      <c r="L2383">
        <v>602334</v>
      </c>
      <c r="M2383" t="s">
        <v>2381</v>
      </c>
      <c r="Q2383" t="s">
        <v>2383</v>
      </c>
      <c r="R2383">
        <v>1</v>
      </c>
      <c r="S2383" t="s">
        <v>2380</v>
      </c>
      <c r="T2383" t="s">
        <v>2383</v>
      </c>
      <c r="U2383" s="8">
        <v>45950.452638888892</v>
      </c>
      <c r="V2383" s="8">
        <v>45953.958333333336</v>
      </c>
      <c r="W2383">
        <v>1</v>
      </c>
      <c r="X2383">
        <v>1.9701620369999999</v>
      </c>
      <c r="Y2383" t="s">
        <v>1352</v>
      </c>
      <c r="Z2383" t="s">
        <v>4123</v>
      </c>
      <c r="AA2383" t="s">
        <v>1288</v>
      </c>
      <c r="AB2383" t="s">
        <v>1278</v>
      </c>
      <c r="AC2383" t="s">
        <v>4124</v>
      </c>
      <c r="AE2383">
        <v>1</v>
      </c>
      <c r="AH2383" t="s">
        <v>2723</v>
      </c>
      <c r="AI2383" s="8">
        <v>45952.417962962965</v>
      </c>
      <c r="AK2383" t="s">
        <v>2719</v>
      </c>
      <c r="AL2383" t="s">
        <v>2724</v>
      </c>
      <c r="AO2383" t="s">
        <v>4121</v>
      </c>
      <c r="AP2383" t="s">
        <v>2401</v>
      </c>
    </row>
    <row r="2384" spans="1:42">
      <c r="A2384" t="s">
        <v>4234</v>
      </c>
      <c r="B2384" t="s">
        <v>2389</v>
      </c>
      <c r="C2384" t="s">
        <v>2390</v>
      </c>
      <c r="D2384" t="s">
        <v>2379</v>
      </c>
      <c r="E2384" t="s">
        <v>33</v>
      </c>
      <c r="F2384" t="s">
        <v>2417</v>
      </c>
      <c r="G2384" t="s">
        <v>33</v>
      </c>
      <c r="H2384" t="b">
        <v>1</v>
      </c>
      <c r="I2384" s="8">
        <v>45952.650277777779</v>
      </c>
      <c r="J2384" t="s">
        <v>2380</v>
      </c>
      <c r="K2384">
        <v>1204045</v>
      </c>
      <c r="L2384">
        <v>601143</v>
      </c>
      <c r="M2384" t="s">
        <v>2381</v>
      </c>
      <c r="Q2384" t="s">
        <v>2383</v>
      </c>
      <c r="R2384">
        <v>1</v>
      </c>
      <c r="S2384" t="s">
        <v>2380</v>
      </c>
      <c r="T2384" t="s">
        <v>2383</v>
      </c>
      <c r="U2384" s="8">
        <v>45950.455393518518</v>
      </c>
      <c r="V2384" s="8">
        <v>45953.958333333336</v>
      </c>
      <c r="W2384">
        <v>1</v>
      </c>
      <c r="X2384">
        <v>2.1948842590000002</v>
      </c>
      <c r="Y2384" t="s">
        <v>2418</v>
      </c>
      <c r="Z2384" t="s">
        <v>4235</v>
      </c>
      <c r="AA2384" t="s">
        <v>2421</v>
      </c>
      <c r="AB2384" t="s">
        <v>1278</v>
      </c>
      <c r="AC2384" t="s">
        <v>4236</v>
      </c>
      <c r="AD2384" t="s">
        <v>2708</v>
      </c>
      <c r="AE2384">
        <v>1</v>
      </c>
      <c r="AO2384" t="s">
        <v>2408</v>
      </c>
      <c r="AP2384" t="s">
        <v>2401</v>
      </c>
    </row>
    <row r="2385" spans="1:42">
      <c r="A2385" t="s">
        <v>6845</v>
      </c>
      <c r="B2385" t="s">
        <v>2389</v>
      </c>
      <c r="C2385" t="s">
        <v>2390</v>
      </c>
      <c r="D2385" t="s">
        <v>2379</v>
      </c>
      <c r="E2385" t="s">
        <v>2452</v>
      </c>
      <c r="F2385" t="s">
        <v>3308</v>
      </c>
      <c r="G2385" t="s">
        <v>2452</v>
      </c>
      <c r="H2385" t="b">
        <v>1</v>
      </c>
      <c r="I2385" s="8">
        <v>45952.703252314815</v>
      </c>
      <c r="J2385" t="s">
        <v>2380</v>
      </c>
      <c r="K2385">
        <v>1204092</v>
      </c>
      <c r="L2385">
        <v>603633</v>
      </c>
      <c r="M2385" t="s">
        <v>2381</v>
      </c>
      <c r="Q2385" t="s">
        <v>2383</v>
      </c>
      <c r="R2385">
        <v>1</v>
      </c>
      <c r="S2385" t="s">
        <v>2380</v>
      </c>
      <c r="T2385" t="s">
        <v>2383</v>
      </c>
      <c r="U2385" s="8">
        <v>45950.458634259259</v>
      </c>
      <c r="V2385" s="8">
        <v>45953.958333333336</v>
      </c>
      <c r="W2385">
        <v>1</v>
      </c>
      <c r="X2385">
        <v>2.2446180560000002</v>
      </c>
      <c r="Y2385" t="s">
        <v>3309</v>
      </c>
      <c r="Z2385" t="s">
        <v>6846</v>
      </c>
      <c r="AA2385" t="s">
        <v>3312</v>
      </c>
      <c r="AB2385" t="s">
        <v>1278</v>
      </c>
      <c r="AC2385" t="s">
        <v>6847</v>
      </c>
      <c r="AD2385" t="s">
        <v>2708</v>
      </c>
      <c r="AE2385">
        <v>1</v>
      </c>
      <c r="AO2385" t="s">
        <v>2388</v>
      </c>
      <c r="AP2385" t="s">
        <v>2401</v>
      </c>
    </row>
    <row r="2386" spans="1:42">
      <c r="A2386" t="s">
        <v>6848</v>
      </c>
      <c r="B2386" t="s">
        <v>2389</v>
      </c>
      <c r="C2386" t="s">
        <v>2378</v>
      </c>
      <c r="D2386" t="s">
        <v>2379</v>
      </c>
      <c r="E2386" t="s">
        <v>2452</v>
      </c>
      <c r="F2386" t="s">
        <v>3308</v>
      </c>
      <c r="G2386" t="s">
        <v>2452</v>
      </c>
      <c r="H2386" t="b">
        <v>1</v>
      </c>
      <c r="I2386" s="8">
        <v>45953.491550925923</v>
      </c>
      <c r="J2386" t="s">
        <v>2380</v>
      </c>
      <c r="K2386">
        <v>1204199</v>
      </c>
      <c r="L2386">
        <v>603633</v>
      </c>
      <c r="M2386" t="s">
        <v>2381</v>
      </c>
      <c r="Q2386" t="s">
        <v>2383</v>
      </c>
      <c r="R2386">
        <v>1</v>
      </c>
      <c r="S2386" t="s">
        <v>2380</v>
      </c>
      <c r="T2386" t="s">
        <v>2383</v>
      </c>
      <c r="U2386" s="8">
        <v>45950.459293981483</v>
      </c>
      <c r="V2386" s="8">
        <v>45959.958333333336</v>
      </c>
      <c r="W2386">
        <v>1</v>
      </c>
      <c r="X2386">
        <v>3.0322569439999998</v>
      </c>
      <c r="Y2386" t="s">
        <v>3309</v>
      </c>
      <c r="Z2386" t="s">
        <v>6849</v>
      </c>
      <c r="AA2386" t="s">
        <v>3312</v>
      </c>
      <c r="AB2386" t="s">
        <v>1278</v>
      </c>
      <c r="AC2386" t="s">
        <v>6850</v>
      </c>
      <c r="AD2386" t="s">
        <v>2708</v>
      </c>
      <c r="AE2386">
        <v>1</v>
      </c>
      <c r="AO2386" t="s">
        <v>2388</v>
      </c>
      <c r="AP2386" t="s">
        <v>2401</v>
      </c>
    </row>
    <row r="2387" spans="1:42">
      <c r="A2387" t="s">
        <v>4876</v>
      </c>
      <c r="B2387" t="s">
        <v>2389</v>
      </c>
      <c r="C2387" t="s">
        <v>2691</v>
      </c>
      <c r="D2387" t="s">
        <v>2379</v>
      </c>
      <c r="E2387" t="s">
        <v>25</v>
      </c>
      <c r="F2387" t="s">
        <v>3747</v>
      </c>
      <c r="G2387" t="s">
        <v>25</v>
      </c>
      <c r="H2387" t="b">
        <v>1</v>
      </c>
      <c r="I2387" s="8">
        <v>45958.377893518518</v>
      </c>
      <c r="J2387" t="s">
        <v>2380</v>
      </c>
      <c r="K2387">
        <v>1204798</v>
      </c>
      <c r="L2387">
        <v>609121</v>
      </c>
      <c r="M2387" t="s">
        <v>2381</v>
      </c>
      <c r="N2387">
        <v>5</v>
      </c>
      <c r="P2387" t="s">
        <v>2394</v>
      </c>
      <c r="Q2387" t="s">
        <v>2383</v>
      </c>
      <c r="R2387">
        <v>1</v>
      </c>
      <c r="S2387" t="s">
        <v>2380</v>
      </c>
      <c r="T2387" t="s">
        <v>2383</v>
      </c>
      <c r="U2387" s="8">
        <v>45950.466874999998</v>
      </c>
      <c r="V2387" s="8">
        <v>45961.958333333336</v>
      </c>
      <c r="W2387">
        <v>1</v>
      </c>
      <c r="X2387">
        <v>5.9110185189999997</v>
      </c>
      <c r="Y2387" t="s">
        <v>3748</v>
      </c>
      <c r="Z2387" t="s">
        <v>4877</v>
      </c>
      <c r="AA2387" t="s">
        <v>3751</v>
      </c>
      <c r="AB2387" t="s">
        <v>1278</v>
      </c>
      <c r="AC2387" t="s">
        <v>4878</v>
      </c>
      <c r="AD2387" t="s">
        <v>2708</v>
      </c>
      <c r="AE2387">
        <v>1</v>
      </c>
      <c r="AO2387" t="s">
        <v>2712</v>
      </c>
      <c r="AP2387" t="s">
        <v>2401</v>
      </c>
    </row>
    <row r="2388" spans="1:42">
      <c r="A2388" t="s">
        <v>8139</v>
      </c>
      <c r="B2388" t="s">
        <v>2389</v>
      </c>
      <c r="C2388" t="s">
        <v>2415</v>
      </c>
      <c r="D2388" t="s">
        <v>2379</v>
      </c>
      <c r="E2388" t="s">
        <v>33</v>
      </c>
      <c r="F2388">
        <v>4240</v>
      </c>
      <c r="G2388" t="s">
        <v>33</v>
      </c>
      <c r="H2388" t="b">
        <v>1</v>
      </c>
      <c r="I2388" s="8">
        <v>45951.563657407409</v>
      </c>
      <c r="J2388" t="s">
        <v>2380</v>
      </c>
      <c r="K2388">
        <v>1203818</v>
      </c>
      <c r="L2388">
        <v>604106</v>
      </c>
      <c r="M2388" t="s">
        <v>2381</v>
      </c>
      <c r="P2388" t="s">
        <v>2394</v>
      </c>
      <c r="Q2388" t="s">
        <v>2395</v>
      </c>
      <c r="R2388">
        <v>1</v>
      </c>
      <c r="S2388" t="s">
        <v>2380</v>
      </c>
      <c r="T2388" t="s">
        <v>2383</v>
      </c>
      <c r="U2388" s="8">
        <v>45950.466932870368</v>
      </c>
      <c r="V2388" s="8">
        <v>45953.958333333336</v>
      </c>
      <c r="W2388">
        <v>1</v>
      </c>
      <c r="X2388">
        <v>1.0967245370000001</v>
      </c>
      <c r="Y2388" t="s">
        <v>8134</v>
      </c>
      <c r="Z2388" t="s">
        <v>8140</v>
      </c>
      <c r="AA2388" t="s">
        <v>8137</v>
      </c>
      <c r="AB2388" t="s">
        <v>1278</v>
      </c>
      <c r="AC2388" t="s">
        <v>8141</v>
      </c>
      <c r="AD2388" t="s">
        <v>2708</v>
      </c>
      <c r="AE2388">
        <v>1</v>
      </c>
      <c r="AO2388" t="s">
        <v>4137</v>
      </c>
      <c r="AP2388" t="s">
        <v>2401</v>
      </c>
    </row>
    <row r="2389" spans="1:42">
      <c r="A2389" t="s">
        <v>9583</v>
      </c>
      <c r="B2389" t="s">
        <v>2389</v>
      </c>
      <c r="C2389" t="s">
        <v>2443</v>
      </c>
      <c r="D2389" t="s">
        <v>2443</v>
      </c>
      <c r="E2389" t="s">
        <v>25</v>
      </c>
      <c r="F2389" t="s">
        <v>2779</v>
      </c>
      <c r="G2389" t="s">
        <v>25</v>
      </c>
      <c r="H2389" t="b">
        <v>1</v>
      </c>
      <c r="I2389" s="8">
        <v>45954.369166666664</v>
      </c>
      <c r="J2389" t="s">
        <v>2380</v>
      </c>
      <c r="K2389">
        <v>1204354</v>
      </c>
      <c r="L2389">
        <v>604220</v>
      </c>
      <c r="M2389" t="s">
        <v>2381</v>
      </c>
      <c r="N2389">
        <v>5</v>
      </c>
      <c r="P2389" t="s">
        <v>2548</v>
      </c>
      <c r="Q2389" t="s">
        <v>2395</v>
      </c>
      <c r="R2389">
        <v>1</v>
      </c>
      <c r="S2389" t="s">
        <v>2380</v>
      </c>
      <c r="T2389" t="s">
        <v>2383</v>
      </c>
      <c r="U2389" s="8">
        <v>45950.473506944443</v>
      </c>
      <c r="V2389" s="8">
        <v>45953.958333333336</v>
      </c>
      <c r="W2389">
        <v>1</v>
      </c>
      <c r="X2389">
        <v>3.895659722</v>
      </c>
      <c r="Y2389" t="s">
        <v>1352</v>
      </c>
      <c r="Z2389" t="s">
        <v>9584</v>
      </c>
      <c r="AA2389" t="s">
        <v>8200</v>
      </c>
      <c r="AB2389" t="s">
        <v>1278</v>
      </c>
      <c r="AC2389" t="s">
        <v>9585</v>
      </c>
      <c r="AD2389" t="s">
        <v>2708</v>
      </c>
      <c r="AE2389">
        <v>1</v>
      </c>
      <c r="AO2389" t="s">
        <v>4137</v>
      </c>
      <c r="AP2389" t="s">
        <v>2401</v>
      </c>
    </row>
    <row r="2390" spans="1:42">
      <c r="A2390" t="s">
        <v>7796</v>
      </c>
      <c r="B2390" t="s">
        <v>2389</v>
      </c>
      <c r="C2390" t="s">
        <v>2390</v>
      </c>
      <c r="D2390" t="s">
        <v>2379</v>
      </c>
      <c r="E2390" t="s">
        <v>2452</v>
      </c>
      <c r="F2390" t="s">
        <v>4768</v>
      </c>
      <c r="G2390" t="s">
        <v>2452</v>
      </c>
      <c r="H2390" t="b">
        <v>1</v>
      </c>
      <c r="I2390" s="8">
        <v>45952.640057870369</v>
      </c>
      <c r="J2390" t="s">
        <v>2380</v>
      </c>
      <c r="K2390">
        <v>1204042</v>
      </c>
      <c r="L2390">
        <v>602738</v>
      </c>
      <c r="M2390" t="s">
        <v>2381</v>
      </c>
      <c r="P2390" t="s">
        <v>2394</v>
      </c>
      <c r="Q2390" t="s">
        <v>2383</v>
      </c>
      <c r="R2390">
        <v>1</v>
      </c>
      <c r="S2390" t="s">
        <v>2380</v>
      </c>
      <c r="T2390" t="s">
        <v>2383</v>
      </c>
      <c r="U2390" s="8">
        <v>45950.476145833331</v>
      </c>
      <c r="V2390" s="8">
        <v>45953.958333333336</v>
      </c>
      <c r="W2390">
        <v>1</v>
      </c>
      <c r="X2390">
        <v>2.1639120369999998</v>
      </c>
      <c r="Y2390" t="s">
        <v>4769</v>
      </c>
      <c r="Z2390" t="s">
        <v>7797</v>
      </c>
      <c r="AA2390" t="s">
        <v>4772</v>
      </c>
      <c r="AB2390" t="s">
        <v>1278</v>
      </c>
      <c r="AC2390" t="s">
        <v>7798</v>
      </c>
      <c r="AD2390" t="s">
        <v>2708</v>
      </c>
      <c r="AE2390">
        <v>1</v>
      </c>
      <c r="AO2390" t="s">
        <v>2957</v>
      </c>
      <c r="AP2390" t="s">
        <v>2401</v>
      </c>
    </row>
    <row r="2391" spans="1:42">
      <c r="A2391" t="s">
        <v>9586</v>
      </c>
      <c r="B2391" t="s">
        <v>2389</v>
      </c>
      <c r="C2391" t="s">
        <v>2390</v>
      </c>
      <c r="D2391" t="s">
        <v>2379</v>
      </c>
      <c r="E2391" t="s">
        <v>25</v>
      </c>
      <c r="F2391" t="s">
        <v>2779</v>
      </c>
      <c r="G2391" t="s">
        <v>25</v>
      </c>
      <c r="H2391" t="b">
        <v>1</v>
      </c>
      <c r="I2391" s="8">
        <v>45953.421400462961</v>
      </c>
      <c r="J2391" t="s">
        <v>2380</v>
      </c>
      <c r="K2391">
        <v>1204151</v>
      </c>
      <c r="L2391">
        <v>604220</v>
      </c>
      <c r="M2391" t="s">
        <v>2381</v>
      </c>
      <c r="N2391">
        <v>5</v>
      </c>
      <c r="P2391" t="s">
        <v>2548</v>
      </c>
      <c r="Q2391" t="s">
        <v>2395</v>
      </c>
      <c r="R2391">
        <v>1</v>
      </c>
      <c r="S2391" t="s">
        <v>2380</v>
      </c>
      <c r="T2391" t="s">
        <v>2383</v>
      </c>
      <c r="U2391" s="8">
        <v>45950.476990740739</v>
      </c>
      <c r="V2391" s="8">
        <v>45953.958333333336</v>
      </c>
      <c r="W2391">
        <v>1</v>
      </c>
      <c r="X2391">
        <v>2.9444097220000001</v>
      </c>
      <c r="Y2391" t="s">
        <v>1352</v>
      </c>
      <c r="Z2391" t="s">
        <v>9587</v>
      </c>
      <c r="AA2391" t="s">
        <v>8200</v>
      </c>
      <c r="AB2391" t="s">
        <v>1278</v>
      </c>
      <c r="AC2391" t="s">
        <v>9588</v>
      </c>
      <c r="AD2391" t="s">
        <v>2708</v>
      </c>
      <c r="AE2391">
        <v>1</v>
      </c>
      <c r="AO2391" t="s">
        <v>4137</v>
      </c>
      <c r="AP2391" t="s">
        <v>2401</v>
      </c>
    </row>
    <row r="2392" spans="1:42">
      <c r="A2392" t="s">
        <v>7799</v>
      </c>
      <c r="B2392" t="s">
        <v>2389</v>
      </c>
      <c r="C2392" t="s">
        <v>2390</v>
      </c>
      <c r="D2392" t="s">
        <v>2379</v>
      </c>
      <c r="E2392" t="s">
        <v>2452</v>
      </c>
      <c r="F2392" t="s">
        <v>4768</v>
      </c>
      <c r="G2392" t="s">
        <v>2452</v>
      </c>
      <c r="H2392" t="b">
        <v>1</v>
      </c>
      <c r="I2392" s="8">
        <v>45952.651921296296</v>
      </c>
      <c r="J2392" t="s">
        <v>2380</v>
      </c>
      <c r="K2392">
        <v>1204046</v>
      </c>
      <c r="L2392">
        <v>602738</v>
      </c>
      <c r="M2392" t="s">
        <v>2381</v>
      </c>
      <c r="P2392" t="s">
        <v>2394</v>
      </c>
      <c r="Q2392" t="s">
        <v>2383</v>
      </c>
      <c r="R2392">
        <v>1</v>
      </c>
      <c r="S2392" t="s">
        <v>2380</v>
      </c>
      <c r="T2392" t="s">
        <v>2383</v>
      </c>
      <c r="U2392" s="8">
        <v>45950.477465277778</v>
      </c>
      <c r="V2392" s="8">
        <v>45953.958333333336</v>
      </c>
      <c r="W2392">
        <v>1</v>
      </c>
      <c r="X2392">
        <v>2.174456019</v>
      </c>
      <c r="Y2392" t="s">
        <v>4769</v>
      </c>
      <c r="Z2392" t="s">
        <v>7800</v>
      </c>
      <c r="AA2392" t="s">
        <v>4772</v>
      </c>
      <c r="AB2392" t="s">
        <v>1278</v>
      </c>
      <c r="AC2392" t="s">
        <v>7801</v>
      </c>
      <c r="AD2392" t="s">
        <v>2708</v>
      </c>
      <c r="AE2392">
        <v>1</v>
      </c>
      <c r="AO2392" t="s">
        <v>2957</v>
      </c>
      <c r="AP2392" t="s">
        <v>2401</v>
      </c>
    </row>
    <row r="2393" spans="1:42">
      <c r="A2393" t="s">
        <v>6343</v>
      </c>
      <c r="B2393" t="s">
        <v>2389</v>
      </c>
      <c r="C2393" t="s">
        <v>2378</v>
      </c>
      <c r="D2393" t="s">
        <v>2379</v>
      </c>
      <c r="E2393" t="s">
        <v>25</v>
      </c>
      <c r="F2393" t="s">
        <v>2541</v>
      </c>
      <c r="G2393" t="s">
        <v>25</v>
      </c>
      <c r="H2393" t="b">
        <v>1</v>
      </c>
      <c r="I2393" s="8">
        <v>45953.580567129633</v>
      </c>
      <c r="J2393" t="s">
        <v>2380</v>
      </c>
      <c r="K2393">
        <v>1204231</v>
      </c>
      <c r="L2393">
        <v>608236</v>
      </c>
      <c r="M2393" t="s">
        <v>2381</v>
      </c>
      <c r="N2393">
        <v>5</v>
      </c>
      <c r="P2393" t="s">
        <v>2548</v>
      </c>
      <c r="Q2393" t="s">
        <v>2383</v>
      </c>
      <c r="R2393">
        <v>1</v>
      </c>
      <c r="S2393" t="s">
        <v>2380</v>
      </c>
      <c r="T2393" t="s">
        <v>2383</v>
      </c>
      <c r="U2393" s="8">
        <v>45950.477766203701</v>
      </c>
      <c r="V2393" s="8">
        <v>45953.958333333336</v>
      </c>
      <c r="W2393">
        <v>1</v>
      </c>
      <c r="X2393">
        <v>3.102800926</v>
      </c>
      <c r="Y2393" t="s">
        <v>2542</v>
      </c>
      <c r="Z2393" t="s">
        <v>6344</v>
      </c>
      <c r="AA2393" t="s">
        <v>2564</v>
      </c>
      <c r="AB2393" t="s">
        <v>1278</v>
      </c>
      <c r="AC2393" t="s">
        <v>6345</v>
      </c>
      <c r="AD2393" t="s">
        <v>2708</v>
      </c>
      <c r="AE2393">
        <v>1</v>
      </c>
      <c r="AO2393" t="s">
        <v>2547</v>
      </c>
      <c r="AP2393" t="s">
        <v>2401</v>
      </c>
    </row>
    <row r="2394" spans="1:42">
      <c r="A2394" t="s">
        <v>3285</v>
      </c>
      <c r="B2394" t="s">
        <v>2389</v>
      </c>
      <c r="C2394" t="s">
        <v>2378</v>
      </c>
      <c r="D2394" t="s">
        <v>2379</v>
      </c>
      <c r="E2394" t="s">
        <v>25</v>
      </c>
      <c r="F2394" t="s">
        <v>2578</v>
      </c>
      <c r="G2394" t="s">
        <v>25</v>
      </c>
      <c r="H2394" t="b">
        <v>1</v>
      </c>
      <c r="I2394" s="8">
        <v>45953.582048611112</v>
      </c>
      <c r="J2394" t="s">
        <v>2380</v>
      </c>
      <c r="L2394">
        <v>603471</v>
      </c>
      <c r="M2394" t="s">
        <v>2381</v>
      </c>
      <c r="P2394" t="s">
        <v>2394</v>
      </c>
      <c r="Q2394" t="s">
        <v>2383</v>
      </c>
      <c r="R2394">
        <v>1</v>
      </c>
      <c r="S2394" t="s">
        <v>2380</v>
      </c>
      <c r="T2394" t="s">
        <v>2383</v>
      </c>
      <c r="U2394" s="8">
        <v>45950.481087962966</v>
      </c>
      <c r="V2394" s="8">
        <v>45953.958333333336</v>
      </c>
      <c r="W2394">
        <v>1</v>
      </c>
      <c r="X2394">
        <v>3.100960648</v>
      </c>
      <c r="Y2394" t="s">
        <v>2579</v>
      </c>
      <c r="Z2394" t="s">
        <v>3286</v>
      </c>
      <c r="AA2394" t="s">
        <v>1527</v>
      </c>
      <c r="AB2394" t="s">
        <v>1278</v>
      </c>
      <c r="AC2394" t="s">
        <v>3287</v>
      </c>
      <c r="AE2394">
        <v>1</v>
      </c>
      <c r="AO2394" t="s">
        <v>2388</v>
      </c>
      <c r="AP2394" t="s">
        <v>2401</v>
      </c>
    </row>
    <row r="2395" spans="1:42">
      <c r="A2395" t="s">
        <v>101</v>
      </c>
      <c r="B2395" t="s">
        <v>2377</v>
      </c>
      <c r="C2395" t="s">
        <v>2415</v>
      </c>
      <c r="D2395" t="s">
        <v>2379</v>
      </c>
      <c r="E2395" t="s">
        <v>33</v>
      </c>
      <c r="G2395" t="s">
        <v>33</v>
      </c>
      <c r="H2395" t="b">
        <v>1</v>
      </c>
      <c r="I2395" s="8">
        <v>45952.422858796293</v>
      </c>
      <c r="J2395" t="s">
        <v>2380</v>
      </c>
      <c r="L2395">
        <v>609739</v>
      </c>
      <c r="M2395" t="s">
        <v>2381</v>
      </c>
      <c r="P2395" t="s">
        <v>2704</v>
      </c>
      <c r="Q2395" t="s">
        <v>2383</v>
      </c>
      <c r="R2395">
        <v>1</v>
      </c>
      <c r="S2395" t="s">
        <v>2380</v>
      </c>
      <c r="T2395" t="s">
        <v>2383</v>
      </c>
      <c r="U2395" s="8">
        <v>45950.427835648145</v>
      </c>
      <c r="V2395" s="8">
        <v>45953.958333333336</v>
      </c>
      <c r="W2395">
        <v>1</v>
      </c>
      <c r="X2395">
        <v>1.995023148</v>
      </c>
      <c r="Z2395" t="s">
        <v>2721</v>
      </c>
      <c r="AB2395" t="s">
        <v>1278</v>
      </c>
      <c r="AC2395" t="s">
        <v>2722</v>
      </c>
      <c r="AD2395" t="s">
        <v>2708</v>
      </c>
      <c r="AE2395">
        <v>1</v>
      </c>
      <c r="AF2395">
        <v>2</v>
      </c>
      <c r="AH2395" t="s">
        <v>2723</v>
      </c>
      <c r="AI2395" s="8">
        <v>45952.418842592589</v>
      </c>
      <c r="AK2395" t="s">
        <v>2719</v>
      </c>
      <c r="AL2395" t="s">
        <v>2724</v>
      </c>
      <c r="AO2395" t="s">
        <v>2408</v>
      </c>
    </row>
    <row r="2396" spans="1:42">
      <c r="A2396" t="s">
        <v>9016</v>
      </c>
      <c r="B2396" t="s">
        <v>2389</v>
      </c>
      <c r="C2396" t="s">
        <v>2378</v>
      </c>
      <c r="D2396" t="s">
        <v>2379</v>
      </c>
      <c r="E2396" t="s">
        <v>2452</v>
      </c>
      <c r="F2396" t="s">
        <v>2541</v>
      </c>
      <c r="G2396" t="s">
        <v>2452</v>
      </c>
      <c r="H2396" t="b">
        <v>1</v>
      </c>
      <c r="I2396" s="8">
        <v>45953.556666666664</v>
      </c>
      <c r="J2396" t="s">
        <v>2380</v>
      </c>
      <c r="K2396">
        <v>1204208</v>
      </c>
      <c r="L2396">
        <v>608399</v>
      </c>
      <c r="M2396" t="s">
        <v>2381</v>
      </c>
      <c r="P2396" t="s">
        <v>2548</v>
      </c>
      <c r="Q2396" t="s">
        <v>2383</v>
      </c>
      <c r="R2396">
        <v>1</v>
      </c>
      <c r="S2396" t="s">
        <v>2380</v>
      </c>
      <c r="T2396" t="s">
        <v>2383</v>
      </c>
      <c r="U2396" s="8">
        <v>45950.509120370371</v>
      </c>
      <c r="V2396" s="8">
        <v>45953.958333333336</v>
      </c>
      <c r="W2396">
        <v>1</v>
      </c>
      <c r="X2396">
        <v>3.0475462960000002</v>
      </c>
      <c r="Y2396" t="s">
        <v>2542</v>
      </c>
      <c r="Z2396" t="s">
        <v>9017</v>
      </c>
      <c r="AA2396" t="s">
        <v>2576</v>
      </c>
      <c r="AB2396" t="s">
        <v>1278</v>
      </c>
      <c r="AC2396" t="s">
        <v>9018</v>
      </c>
      <c r="AD2396" t="s">
        <v>2708</v>
      </c>
      <c r="AE2396">
        <v>1</v>
      </c>
      <c r="AH2396" t="s">
        <v>33</v>
      </c>
      <c r="AI2396" s="8">
        <v>45953.554930555554</v>
      </c>
      <c r="AK2396" t="s">
        <v>2719</v>
      </c>
      <c r="AL2396" t="s">
        <v>2719</v>
      </c>
      <c r="AO2396" t="s">
        <v>2547</v>
      </c>
      <c r="AP2396" t="s">
        <v>2401</v>
      </c>
    </row>
    <row r="2397" spans="1:42">
      <c r="A2397" t="s">
        <v>8142</v>
      </c>
      <c r="B2397" t="s">
        <v>2389</v>
      </c>
      <c r="C2397" t="s">
        <v>2415</v>
      </c>
      <c r="D2397" t="s">
        <v>2379</v>
      </c>
      <c r="E2397" t="s">
        <v>33</v>
      </c>
      <c r="F2397">
        <v>4240</v>
      </c>
      <c r="G2397" t="s">
        <v>33</v>
      </c>
      <c r="H2397" t="b">
        <v>1</v>
      </c>
      <c r="I2397" s="8">
        <v>45951.565034722225</v>
      </c>
      <c r="J2397" t="s">
        <v>2380</v>
      </c>
      <c r="K2397">
        <v>1203819</v>
      </c>
      <c r="L2397">
        <v>604106</v>
      </c>
      <c r="M2397" t="s">
        <v>2381</v>
      </c>
      <c r="P2397" t="s">
        <v>2394</v>
      </c>
      <c r="Q2397" t="s">
        <v>2395</v>
      </c>
      <c r="R2397">
        <v>1</v>
      </c>
      <c r="S2397" t="s">
        <v>2380</v>
      </c>
      <c r="T2397" t="s">
        <v>2383</v>
      </c>
      <c r="U2397" s="8">
        <v>45950.509942129633</v>
      </c>
      <c r="V2397" s="8">
        <v>45953.958333333336</v>
      </c>
      <c r="W2397">
        <v>1</v>
      </c>
      <c r="X2397">
        <v>1.0550925929999999</v>
      </c>
      <c r="Y2397" t="s">
        <v>8134</v>
      </c>
      <c r="Z2397" t="s">
        <v>8143</v>
      </c>
      <c r="AA2397" t="s">
        <v>8137</v>
      </c>
      <c r="AB2397" t="s">
        <v>1278</v>
      </c>
      <c r="AC2397" t="s">
        <v>8144</v>
      </c>
      <c r="AD2397" t="s">
        <v>2708</v>
      </c>
      <c r="AE2397">
        <v>1</v>
      </c>
      <c r="AO2397" t="s">
        <v>4137</v>
      </c>
      <c r="AP2397" t="s">
        <v>2401</v>
      </c>
    </row>
    <row r="2398" spans="1:42">
      <c r="A2398" t="s">
        <v>8339</v>
      </c>
      <c r="B2398" t="s">
        <v>2389</v>
      </c>
      <c r="C2398" t="s">
        <v>2390</v>
      </c>
      <c r="D2398" t="s">
        <v>2379</v>
      </c>
      <c r="E2398" t="s">
        <v>25</v>
      </c>
      <c r="F2398" t="s">
        <v>3891</v>
      </c>
      <c r="G2398" t="s">
        <v>25</v>
      </c>
      <c r="H2398" t="b">
        <v>1</v>
      </c>
      <c r="I2398" s="8">
        <v>45953.434201388889</v>
      </c>
      <c r="J2398" t="s">
        <v>2380</v>
      </c>
      <c r="K2398">
        <v>1204158</v>
      </c>
      <c r="L2398">
        <v>604453</v>
      </c>
      <c r="M2398" t="s">
        <v>2381</v>
      </c>
      <c r="N2398">
        <v>5</v>
      </c>
      <c r="P2398" t="s">
        <v>2394</v>
      </c>
      <c r="Q2398" t="s">
        <v>2395</v>
      </c>
      <c r="R2398">
        <v>1</v>
      </c>
      <c r="S2398" t="s">
        <v>2380</v>
      </c>
      <c r="T2398" t="s">
        <v>2383</v>
      </c>
      <c r="U2398" s="8">
        <v>45950.513460648152</v>
      </c>
      <c r="V2398" s="8">
        <v>45953.958333333336</v>
      </c>
      <c r="W2398">
        <v>1</v>
      </c>
      <c r="X2398">
        <v>2.9207407409999999</v>
      </c>
      <c r="Y2398" t="s">
        <v>3892</v>
      </c>
      <c r="Z2398" t="s">
        <v>8340</v>
      </c>
      <c r="AA2398" t="s">
        <v>8341</v>
      </c>
      <c r="AB2398" t="s">
        <v>1278</v>
      </c>
      <c r="AC2398" t="s">
        <v>8342</v>
      </c>
      <c r="AD2398" t="s">
        <v>2708</v>
      </c>
      <c r="AE2398">
        <v>1</v>
      </c>
      <c r="AO2398" t="s">
        <v>4137</v>
      </c>
      <c r="AP2398" t="s">
        <v>2401</v>
      </c>
    </row>
    <row r="2399" spans="1:42">
      <c r="A2399" t="s">
        <v>8125</v>
      </c>
      <c r="B2399" t="s">
        <v>2389</v>
      </c>
      <c r="C2399" t="s">
        <v>2415</v>
      </c>
      <c r="D2399" t="s">
        <v>2379</v>
      </c>
      <c r="E2399" t="s">
        <v>33</v>
      </c>
      <c r="F2399">
        <v>4227</v>
      </c>
      <c r="G2399" t="s">
        <v>33</v>
      </c>
      <c r="H2399" t="b">
        <v>1</v>
      </c>
      <c r="I2399" s="8">
        <v>45951.618541666663</v>
      </c>
      <c r="J2399" t="s">
        <v>2380</v>
      </c>
      <c r="K2399">
        <v>1203844</v>
      </c>
      <c r="L2399">
        <v>604477</v>
      </c>
      <c r="M2399" t="s">
        <v>2381</v>
      </c>
      <c r="P2399" t="s">
        <v>2394</v>
      </c>
      <c r="Q2399" t="s">
        <v>2395</v>
      </c>
      <c r="R2399">
        <v>1</v>
      </c>
      <c r="S2399" t="s">
        <v>2380</v>
      </c>
      <c r="T2399" t="s">
        <v>2383</v>
      </c>
      <c r="U2399" s="8">
        <v>45950.539513888885</v>
      </c>
      <c r="V2399" s="8">
        <v>45953.958333333336</v>
      </c>
      <c r="W2399">
        <v>1</v>
      </c>
      <c r="X2399">
        <v>1.0790277779999999</v>
      </c>
      <c r="Y2399" t="s">
        <v>4558</v>
      </c>
      <c r="Z2399" t="s">
        <v>8126</v>
      </c>
      <c r="AA2399" t="s">
        <v>8120</v>
      </c>
      <c r="AB2399" t="s">
        <v>1278</v>
      </c>
      <c r="AC2399" t="s">
        <v>8127</v>
      </c>
      <c r="AD2399" t="s">
        <v>2708</v>
      </c>
      <c r="AE2399">
        <v>1</v>
      </c>
      <c r="AO2399" t="s">
        <v>4137</v>
      </c>
      <c r="AP2399" t="s">
        <v>2401</v>
      </c>
    </row>
    <row r="2400" spans="1:42">
      <c r="A2400" t="s">
        <v>8327</v>
      </c>
      <c r="B2400" t="s">
        <v>2389</v>
      </c>
      <c r="C2400" t="s">
        <v>2443</v>
      </c>
      <c r="D2400" t="s">
        <v>2443</v>
      </c>
      <c r="E2400" t="s">
        <v>25</v>
      </c>
      <c r="F2400" t="s">
        <v>3520</v>
      </c>
      <c r="G2400" t="s">
        <v>25</v>
      </c>
      <c r="H2400" t="b">
        <v>1</v>
      </c>
      <c r="I2400" s="8">
        <v>45959.473495370374</v>
      </c>
      <c r="J2400" t="s">
        <v>2380</v>
      </c>
      <c r="K2400">
        <v>1205450</v>
      </c>
      <c r="L2400">
        <v>604511</v>
      </c>
      <c r="M2400" t="s">
        <v>2381</v>
      </c>
      <c r="N2400">
        <v>5</v>
      </c>
      <c r="P2400" t="s">
        <v>2394</v>
      </c>
      <c r="Q2400" t="s">
        <v>2395</v>
      </c>
      <c r="R2400">
        <v>1</v>
      </c>
      <c r="S2400" t="s">
        <v>2380</v>
      </c>
      <c r="T2400" t="s">
        <v>2383</v>
      </c>
      <c r="U2400" s="8">
        <v>45950.540219907409</v>
      </c>
      <c r="V2400" s="8">
        <v>45953.958333333336</v>
      </c>
      <c r="W2400">
        <v>1</v>
      </c>
      <c r="X2400">
        <v>6.9332754630000002</v>
      </c>
      <c r="Y2400" t="s">
        <v>3521</v>
      </c>
      <c r="Z2400" t="s">
        <v>8328</v>
      </c>
      <c r="AA2400" t="s">
        <v>8329</v>
      </c>
      <c r="AB2400" t="s">
        <v>1278</v>
      </c>
      <c r="AC2400" t="s">
        <v>8330</v>
      </c>
      <c r="AD2400" t="s">
        <v>2708</v>
      </c>
      <c r="AE2400">
        <v>1</v>
      </c>
      <c r="AO2400" t="s">
        <v>4137</v>
      </c>
      <c r="AP2400" t="s">
        <v>2401</v>
      </c>
    </row>
    <row r="2401" spans="1:42">
      <c r="A2401" t="s">
        <v>7670</v>
      </c>
      <c r="B2401" t="s">
        <v>2389</v>
      </c>
      <c r="C2401" t="s">
        <v>2390</v>
      </c>
      <c r="D2401" t="s">
        <v>2379</v>
      </c>
      <c r="E2401" t="s">
        <v>2452</v>
      </c>
      <c r="F2401" t="s">
        <v>3491</v>
      </c>
      <c r="G2401" t="s">
        <v>2452</v>
      </c>
      <c r="H2401" t="b">
        <v>1</v>
      </c>
      <c r="I2401" s="8">
        <v>45953.349236111113</v>
      </c>
      <c r="J2401" t="s">
        <v>2380</v>
      </c>
      <c r="K2401">
        <v>1204096</v>
      </c>
      <c r="L2401">
        <v>602666</v>
      </c>
      <c r="M2401" t="s">
        <v>2381</v>
      </c>
      <c r="P2401" t="s">
        <v>2394</v>
      </c>
      <c r="Q2401" t="s">
        <v>2383</v>
      </c>
      <c r="R2401">
        <v>1</v>
      </c>
      <c r="S2401" t="s">
        <v>2380</v>
      </c>
      <c r="T2401" t="s">
        <v>2383</v>
      </c>
      <c r="U2401" s="8">
        <v>45950.557187500002</v>
      </c>
      <c r="V2401" s="8">
        <v>45953.958333333336</v>
      </c>
      <c r="W2401">
        <v>1</v>
      </c>
      <c r="X2401">
        <v>2.7920486109999998</v>
      </c>
      <c r="Y2401" t="s">
        <v>3492</v>
      </c>
      <c r="Z2401" t="s">
        <v>7671</v>
      </c>
      <c r="AA2401" t="s">
        <v>3495</v>
      </c>
      <c r="AB2401" t="s">
        <v>1278</v>
      </c>
      <c r="AC2401" t="s">
        <v>7672</v>
      </c>
      <c r="AD2401" t="s">
        <v>2708</v>
      </c>
      <c r="AE2401">
        <v>1</v>
      </c>
      <c r="AO2401" t="s">
        <v>2957</v>
      </c>
      <c r="AP2401" t="s">
        <v>2401</v>
      </c>
    </row>
    <row r="2402" spans="1:42">
      <c r="A2402" t="s">
        <v>9725</v>
      </c>
      <c r="B2402" t="s">
        <v>2389</v>
      </c>
      <c r="C2402" t="s">
        <v>2378</v>
      </c>
      <c r="D2402" t="s">
        <v>2379</v>
      </c>
      <c r="E2402" t="s">
        <v>28</v>
      </c>
      <c r="F2402" t="s">
        <v>8565</v>
      </c>
      <c r="G2402" t="s">
        <v>28</v>
      </c>
      <c r="H2402" t="b">
        <v>1</v>
      </c>
      <c r="I2402" s="8">
        <v>45953.642569444448</v>
      </c>
      <c r="J2402" t="s">
        <v>2380</v>
      </c>
      <c r="K2402">
        <v>1204316</v>
      </c>
      <c r="L2402">
        <v>603331</v>
      </c>
      <c r="M2402" t="s">
        <v>2381</v>
      </c>
      <c r="N2402">
        <v>15</v>
      </c>
      <c r="P2402" t="s">
        <v>2394</v>
      </c>
      <c r="Q2402" t="s">
        <v>2383</v>
      </c>
      <c r="R2402">
        <v>1</v>
      </c>
      <c r="S2402" t="s">
        <v>2380</v>
      </c>
      <c r="T2402" t="s">
        <v>2383</v>
      </c>
      <c r="U2402" s="8">
        <v>45950.561307870368</v>
      </c>
      <c r="V2402" s="8">
        <v>45953.958333333336</v>
      </c>
      <c r="W2402">
        <v>1</v>
      </c>
      <c r="X2402">
        <v>3.081261574</v>
      </c>
      <c r="Y2402" t="s">
        <v>8566</v>
      </c>
      <c r="Z2402" t="s">
        <v>9726</v>
      </c>
      <c r="AA2402" t="s">
        <v>8569</v>
      </c>
      <c r="AB2402" t="s">
        <v>1278</v>
      </c>
      <c r="AC2402" t="s">
        <v>9727</v>
      </c>
      <c r="AD2402" t="s">
        <v>2708</v>
      </c>
      <c r="AE2402">
        <v>1</v>
      </c>
      <c r="AO2402" t="s">
        <v>3608</v>
      </c>
      <c r="AP2402" t="s">
        <v>2401</v>
      </c>
    </row>
    <row r="2403" spans="1:42">
      <c r="A2403" t="s">
        <v>8128</v>
      </c>
      <c r="B2403" t="s">
        <v>2389</v>
      </c>
      <c r="C2403" t="s">
        <v>2415</v>
      </c>
      <c r="D2403" t="s">
        <v>2379</v>
      </c>
      <c r="E2403" t="s">
        <v>33</v>
      </c>
      <c r="F2403">
        <v>4227</v>
      </c>
      <c r="G2403" t="s">
        <v>33</v>
      </c>
      <c r="H2403" t="b">
        <v>1</v>
      </c>
      <c r="I2403" s="8">
        <v>45951.616099537037</v>
      </c>
      <c r="J2403" t="s">
        <v>2380</v>
      </c>
      <c r="K2403">
        <v>1203841</v>
      </c>
      <c r="L2403">
        <v>604477</v>
      </c>
      <c r="M2403" t="s">
        <v>2381</v>
      </c>
      <c r="P2403" t="s">
        <v>2394</v>
      </c>
      <c r="Q2403" t="s">
        <v>2395</v>
      </c>
      <c r="R2403">
        <v>1</v>
      </c>
      <c r="S2403" t="s">
        <v>2380</v>
      </c>
      <c r="T2403" t="s">
        <v>2383</v>
      </c>
      <c r="U2403" s="8">
        <v>45950.575335648151</v>
      </c>
      <c r="V2403" s="8">
        <v>45953.958333333336</v>
      </c>
      <c r="W2403">
        <v>1</v>
      </c>
      <c r="X2403">
        <v>1.0407638889999999</v>
      </c>
      <c r="Y2403" t="s">
        <v>4558</v>
      </c>
      <c r="Z2403" t="s">
        <v>8129</v>
      </c>
      <c r="AA2403" t="s">
        <v>8120</v>
      </c>
      <c r="AB2403" t="s">
        <v>1278</v>
      </c>
      <c r="AC2403" t="s">
        <v>8130</v>
      </c>
      <c r="AD2403" t="s">
        <v>2708</v>
      </c>
      <c r="AE2403">
        <v>1</v>
      </c>
      <c r="AO2403" t="s">
        <v>4137</v>
      </c>
      <c r="AP2403" t="s">
        <v>2401</v>
      </c>
    </row>
    <row r="2404" spans="1:42">
      <c r="A2404" t="s">
        <v>7350</v>
      </c>
      <c r="B2404" t="s">
        <v>2389</v>
      </c>
      <c r="C2404" t="s">
        <v>2378</v>
      </c>
      <c r="D2404" t="s">
        <v>2379</v>
      </c>
      <c r="E2404" t="s">
        <v>25</v>
      </c>
      <c r="F2404" t="s">
        <v>3500</v>
      </c>
      <c r="G2404" t="s">
        <v>25</v>
      </c>
      <c r="H2404" t="b">
        <v>1</v>
      </c>
      <c r="I2404" s="8">
        <v>45953.636504629627</v>
      </c>
      <c r="J2404" t="s">
        <v>2380</v>
      </c>
      <c r="K2404">
        <v>1204315</v>
      </c>
      <c r="L2404">
        <v>609890</v>
      </c>
      <c r="M2404" t="s">
        <v>2381</v>
      </c>
      <c r="N2404">
        <v>5</v>
      </c>
      <c r="P2404" t="s">
        <v>2394</v>
      </c>
      <c r="Q2404" t="s">
        <v>2383</v>
      </c>
      <c r="R2404">
        <v>1</v>
      </c>
      <c r="S2404" t="s">
        <v>2380</v>
      </c>
      <c r="T2404" t="s">
        <v>2383</v>
      </c>
      <c r="U2404" s="8">
        <v>45950.57545138889</v>
      </c>
      <c r="V2404" s="8">
        <v>45953.958333333336</v>
      </c>
      <c r="W2404">
        <v>1</v>
      </c>
      <c r="X2404">
        <v>3.0610532410000002</v>
      </c>
      <c r="Y2404" t="s">
        <v>3501</v>
      </c>
      <c r="Z2404" t="s">
        <v>7351</v>
      </c>
      <c r="AA2404" t="s">
        <v>7020</v>
      </c>
      <c r="AB2404" t="s">
        <v>1278</v>
      </c>
      <c r="AC2404" t="s">
        <v>7352</v>
      </c>
      <c r="AD2404" t="s">
        <v>2708</v>
      </c>
      <c r="AE2404">
        <v>1</v>
      </c>
      <c r="AO2404" t="s">
        <v>2388</v>
      </c>
      <c r="AP2404" t="s">
        <v>2401</v>
      </c>
    </row>
    <row r="2405" spans="1:42">
      <c r="A2405" t="s">
        <v>7683</v>
      </c>
      <c r="B2405" t="s">
        <v>2389</v>
      </c>
      <c r="C2405" t="s">
        <v>2378</v>
      </c>
      <c r="D2405" t="s">
        <v>2379</v>
      </c>
      <c r="E2405" t="s">
        <v>2452</v>
      </c>
      <c r="F2405">
        <v>4517</v>
      </c>
      <c r="G2405" t="s">
        <v>2452</v>
      </c>
      <c r="H2405" t="b">
        <v>1</v>
      </c>
      <c r="I2405" s="8">
        <v>45953.613402777781</v>
      </c>
      <c r="J2405" t="s">
        <v>2380</v>
      </c>
      <c r="K2405">
        <v>1204280</v>
      </c>
      <c r="L2405">
        <v>602992</v>
      </c>
      <c r="M2405" t="s">
        <v>2381</v>
      </c>
      <c r="P2405" t="s">
        <v>2394</v>
      </c>
      <c r="Q2405" t="s">
        <v>2383</v>
      </c>
      <c r="R2405">
        <v>1</v>
      </c>
      <c r="S2405" t="s">
        <v>2380</v>
      </c>
      <c r="T2405" t="s">
        <v>2383</v>
      </c>
      <c r="U2405" s="8">
        <v>45950.576099537036</v>
      </c>
      <c r="V2405" s="8">
        <v>45953.958333333336</v>
      </c>
      <c r="W2405">
        <v>1</v>
      </c>
      <c r="X2405">
        <v>3.037303241</v>
      </c>
      <c r="Y2405" t="s">
        <v>3509</v>
      </c>
      <c r="Z2405" t="s">
        <v>7684</v>
      </c>
      <c r="AA2405" t="s">
        <v>3512</v>
      </c>
      <c r="AB2405" t="s">
        <v>1278</v>
      </c>
      <c r="AC2405" t="s">
        <v>7685</v>
      </c>
      <c r="AD2405" t="s">
        <v>2708</v>
      </c>
      <c r="AE2405">
        <v>1</v>
      </c>
      <c r="AO2405" t="s">
        <v>2957</v>
      </c>
      <c r="AP2405" t="s">
        <v>2401</v>
      </c>
    </row>
    <row r="2406" spans="1:42">
      <c r="A2406" t="s">
        <v>7739</v>
      </c>
      <c r="B2406" t="s">
        <v>2389</v>
      </c>
      <c r="C2406" t="s">
        <v>2378</v>
      </c>
      <c r="D2406" t="s">
        <v>2379</v>
      </c>
      <c r="E2406" t="s">
        <v>2452</v>
      </c>
      <c r="F2406" t="s">
        <v>7737</v>
      </c>
      <c r="G2406" t="s">
        <v>2452</v>
      </c>
      <c r="H2406" t="b">
        <v>1</v>
      </c>
      <c r="I2406" s="8">
        <v>45953.681898148148</v>
      </c>
      <c r="J2406" t="s">
        <v>2380</v>
      </c>
      <c r="K2406">
        <v>1204340</v>
      </c>
      <c r="L2406">
        <v>606932</v>
      </c>
      <c r="M2406" t="s">
        <v>2381</v>
      </c>
      <c r="P2406" t="s">
        <v>2394</v>
      </c>
      <c r="Q2406" t="s">
        <v>2383</v>
      </c>
      <c r="R2406">
        <v>1</v>
      </c>
      <c r="S2406" t="s">
        <v>2380</v>
      </c>
      <c r="T2406" t="s">
        <v>2383</v>
      </c>
      <c r="U2406" s="8">
        <v>45950.586539351854</v>
      </c>
      <c r="V2406" s="8">
        <v>45953.958333333336</v>
      </c>
      <c r="W2406">
        <v>1</v>
      </c>
      <c r="X2406">
        <v>3.0953587960000002</v>
      </c>
      <c r="Y2406" t="s">
        <v>7738</v>
      </c>
      <c r="Z2406" t="s">
        <v>7740</v>
      </c>
      <c r="AA2406" t="s">
        <v>7741</v>
      </c>
      <c r="AB2406" t="s">
        <v>1278</v>
      </c>
      <c r="AC2406" t="s">
        <v>7742</v>
      </c>
      <c r="AD2406" t="s">
        <v>2708</v>
      </c>
      <c r="AE2406">
        <v>1</v>
      </c>
      <c r="AO2406" t="s">
        <v>2957</v>
      </c>
      <c r="AP2406" t="s">
        <v>2401</v>
      </c>
    </row>
    <row r="2407" spans="1:42">
      <c r="A2407" t="s">
        <v>8131</v>
      </c>
      <c r="B2407" t="s">
        <v>2389</v>
      </c>
      <c r="C2407" t="s">
        <v>2415</v>
      </c>
      <c r="D2407" t="s">
        <v>2379</v>
      </c>
      <c r="E2407" t="s">
        <v>33</v>
      </c>
      <c r="F2407">
        <v>4227</v>
      </c>
      <c r="G2407" t="s">
        <v>33</v>
      </c>
      <c r="H2407" t="b">
        <v>1</v>
      </c>
      <c r="I2407" s="8">
        <v>45951.619872685187</v>
      </c>
      <c r="J2407" t="s">
        <v>2380</v>
      </c>
      <c r="K2407">
        <v>1203845</v>
      </c>
      <c r="L2407">
        <v>604477</v>
      </c>
      <c r="M2407" t="s">
        <v>2381</v>
      </c>
      <c r="P2407" t="s">
        <v>2394</v>
      </c>
      <c r="Q2407" t="s">
        <v>2395</v>
      </c>
      <c r="R2407">
        <v>1</v>
      </c>
      <c r="S2407" t="s">
        <v>2380</v>
      </c>
      <c r="T2407" t="s">
        <v>2383</v>
      </c>
      <c r="U2407" s="8">
        <v>45950.603541666664</v>
      </c>
      <c r="V2407" s="8">
        <v>45953.958333333336</v>
      </c>
      <c r="W2407">
        <v>1</v>
      </c>
      <c r="X2407">
        <v>1.0163310189999999</v>
      </c>
      <c r="Y2407" t="s">
        <v>4558</v>
      </c>
      <c r="Z2407" t="s">
        <v>8132</v>
      </c>
      <c r="AA2407" t="s">
        <v>8120</v>
      </c>
      <c r="AB2407" t="s">
        <v>1278</v>
      </c>
      <c r="AC2407" t="s">
        <v>8133</v>
      </c>
      <c r="AD2407" t="s">
        <v>2708</v>
      </c>
      <c r="AE2407">
        <v>1</v>
      </c>
      <c r="AO2407" t="s">
        <v>4137</v>
      </c>
      <c r="AP2407" t="s">
        <v>2401</v>
      </c>
    </row>
    <row r="2408" spans="1:42">
      <c r="A2408" t="s">
        <v>5362</v>
      </c>
      <c r="B2408" t="s">
        <v>2389</v>
      </c>
      <c r="C2408" t="s">
        <v>2390</v>
      </c>
      <c r="D2408" t="s">
        <v>2379</v>
      </c>
      <c r="E2408" t="s">
        <v>2452</v>
      </c>
      <c r="F2408" t="s">
        <v>2779</v>
      </c>
      <c r="G2408" t="s">
        <v>2452</v>
      </c>
      <c r="H2408" t="b">
        <v>1</v>
      </c>
      <c r="I2408" s="8">
        <v>45952.669131944444</v>
      </c>
      <c r="J2408" t="s">
        <v>2380</v>
      </c>
      <c r="K2408">
        <v>1204053</v>
      </c>
      <c r="L2408">
        <v>608381</v>
      </c>
      <c r="M2408" t="s">
        <v>2381</v>
      </c>
      <c r="P2408" t="s">
        <v>2394</v>
      </c>
      <c r="Q2408" t="s">
        <v>2383</v>
      </c>
      <c r="R2408">
        <v>1</v>
      </c>
      <c r="S2408" t="s">
        <v>2380</v>
      </c>
      <c r="T2408" t="s">
        <v>2383</v>
      </c>
      <c r="U2408" s="8">
        <v>45950.608819444446</v>
      </c>
      <c r="V2408" s="8">
        <v>45953.958333333336</v>
      </c>
      <c r="W2408">
        <v>1</v>
      </c>
      <c r="X2408">
        <v>2.0603125000000002</v>
      </c>
      <c r="Y2408" t="s">
        <v>1352</v>
      </c>
      <c r="Z2408" t="s">
        <v>5363</v>
      </c>
      <c r="AA2408" t="s">
        <v>3030</v>
      </c>
      <c r="AB2408" t="s">
        <v>1278</v>
      </c>
      <c r="AC2408" t="s">
        <v>5364</v>
      </c>
      <c r="AD2408" t="s">
        <v>2708</v>
      </c>
      <c r="AE2408">
        <v>1</v>
      </c>
      <c r="AO2408" t="s">
        <v>2408</v>
      </c>
      <c r="AP2408" t="s">
        <v>2401</v>
      </c>
    </row>
    <row r="2409" spans="1:42">
      <c r="A2409" t="s">
        <v>9477</v>
      </c>
      <c r="B2409" t="s">
        <v>2389</v>
      </c>
      <c r="C2409" t="s">
        <v>2691</v>
      </c>
      <c r="D2409" t="s">
        <v>2379</v>
      </c>
      <c r="E2409" t="s">
        <v>2452</v>
      </c>
      <c r="F2409" t="s">
        <v>4812</v>
      </c>
      <c r="G2409" t="s">
        <v>2452</v>
      </c>
      <c r="H2409" t="b">
        <v>1</v>
      </c>
      <c r="I2409" s="8">
        <v>45959.432581018518</v>
      </c>
      <c r="J2409" t="s">
        <v>2380</v>
      </c>
      <c r="K2409">
        <v>1205407</v>
      </c>
      <c r="L2409">
        <v>605558</v>
      </c>
      <c r="M2409" t="s">
        <v>2381</v>
      </c>
      <c r="P2409" t="s">
        <v>2394</v>
      </c>
      <c r="Q2409" t="s">
        <v>2383</v>
      </c>
      <c r="R2409">
        <v>1</v>
      </c>
      <c r="S2409" t="s">
        <v>2380</v>
      </c>
      <c r="T2409" t="s">
        <v>2383</v>
      </c>
      <c r="U2409" s="8">
        <v>45950.612719907411</v>
      </c>
      <c r="V2409" s="8">
        <v>45964.958333333336</v>
      </c>
      <c r="W2409">
        <v>1</v>
      </c>
      <c r="X2409">
        <v>6.8198611109999998</v>
      </c>
      <c r="Y2409" t="s">
        <v>4813</v>
      </c>
      <c r="Z2409" t="s">
        <v>9478</v>
      </c>
      <c r="AA2409" t="s">
        <v>8938</v>
      </c>
      <c r="AB2409" t="s">
        <v>1278</v>
      </c>
      <c r="AC2409" t="s">
        <v>9479</v>
      </c>
      <c r="AD2409" t="s">
        <v>2708</v>
      </c>
      <c r="AE2409">
        <v>1</v>
      </c>
      <c r="AO2409" t="s">
        <v>2957</v>
      </c>
      <c r="AP2409" t="s">
        <v>8931</v>
      </c>
    </row>
    <row r="2410" spans="1:42">
      <c r="A2410" t="s">
        <v>7989</v>
      </c>
      <c r="B2410" t="s">
        <v>2389</v>
      </c>
      <c r="C2410" t="s">
        <v>2390</v>
      </c>
      <c r="D2410" t="s">
        <v>2379</v>
      </c>
      <c r="E2410" t="s">
        <v>25</v>
      </c>
      <c r="F2410" t="s">
        <v>3514</v>
      </c>
      <c r="G2410" t="s">
        <v>25</v>
      </c>
      <c r="H2410" t="b">
        <v>1</v>
      </c>
      <c r="I2410" s="8">
        <v>45953.35292824074</v>
      </c>
      <c r="J2410" t="s">
        <v>2380</v>
      </c>
      <c r="K2410">
        <v>1204098</v>
      </c>
      <c r="L2410">
        <v>603695</v>
      </c>
      <c r="M2410" t="s">
        <v>2381</v>
      </c>
      <c r="N2410">
        <v>5</v>
      </c>
      <c r="P2410" t="s">
        <v>2394</v>
      </c>
      <c r="Q2410" t="s">
        <v>2383</v>
      </c>
      <c r="R2410">
        <v>1</v>
      </c>
      <c r="S2410" t="s">
        <v>2380</v>
      </c>
      <c r="T2410" t="s">
        <v>2383</v>
      </c>
      <c r="U2410" s="8">
        <v>45950.61341435185</v>
      </c>
      <c r="V2410" s="8">
        <v>45953.958333333336</v>
      </c>
      <c r="W2410">
        <v>1</v>
      </c>
      <c r="X2410">
        <v>2.7395138889999999</v>
      </c>
      <c r="Y2410" t="s">
        <v>3515</v>
      </c>
      <c r="Z2410" t="s">
        <v>7990</v>
      </c>
      <c r="AA2410" t="s">
        <v>3518</v>
      </c>
      <c r="AB2410" t="s">
        <v>1278</v>
      </c>
      <c r="AC2410" t="s">
        <v>7991</v>
      </c>
      <c r="AD2410" t="s">
        <v>2708</v>
      </c>
      <c r="AE2410">
        <v>1</v>
      </c>
      <c r="AO2410" t="s">
        <v>2957</v>
      </c>
      <c r="AP2410" t="s">
        <v>2401</v>
      </c>
    </row>
    <row r="2411" spans="1:42">
      <c r="A2411" t="s">
        <v>7028</v>
      </c>
      <c r="B2411" t="s">
        <v>2389</v>
      </c>
      <c r="C2411" t="s">
        <v>2390</v>
      </c>
      <c r="D2411" t="s">
        <v>2379</v>
      </c>
      <c r="E2411" t="s">
        <v>2452</v>
      </c>
      <c r="F2411">
        <v>3842</v>
      </c>
      <c r="G2411" t="s">
        <v>2452</v>
      </c>
      <c r="H2411" t="b">
        <v>1</v>
      </c>
      <c r="I2411" s="8">
        <v>45953.535000000003</v>
      </c>
      <c r="J2411" t="s">
        <v>2380</v>
      </c>
      <c r="K2411">
        <v>1204209</v>
      </c>
      <c r="L2411">
        <v>603092</v>
      </c>
      <c r="M2411" t="s">
        <v>2381</v>
      </c>
      <c r="P2411" t="s">
        <v>2394</v>
      </c>
      <c r="Q2411" t="s">
        <v>2383</v>
      </c>
      <c r="R2411">
        <v>1</v>
      </c>
      <c r="S2411" t="s">
        <v>2380</v>
      </c>
      <c r="T2411" t="s">
        <v>2383</v>
      </c>
      <c r="U2411" s="8">
        <v>45950.614733796298</v>
      </c>
      <c r="V2411" s="8">
        <v>45953.958333333336</v>
      </c>
      <c r="W2411">
        <v>1</v>
      </c>
      <c r="X2411">
        <v>2.9202662039999998</v>
      </c>
      <c r="Y2411" t="s">
        <v>4453</v>
      </c>
      <c r="Z2411" t="s">
        <v>7029</v>
      </c>
      <c r="AA2411" t="s">
        <v>4456</v>
      </c>
      <c r="AB2411" t="s">
        <v>1278</v>
      </c>
      <c r="AC2411" t="s">
        <v>7030</v>
      </c>
      <c r="AD2411" t="s">
        <v>2708</v>
      </c>
      <c r="AE2411">
        <v>1</v>
      </c>
      <c r="AO2411" t="s">
        <v>2388</v>
      </c>
      <c r="AP2411" t="s">
        <v>2401</v>
      </c>
    </row>
    <row r="2412" spans="1:42">
      <c r="A2412" t="s">
        <v>6652</v>
      </c>
      <c r="B2412" t="s">
        <v>2389</v>
      </c>
      <c r="C2412" t="s">
        <v>2415</v>
      </c>
      <c r="D2412" t="s">
        <v>2379</v>
      </c>
      <c r="E2412" t="s">
        <v>33</v>
      </c>
      <c r="F2412" t="s">
        <v>2578</v>
      </c>
      <c r="G2412" t="s">
        <v>33</v>
      </c>
      <c r="H2412" t="b">
        <v>1</v>
      </c>
      <c r="I2412" s="8">
        <v>45951.634745370371</v>
      </c>
      <c r="J2412" t="s">
        <v>2380</v>
      </c>
      <c r="K2412">
        <v>1203849</v>
      </c>
      <c r="L2412">
        <v>606871</v>
      </c>
      <c r="M2412" t="s">
        <v>2381</v>
      </c>
      <c r="Q2412" t="s">
        <v>2383</v>
      </c>
      <c r="R2412">
        <v>1</v>
      </c>
      <c r="S2412" t="s">
        <v>2380</v>
      </c>
      <c r="T2412" t="s">
        <v>2383</v>
      </c>
      <c r="U2412" s="8">
        <v>45950.626909722225</v>
      </c>
      <c r="V2412" s="8">
        <v>45953.958333333336</v>
      </c>
      <c r="W2412">
        <v>1</v>
      </c>
      <c r="X2412">
        <v>1.0078356479999999</v>
      </c>
      <c r="Y2412" t="s">
        <v>2579</v>
      </c>
      <c r="Z2412" t="s">
        <v>6653</v>
      </c>
      <c r="AA2412" t="s">
        <v>3283</v>
      </c>
      <c r="AB2412" t="s">
        <v>1278</v>
      </c>
      <c r="AC2412" t="s">
        <v>6654</v>
      </c>
      <c r="AD2412" t="s">
        <v>2708</v>
      </c>
      <c r="AE2412">
        <v>1</v>
      </c>
      <c r="AO2412" t="s">
        <v>2388</v>
      </c>
      <c r="AP2412" t="s">
        <v>2401</v>
      </c>
    </row>
    <row r="2413" spans="1:42">
      <c r="A2413" t="s">
        <v>8004</v>
      </c>
      <c r="B2413" t="s">
        <v>2389</v>
      </c>
      <c r="C2413" t="s">
        <v>2378</v>
      </c>
      <c r="D2413" t="s">
        <v>2379</v>
      </c>
      <c r="E2413" t="s">
        <v>25</v>
      </c>
      <c r="F2413" t="s">
        <v>3500</v>
      </c>
      <c r="G2413" t="s">
        <v>25</v>
      </c>
      <c r="H2413" t="b">
        <v>1</v>
      </c>
      <c r="I2413" s="8">
        <v>45953.646192129629</v>
      </c>
      <c r="J2413" t="s">
        <v>2380</v>
      </c>
      <c r="K2413">
        <v>1204319</v>
      </c>
      <c r="L2413">
        <v>609991</v>
      </c>
      <c r="M2413" t="s">
        <v>2381</v>
      </c>
      <c r="N2413">
        <v>5</v>
      </c>
      <c r="P2413" t="s">
        <v>2394</v>
      </c>
      <c r="Q2413" t="s">
        <v>2383</v>
      </c>
      <c r="R2413">
        <v>1</v>
      </c>
      <c r="S2413" t="s">
        <v>2380</v>
      </c>
      <c r="T2413" t="s">
        <v>2383</v>
      </c>
      <c r="U2413" s="8">
        <v>45950.631608796299</v>
      </c>
      <c r="V2413" s="8">
        <v>45953.958333333336</v>
      </c>
      <c r="W2413">
        <v>1</v>
      </c>
      <c r="X2413">
        <v>3.014583333</v>
      </c>
      <c r="Y2413" t="s">
        <v>3501</v>
      </c>
      <c r="Z2413" t="s">
        <v>8005</v>
      </c>
      <c r="AA2413" t="s">
        <v>3504</v>
      </c>
      <c r="AB2413" t="s">
        <v>1278</v>
      </c>
      <c r="AC2413" t="s">
        <v>8006</v>
      </c>
      <c r="AD2413" t="s">
        <v>2708</v>
      </c>
      <c r="AE2413">
        <v>1</v>
      </c>
      <c r="AO2413" t="s">
        <v>2957</v>
      </c>
      <c r="AP2413" t="s">
        <v>2401</v>
      </c>
    </row>
    <row r="2414" spans="1:42">
      <c r="A2414" t="s">
        <v>9287</v>
      </c>
      <c r="B2414" t="s">
        <v>2389</v>
      </c>
      <c r="C2414" t="s">
        <v>2378</v>
      </c>
      <c r="D2414" t="s">
        <v>2379</v>
      </c>
      <c r="E2414" t="s">
        <v>25</v>
      </c>
      <c r="F2414" t="s">
        <v>2541</v>
      </c>
      <c r="G2414" t="s">
        <v>25</v>
      </c>
      <c r="H2414" t="b">
        <v>1</v>
      </c>
      <c r="I2414" s="8">
        <v>45953.664803240739</v>
      </c>
      <c r="J2414" t="s">
        <v>2380</v>
      </c>
      <c r="K2414">
        <v>1204230</v>
      </c>
      <c r="L2414">
        <v>601096</v>
      </c>
      <c r="M2414" t="s">
        <v>2381</v>
      </c>
      <c r="N2414">
        <v>5</v>
      </c>
      <c r="P2414" t="s">
        <v>2548</v>
      </c>
      <c r="Q2414" t="s">
        <v>2383</v>
      </c>
      <c r="R2414">
        <v>1</v>
      </c>
      <c r="S2414" t="s">
        <v>2380</v>
      </c>
      <c r="T2414" t="s">
        <v>2383</v>
      </c>
      <c r="U2414" s="8">
        <v>45950.638379629629</v>
      </c>
      <c r="V2414" s="8">
        <v>45953.958333333336</v>
      </c>
      <c r="W2414">
        <v>1</v>
      </c>
      <c r="X2414">
        <v>3.0264236109999998</v>
      </c>
      <c r="Y2414" t="s">
        <v>2542</v>
      </c>
      <c r="Z2414" t="s">
        <v>9288</v>
      </c>
      <c r="AA2414" t="s">
        <v>2888</v>
      </c>
      <c r="AB2414" t="s">
        <v>1278</v>
      </c>
      <c r="AC2414" t="s">
        <v>9289</v>
      </c>
      <c r="AD2414" t="s">
        <v>2708</v>
      </c>
      <c r="AE2414">
        <v>1</v>
      </c>
      <c r="AH2414" t="s">
        <v>2723</v>
      </c>
      <c r="AI2414" s="8">
        <v>45953.660034722219</v>
      </c>
      <c r="AK2414" t="s">
        <v>2719</v>
      </c>
      <c r="AL2414" t="s">
        <v>2724</v>
      </c>
      <c r="AO2414" t="s">
        <v>2547</v>
      </c>
      <c r="AP2414" t="s">
        <v>2401</v>
      </c>
    </row>
    <row r="2415" spans="1:42">
      <c r="A2415" t="s">
        <v>7331</v>
      </c>
      <c r="B2415" t="s">
        <v>2389</v>
      </c>
      <c r="C2415" t="s">
        <v>2378</v>
      </c>
      <c r="D2415" t="s">
        <v>2379</v>
      </c>
      <c r="E2415" t="s">
        <v>25</v>
      </c>
      <c r="F2415">
        <v>6343</v>
      </c>
      <c r="G2415" t="s">
        <v>25</v>
      </c>
      <c r="H2415" t="b">
        <v>1</v>
      </c>
      <c r="I2415" s="8">
        <v>45953.65079861111</v>
      </c>
      <c r="J2415" t="s">
        <v>2380</v>
      </c>
      <c r="K2415">
        <v>1204333</v>
      </c>
      <c r="L2415">
        <v>603584</v>
      </c>
      <c r="M2415" t="s">
        <v>2381</v>
      </c>
      <c r="N2415">
        <v>5</v>
      </c>
      <c r="P2415" t="s">
        <v>2394</v>
      </c>
      <c r="Q2415" t="s">
        <v>2383</v>
      </c>
      <c r="R2415">
        <v>1</v>
      </c>
      <c r="S2415" t="s">
        <v>2380</v>
      </c>
      <c r="T2415" t="s">
        <v>2383</v>
      </c>
      <c r="U2415" s="8">
        <v>45950.640868055554</v>
      </c>
      <c r="V2415" s="8">
        <v>45953.958333333336</v>
      </c>
      <c r="W2415">
        <v>1</v>
      </c>
      <c r="X2415">
        <v>3.009930556</v>
      </c>
      <c r="Y2415" t="s">
        <v>2662</v>
      </c>
      <c r="Z2415" t="s">
        <v>7332</v>
      </c>
      <c r="AA2415" t="s">
        <v>7333</v>
      </c>
      <c r="AB2415" t="s">
        <v>1278</v>
      </c>
      <c r="AC2415" t="s">
        <v>7334</v>
      </c>
      <c r="AD2415" t="s">
        <v>2708</v>
      </c>
      <c r="AE2415">
        <v>1</v>
      </c>
      <c r="AO2415" t="s">
        <v>2388</v>
      </c>
      <c r="AP2415" t="s">
        <v>2401</v>
      </c>
    </row>
    <row r="2416" spans="1:42">
      <c r="A2416" t="s">
        <v>8145</v>
      </c>
      <c r="B2416" t="s">
        <v>2389</v>
      </c>
      <c r="C2416" t="s">
        <v>2438</v>
      </c>
      <c r="D2416" t="s">
        <v>2379</v>
      </c>
      <c r="E2416" t="s">
        <v>33</v>
      </c>
      <c r="F2416">
        <v>4240</v>
      </c>
      <c r="G2416" t="s">
        <v>33</v>
      </c>
      <c r="H2416" t="b">
        <v>1</v>
      </c>
      <c r="I2416" s="8">
        <v>45951.566168981481</v>
      </c>
      <c r="J2416" t="s">
        <v>2380</v>
      </c>
      <c r="K2416">
        <v>1203820</v>
      </c>
      <c r="L2416">
        <v>604106</v>
      </c>
      <c r="M2416" t="s">
        <v>2381</v>
      </c>
      <c r="P2416" t="s">
        <v>2394</v>
      </c>
      <c r="Q2416" t="s">
        <v>2395</v>
      </c>
      <c r="R2416">
        <v>1</v>
      </c>
      <c r="S2416" t="s">
        <v>2380</v>
      </c>
      <c r="T2416" t="s">
        <v>2383</v>
      </c>
      <c r="U2416" s="8">
        <v>45950.642916666664</v>
      </c>
      <c r="V2416" s="8">
        <v>45953.958333333336</v>
      </c>
      <c r="W2416">
        <v>1</v>
      </c>
      <c r="X2416">
        <v>0.92325231500000005</v>
      </c>
      <c r="Y2416" t="s">
        <v>8134</v>
      </c>
      <c r="Z2416" t="s">
        <v>8146</v>
      </c>
      <c r="AA2416" t="s">
        <v>8137</v>
      </c>
      <c r="AB2416" t="s">
        <v>1278</v>
      </c>
      <c r="AC2416" t="s">
        <v>8147</v>
      </c>
      <c r="AD2416" t="s">
        <v>2708</v>
      </c>
      <c r="AE2416">
        <v>1</v>
      </c>
      <c r="AO2416" t="s">
        <v>4137</v>
      </c>
      <c r="AP2416" t="s">
        <v>2401</v>
      </c>
    </row>
    <row r="2417" spans="1:42">
      <c r="A2417" t="s">
        <v>6671</v>
      </c>
      <c r="B2417" t="s">
        <v>2389</v>
      </c>
      <c r="C2417" t="s">
        <v>2438</v>
      </c>
      <c r="D2417" t="s">
        <v>2379</v>
      </c>
      <c r="E2417" t="s">
        <v>33</v>
      </c>
      <c r="F2417" t="s">
        <v>2578</v>
      </c>
      <c r="G2417" t="s">
        <v>33</v>
      </c>
      <c r="H2417" t="b">
        <v>1</v>
      </c>
      <c r="I2417" s="8">
        <v>45951.641203703701</v>
      </c>
      <c r="J2417" t="s">
        <v>2380</v>
      </c>
      <c r="K2417">
        <v>1203850</v>
      </c>
      <c r="L2417">
        <v>606871</v>
      </c>
      <c r="M2417" t="s">
        <v>2381</v>
      </c>
      <c r="P2417" t="s">
        <v>2394</v>
      </c>
      <c r="Q2417" t="s">
        <v>2383</v>
      </c>
      <c r="R2417">
        <v>1</v>
      </c>
      <c r="S2417" t="s">
        <v>2380</v>
      </c>
      <c r="T2417" t="s">
        <v>2383</v>
      </c>
      <c r="U2417" s="8">
        <v>45950.644386574073</v>
      </c>
      <c r="V2417" s="8">
        <v>45953.958333333336</v>
      </c>
      <c r="W2417">
        <v>1</v>
      </c>
      <c r="X2417">
        <v>0.99681713000000005</v>
      </c>
      <c r="Y2417" t="s">
        <v>2579</v>
      </c>
      <c r="Z2417" t="s">
        <v>6672</v>
      </c>
      <c r="AA2417" t="s">
        <v>3283</v>
      </c>
      <c r="AB2417" t="s">
        <v>1278</v>
      </c>
      <c r="AC2417" t="s">
        <v>6673</v>
      </c>
      <c r="AD2417" t="s">
        <v>2708</v>
      </c>
      <c r="AE2417">
        <v>1</v>
      </c>
      <c r="AO2417" t="s">
        <v>2388</v>
      </c>
      <c r="AP2417" t="s">
        <v>2401</v>
      </c>
    </row>
    <row r="2418" spans="1:42">
      <c r="A2418" t="s">
        <v>8870</v>
      </c>
      <c r="B2418" t="s">
        <v>2389</v>
      </c>
      <c r="C2418" t="s">
        <v>2378</v>
      </c>
      <c r="D2418" t="s">
        <v>2379</v>
      </c>
      <c r="E2418" t="s">
        <v>25</v>
      </c>
      <c r="F2418" t="s">
        <v>3213</v>
      </c>
      <c r="G2418" t="s">
        <v>25</v>
      </c>
      <c r="H2418" t="b">
        <v>1</v>
      </c>
      <c r="I2418" s="8">
        <v>45953.664537037039</v>
      </c>
      <c r="J2418" t="s">
        <v>2380</v>
      </c>
      <c r="K2418">
        <v>1204218</v>
      </c>
      <c r="L2418">
        <v>603624</v>
      </c>
      <c r="M2418" t="s">
        <v>2381</v>
      </c>
      <c r="N2418">
        <v>5</v>
      </c>
      <c r="P2418" t="s">
        <v>2394</v>
      </c>
      <c r="Q2418" t="s">
        <v>2383</v>
      </c>
      <c r="R2418">
        <v>1</v>
      </c>
      <c r="S2418" t="s">
        <v>2380</v>
      </c>
      <c r="T2418" t="s">
        <v>2383</v>
      </c>
      <c r="U2418" s="8">
        <v>45950.653460648151</v>
      </c>
      <c r="V2418" s="8">
        <v>45953.958333333336</v>
      </c>
      <c r="W2418">
        <v>1</v>
      </c>
      <c r="X2418">
        <v>3.0110763889999999</v>
      </c>
      <c r="Y2418" t="s">
        <v>3214</v>
      </c>
      <c r="Z2418" t="s">
        <v>8871</v>
      </c>
      <c r="AA2418" t="s">
        <v>3611</v>
      </c>
      <c r="AB2418" t="s">
        <v>1278</v>
      </c>
      <c r="AC2418" t="s">
        <v>8872</v>
      </c>
      <c r="AD2418" t="s">
        <v>2708</v>
      </c>
      <c r="AE2418">
        <v>1</v>
      </c>
      <c r="AH2418" t="s">
        <v>2723</v>
      </c>
      <c r="AI2418" s="8">
        <v>45953.659236111111</v>
      </c>
      <c r="AK2418" t="s">
        <v>2719</v>
      </c>
      <c r="AL2418" t="s">
        <v>2724</v>
      </c>
      <c r="AO2418" t="s">
        <v>3608</v>
      </c>
      <c r="AP2418" t="s">
        <v>2401</v>
      </c>
    </row>
    <row r="2419" spans="1:42">
      <c r="A2419" t="s">
        <v>3522</v>
      </c>
      <c r="B2419" t="s">
        <v>2389</v>
      </c>
      <c r="C2419" t="s">
        <v>2378</v>
      </c>
      <c r="D2419" t="s">
        <v>2379</v>
      </c>
      <c r="E2419" t="s">
        <v>2452</v>
      </c>
      <c r="F2419" t="s">
        <v>3520</v>
      </c>
      <c r="G2419" t="s">
        <v>2452</v>
      </c>
      <c r="H2419" t="b">
        <v>1</v>
      </c>
      <c r="I2419" s="8">
        <v>45953.689398148148</v>
      </c>
      <c r="J2419" t="s">
        <v>2380</v>
      </c>
      <c r="L2419">
        <v>603223</v>
      </c>
      <c r="M2419" t="s">
        <v>2381</v>
      </c>
      <c r="P2419" t="s">
        <v>2394</v>
      </c>
      <c r="Q2419" t="s">
        <v>2383</v>
      </c>
      <c r="R2419">
        <v>1</v>
      </c>
      <c r="S2419" t="s">
        <v>2380</v>
      </c>
      <c r="T2419" t="s">
        <v>2383</v>
      </c>
      <c r="U2419" s="8">
        <v>45950.6640162037</v>
      </c>
      <c r="V2419" s="8">
        <v>45953.958333333336</v>
      </c>
      <c r="W2419">
        <v>1</v>
      </c>
      <c r="X2419">
        <v>3.0253819439999998</v>
      </c>
      <c r="Y2419" t="s">
        <v>3521</v>
      </c>
      <c r="Z2419" t="s">
        <v>3523</v>
      </c>
      <c r="AA2419" t="s">
        <v>3524</v>
      </c>
      <c r="AB2419" t="s">
        <v>1278</v>
      </c>
      <c r="AC2419" t="s">
        <v>3525</v>
      </c>
      <c r="AE2419">
        <v>1</v>
      </c>
      <c r="AO2419" t="s">
        <v>2957</v>
      </c>
      <c r="AP2419" t="s">
        <v>2401</v>
      </c>
    </row>
    <row r="2420" spans="1:42">
      <c r="A2420" t="s">
        <v>9892</v>
      </c>
      <c r="B2420" t="s">
        <v>2389</v>
      </c>
      <c r="C2420" t="s">
        <v>2443</v>
      </c>
      <c r="D2420" t="s">
        <v>2443</v>
      </c>
      <c r="E2420" t="s">
        <v>25</v>
      </c>
      <c r="F2420" t="s">
        <v>2627</v>
      </c>
      <c r="G2420" t="s">
        <v>25</v>
      </c>
      <c r="H2420" t="b">
        <v>1</v>
      </c>
      <c r="I2420" s="8">
        <v>45959.385555555556</v>
      </c>
      <c r="J2420" t="s">
        <v>2380</v>
      </c>
      <c r="L2420">
        <v>604362</v>
      </c>
      <c r="M2420" t="s">
        <v>2381</v>
      </c>
      <c r="N2420">
        <v>5</v>
      </c>
      <c r="Q2420" t="s">
        <v>2395</v>
      </c>
      <c r="R2420">
        <v>1</v>
      </c>
      <c r="S2420" t="s">
        <v>2380</v>
      </c>
      <c r="T2420" t="s">
        <v>2383</v>
      </c>
      <c r="U2420" s="8">
        <v>45950.684479166666</v>
      </c>
      <c r="V2420" s="8">
        <v>45958.958333333336</v>
      </c>
      <c r="W2420">
        <v>1</v>
      </c>
      <c r="X2420">
        <v>6.7010763889999998</v>
      </c>
      <c r="Y2420" t="s">
        <v>2628</v>
      </c>
      <c r="Z2420" t="s">
        <v>9893</v>
      </c>
      <c r="AA2420" t="s">
        <v>8325</v>
      </c>
      <c r="AB2420" t="s">
        <v>1278</v>
      </c>
      <c r="AC2420" t="s">
        <v>9894</v>
      </c>
      <c r="AE2420">
        <v>1</v>
      </c>
      <c r="AO2420" t="s">
        <v>4137</v>
      </c>
      <c r="AP2420" t="s">
        <v>2401</v>
      </c>
    </row>
    <row r="2421" spans="1:42">
      <c r="A2421" t="s">
        <v>9886</v>
      </c>
      <c r="B2421" t="s">
        <v>2389</v>
      </c>
      <c r="C2421" t="s">
        <v>2390</v>
      </c>
      <c r="D2421" t="s">
        <v>2379</v>
      </c>
      <c r="E2421" t="s">
        <v>25</v>
      </c>
      <c r="F2421" t="s">
        <v>4112</v>
      </c>
      <c r="G2421" t="s">
        <v>25</v>
      </c>
      <c r="H2421" t="b">
        <v>1</v>
      </c>
      <c r="I2421" s="8">
        <v>45953.656261574077</v>
      </c>
      <c r="J2421" t="s">
        <v>2380</v>
      </c>
      <c r="L2421">
        <v>604509</v>
      </c>
      <c r="M2421" t="s">
        <v>2381</v>
      </c>
      <c r="P2421" t="s">
        <v>2394</v>
      </c>
      <c r="Q2421" t="s">
        <v>2395</v>
      </c>
      <c r="R2421">
        <v>1</v>
      </c>
      <c r="S2421" t="s">
        <v>2380</v>
      </c>
      <c r="T2421" t="s">
        <v>2383</v>
      </c>
      <c r="U2421" s="8">
        <v>45950.688576388886</v>
      </c>
      <c r="V2421" s="8">
        <v>45953.958333333336</v>
      </c>
      <c r="W2421">
        <v>1</v>
      </c>
      <c r="X2421">
        <v>2.9676851850000001</v>
      </c>
      <c r="Y2421" t="s">
        <v>3901</v>
      </c>
      <c r="Z2421" t="s">
        <v>9887</v>
      </c>
      <c r="AA2421" t="s">
        <v>9888</v>
      </c>
      <c r="AB2421" t="s">
        <v>1278</v>
      </c>
      <c r="AC2421" t="s">
        <v>9889</v>
      </c>
      <c r="AE2421">
        <v>1</v>
      </c>
      <c r="AO2421" t="s">
        <v>4137</v>
      </c>
      <c r="AP2421" t="s">
        <v>2401</v>
      </c>
    </row>
    <row r="2422" spans="1:42">
      <c r="A2422" t="s">
        <v>8431</v>
      </c>
      <c r="B2422" t="s">
        <v>2389</v>
      </c>
      <c r="C2422" t="s">
        <v>2438</v>
      </c>
      <c r="D2422" t="s">
        <v>2379</v>
      </c>
      <c r="E2422" t="s">
        <v>33</v>
      </c>
      <c r="F2422">
        <v>4240</v>
      </c>
      <c r="G2422" t="s">
        <v>33</v>
      </c>
      <c r="H2422" t="b">
        <v>1</v>
      </c>
      <c r="I2422" s="8">
        <v>45951.567372685182</v>
      </c>
      <c r="J2422" t="s">
        <v>2380</v>
      </c>
      <c r="K2422">
        <v>1203821</v>
      </c>
      <c r="L2422">
        <v>604106</v>
      </c>
      <c r="M2422" t="s">
        <v>2381</v>
      </c>
      <c r="P2422" t="s">
        <v>2394</v>
      </c>
      <c r="Q2422" t="s">
        <v>2395</v>
      </c>
      <c r="R2422">
        <v>1</v>
      </c>
      <c r="S2422" t="s">
        <v>2380</v>
      </c>
      <c r="T2422" t="s">
        <v>2383</v>
      </c>
      <c r="U2422" s="8">
        <v>45950.706192129626</v>
      </c>
      <c r="V2422" s="8">
        <v>45953.958333333336</v>
      </c>
      <c r="W2422">
        <v>1</v>
      </c>
      <c r="X2422">
        <v>0.86118055599999999</v>
      </c>
      <c r="Y2422" t="s">
        <v>8134</v>
      </c>
      <c r="Z2422" t="s">
        <v>8432</v>
      </c>
      <c r="AA2422" t="s">
        <v>8137</v>
      </c>
      <c r="AB2422" t="s">
        <v>1278</v>
      </c>
      <c r="AC2422" t="s">
        <v>8433</v>
      </c>
      <c r="AD2422" t="s">
        <v>2708</v>
      </c>
      <c r="AE2422">
        <v>1</v>
      </c>
      <c r="AO2422" t="s">
        <v>4137</v>
      </c>
      <c r="AP2422" t="s">
        <v>2401</v>
      </c>
    </row>
    <row r="2423" spans="1:42">
      <c r="A2423" t="s">
        <v>8434</v>
      </c>
      <c r="B2423" t="s">
        <v>2389</v>
      </c>
      <c r="C2423" t="s">
        <v>2438</v>
      </c>
      <c r="D2423" t="s">
        <v>2379</v>
      </c>
      <c r="E2423" t="s">
        <v>33</v>
      </c>
      <c r="F2423">
        <v>4240</v>
      </c>
      <c r="G2423" t="s">
        <v>33</v>
      </c>
      <c r="H2423" t="b">
        <v>1</v>
      </c>
      <c r="I2423" s="8">
        <v>45951.570011574076</v>
      </c>
      <c r="J2423" t="s">
        <v>2380</v>
      </c>
      <c r="K2423">
        <v>1203824</v>
      </c>
      <c r="L2423">
        <v>604106</v>
      </c>
      <c r="M2423" t="s">
        <v>2381</v>
      </c>
      <c r="P2423" t="s">
        <v>2394</v>
      </c>
      <c r="Q2423" t="s">
        <v>2395</v>
      </c>
      <c r="R2423">
        <v>1</v>
      </c>
      <c r="S2423" t="s">
        <v>2380</v>
      </c>
      <c r="T2423" t="s">
        <v>2383</v>
      </c>
      <c r="U2423" s="8">
        <v>45950.70826388889</v>
      </c>
      <c r="V2423" s="8">
        <v>45953.958333333336</v>
      </c>
      <c r="W2423">
        <v>1</v>
      </c>
      <c r="X2423">
        <v>0.86174768499999999</v>
      </c>
      <c r="Y2423" t="s">
        <v>8134</v>
      </c>
      <c r="Z2423" t="s">
        <v>8435</v>
      </c>
      <c r="AA2423" t="s">
        <v>8137</v>
      </c>
      <c r="AB2423" t="s">
        <v>1278</v>
      </c>
      <c r="AC2423" t="s">
        <v>8436</v>
      </c>
      <c r="AD2423" t="s">
        <v>2708</v>
      </c>
      <c r="AE2423">
        <v>1</v>
      </c>
      <c r="AO2423" t="s">
        <v>4137</v>
      </c>
      <c r="AP2423" t="s">
        <v>2401</v>
      </c>
    </row>
    <row r="2424" spans="1:42">
      <c r="A2424" t="s">
        <v>8932</v>
      </c>
      <c r="B2424" t="s">
        <v>2389</v>
      </c>
      <c r="C2424" t="s">
        <v>2390</v>
      </c>
      <c r="D2424" t="s">
        <v>2379</v>
      </c>
      <c r="E2424" t="s">
        <v>25</v>
      </c>
      <c r="F2424">
        <v>6343</v>
      </c>
      <c r="G2424" t="s">
        <v>25</v>
      </c>
      <c r="H2424" t="b">
        <v>1</v>
      </c>
      <c r="I2424" s="8">
        <v>45953.396932870368</v>
      </c>
      <c r="J2424" t="s">
        <v>2380</v>
      </c>
      <c r="K2424">
        <v>1204101</v>
      </c>
      <c r="L2424">
        <v>605693</v>
      </c>
      <c r="M2424" t="s">
        <v>2381</v>
      </c>
      <c r="N2424">
        <v>5</v>
      </c>
      <c r="P2424" t="s">
        <v>2394</v>
      </c>
      <c r="Q2424" t="s">
        <v>2383</v>
      </c>
      <c r="R2424">
        <v>1</v>
      </c>
      <c r="S2424" t="s">
        <v>2380</v>
      </c>
      <c r="T2424" t="s">
        <v>2383</v>
      </c>
      <c r="U2424" s="8">
        <v>45950.760787037034</v>
      </c>
      <c r="V2424" s="8">
        <v>45953.958333333336</v>
      </c>
      <c r="W2424">
        <v>1</v>
      </c>
      <c r="X2424">
        <v>2.636145833</v>
      </c>
      <c r="Y2424" t="s">
        <v>2662</v>
      </c>
      <c r="Z2424" t="s">
        <v>8933</v>
      </c>
      <c r="AA2424" t="s">
        <v>8934</v>
      </c>
      <c r="AB2424" t="s">
        <v>1278</v>
      </c>
      <c r="AC2424" t="s">
        <v>8935</v>
      </c>
      <c r="AD2424" t="s">
        <v>2708</v>
      </c>
      <c r="AE2424">
        <v>1</v>
      </c>
      <c r="AO2424" t="s">
        <v>2388</v>
      </c>
      <c r="AP2424" t="s">
        <v>8931</v>
      </c>
    </row>
    <row r="2425" spans="1:42">
      <c r="A2425" t="s">
        <v>4572</v>
      </c>
      <c r="B2425" t="s">
        <v>2389</v>
      </c>
      <c r="C2425" t="s">
        <v>2390</v>
      </c>
      <c r="D2425" t="s">
        <v>2379</v>
      </c>
      <c r="E2425" t="s">
        <v>25</v>
      </c>
      <c r="F2425">
        <v>6397</v>
      </c>
      <c r="G2425" t="s">
        <v>25</v>
      </c>
      <c r="H2425" t="b">
        <v>1</v>
      </c>
      <c r="I2425" s="8">
        <v>45953.479479166665</v>
      </c>
      <c r="J2425" t="s">
        <v>2380</v>
      </c>
      <c r="K2425">
        <v>1204168</v>
      </c>
      <c r="L2425">
        <v>609828</v>
      </c>
      <c r="M2425" t="s">
        <v>2381</v>
      </c>
      <c r="N2425">
        <v>5</v>
      </c>
      <c r="Q2425" t="s">
        <v>2383</v>
      </c>
      <c r="R2425">
        <v>1</v>
      </c>
      <c r="S2425" t="s">
        <v>2380</v>
      </c>
      <c r="T2425" t="s">
        <v>2383</v>
      </c>
      <c r="U2425" s="8">
        <v>45950.776504629626</v>
      </c>
      <c r="V2425" s="8">
        <v>45953.958333333336</v>
      </c>
      <c r="W2425">
        <v>1</v>
      </c>
      <c r="X2425">
        <v>2.7029745369999998</v>
      </c>
      <c r="Y2425" t="s">
        <v>2607</v>
      </c>
      <c r="Z2425" t="s">
        <v>4573</v>
      </c>
      <c r="AA2425" t="s">
        <v>2610</v>
      </c>
      <c r="AB2425" t="s">
        <v>1278</v>
      </c>
      <c r="AC2425" t="s">
        <v>4574</v>
      </c>
      <c r="AD2425" t="s">
        <v>2708</v>
      </c>
      <c r="AE2425">
        <v>1</v>
      </c>
      <c r="AO2425" t="s">
        <v>2388</v>
      </c>
      <c r="AP2425" t="s">
        <v>2401</v>
      </c>
    </row>
    <row r="2426" spans="1:42">
      <c r="A2426" t="s">
        <v>4575</v>
      </c>
      <c r="B2426" t="s">
        <v>2389</v>
      </c>
      <c r="C2426" t="s">
        <v>2390</v>
      </c>
      <c r="D2426" t="s">
        <v>2379</v>
      </c>
      <c r="E2426" t="s">
        <v>25</v>
      </c>
      <c r="F2426">
        <v>6397</v>
      </c>
      <c r="G2426" t="s">
        <v>25</v>
      </c>
      <c r="H2426" t="b">
        <v>1</v>
      </c>
      <c r="I2426" s="8">
        <v>45953.482256944444</v>
      </c>
      <c r="J2426" t="s">
        <v>2380</v>
      </c>
      <c r="K2426">
        <v>1204170</v>
      </c>
      <c r="L2426">
        <v>609828</v>
      </c>
      <c r="M2426" t="s">
        <v>2381</v>
      </c>
      <c r="N2426">
        <v>5</v>
      </c>
      <c r="Q2426" t="s">
        <v>2383</v>
      </c>
      <c r="R2426">
        <v>1</v>
      </c>
      <c r="S2426" t="s">
        <v>2380</v>
      </c>
      <c r="T2426" t="s">
        <v>2383</v>
      </c>
      <c r="U2426" s="8">
        <v>45950.776990740742</v>
      </c>
      <c r="V2426" s="8">
        <v>45953.958333333336</v>
      </c>
      <c r="W2426">
        <v>1</v>
      </c>
      <c r="X2426">
        <v>2.705266204</v>
      </c>
      <c r="Y2426" t="s">
        <v>2607</v>
      </c>
      <c r="Z2426" t="s">
        <v>4576</v>
      </c>
      <c r="AA2426" t="s">
        <v>2610</v>
      </c>
      <c r="AB2426" t="s">
        <v>1278</v>
      </c>
      <c r="AC2426" t="s">
        <v>4577</v>
      </c>
      <c r="AD2426" t="s">
        <v>2708</v>
      </c>
      <c r="AE2426">
        <v>1</v>
      </c>
      <c r="AO2426" t="s">
        <v>2388</v>
      </c>
      <c r="AP2426" t="s">
        <v>2401</v>
      </c>
    </row>
    <row r="2427" spans="1:42">
      <c r="A2427" t="s">
        <v>4578</v>
      </c>
      <c r="B2427" t="s">
        <v>2389</v>
      </c>
      <c r="C2427" t="s">
        <v>2390</v>
      </c>
      <c r="D2427" t="s">
        <v>2379</v>
      </c>
      <c r="E2427" t="s">
        <v>25</v>
      </c>
      <c r="F2427">
        <v>6397</v>
      </c>
      <c r="G2427" t="s">
        <v>25</v>
      </c>
      <c r="H2427" t="b">
        <v>1</v>
      </c>
      <c r="I2427" s="8">
        <v>45953.474490740744</v>
      </c>
      <c r="J2427" t="s">
        <v>2380</v>
      </c>
      <c r="K2427">
        <v>1204164</v>
      </c>
      <c r="L2427">
        <v>609828</v>
      </c>
      <c r="M2427" t="s">
        <v>2381</v>
      </c>
      <c r="N2427">
        <v>5</v>
      </c>
      <c r="Q2427" t="s">
        <v>2383</v>
      </c>
      <c r="R2427">
        <v>1</v>
      </c>
      <c r="S2427" t="s">
        <v>2380</v>
      </c>
      <c r="T2427" t="s">
        <v>2383</v>
      </c>
      <c r="U2427" s="8">
        <v>45950.780266203707</v>
      </c>
      <c r="V2427" s="8">
        <v>45953.958333333336</v>
      </c>
      <c r="W2427">
        <v>1</v>
      </c>
      <c r="X2427">
        <v>2.6942245370000002</v>
      </c>
      <c r="Y2427" t="s">
        <v>2607</v>
      </c>
      <c r="Z2427" t="s">
        <v>4579</v>
      </c>
      <c r="AA2427" t="s">
        <v>2610</v>
      </c>
      <c r="AB2427" t="s">
        <v>1278</v>
      </c>
      <c r="AC2427" t="s">
        <v>4580</v>
      </c>
      <c r="AD2427" t="s">
        <v>2708</v>
      </c>
      <c r="AE2427">
        <v>1</v>
      </c>
      <c r="AO2427" t="s">
        <v>2388</v>
      </c>
      <c r="AP2427" t="s">
        <v>2401</v>
      </c>
    </row>
    <row r="2428" spans="1:42">
      <c r="A2428" t="s">
        <v>2608</v>
      </c>
      <c r="B2428" t="s">
        <v>2389</v>
      </c>
      <c r="C2428" t="s">
        <v>2390</v>
      </c>
      <c r="D2428" t="s">
        <v>2379</v>
      </c>
      <c r="E2428" t="s">
        <v>2452</v>
      </c>
      <c r="F2428">
        <v>6397</v>
      </c>
      <c r="G2428" t="s">
        <v>2452</v>
      </c>
      <c r="H2428" t="b">
        <v>1</v>
      </c>
      <c r="I2428" s="8">
        <v>45953.571030092593</v>
      </c>
      <c r="J2428" t="s">
        <v>2380</v>
      </c>
      <c r="L2428">
        <v>609828</v>
      </c>
      <c r="M2428" t="s">
        <v>2381</v>
      </c>
      <c r="Q2428" t="s">
        <v>2383</v>
      </c>
      <c r="R2428">
        <v>1</v>
      </c>
      <c r="S2428" t="s">
        <v>2380</v>
      </c>
      <c r="T2428" t="s">
        <v>2383</v>
      </c>
      <c r="U2428" s="8">
        <v>45950.783437500002</v>
      </c>
      <c r="V2428" s="8">
        <v>45953.958333333336</v>
      </c>
      <c r="W2428">
        <v>1</v>
      </c>
      <c r="X2428">
        <v>2.7875925929999998</v>
      </c>
      <c r="Y2428" t="s">
        <v>2607</v>
      </c>
      <c r="Z2428" t="s">
        <v>2609</v>
      </c>
      <c r="AA2428" t="s">
        <v>2610</v>
      </c>
      <c r="AB2428" t="s">
        <v>1278</v>
      </c>
      <c r="AC2428" t="s">
        <v>2611</v>
      </c>
      <c r="AE2428">
        <v>1</v>
      </c>
      <c r="AO2428" t="s">
        <v>2388</v>
      </c>
      <c r="AP2428" t="s">
        <v>2401</v>
      </c>
    </row>
    <row r="2429" spans="1:42">
      <c r="A2429" t="s">
        <v>3169</v>
      </c>
      <c r="B2429" t="s">
        <v>2389</v>
      </c>
      <c r="C2429" t="s">
        <v>2390</v>
      </c>
      <c r="D2429" t="s">
        <v>2379</v>
      </c>
      <c r="E2429" t="s">
        <v>25</v>
      </c>
      <c r="F2429" t="s">
        <v>2541</v>
      </c>
      <c r="G2429" t="s">
        <v>25</v>
      </c>
      <c r="H2429" t="b">
        <v>1</v>
      </c>
      <c r="I2429" s="8">
        <v>45953.67559027778</v>
      </c>
      <c r="J2429" t="s">
        <v>2380</v>
      </c>
      <c r="K2429">
        <v>1204339</v>
      </c>
      <c r="L2429">
        <v>602299</v>
      </c>
      <c r="M2429" t="s">
        <v>2381</v>
      </c>
      <c r="N2429">
        <v>5</v>
      </c>
      <c r="P2429" t="s">
        <v>2548</v>
      </c>
      <c r="Q2429" t="s">
        <v>2383</v>
      </c>
      <c r="R2429">
        <v>1</v>
      </c>
      <c r="S2429" t="s">
        <v>2380</v>
      </c>
      <c r="T2429" t="s">
        <v>2383</v>
      </c>
      <c r="U2429" s="8">
        <v>45950.783553240741</v>
      </c>
      <c r="V2429" s="8">
        <v>45953.958333333336</v>
      </c>
      <c r="W2429">
        <v>1</v>
      </c>
      <c r="X2429">
        <v>2.8920370370000001</v>
      </c>
      <c r="Y2429" t="s">
        <v>2542</v>
      </c>
      <c r="Z2429" t="s">
        <v>3170</v>
      </c>
      <c r="AA2429" t="s">
        <v>2927</v>
      </c>
      <c r="AB2429" t="s">
        <v>1278</v>
      </c>
      <c r="AC2429" t="s">
        <v>3171</v>
      </c>
      <c r="AD2429" t="s">
        <v>2708</v>
      </c>
      <c r="AE2429">
        <v>1</v>
      </c>
      <c r="AO2429" t="s">
        <v>2547</v>
      </c>
      <c r="AP2429" t="s">
        <v>2401</v>
      </c>
    </row>
    <row r="2430" spans="1:42">
      <c r="A2430" t="s">
        <v>4581</v>
      </c>
      <c r="B2430" t="s">
        <v>2389</v>
      </c>
      <c r="C2430" t="s">
        <v>2390</v>
      </c>
      <c r="D2430" t="s">
        <v>2379</v>
      </c>
      <c r="E2430" t="s">
        <v>25</v>
      </c>
      <c r="F2430">
        <v>6397</v>
      </c>
      <c r="G2430" t="s">
        <v>25</v>
      </c>
      <c r="H2430" t="b">
        <v>1</v>
      </c>
      <c r="I2430" s="8">
        <v>45953.47146990741</v>
      </c>
      <c r="J2430" t="s">
        <v>2380</v>
      </c>
      <c r="K2430">
        <v>1204163</v>
      </c>
      <c r="L2430">
        <v>609828</v>
      </c>
      <c r="M2430" t="s">
        <v>2381</v>
      </c>
      <c r="N2430">
        <v>5</v>
      </c>
      <c r="Q2430" t="s">
        <v>2383</v>
      </c>
      <c r="R2430">
        <v>1</v>
      </c>
      <c r="S2430" t="s">
        <v>2380</v>
      </c>
      <c r="T2430" t="s">
        <v>2383</v>
      </c>
      <c r="U2430" s="8">
        <v>45950.786886574075</v>
      </c>
      <c r="V2430" s="8">
        <v>45953.958333333336</v>
      </c>
      <c r="W2430">
        <v>1</v>
      </c>
      <c r="X2430">
        <v>2.684583333</v>
      </c>
      <c r="Y2430" t="s">
        <v>2607</v>
      </c>
      <c r="Z2430" t="s">
        <v>4582</v>
      </c>
      <c r="AA2430" t="s">
        <v>2610</v>
      </c>
      <c r="AB2430" t="s">
        <v>1278</v>
      </c>
      <c r="AC2430" t="s">
        <v>4583</v>
      </c>
      <c r="AD2430" t="s">
        <v>2708</v>
      </c>
      <c r="AE2430">
        <v>1</v>
      </c>
      <c r="AO2430" t="s">
        <v>2388</v>
      </c>
      <c r="AP2430" t="s">
        <v>2401</v>
      </c>
    </row>
    <row r="2431" spans="1:42">
      <c r="A2431" t="s">
        <v>4584</v>
      </c>
      <c r="B2431" t="s">
        <v>2389</v>
      </c>
      <c r="C2431" t="s">
        <v>2390</v>
      </c>
      <c r="D2431" t="s">
        <v>2379</v>
      </c>
      <c r="E2431" t="s">
        <v>25</v>
      </c>
      <c r="F2431">
        <v>6397</v>
      </c>
      <c r="G2431" t="s">
        <v>25</v>
      </c>
      <c r="H2431" t="b">
        <v>1</v>
      </c>
      <c r="I2431" s="8">
        <v>45953.467141203706</v>
      </c>
      <c r="J2431" t="s">
        <v>2380</v>
      </c>
      <c r="K2431">
        <v>1204162</v>
      </c>
      <c r="L2431">
        <v>609828</v>
      </c>
      <c r="M2431" t="s">
        <v>2381</v>
      </c>
      <c r="N2431">
        <v>5</v>
      </c>
      <c r="Q2431" t="s">
        <v>2383</v>
      </c>
      <c r="R2431">
        <v>1</v>
      </c>
      <c r="S2431" t="s">
        <v>2380</v>
      </c>
      <c r="T2431" t="s">
        <v>2383</v>
      </c>
      <c r="U2431" s="8">
        <v>45950.787777777776</v>
      </c>
      <c r="V2431" s="8">
        <v>45953.958333333336</v>
      </c>
      <c r="W2431">
        <v>1</v>
      </c>
      <c r="X2431">
        <v>2.6793634260000001</v>
      </c>
      <c r="Y2431" t="s">
        <v>2607</v>
      </c>
      <c r="Z2431" t="s">
        <v>4585</v>
      </c>
      <c r="AA2431" t="s">
        <v>2610</v>
      </c>
      <c r="AB2431" t="s">
        <v>1278</v>
      </c>
      <c r="AC2431" t="s">
        <v>4586</v>
      </c>
      <c r="AD2431" t="s">
        <v>2708</v>
      </c>
      <c r="AE2431">
        <v>1</v>
      </c>
      <c r="AO2431" t="s">
        <v>2388</v>
      </c>
      <c r="AP2431" t="s">
        <v>2401</v>
      </c>
    </row>
    <row r="2432" spans="1:42">
      <c r="A2432" t="s">
        <v>8428</v>
      </c>
      <c r="B2432" t="s">
        <v>2389</v>
      </c>
      <c r="C2432" t="s">
        <v>2438</v>
      </c>
      <c r="D2432" t="s">
        <v>2379</v>
      </c>
      <c r="E2432" t="s">
        <v>33</v>
      </c>
      <c r="F2432">
        <v>4227</v>
      </c>
      <c r="G2432" t="s">
        <v>33</v>
      </c>
      <c r="H2432" t="b">
        <v>1</v>
      </c>
      <c r="I2432" s="8">
        <v>45951.621481481481</v>
      </c>
      <c r="J2432" t="s">
        <v>2380</v>
      </c>
      <c r="K2432">
        <v>1203847</v>
      </c>
      <c r="L2432">
        <v>604477</v>
      </c>
      <c r="M2432" t="s">
        <v>2381</v>
      </c>
      <c r="P2432" t="s">
        <v>2394</v>
      </c>
      <c r="Q2432" t="s">
        <v>2395</v>
      </c>
      <c r="R2432">
        <v>1</v>
      </c>
      <c r="S2432" t="s">
        <v>2380</v>
      </c>
      <c r="T2432" t="s">
        <v>2383</v>
      </c>
      <c r="U2432" s="8">
        <v>45950.83357638889</v>
      </c>
      <c r="V2432" s="8">
        <v>45953.958333333336</v>
      </c>
      <c r="W2432">
        <v>1</v>
      </c>
      <c r="X2432">
        <v>0.787905093</v>
      </c>
      <c r="Y2432" t="s">
        <v>4558</v>
      </c>
      <c r="Z2432" t="s">
        <v>8429</v>
      </c>
      <c r="AA2432" t="s">
        <v>8120</v>
      </c>
      <c r="AB2432" t="s">
        <v>1278</v>
      </c>
      <c r="AC2432" t="s">
        <v>8430</v>
      </c>
      <c r="AD2432" t="s">
        <v>2708</v>
      </c>
      <c r="AE2432">
        <v>1</v>
      </c>
      <c r="AO2432" t="s">
        <v>4137</v>
      </c>
      <c r="AP2432" t="s">
        <v>2401</v>
      </c>
    </row>
    <row r="2433" spans="1:42">
      <c r="A2433" t="s">
        <v>8504</v>
      </c>
      <c r="B2433" t="s">
        <v>2389</v>
      </c>
      <c r="C2433" t="s">
        <v>2390</v>
      </c>
      <c r="D2433" t="s">
        <v>2379</v>
      </c>
      <c r="E2433" t="s">
        <v>25</v>
      </c>
      <c r="F2433">
        <v>6415</v>
      </c>
      <c r="G2433" t="s">
        <v>25</v>
      </c>
      <c r="H2433" t="b">
        <v>1</v>
      </c>
      <c r="I2433" s="8">
        <v>45953.429884259262</v>
      </c>
      <c r="J2433" t="s">
        <v>2380</v>
      </c>
      <c r="K2433">
        <v>1204157</v>
      </c>
      <c r="L2433">
        <v>604475</v>
      </c>
      <c r="M2433" t="s">
        <v>2381</v>
      </c>
      <c r="N2433">
        <v>5</v>
      </c>
      <c r="P2433" t="s">
        <v>2394</v>
      </c>
      <c r="Q2433" t="s">
        <v>2395</v>
      </c>
      <c r="R2433">
        <v>1</v>
      </c>
      <c r="S2433" t="s">
        <v>2380</v>
      </c>
      <c r="T2433" t="s">
        <v>2383</v>
      </c>
      <c r="U2433" s="8">
        <v>45950.911782407406</v>
      </c>
      <c r="V2433" s="8">
        <v>45953.958333333336</v>
      </c>
      <c r="W2433">
        <v>1</v>
      </c>
      <c r="X2433">
        <v>2.518101852</v>
      </c>
      <c r="Y2433" t="s">
        <v>8176</v>
      </c>
      <c r="Z2433" t="s">
        <v>8505</v>
      </c>
      <c r="AA2433" t="s">
        <v>8179</v>
      </c>
      <c r="AB2433" t="s">
        <v>1278</v>
      </c>
      <c r="AC2433" t="s">
        <v>8506</v>
      </c>
      <c r="AD2433" t="s">
        <v>2708</v>
      </c>
      <c r="AE2433">
        <v>1</v>
      </c>
      <c r="AO2433" t="s">
        <v>4137</v>
      </c>
      <c r="AP2433" t="s">
        <v>2401</v>
      </c>
    </row>
    <row r="2434" spans="1:42">
      <c r="A2434" t="s">
        <v>9920</v>
      </c>
      <c r="B2434" t="s">
        <v>2377</v>
      </c>
      <c r="C2434" t="s">
        <v>2415</v>
      </c>
      <c r="D2434" t="s">
        <v>2379</v>
      </c>
      <c r="E2434" t="s">
        <v>12</v>
      </c>
      <c r="F2434" t="s">
        <v>2588</v>
      </c>
      <c r="G2434" t="s">
        <v>12</v>
      </c>
      <c r="H2434" t="b">
        <v>1</v>
      </c>
      <c r="I2434" s="8">
        <v>45952.516956018517</v>
      </c>
      <c r="J2434" t="s">
        <v>2380</v>
      </c>
      <c r="L2434">
        <v>603123</v>
      </c>
      <c r="M2434" t="s">
        <v>2381</v>
      </c>
      <c r="Q2434" t="s">
        <v>2383</v>
      </c>
      <c r="R2434">
        <v>1</v>
      </c>
      <c r="S2434" t="s">
        <v>2380</v>
      </c>
      <c r="T2434" t="s">
        <v>2383</v>
      </c>
      <c r="U2434" s="8">
        <v>45951.285358796296</v>
      </c>
      <c r="V2434" s="8">
        <v>45953.958333333336</v>
      </c>
      <c r="W2434">
        <v>1</v>
      </c>
      <c r="X2434">
        <v>1.231597222</v>
      </c>
      <c r="Y2434" t="s">
        <v>2579</v>
      </c>
      <c r="Z2434" t="s">
        <v>9921</v>
      </c>
      <c r="AA2434" t="s">
        <v>3729</v>
      </c>
      <c r="AB2434" t="s">
        <v>1278</v>
      </c>
      <c r="AC2434" t="s">
        <v>9922</v>
      </c>
      <c r="AE2434">
        <v>1</v>
      </c>
      <c r="AO2434" t="s">
        <v>2720</v>
      </c>
      <c r="AP2434" t="s">
        <v>2401</v>
      </c>
    </row>
    <row r="2435" spans="1:42">
      <c r="A2435" t="s">
        <v>10246</v>
      </c>
      <c r="B2435" t="s">
        <v>2389</v>
      </c>
      <c r="C2435" t="s">
        <v>2415</v>
      </c>
      <c r="D2435" t="s">
        <v>2379</v>
      </c>
      <c r="E2435" t="s">
        <v>2452</v>
      </c>
      <c r="F2435" t="s">
        <v>3891</v>
      </c>
      <c r="G2435" t="s">
        <v>2452</v>
      </c>
      <c r="H2435" t="b">
        <v>1</v>
      </c>
      <c r="I2435" s="8">
        <v>45952.6796412037</v>
      </c>
      <c r="J2435" t="s">
        <v>2380</v>
      </c>
      <c r="K2435">
        <v>753545</v>
      </c>
      <c r="L2435">
        <v>605639</v>
      </c>
      <c r="M2435" t="s">
        <v>2381</v>
      </c>
      <c r="P2435" t="s">
        <v>2394</v>
      </c>
      <c r="Q2435" t="s">
        <v>2383</v>
      </c>
      <c r="R2435">
        <v>1</v>
      </c>
      <c r="S2435" t="s">
        <v>2380</v>
      </c>
      <c r="T2435" t="s">
        <v>2383</v>
      </c>
      <c r="U2435" s="8">
        <v>45951.313043981485</v>
      </c>
      <c r="V2435" s="8">
        <v>45953.958333333336</v>
      </c>
      <c r="W2435">
        <v>1</v>
      </c>
      <c r="X2435">
        <v>1.366597222</v>
      </c>
      <c r="Y2435" t="s">
        <v>3892</v>
      </c>
      <c r="Z2435" t="s">
        <v>10247</v>
      </c>
      <c r="AA2435" t="s">
        <v>9429</v>
      </c>
      <c r="AB2435" t="s">
        <v>1278</v>
      </c>
      <c r="AC2435" t="s">
        <v>10248</v>
      </c>
      <c r="AE2435">
        <v>1</v>
      </c>
      <c r="AO2435" t="s">
        <v>2715</v>
      </c>
      <c r="AP2435" t="s">
        <v>8931</v>
      </c>
    </row>
    <row r="2436" spans="1:42">
      <c r="A2436" t="s">
        <v>4719</v>
      </c>
      <c r="B2436" t="s">
        <v>2389</v>
      </c>
      <c r="C2436" t="s">
        <v>2390</v>
      </c>
      <c r="D2436" t="s">
        <v>2379</v>
      </c>
      <c r="E2436" t="s">
        <v>2452</v>
      </c>
      <c r="F2436" t="s">
        <v>3491</v>
      </c>
      <c r="G2436" t="s">
        <v>2452</v>
      </c>
      <c r="H2436" t="b">
        <v>1</v>
      </c>
      <c r="I2436" s="8">
        <v>45953.655231481483</v>
      </c>
      <c r="J2436" t="s">
        <v>2380</v>
      </c>
      <c r="K2436">
        <v>1204334</v>
      </c>
      <c r="L2436">
        <v>602666</v>
      </c>
      <c r="M2436" t="s">
        <v>2381</v>
      </c>
      <c r="P2436" t="s">
        <v>2394</v>
      </c>
      <c r="Q2436" t="s">
        <v>2383</v>
      </c>
      <c r="R2436">
        <v>1</v>
      </c>
      <c r="S2436" t="s">
        <v>2380</v>
      </c>
      <c r="T2436" t="s">
        <v>2383</v>
      </c>
      <c r="U2436" s="8">
        <v>45951.321400462963</v>
      </c>
      <c r="V2436" s="8">
        <v>45953.958333333336</v>
      </c>
      <c r="W2436">
        <v>1</v>
      </c>
      <c r="X2436">
        <v>2.3338310189999998</v>
      </c>
      <c r="Y2436" t="s">
        <v>3492</v>
      </c>
      <c r="Z2436" t="s">
        <v>4720</v>
      </c>
      <c r="AA2436" t="s">
        <v>3495</v>
      </c>
      <c r="AB2436" t="s">
        <v>1278</v>
      </c>
      <c r="AC2436" t="s">
        <v>4721</v>
      </c>
      <c r="AD2436" t="s">
        <v>2708</v>
      </c>
      <c r="AE2436">
        <v>1</v>
      </c>
      <c r="AO2436" t="s">
        <v>2957</v>
      </c>
      <c r="AP2436" t="s">
        <v>2401</v>
      </c>
    </row>
    <row r="2437" spans="1:42">
      <c r="A2437" t="s">
        <v>10249</v>
      </c>
      <c r="B2437" t="s">
        <v>2389</v>
      </c>
      <c r="C2437" t="s">
        <v>2415</v>
      </c>
      <c r="D2437" t="s">
        <v>2379</v>
      </c>
      <c r="E2437" t="s">
        <v>2452</v>
      </c>
      <c r="F2437" t="s">
        <v>3891</v>
      </c>
      <c r="G2437" t="s">
        <v>2452</v>
      </c>
      <c r="H2437" t="b">
        <v>1</v>
      </c>
      <c r="I2437" s="8">
        <v>45952.694236111114</v>
      </c>
      <c r="J2437" t="s">
        <v>2380</v>
      </c>
      <c r="K2437">
        <v>753545</v>
      </c>
      <c r="L2437">
        <v>605639</v>
      </c>
      <c r="M2437" t="s">
        <v>2381</v>
      </c>
      <c r="P2437" t="s">
        <v>2394</v>
      </c>
      <c r="Q2437" t="s">
        <v>2383</v>
      </c>
      <c r="R2437">
        <v>1</v>
      </c>
      <c r="S2437" t="s">
        <v>2380</v>
      </c>
      <c r="T2437" t="s">
        <v>2383</v>
      </c>
      <c r="U2437" s="8">
        <v>45951.323495370372</v>
      </c>
      <c r="V2437" s="8">
        <v>45953.958333333336</v>
      </c>
      <c r="W2437">
        <v>1</v>
      </c>
      <c r="X2437">
        <v>1.3707407410000001</v>
      </c>
      <c r="Y2437" t="s">
        <v>3892</v>
      </c>
      <c r="Z2437" t="s">
        <v>10250</v>
      </c>
      <c r="AA2437" t="s">
        <v>9429</v>
      </c>
      <c r="AB2437" t="s">
        <v>1278</v>
      </c>
      <c r="AC2437" t="s">
        <v>10251</v>
      </c>
      <c r="AE2437">
        <v>1</v>
      </c>
      <c r="AO2437" t="s">
        <v>2715</v>
      </c>
      <c r="AP2437" t="s">
        <v>8931</v>
      </c>
    </row>
    <row r="2438" spans="1:42">
      <c r="A2438" t="s">
        <v>4356</v>
      </c>
      <c r="B2438" t="s">
        <v>2389</v>
      </c>
      <c r="C2438" t="s">
        <v>2378</v>
      </c>
      <c r="D2438" t="s">
        <v>2379</v>
      </c>
      <c r="E2438" t="s">
        <v>25</v>
      </c>
      <c r="F2438" t="s">
        <v>2541</v>
      </c>
      <c r="G2438" t="s">
        <v>25</v>
      </c>
      <c r="H2438" t="b">
        <v>1</v>
      </c>
      <c r="I2438" s="8">
        <v>45954.589178240742</v>
      </c>
      <c r="J2438" t="s">
        <v>2380</v>
      </c>
      <c r="K2438">
        <v>1204545</v>
      </c>
      <c r="L2438">
        <v>608626</v>
      </c>
      <c r="M2438" t="s">
        <v>2381</v>
      </c>
      <c r="N2438">
        <v>5</v>
      </c>
      <c r="P2438" t="s">
        <v>2427</v>
      </c>
      <c r="Q2438" t="s">
        <v>2383</v>
      </c>
      <c r="R2438">
        <v>1</v>
      </c>
      <c r="S2438" t="s">
        <v>2380</v>
      </c>
      <c r="T2438" t="s">
        <v>2383</v>
      </c>
      <c r="U2438" s="8">
        <v>45951.348587962966</v>
      </c>
      <c r="V2438" s="8">
        <v>45954.958333333336</v>
      </c>
      <c r="W2438">
        <v>1</v>
      </c>
      <c r="X2438">
        <v>3.240590278</v>
      </c>
      <c r="Y2438" t="s">
        <v>2542</v>
      </c>
      <c r="Z2438" t="s">
        <v>4357</v>
      </c>
      <c r="AA2438" t="s">
        <v>2551</v>
      </c>
      <c r="AB2438" t="s">
        <v>1278</v>
      </c>
      <c r="AC2438" t="s">
        <v>4358</v>
      </c>
      <c r="AD2438" t="s">
        <v>2708</v>
      </c>
      <c r="AE2438">
        <v>1</v>
      </c>
      <c r="AO2438" t="s">
        <v>2547</v>
      </c>
      <c r="AP2438" t="s">
        <v>2401</v>
      </c>
    </row>
    <row r="2439" spans="1:42">
      <c r="A2439" t="s">
        <v>8864</v>
      </c>
      <c r="B2439" t="s">
        <v>2389</v>
      </c>
      <c r="C2439" t="s">
        <v>2378</v>
      </c>
      <c r="D2439" t="s">
        <v>2379</v>
      </c>
      <c r="E2439" t="s">
        <v>25</v>
      </c>
      <c r="F2439" t="s">
        <v>2541</v>
      </c>
      <c r="G2439" t="s">
        <v>25</v>
      </c>
      <c r="H2439" t="b">
        <v>1</v>
      </c>
      <c r="I2439" s="8">
        <v>45954.66542824074</v>
      </c>
      <c r="J2439" t="s">
        <v>2380</v>
      </c>
      <c r="K2439">
        <v>1204529</v>
      </c>
      <c r="L2439">
        <v>608626</v>
      </c>
      <c r="M2439" t="s">
        <v>2381</v>
      </c>
      <c r="N2439">
        <v>5</v>
      </c>
      <c r="P2439" t="s">
        <v>2427</v>
      </c>
      <c r="Q2439" t="s">
        <v>2383</v>
      </c>
      <c r="R2439">
        <v>1</v>
      </c>
      <c r="S2439" t="s">
        <v>2380</v>
      </c>
      <c r="T2439" t="s">
        <v>2383</v>
      </c>
      <c r="U2439" s="8">
        <v>45951.349293981482</v>
      </c>
      <c r="V2439" s="8">
        <v>45954.958333333336</v>
      </c>
      <c r="W2439">
        <v>1</v>
      </c>
      <c r="X2439">
        <v>3.316134259</v>
      </c>
      <c r="Y2439" t="s">
        <v>2542</v>
      </c>
      <c r="Z2439" t="s">
        <v>8865</v>
      </c>
      <c r="AA2439" t="s">
        <v>2551</v>
      </c>
      <c r="AB2439" t="s">
        <v>1278</v>
      </c>
      <c r="AC2439" t="s">
        <v>8866</v>
      </c>
      <c r="AD2439" t="s">
        <v>2708</v>
      </c>
      <c r="AE2439">
        <v>1</v>
      </c>
      <c r="AH2439" t="s">
        <v>2723</v>
      </c>
      <c r="AI2439" s="8">
        <v>45954.65829861111</v>
      </c>
      <c r="AK2439" t="s">
        <v>2719</v>
      </c>
      <c r="AL2439" t="s">
        <v>2724</v>
      </c>
      <c r="AO2439" t="s">
        <v>2547</v>
      </c>
      <c r="AP2439" t="s">
        <v>2401</v>
      </c>
    </row>
    <row r="2440" spans="1:42">
      <c r="A2440" t="s">
        <v>4359</v>
      </c>
      <c r="B2440" t="s">
        <v>2389</v>
      </c>
      <c r="C2440" t="s">
        <v>2378</v>
      </c>
      <c r="D2440" t="s">
        <v>2379</v>
      </c>
      <c r="E2440" t="s">
        <v>25</v>
      </c>
      <c r="F2440" t="s">
        <v>2541</v>
      </c>
      <c r="G2440" t="s">
        <v>25</v>
      </c>
      <c r="H2440" t="b">
        <v>1</v>
      </c>
      <c r="I2440" s="8">
        <v>45954.596817129626</v>
      </c>
      <c r="J2440" t="s">
        <v>2380</v>
      </c>
      <c r="K2440">
        <v>1204552</v>
      </c>
      <c r="L2440">
        <v>608626</v>
      </c>
      <c r="M2440" t="s">
        <v>2381</v>
      </c>
      <c r="N2440">
        <v>5</v>
      </c>
      <c r="P2440" t="s">
        <v>2427</v>
      </c>
      <c r="Q2440" t="s">
        <v>2383</v>
      </c>
      <c r="R2440">
        <v>1</v>
      </c>
      <c r="S2440" t="s">
        <v>2380</v>
      </c>
      <c r="T2440" t="s">
        <v>2383</v>
      </c>
      <c r="U2440" s="8">
        <v>45951.349293981482</v>
      </c>
      <c r="V2440" s="8">
        <v>45954.958333333336</v>
      </c>
      <c r="W2440">
        <v>1</v>
      </c>
      <c r="X2440">
        <v>3.247523148</v>
      </c>
      <c r="Y2440" t="s">
        <v>2542</v>
      </c>
      <c r="Z2440" t="s">
        <v>4360</v>
      </c>
      <c r="AA2440" t="s">
        <v>2551</v>
      </c>
      <c r="AB2440" t="s">
        <v>1278</v>
      </c>
      <c r="AC2440" t="s">
        <v>4361</v>
      </c>
      <c r="AD2440" t="s">
        <v>2708</v>
      </c>
      <c r="AE2440">
        <v>1</v>
      </c>
      <c r="AO2440" t="s">
        <v>2547</v>
      </c>
      <c r="AP2440" t="s">
        <v>2401</v>
      </c>
    </row>
    <row r="2441" spans="1:42">
      <c r="A2441" t="s">
        <v>4362</v>
      </c>
      <c r="B2441" t="s">
        <v>2389</v>
      </c>
      <c r="C2441" t="s">
        <v>2378</v>
      </c>
      <c r="D2441" t="s">
        <v>2379</v>
      </c>
      <c r="E2441" t="s">
        <v>25</v>
      </c>
      <c r="F2441" t="s">
        <v>2541</v>
      </c>
      <c r="G2441" t="s">
        <v>25</v>
      </c>
      <c r="H2441" t="b">
        <v>1</v>
      </c>
      <c r="I2441" s="8">
        <v>45954.576261574075</v>
      </c>
      <c r="J2441" t="s">
        <v>2380</v>
      </c>
      <c r="K2441">
        <v>1204462</v>
      </c>
      <c r="L2441">
        <v>608630</v>
      </c>
      <c r="M2441" t="s">
        <v>2381</v>
      </c>
      <c r="N2441">
        <v>5</v>
      </c>
      <c r="P2441" t="s">
        <v>2427</v>
      </c>
      <c r="Q2441" t="s">
        <v>2383</v>
      </c>
      <c r="R2441">
        <v>1</v>
      </c>
      <c r="S2441" t="s">
        <v>2380</v>
      </c>
      <c r="T2441" t="s">
        <v>2383</v>
      </c>
      <c r="U2441" s="8">
        <v>45951.35</v>
      </c>
      <c r="V2441" s="8">
        <v>45954.958333333336</v>
      </c>
      <c r="W2441">
        <v>1</v>
      </c>
      <c r="X2441">
        <v>3.226261574</v>
      </c>
      <c r="Y2441" t="s">
        <v>2542</v>
      </c>
      <c r="Z2441" t="s">
        <v>4363</v>
      </c>
      <c r="AA2441" t="s">
        <v>3107</v>
      </c>
      <c r="AB2441" t="s">
        <v>1278</v>
      </c>
      <c r="AC2441" t="s">
        <v>4364</v>
      </c>
      <c r="AD2441" t="s">
        <v>2708</v>
      </c>
      <c r="AE2441">
        <v>1</v>
      </c>
      <c r="AO2441" t="s">
        <v>2547</v>
      </c>
      <c r="AP2441" t="s">
        <v>2401</v>
      </c>
    </row>
    <row r="2442" spans="1:42">
      <c r="A2442" t="s">
        <v>2570</v>
      </c>
      <c r="B2442" t="s">
        <v>2389</v>
      </c>
      <c r="C2442" t="s">
        <v>2378</v>
      </c>
      <c r="D2442" t="s">
        <v>2379</v>
      </c>
      <c r="E2442" t="s">
        <v>25</v>
      </c>
      <c r="F2442" t="s">
        <v>2541</v>
      </c>
      <c r="G2442" t="s">
        <v>25</v>
      </c>
      <c r="H2442" t="b">
        <v>1</v>
      </c>
      <c r="I2442" s="8">
        <v>45954.574224537035</v>
      </c>
      <c r="J2442" t="s">
        <v>2380</v>
      </c>
      <c r="L2442">
        <v>608638</v>
      </c>
      <c r="M2442" t="s">
        <v>2381</v>
      </c>
      <c r="P2442" t="s">
        <v>2427</v>
      </c>
      <c r="Q2442" t="s">
        <v>2383</v>
      </c>
      <c r="R2442">
        <v>1</v>
      </c>
      <c r="S2442" t="s">
        <v>2380</v>
      </c>
      <c r="T2442" t="s">
        <v>2383</v>
      </c>
      <c r="U2442" s="8">
        <v>45951.350648148145</v>
      </c>
      <c r="V2442" s="8">
        <v>45954.958333333336</v>
      </c>
      <c r="W2442">
        <v>1</v>
      </c>
      <c r="X2442">
        <v>3.2235763890000002</v>
      </c>
      <c r="Y2442" t="s">
        <v>2542</v>
      </c>
      <c r="Z2442" t="s">
        <v>2571</v>
      </c>
      <c r="AA2442" t="s">
        <v>2572</v>
      </c>
      <c r="AB2442" t="s">
        <v>1278</v>
      </c>
      <c r="AC2442" t="s">
        <v>2573</v>
      </c>
      <c r="AE2442">
        <v>1</v>
      </c>
      <c r="AO2442" t="s">
        <v>2547</v>
      </c>
      <c r="AP2442" t="s">
        <v>2401</v>
      </c>
    </row>
    <row r="2443" spans="1:42">
      <c r="A2443" t="s">
        <v>4365</v>
      </c>
      <c r="B2443" t="s">
        <v>2389</v>
      </c>
      <c r="C2443" t="s">
        <v>2378</v>
      </c>
      <c r="D2443" t="s">
        <v>2379</v>
      </c>
      <c r="E2443" t="s">
        <v>25</v>
      </c>
      <c r="F2443" t="s">
        <v>2541</v>
      </c>
      <c r="G2443" t="s">
        <v>25</v>
      </c>
      <c r="H2443" t="b">
        <v>1</v>
      </c>
      <c r="I2443" s="8">
        <v>45954.598368055558</v>
      </c>
      <c r="J2443" t="s">
        <v>2380</v>
      </c>
      <c r="K2443">
        <v>1204553</v>
      </c>
      <c r="L2443">
        <v>608626</v>
      </c>
      <c r="M2443" t="s">
        <v>2381</v>
      </c>
      <c r="N2443">
        <v>5</v>
      </c>
      <c r="P2443" t="s">
        <v>2427</v>
      </c>
      <c r="Q2443" t="s">
        <v>2383</v>
      </c>
      <c r="R2443">
        <v>1</v>
      </c>
      <c r="S2443" t="s">
        <v>2380</v>
      </c>
      <c r="T2443" t="s">
        <v>2383</v>
      </c>
      <c r="U2443" s="8">
        <v>45951.350821759261</v>
      </c>
      <c r="V2443" s="8">
        <v>45954.958333333336</v>
      </c>
      <c r="W2443">
        <v>1</v>
      </c>
      <c r="X2443">
        <v>3.2475462959999999</v>
      </c>
      <c r="Y2443" t="s">
        <v>2542</v>
      </c>
      <c r="Z2443" t="s">
        <v>4366</v>
      </c>
      <c r="AA2443" t="s">
        <v>2551</v>
      </c>
      <c r="AB2443" t="s">
        <v>1278</v>
      </c>
      <c r="AC2443" t="s">
        <v>4367</v>
      </c>
      <c r="AD2443" t="s">
        <v>2708</v>
      </c>
      <c r="AE2443">
        <v>1</v>
      </c>
      <c r="AO2443" t="s">
        <v>2547</v>
      </c>
      <c r="AP2443" t="s">
        <v>2401</v>
      </c>
    </row>
    <row r="2444" spans="1:42">
      <c r="A2444" t="s">
        <v>4368</v>
      </c>
      <c r="B2444" t="s">
        <v>2389</v>
      </c>
      <c r="C2444" t="s">
        <v>2378</v>
      </c>
      <c r="D2444" t="s">
        <v>2379</v>
      </c>
      <c r="E2444" t="s">
        <v>25</v>
      </c>
      <c r="F2444" t="s">
        <v>2541</v>
      </c>
      <c r="G2444" t="s">
        <v>25</v>
      </c>
      <c r="H2444" t="b">
        <v>1</v>
      </c>
      <c r="I2444" s="8">
        <v>45954.592476851853</v>
      </c>
      <c r="J2444" t="s">
        <v>2380</v>
      </c>
      <c r="K2444">
        <v>1204547</v>
      </c>
      <c r="L2444">
        <v>608626</v>
      </c>
      <c r="M2444" t="s">
        <v>2381</v>
      </c>
      <c r="N2444">
        <v>5</v>
      </c>
      <c r="P2444" t="s">
        <v>2427</v>
      </c>
      <c r="Q2444" t="s">
        <v>2383</v>
      </c>
      <c r="R2444">
        <v>1</v>
      </c>
      <c r="S2444" t="s">
        <v>2380</v>
      </c>
      <c r="T2444" t="s">
        <v>2383</v>
      </c>
      <c r="U2444" s="8">
        <v>45951.351469907408</v>
      </c>
      <c r="V2444" s="8">
        <v>45954.958333333336</v>
      </c>
      <c r="W2444">
        <v>1</v>
      </c>
      <c r="X2444">
        <v>3.241006944</v>
      </c>
      <c r="Y2444" t="s">
        <v>2542</v>
      </c>
      <c r="Z2444" t="s">
        <v>4369</v>
      </c>
      <c r="AA2444" t="s">
        <v>2551</v>
      </c>
      <c r="AB2444" t="s">
        <v>1278</v>
      </c>
      <c r="AC2444" t="s">
        <v>4370</v>
      </c>
      <c r="AD2444" t="s">
        <v>2708</v>
      </c>
      <c r="AE2444">
        <v>1</v>
      </c>
      <c r="AO2444" t="s">
        <v>2547</v>
      </c>
      <c r="AP2444" t="s">
        <v>2401</v>
      </c>
    </row>
    <row r="2445" spans="1:42">
      <c r="A2445" t="s">
        <v>4371</v>
      </c>
      <c r="B2445" t="s">
        <v>2389</v>
      </c>
      <c r="C2445" t="s">
        <v>2378</v>
      </c>
      <c r="D2445" t="s">
        <v>2379</v>
      </c>
      <c r="E2445" t="s">
        <v>25</v>
      </c>
      <c r="F2445" t="s">
        <v>2541</v>
      </c>
      <c r="G2445" t="s">
        <v>25</v>
      </c>
      <c r="H2445" t="b">
        <v>1</v>
      </c>
      <c r="I2445" s="8">
        <v>45954.590798611112</v>
      </c>
      <c r="J2445" t="s">
        <v>2380</v>
      </c>
      <c r="K2445">
        <v>1204546</v>
      </c>
      <c r="L2445">
        <v>608626</v>
      </c>
      <c r="M2445" t="s">
        <v>2381</v>
      </c>
      <c r="N2445">
        <v>5</v>
      </c>
      <c r="P2445" t="s">
        <v>2427</v>
      </c>
      <c r="Q2445" t="s">
        <v>2383</v>
      </c>
      <c r="R2445">
        <v>1</v>
      </c>
      <c r="S2445" t="s">
        <v>2380</v>
      </c>
      <c r="T2445" t="s">
        <v>2383</v>
      </c>
      <c r="U2445" s="8">
        <v>45951.351469907408</v>
      </c>
      <c r="V2445" s="8">
        <v>45954.958333333336</v>
      </c>
      <c r="W2445">
        <v>1</v>
      </c>
      <c r="X2445">
        <v>3.2393287040000001</v>
      </c>
      <c r="Y2445" t="s">
        <v>2542</v>
      </c>
      <c r="Z2445" t="s">
        <v>4372</v>
      </c>
      <c r="AA2445" t="s">
        <v>2551</v>
      </c>
      <c r="AB2445" t="s">
        <v>1278</v>
      </c>
      <c r="AC2445" t="s">
        <v>4373</v>
      </c>
      <c r="AD2445" t="s">
        <v>2708</v>
      </c>
      <c r="AE2445">
        <v>1</v>
      </c>
      <c r="AO2445" t="s">
        <v>2547</v>
      </c>
      <c r="AP2445" t="s">
        <v>2401</v>
      </c>
    </row>
    <row r="2446" spans="1:42">
      <c r="A2446" t="s">
        <v>4374</v>
      </c>
      <c r="B2446" t="s">
        <v>2389</v>
      </c>
      <c r="C2446" t="s">
        <v>2378</v>
      </c>
      <c r="D2446" t="s">
        <v>2379</v>
      </c>
      <c r="E2446" t="s">
        <v>25</v>
      </c>
      <c r="F2446" t="s">
        <v>2541</v>
      </c>
      <c r="G2446" t="s">
        <v>25</v>
      </c>
      <c r="H2446" t="b">
        <v>1</v>
      </c>
      <c r="I2446" s="8">
        <v>45954.594594907408</v>
      </c>
      <c r="J2446" t="s">
        <v>2380</v>
      </c>
      <c r="K2446">
        <v>1204548</v>
      </c>
      <c r="L2446">
        <v>608626</v>
      </c>
      <c r="M2446" t="s">
        <v>2381</v>
      </c>
      <c r="N2446">
        <v>5</v>
      </c>
      <c r="P2446" t="s">
        <v>2427</v>
      </c>
      <c r="Q2446" t="s">
        <v>2383</v>
      </c>
      <c r="R2446">
        <v>1</v>
      </c>
      <c r="S2446" t="s">
        <v>2380</v>
      </c>
      <c r="T2446" t="s">
        <v>2383</v>
      </c>
      <c r="U2446" s="8">
        <v>45951.352129629631</v>
      </c>
      <c r="V2446" s="8">
        <v>45954.958333333336</v>
      </c>
      <c r="W2446">
        <v>1</v>
      </c>
      <c r="X2446">
        <v>3.2424652780000001</v>
      </c>
      <c r="Y2446" t="s">
        <v>2542</v>
      </c>
      <c r="Z2446" t="s">
        <v>4375</v>
      </c>
      <c r="AA2446" t="s">
        <v>2551</v>
      </c>
      <c r="AB2446" t="s">
        <v>1278</v>
      </c>
      <c r="AC2446" t="s">
        <v>4376</v>
      </c>
      <c r="AD2446" t="s">
        <v>2708</v>
      </c>
      <c r="AE2446">
        <v>1</v>
      </c>
      <c r="AO2446" t="s">
        <v>2547</v>
      </c>
      <c r="AP2446" t="s">
        <v>2401</v>
      </c>
    </row>
    <row r="2447" spans="1:42">
      <c r="A2447" t="s">
        <v>4377</v>
      </c>
      <c r="B2447" t="s">
        <v>2389</v>
      </c>
      <c r="C2447" t="s">
        <v>2378</v>
      </c>
      <c r="D2447" t="s">
        <v>2379</v>
      </c>
      <c r="E2447" t="s">
        <v>25</v>
      </c>
      <c r="F2447" t="s">
        <v>2541</v>
      </c>
      <c r="G2447" t="s">
        <v>25</v>
      </c>
      <c r="H2447" t="b">
        <v>1</v>
      </c>
      <c r="I2447" s="8">
        <v>45954.610196759262</v>
      </c>
      <c r="J2447" t="s">
        <v>2380</v>
      </c>
      <c r="K2447">
        <v>1204562</v>
      </c>
      <c r="L2447">
        <v>608626</v>
      </c>
      <c r="M2447" t="s">
        <v>2381</v>
      </c>
      <c r="N2447">
        <v>5</v>
      </c>
      <c r="P2447" t="s">
        <v>2427</v>
      </c>
      <c r="Q2447" t="s">
        <v>2383</v>
      </c>
      <c r="R2447">
        <v>1</v>
      </c>
      <c r="S2447" t="s">
        <v>2380</v>
      </c>
      <c r="T2447" t="s">
        <v>2383</v>
      </c>
      <c r="U2447" s="8">
        <v>45951.352858796294</v>
      </c>
      <c r="V2447" s="8">
        <v>45954.958333333336</v>
      </c>
      <c r="W2447">
        <v>1</v>
      </c>
      <c r="X2447">
        <v>3.2573379629999999</v>
      </c>
      <c r="Y2447" t="s">
        <v>2542</v>
      </c>
      <c r="Z2447" t="s">
        <v>4378</v>
      </c>
      <c r="AA2447" t="s">
        <v>2551</v>
      </c>
      <c r="AB2447" t="s">
        <v>1278</v>
      </c>
      <c r="AC2447" t="s">
        <v>4379</v>
      </c>
      <c r="AD2447" t="s">
        <v>2708</v>
      </c>
      <c r="AE2447">
        <v>1</v>
      </c>
      <c r="AO2447" t="s">
        <v>2547</v>
      </c>
      <c r="AP2447" t="s">
        <v>2401</v>
      </c>
    </row>
    <row r="2448" spans="1:42">
      <c r="A2448" t="s">
        <v>3105</v>
      </c>
      <c r="B2448" t="s">
        <v>2389</v>
      </c>
      <c r="C2448" t="s">
        <v>2438</v>
      </c>
      <c r="D2448" t="s">
        <v>2379</v>
      </c>
      <c r="E2448" t="s">
        <v>2452</v>
      </c>
      <c r="F2448" t="s">
        <v>2541</v>
      </c>
      <c r="G2448" t="s">
        <v>2452</v>
      </c>
      <c r="H2448" t="b">
        <v>1</v>
      </c>
      <c r="I2448" s="8">
        <v>45951.384560185186</v>
      </c>
      <c r="J2448" t="s">
        <v>2380</v>
      </c>
      <c r="K2448">
        <v>1203706</v>
      </c>
      <c r="L2448">
        <v>608630</v>
      </c>
      <c r="M2448" t="s">
        <v>2381</v>
      </c>
      <c r="Q2448" t="s">
        <v>2383</v>
      </c>
      <c r="R2448">
        <v>1</v>
      </c>
      <c r="S2448" t="s">
        <v>2380</v>
      </c>
      <c r="T2448" t="s">
        <v>2383</v>
      </c>
      <c r="U2448" s="8">
        <v>45951.378182870372</v>
      </c>
      <c r="V2448" s="8">
        <v>45954.958333333336</v>
      </c>
      <c r="W2448">
        <v>1</v>
      </c>
      <c r="X2448">
        <v>6.3773149999999997E-3</v>
      </c>
      <c r="Y2448" t="s">
        <v>2542</v>
      </c>
      <c r="Z2448" t="s">
        <v>3106</v>
      </c>
      <c r="AA2448" t="s">
        <v>3107</v>
      </c>
      <c r="AB2448" t="s">
        <v>1278</v>
      </c>
      <c r="AC2448" t="s">
        <v>3108</v>
      </c>
      <c r="AD2448" t="s">
        <v>2708</v>
      </c>
      <c r="AE2448">
        <v>1</v>
      </c>
      <c r="AO2448" t="s">
        <v>2547</v>
      </c>
      <c r="AP2448" t="s">
        <v>2401</v>
      </c>
    </row>
    <row r="2449" spans="1:42">
      <c r="A2449" t="s">
        <v>3146</v>
      </c>
      <c r="B2449" t="s">
        <v>2389</v>
      </c>
      <c r="C2449" t="s">
        <v>2378</v>
      </c>
      <c r="D2449" t="s">
        <v>2379</v>
      </c>
      <c r="E2449" t="s">
        <v>25</v>
      </c>
      <c r="F2449" t="s">
        <v>2541</v>
      </c>
      <c r="G2449" t="s">
        <v>25</v>
      </c>
      <c r="H2449" t="b">
        <v>1</v>
      </c>
      <c r="I2449" s="8">
        <v>45954.569490740738</v>
      </c>
      <c r="J2449" t="s">
        <v>2380</v>
      </c>
      <c r="K2449">
        <v>1204452</v>
      </c>
      <c r="L2449">
        <v>601441</v>
      </c>
      <c r="M2449" t="s">
        <v>2381</v>
      </c>
      <c r="N2449">
        <v>5</v>
      </c>
      <c r="P2449" t="s">
        <v>3117</v>
      </c>
      <c r="Q2449" t="s">
        <v>2383</v>
      </c>
      <c r="R2449">
        <v>1</v>
      </c>
      <c r="S2449" t="s">
        <v>2380</v>
      </c>
      <c r="T2449" t="s">
        <v>2383</v>
      </c>
      <c r="U2449" s="8">
        <v>45951.384965277779</v>
      </c>
      <c r="V2449" s="8">
        <v>45954.958333333336</v>
      </c>
      <c r="W2449">
        <v>1</v>
      </c>
      <c r="X2449">
        <v>3.1845254629999999</v>
      </c>
      <c r="Y2449" t="s">
        <v>2542</v>
      </c>
      <c r="Z2449" t="s">
        <v>3147</v>
      </c>
      <c r="AA2449" t="s">
        <v>2884</v>
      </c>
      <c r="AB2449" t="s">
        <v>1278</v>
      </c>
      <c r="AC2449" t="s">
        <v>3148</v>
      </c>
      <c r="AD2449" t="s">
        <v>2708</v>
      </c>
      <c r="AE2449">
        <v>1</v>
      </c>
      <c r="AO2449" t="s">
        <v>2547</v>
      </c>
      <c r="AP2449" t="s">
        <v>2401</v>
      </c>
    </row>
    <row r="2450" spans="1:42">
      <c r="A2450" t="s">
        <v>3149</v>
      </c>
      <c r="B2450" t="s">
        <v>2389</v>
      </c>
      <c r="C2450" t="s">
        <v>2378</v>
      </c>
      <c r="D2450" t="s">
        <v>2379</v>
      </c>
      <c r="E2450" t="s">
        <v>25</v>
      </c>
      <c r="F2450" t="s">
        <v>2541</v>
      </c>
      <c r="G2450" t="s">
        <v>25</v>
      </c>
      <c r="H2450" t="b">
        <v>1</v>
      </c>
      <c r="I2450" s="8">
        <v>45954.578541666669</v>
      </c>
      <c r="J2450" t="s">
        <v>2380</v>
      </c>
      <c r="K2450">
        <v>1204464</v>
      </c>
      <c r="L2450">
        <v>608626</v>
      </c>
      <c r="M2450" t="s">
        <v>2381</v>
      </c>
      <c r="N2450">
        <v>5</v>
      </c>
      <c r="P2450" t="s">
        <v>3117</v>
      </c>
      <c r="Q2450" t="s">
        <v>2383</v>
      </c>
      <c r="R2450">
        <v>1</v>
      </c>
      <c r="S2450" t="s">
        <v>2380</v>
      </c>
      <c r="T2450" t="s">
        <v>2383</v>
      </c>
      <c r="U2450" s="8">
        <v>45951.384976851848</v>
      </c>
      <c r="V2450" s="8">
        <v>45954.958333333336</v>
      </c>
      <c r="W2450">
        <v>1</v>
      </c>
      <c r="X2450">
        <v>3.1935648149999998</v>
      </c>
      <c r="Y2450" t="s">
        <v>2542</v>
      </c>
      <c r="Z2450" t="s">
        <v>3150</v>
      </c>
      <c r="AA2450" t="s">
        <v>2551</v>
      </c>
      <c r="AB2450" t="s">
        <v>1278</v>
      </c>
      <c r="AC2450" t="s">
        <v>3151</v>
      </c>
      <c r="AD2450" t="s">
        <v>2708</v>
      </c>
      <c r="AE2450">
        <v>1</v>
      </c>
      <c r="AO2450" t="s">
        <v>2547</v>
      </c>
      <c r="AP2450" t="s">
        <v>2401</v>
      </c>
    </row>
    <row r="2451" spans="1:42">
      <c r="A2451" t="s">
        <v>3152</v>
      </c>
      <c r="B2451" t="s">
        <v>2389</v>
      </c>
      <c r="C2451" t="s">
        <v>2378</v>
      </c>
      <c r="D2451" t="s">
        <v>2379</v>
      </c>
      <c r="E2451" t="s">
        <v>25</v>
      </c>
      <c r="F2451" t="s">
        <v>2541</v>
      </c>
      <c r="G2451" t="s">
        <v>25</v>
      </c>
      <c r="H2451" t="b">
        <v>1</v>
      </c>
      <c r="I2451" s="8">
        <v>45954.572268518517</v>
      </c>
      <c r="J2451" t="s">
        <v>2380</v>
      </c>
      <c r="K2451">
        <v>1204453</v>
      </c>
      <c r="L2451">
        <v>608634</v>
      </c>
      <c r="M2451" t="s">
        <v>2381</v>
      </c>
      <c r="N2451">
        <v>5</v>
      </c>
      <c r="P2451" t="s">
        <v>3117</v>
      </c>
      <c r="Q2451" t="s">
        <v>2383</v>
      </c>
      <c r="R2451">
        <v>1</v>
      </c>
      <c r="S2451" t="s">
        <v>2380</v>
      </c>
      <c r="T2451" t="s">
        <v>2383</v>
      </c>
      <c r="U2451" s="8">
        <v>45951.384976851848</v>
      </c>
      <c r="V2451" s="8">
        <v>45954.958333333336</v>
      </c>
      <c r="W2451">
        <v>1</v>
      </c>
      <c r="X2451">
        <v>3.1872916670000002</v>
      </c>
      <c r="Y2451" t="s">
        <v>2542</v>
      </c>
      <c r="Z2451" t="s">
        <v>3153</v>
      </c>
      <c r="AA2451" t="s">
        <v>3154</v>
      </c>
      <c r="AB2451" t="s">
        <v>1278</v>
      </c>
      <c r="AC2451" t="s">
        <v>3155</v>
      </c>
      <c r="AD2451" t="s">
        <v>2708</v>
      </c>
      <c r="AE2451">
        <v>1</v>
      </c>
      <c r="AO2451" t="s">
        <v>2547</v>
      </c>
      <c r="AP2451" t="s">
        <v>2401</v>
      </c>
    </row>
    <row r="2452" spans="1:42">
      <c r="A2452" t="s">
        <v>3156</v>
      </c>
      <c r="B2452" t="s">
        <v>2389</v>
      </c>
      <c r="C2452" t="s">
        <v>2378</v>
      </c>
      <c r="D2452" t="s">
        <v>2379</v>
      </c>
      <c r="E2452" t="s">
        <v>25</v>
      </c>
      <c r="F2452" t="s">
        <v>2541</v>
      </c>
      <c r="G2452" t="s">
        <v>25</v>
      </c>
      <c r="H2452" t="b">
        <v>1</v>
      </c>
      <c r="I2452" s="8">
        <v>45954.565335648149</v>
      </c>
      <c r="J2452" t="s">
        <v>2380</v>
      </c>
      <c r="K2452">
        <v>1204451</v>
      </c>
      <c r="L2452">
        <v>601441</v>
      </c>
      <c r="M2452" t="s">
        <v>2381</v>
      </c>
      <c r="N2452">
        <v>5</v>
      </c>
      <c r="P2452" t="s">
        <v>3117</v>
      </c>
      <c r="Q2452" t="s">
        <v>2383</v>
      </c>
      <c r="R2452">
        <v>1</v>
      </c>
      <c r="S2452" t="s">
        <v>2380</v>
      </c>
      <c r="T2452" t="s">
        <v>2383</v>
      </c>
      <c r="U2452" s="8">
        <v>45951.384988425925</v>
      </c>
      <c r="V2452" s="8">
        <v>45954.958333333336</v>
      </c>
      <c r="W2452">
        <v>1</v>
      </c>
      <c r="X2452">
        <v>3.180347222</v>
      </c>
      <c r="Y2452" t="s">
        <v>2542</v>
      </c>
      <c r="Z2452" t="s">
        <v>3157</v>
      </c>
      <c r="AA2452" t="s">
        <v>2884</v>
      </c>
      <c r="AB2452" t="s">
        <v>1278</v>
      </c>
      <c r="AC2452" t="s">
        <v>3158</v>
      </c>
      <c r="AD2452" t="s">
        <v>2708</v>
      </c>
      <c r="AE2452">
        <v>1</v>
      </c>
      <c r="AO2452" t="s">
        <v>2547</v>
      </c>
      <c r="AP2452" t="s">
        <v>2401</v>
      </c>
    </row>
    <row r="2453" spans="1:42">
      <c r="A2453" t="s">
        <v>4478</v>
      </c>
      <c r="B2453" t="s">
        <v>2389</v>
      </c>
      <c r="C2453" t="s">
        <v>2390</v>
      </c>
      <c r="D2453" t="s">
        <v>2379</v>
      </c>
      <c r="E2453" t="s">
        <v>2452</v>
      </c>
      <c r="F2453">
        <v>3802</v>
      </c>
      <c r="G2453" t="s">
        <v>2452</v>
      </c>
      <c r="H2453" t="b">
        <v>1</v>
      </c>
      <c r="I2453" s="8">
        <v>45954.338379629633</v>
      </c>
      <c r="J2453" t="s">
        <v>2380</v>
      </c>
      <c r="K2453">
        <v>1204349</v>
      </c>
      <c r="L2453">
        <v>609845</v>
      </c>
      <c r="M2453" t="s">
        <v>2381</v>
      </c>
      <c r="P2453" t="s">
        <v>2394</v>
      </c>
      <c r="Q2453" t="s">
        <v>2383</v>
      </c>
      <c r="R2453">
        <v>1</v>
      </c>
      <c r="S2453" t="s">
        <v>2380</v>
      </c>
      <c r="T2453" t="s">
        <v>2383</v>
      </c>
      <c r="U2453" s="8">
        <v>45951.385879629626</v>
      </c>
      <c r="V2453" s="8">
        <v>45954.958333333336</v>
      </c>
      <c r="W2453">
        <v>1</v>
      </c>
      <c r="X2453">
        <v>2.9525000000000001</v>
      </c>
      <c r="Y2453" t="s">
        <v>4477</v>
      </c>
      <c r="Z2453" t="s">
        <v>4479</v>
      </c>
      <c r="AA2453" t="s">
        <v>4480</v>
      </c>
      <c r="AB2453" t="s">
        <v>1278</v>
      </c>
      <c r="AC2453" t="s">
        <v>4481</v>
      </c>
      <c r="AD2453" t="s">
        <v>2708</v>
      </c>
      <c r="AE2453">
        <v>1</v>
      </c>
      <c r="AO2453" t="s">
        <v>2388</v>
      </c>
      <c r="AP2453" t="s">
        <v>2401</v>
      </c>
    </row>
    <row r="2454" spans="1:42">
      <c r="A2454" t="s">
        <v>8895</v>
      </c>
      <c r="B2454" t="s">
        <v>2389</v>
      </c>
      <c r="C2454" t="s">
        <v>2378</v>
      </c>
      <c r="D2454" t="s">
        <v>2379</v>
      </c>
      <c r="E2454" t="s">
        <v>25</v>
      </c>
      <c r="F2454" t="s">
        <v>2588</v>
      </c>
      <c r="G2454" t="s">
        <v>25</v>
      </c>
      <c r="H2454" t="b">
        <v>1</v>
      </c>
      <c r="I2454" s="8">
        <v>45954.614293981482</v>
      </c>
      <c r="J2454" t="s">
        <v>2380</v>
      </c>
      <c r="K2454">
        <v>1204418</v>
      </c>
      <c r="L2454">
        <v>604424</v>
      </c>
      <c r="M2454" t="s">
        <v>2381</v>
      </c>
      <c r="N2454">
        <v>5</v>
      </c>
      <c r="P2454" t="s">
        <v>2394</v>
      </c>
      <c r="Q2454" t="s">
        <v>2395</v>
      </c>
      <c r="R2454">
        <v>1</v>
      </c>
      <c r="S2454" t="s">
        <v>2380</v>
      </c>
      <c r="T2454" t="s">
        <v>2383</v>
      </c>
      <c r="U2454" s="8">
        <v>45951.387303240743</v>
      </c>
      <c r="V2454" s="8">
        <v>45954.958333333336</v>
      </c>
      <c r="W2454">
        <v>1</v>
      </c>
      <c r="X2454">
        <v>3.2269907409999998</v>
      </c>
      <c r="Y2454" t="s">
        <v>2579</v>
      </c>
      <c r="Z2454" t="s">
        <v>8896</v>
      </c>
      <c r="AA2454" t="s">
        <v>8897</v>
      </c>
      <c r="AB2454" t="s">
        <v>1278</v>
      </c>
      <c r="AC2454" t="s">
        <v>8898</v>
      </c>
      <c r="AD2454" t="s">
        <v>2708</v>
      </c>
      <c r="AE2454">
        <v>1</v>
      </c>
      <c r="AF2454">
        <v>2</v>
      </c>
      <c r="AH2454" t="s">
        <v>2723</v>
      </c>
      <c r="AI2454" s="8">
        <v>45954.486759259256</v>
      </c>
      <c r="AK2454" t="s">
        <v>2719</v>
      </c>
      <c r="AL2454" t="s">
        <v>2724</v>
      </c>
      <c r="AO2454" t="s">
        <v>4137</v>
      </c>
      <c r="AP2454" t="s">
        <v>2401</v>
      </c>
    </row>
    <row r="2455" spans="1:42">
      <c r="A2455" t="s">
        <v>2643</v>
      </c>
      <c r="B2455" t="s">
        <v>2389</v>
      </c>
      <c r="C2455" t="s">
        <v>2390</v>
      </c>
      <c r="D2455" t="s">
        <v>2379</v>
      </c>
      <c r="E2455" t="s">
        <v>2452</v>
      </c>
      <c r="F2455" t="s">
        <v>2578</v>
      </c>
      <c r="G2455" t="s">
        <v>2452</v>
      </c>
      <c r="H2455" t="b">
        <v>1</v>
      </c>
      <c r="I2455" s="8">
        <v>45954.342222222222</v>
      </c>
      <c r="J2455" t="s">
        <v>2380</v>
      </c>
      <c r="L2455">
        <v>609810</v>
      </c>
      <c r="M2455" t="s">
        <v>2381</v>
      </c>
      <c r="P2455" t="s">
        <v>2394</v>
      </c>
      <c r="Q2455" t="s">
        <v>2383</v>
      </c>
      <c r="R2455">
        <v>1</v>
      </c>
      <c r="S2455" t="s">
        <v>2380</v>
      </c>
      <c r="T2455" t="s">
        <v>2383</v>
      </c>
      <c r="U2455" s="8">
        <v>45951.414004629631</v>
      </c>
      <c r="V2455" s="8">
        <v>45954.958333333336</v>
      </c>
      <c r="W2455">
        <v>1</v>
      </c>
      <c r="X2455">
        <v>2.9282175929999998</v>
      </c>
      <c r="Y2455" t="s">
        <v>2579</v>
      </c>
      <c r="Z2455" t="s">
        <v>2644</v>
      </c>
      <c r="AA2455" t="s">
        <v>2645</v>
      </c>
      <c r="AB2455" t="s">
        <v>1278</v>
      </c>
      <c r="AC2455" t="s">
        <v>2646</v>
      </c>
      <c r="AE2455">
        <v>1</v>
      </c>
      <c r="AO2455" t="s">
        <v>2388</v>
      </c>
      <c r="AP2455" t="s">
        <v>2401</v>
      </c>
    </row>
    <row r="2456" spans="1:42">
      <c r="A2456" t="s">
        <v>8611</v>
      </c>
      <c r="B2456" t="s">
        <v>2389</v>
      </c>
      <c r="C2456" t="s">
        <v>2438</v>
      </c>
      <c r="D2456" t="s">
        <v>2379</v>
      </c>
      <c r="E2456" t="s">
        <v>12</v>
      </c>
      <c r="F2456" t="s">
        <v>2588</v>
      </c>
      <c r="G2456" t="s">
        <v>12</v>
      </c>
      <c r="H2456" t="b">
        <v>1</v>
      </c>
      <c r="I2456" s="8">
        <v>45951.432349537034</v>
      </c>
      <c r="J2456" t="s">
        <v>2380</v>
      </c>
      <c r="K2456">
        <v>1203725</v>
      </c>
      <c r="L2456">
        <v>605376</v>
      </c>
      <c r="M2456" t="s">
        <v>2381</v>
      </c>
      <c r="Q2456" t="s">
        <v>2383</v>
      </c>
      <c r="R2456">
        <v>1</v>
      </c>
      <c r="S2456" t="s">
        <v>2380</v>
      </c>
      <c r="T2456" t="s">
        <v>2383</v>
      </c>
      <c r="U2456" s="8">
        <v>45951.426863425928</v>
      </c>
      <c r="V2456" s="8">
        <v>45954.958333333336</v>
      </c>
      <c r="W2456">
        <v>1</v>
      </c>
      <c r="X2456">
        <v>5.4861110000000001E-3</v>
      </c>
      <c r="Y2456" t="s">
        <v>2579</v>
      </c>
      <c r="Z2456" t="s">
        <v>8612</v>
      </c>
      <c r="AA2456" t="s">
        <v>4130</v>
      </c>
      <c r="AB2456" t="s">
        <v>1278</v>
      </c>
      <c r="AC2456" t="s">
        <v>8613</v>
      </c>
      <c r="AD2456" t="s">
        <v>2708</v>
      </c>
      <c r="AE2456">
        <v>1</v>
      </c>
      <c r="AO2456" t="s">
        <v>3644</v>
      </c>
      <c r="AP2456" t="s">
        <v>2401</v>
      </c>
    </row>
    <row r="2457" spans="1:42">
      <c r="A2457" t="s">
        <v>4568</v>
      </c>
      <c r="B2457" t="s">
        <v>2389</v>
      </c>
      <c r="C2457" t="s">
        <v>2378</v>
      </c>
      <c r="D2457" t="s">
        <v>2379</v>
      </c>
      <c r="E2457" t="s">
        <v>25</v>
      </c>
      <c r="F2457" t="s">
        <v>4566</v>
      </c>
      <c r="G2457" t="s">
        <v>25</v>
      </c>
      <c r="H2457" t="b">
        <v>1</v>
      </c>
      <c r="I2457" s="8">
        <v>45954.469699074078</v>
      </c>
      <c r="J2457" t="s">
        <v>2380</v>
      </c>
      <c r="K2457">
        <v>1204426</v>
      </c>
      <c r="L2457">
        <v>603800</v>
      </c>
      <c r="M2457" t="s">
        <v>2381</v>
      </c>
      <c r="N2457">
        <v>5</v>
      </c>
      <c r="Q2457" t="s">
        <v>2383</v>
      </c>
      <c r="R2457">
        <v>1</v>
      </c>
      <c r="S2457" t="s">
        <v>2380</v>
      </c>
      <c r="T2457" t="s">
        <v>2383</v>
      </c>
      <c r="U2457" s="8">
        <v>45951.42827546296</v>
      </c>
      <c r="V2457" s="8">
        <v>45954.958333333336</v>
      </c>
      <c r="W2457">
        <v>1</v>
      </c>
      <c r="X2457">
        <v>3.0414236109999999</v>
      </c>
      <c r="Y2457" t="s">
        <v>4567</v>
      </c>
      <c r="Z2457" t="s">
        <v>4569</v>
      </c>
      <c r="AA2457" t="s">
        <v>4570</v>
      </c>
      <c r="AB2457" t="s">
        <v>1278</v>
      </c>
      <c r="AC2457" t="s">
        <v>4571</v>
      </c>
      <c r="AD2457" t="s">
        <v>2708</v>
      </c>
      <c r="AE2457">
        <v>1</v>
      </c>
      <c r="AO2457" t="s">
        <v>2388</v>
      </c>
      <c r="AP2457" t="s">
        <v>2401</v>
      </c>
    </row>
    <row r="2458" spans="1:42">
      <c r="A2458" t="s">
        <v>8921</v>
      </c>
      <c r="B2458" t="s">
        <v>2389</v>
      </c>
      <c r="C2458" t="s">
        <v>2378</v>
      </c>
      <c r="D2458" t="s">
        <v>2379</v>
      </c>
      <c r="E2458" t="s">
        <v>2452</v>
      </c>
      <c r="F2458" t="s">
        <v>2541</v>
      </c>
      <c r="G2458" t="s">
        <v>2452</v>
      </c>
      <c r="H2458" t="b">
        <v>1</v>
      </c>
      <c r="I2458" s="8">
        <v>45954.664502314816</v>
      </c>
      <c r="J2458" t="s">
        <v>2380</v>
      </c>
      <c r="K2458">
        <v>1204447</v>
      </c>
      <c r="L2458">
        <v>601441</v>
      </c>
      <c r="M2458" t="s">
        <v>2381</v>
      </c>
      <c r="P2458" t="s">
        <v>2548</v>
      </c>
      <c r="Q2458" t="s">
        <v>2383</v>
      </c>
      <c r="R2458">
        <v>1</v>
      </c>
      <c r="S2458" t="s">
        <v>2380</v>
      </c>
      <c r="T2458" t="s">
        <v>2383</v>
      </c>
      <c r="U2458" s="8">
        <v>45951.430949074071</v>
      </c>
      <c r="V2458" s="8">
        <v>45954.958333333336</v>
      </c>
      <c r="W2458">
        <v>1</v>
      </c>
      <c r="X2458">
        <v>3.2335532410000001</v>
      </c>
      <c r="Y2458" t="s">
        <v>2542</v>
      </c>
      <c r="Z2458" t="s">
        <v>8922</v>
      </c>
      <c r="AA2458" t="s">
        <v>2884</v>
      </c>
      <c r="AB2458" t="s">
        <v>1278</v>
      </c>
      <c r="AC2458" t="s">
        <v>8923</v>
      </c>
      <c r="AD2458" t="s">
        <v>2708</v>
      </c>
      <c r="AE2458">
        <v>1</v>
      </c>
      <c r="AH2458" t="s">
        <v>2723</v>
      </c>
      <c r="AI2458" s="8">
        <v>45954.658877314818</v>
      </c>
      <c r="AK2458" t="s">
        <v>2719</v>
      </c>
      <c r="AL2458" t="s">
        <v>18</v>
      </c>
      <c r="AO2458" t="s">
        <v>2547</v>
      </c>
      <c r="AP2458" t="s">
        <v>2401</v>
      </c>
    </row>
    <row r="2459" spans="1:42">
      <c r="A2459" t="s">
        <v>3172</v>
      </c>
      <c r="B2459" t="s">
        <v>2389</v>
      </c>
      <c r="C2459" t="s">
        <v>2378</v>
      </c>
      <c r="D2459" t="s">
        <v>2379</v>
      </c>
      <c r="E2459" t="s">
        <v>25</v>
      </c>
      <c r="F2459" t="s">
        <v>2541</v>
      </c>
      <c r="G2459" t="s">
        <v>25</v>
      </c>
      <c r="H2459" t="b">
        <v>1</v>
      </c>
      <c r="I2459" s="8">
        <v>45954.615960648145</v>
      </c>
      <c r="J2459" t="s">
        <v>2380</v>
      </c>
      <c r="K2459">
        <v>1204563</v>
      </c>
      <c r="L2459">
        <v>601104</v>
      </c>
      <c r="M2459" t="s">
        <v>2381</v>
      </c>
      <c r="N2459">
        <v>5</v>
      </c>
      <c r="P2459" t="s">
        <v>2548</v>
      </c>
      <c r="Q2459" t="s">
        <v>2383</v>
      </c>
      <c r="R2459">
        <v>1</v>
      </c>
      <c r="S2459" t="s">
        <v>2380</v>
      </c>
      <c r="T2459" t="s">
        <v>2383</v>
      </c>
      <c r="U2459" s="8">
        <v>45951.436574074076</v>
      </c>
      <c r="V2459" s="8">
        <v>45954.958333333336</v>
      </c>
      <c r="W2459">
        <v>1</v>
      </c>
      <c r="X2459">
        <v>3.179386574</v>
      </c>
      <c r="Y2459" t="s">
        <v>2542</v>
      </c>
      <c r="Z2459" t="s">
        <v>3173</v>
      </c>
      <c r="AA2459" t="s">
        <v>3174</v>
      </c>
      <c r="AB2459" t="s">
        <v>1278</v>
      </c>
      <c r="AC2459" t="s">
        <v>3175</v>
      </c>
      <c r="AD2459" t="s">
        <v>2708</v>
      </c>
      <c r="AE2459">
        <v>1</v>
      </c>
      <c r="AO2459" t="s">
        <v>2547</v>
      </c>
      <c r="AP2459" t="s">
        <v>2401</v>
      </c>
    </row>
    <row r="2460" spans="1:42">
      <c r="A2460" t="s">
        <v>2465</v>
      </c>
      <c r="B2460" t="s">
        <v>2389</v>
      </c>
      <c r="C2460" t="s">
        <v>2378</v>
      </c>
      <c r="D2460" t="s">
        <v>2379</v>
      </c>
      <c r="E2460" t="s">
        <v>2452</v>
      </c>
      <c r="F2460" t="s">
        <v>2409</v>
      </c>
      <c r="G2460" t="s">
        <v>2452</v>
      </c>
      <c r="H2460" t="b">
        <v>1</v>
      </c>
      <c r="I2460" s="8">
        <v>45954.669652777775</v>
      </c>
      <c r="J2460" t="s">
        <v>2380</v>
      </c>
      <c r="K2460">
        <v>1069523</v>
      </c>
      <c r="L2460">
        <v>606798</v>
      </c>
      <c r="M2460" t="s">
        <v>2381</v>
      </c>
      <c r="P2460" t="s">
        <v>2394</v>
      </c>
      <c r="Q2460" t="s">
        <v>2383</v>
      </c>
      <c r="R2460">
        <v>1</v>
      </c>
      <c r="S2460" t="s">
        <v>2380</v>
      </c>
      <c r="T2460" t="s">
        <v>2383</v>
      </c>
      <c r="U2460" s="8">
        <v>45951.445023148146</v>
      </c>
      <c r="V2460" s="8">
        <v>45954.958333333336</v>
      </c>
      <c r="W2460">
        <v>1</v>
      </c>
      <c r="X2460">
        <v>3.2246296299999999</v>
      </c>
      <c r="Y2460" t="s">
        <v>2410</v>
      </c>
      <c r="Z2460" t="s">
        <v>2466</v>
      </c>
      <c r="AA2460" t="s">
        <v>2467</v>
      </c>
      <c r="AB2460" t="s">
        <v>1278</v>
      </c>
      <c r="AC2460" t="s">
        <v>2468</v>
      </c>
      <c r="AE2460">
        <v>1</v>
      </c>
      <c r="AO2460" t="s">
        <v>2408</v>
      </c>
      <c r="AP2460" t="s">
        <v>2401</v>
      </c>
    </row>
    <row r="2461" spans="1:42">
      <c r="A2461" t="s">
        <v>2558</v>
      </c>
      <c r="B2461" t="s">
        <v>2389</v>
      </c>
      <c r="C2461" t="s">
        <v>2390</v>
      </c>
      <c r="D2461" t="s">
        <v>2379</v>
      </c>
      <c r="E2461" t="s">
        <v>2452</v>
      </c>
      <c r="F2461" t="s">
        <v>2556</v>
      </c>
      <c r="G2461" t="s">
        <v>2452</v>
      </c>
      <c r="H2461" t="b">
        <v>1</v>
      </c>
      <c r="I2461" s="8">
        <v>45954.410428240742</v>
      </c>
      <c r="J2461" t="s">
        <v>2380</v>
      </c>
      <c r="L2461">
        <v>605187</v>
      </c>
      <c r="M2461" t="s">
        <v>2381</v>
      </c>
      <c r="P2461" t="s">
        <v>2548</v>
      </c>
      <c r="Q2461" t="s">
        <v>2383</v>
      </c>
      <c r="R2461">
        <v>1</v>
      </c>
      <c r="S2461" t="s">
        <v>2380</v>
      </c>
      <c r="T2461" t="s">
        <v>2383</v>
      </c>
      <c r="U2461" s="8">
        <v>45951.456828703704</v>
      </c>
      <c r="V2461" s="8">
        <v>45954.958333333336</v>
      </c>
      <c r="W2461">
        <v>1</v>
      </c>
      <c r="X2461">
        <v>2.9535995370000001</v>
      </c>
      <c r="Y2461" t="s">
        <v>2557</v>
      </c>
      <c r="Z2461" t="s">
        <v>2559</v>
      </c>
      <c r="AA2461" t="s">
        <v>2560</v>
      </c>
      <c r="AB2461" t="s">
        <v>1278</v>
      </c>
      <c r="AC2461" t="s">
        <v>2561</v>
      </c>
      <c r="AE2461">
        <v>1</v>
      </c>
      <c r="AO2461" t="s">
        <v>2547</v>
      </c>
      <c r="AP2461" t="s">
        <v>2401</v>
      </c>
    </row>
    <row r="2462" spans="1:42">
      <c r="A2462" t="s">
        <v>8478</v>
      </c>
      <c r="B2462" t="s">
        <v>2389</v>
      </c>
      <c r="C2462" t="s">
        <v>2415</v>
      </c>
      <c r="D2462" t="s">
        <v>2379</v>
      </c>
      <c r="E2462" t="s">
        <v>25</v>
      </c>
      <c r="F2462" t="s">
        <v>8207</v>
      </c>
      <c r="G2462" t="s">
        <v>25</v>
      </c>
      <c r="H2462" t="b">
        <v>1</v>
      </c>
      <c r="I2462" s="8">
        <v>45952.664351851854</v>
      </c>
      <c r="J2462" t="s">
        <v>2380</v>
      </c>
      <c r="K2462">
        <v>1204052</v>
      </c>
      <c r="L2462">
        <v>604459</v>
      </c>
      <c r="M2462" t="s">
        <v>2381</v>
      </c>
      <c r="N2462">
        <v>5</v>
      </c>
      <c r="P2462" t="s">
        <v>2394</v>
      </c>
      <c r="Q2462" t="s">
        <v>2395</v>
      </c>
      <c r="R2462">
        <v>1</v>
      </c>
      <c r="S2462" t="s">
        <v>2380</v>
      </c>
      <c r="T2462" t="s">
        <v>2383</v>
      </c>
      <c r="U2462" s="8">
        <v>45951.456909722219</v>
      </c>
      <c r="V2462" s="8">
        <v>45958.958333333336</v>
      </c>
      <c r="W2462">
        <v>1</v>
      </c>
      <c r="X2462">
        <v>1.20744213</v>
      </c>
      <c r="Y2462" t="s">
        <v>1277</v>
      </c>
      <c r="Z2462" t="s">
        <v>8479</v>
      </c>
      <c r="AA2462" t="s">
        <v>8273</v>
      </c>
      <c r="AB2462" t="s">
        <v>1278</v>
      </c>
      <c r="AC2462" t="s">
        <v>8480</v>
      </c>
      <c r="AD2462" t="s">
        <v>2708</v>
      </c>
      <c r="AE2462">
        <v>1</v>
      </c>
      <c r="AO2462" t="s">
        <v>4137</v>
      </c>
      <c r="AP2462" t="s">
        <v>2401</v>
      </c>
    </row>
    <row r="2463" spans="1:42">
      <c r="A2463" t="s">
        <v>8393</v>
      </c>
      <c r="B2463" t="s">
        <v>2389</v>
      </c>
      <c r="C2463" t="s">
        <v>2390</v>
      </c>
      <c r="D2463" t="s">
        <v>2379</v>
      </c>
      <c r="E2463" t="s">
        <v>25</v>
      </c>
      <c r="F2463" t="s">
        <v>3514</v>
      </c>
      <c r="G2463" t="s">
        <v>25</v>
      </c>
      <c r="H2463" t="b">
        <v>1</v>
      </c>
      <c r="I2463" s="8">
        <v>45951.462222222224</v>
      </c>
      <c r="J2463" t="s">
        <v>2380</v>
      </c>
      <c r="K2463">
        <v>1203746</v>
      </c>
      <c r="L2463">
        <v>603695</v>
      </c>
      <c r="M2463" t="s">
        <v>2381</v>
      </c>
      <c r="N2463">
        <v>5</v>
      </c>
      <c r="P2463" t="s">
        <v>2394</v>
      </c>
      <c r="Q2463" t="s">
        <v>2383</v>
      </c>
      <c r="R2463">
        <v>1</v>
      </c>
      <c r="S2463" t="s">
        <v>2380</v>
      </c>
      <c r="T2463" t="s">
        <v>2383</v>
      </c>
      <c r="U2463" s="8">
        <v>45946.590937499997</v>
      </c>
      <c r="V2463" s="8">
        <v>45951.958333333336</v>
      </c>
      <c r="W2463">
        <v>1</v>
      </c>
      <c r="X2463">
        <v>2.871284722</v>
      </c>
      <c r="Y2463" t="s">
        <v>3515</v>
      </c>
      <c r="Z2463" t="s">
        <v>8394</v>
      </c>
      <c r="AA2463" t="s">
        <v>3518</v>
      </c>
      <c r="AB2463" t="s">
        <v>1278</v>
      </c>
      <c r="AC2463" t="s">
        <v>8395</v>
      </c>
      <c r="AD2463" t="s">
        <v>2708</v>
      </c>
      <c r="AE2463">
        <v>1</v>
      </c>
      <c r="AO2463" t="s">
        <v>2957</v>
      </c>
      <c r="AP2463" t="s">
        <v>2401</v>
      </c>
    </row>
    <row r="2464" spans="1:42">
      <c r="A2464" t="s">
        <v>2647</v>
      </c>
      <c r="B2464" t="s">
        <v>2389</v>
      </c>
      <c r="C2464" t="s">
        <v>2390</v>
      </c>
      <c r="D2464" t="s">
        <v>2379</v>
      </c>
      <c r="E2464" t="s">
        <v>2452</v>
      </c>
      <c r="F2464" t="s">
        <v>2578</v>
      </c>
      <c r="G2464" t="s">
        <v>2452</v>
      </c>
      <c r="H2464" t="b">
        <v>1</v>
      </c>
      <c r="I2464" s="8">
        <v>45954.364699074074</v>
      </c>
      <c r="J2464" t="s">
        <v>2380</v>
      </c>
      <c r="L2464">
        <v>601850</v>
      </c>
      <c r="M2464" t="s">
        <v>2381</v>
      </c>
      <c r="P2464" t="s">
        <v>2394</v>
      </c>
      <c r="Q2464" t="s">
        <v>2383</v>
      </c>
      <c r="R2464">
        <v>1</v>
      </c>
      <c r="S2464" t="s">
        <v>2380</v>
      </c>
      <c r="T2464" t="s">
        <v>2383</v>
      </c>
      <c r="U2464" s="8">
        <v>45951.462604166663</v>
      </c>
      <c r="V2464" s="8">
        <v>45954.958333333336</v>
      </c>
      <c r="W2464">
        <v>1</v>
      </c>
      <c r="X2464">
        <v>2.9020949069999999</v>
      </c>
      <c r="Y2464" t="s">
        <v>2579</v>
      </c>
      <c r="Z2464" t="s">
        <v>2648</v>
      </c>
      <c r="AA2464" t="s">
        <v>2649</v>
      </c>
      <c r="AB2464" t="s">
        <v>1278</v>
      </c>
      <c r="AC2464" t="s">
        <v>2650</v>
      </c>
      <c r="AE2464">
        <v>1</v>
      </c>
      <c r="AO2464" t="s">
        <v>2388</v>
      </c>
      <c r="AP2464" t="s">
        <v>2401</v>
      </c>
    </row>
    <row r="2465" spans="1:42">
      <c r="A2465" t="s">
        <v>8599</v>
      </c>
      <c r="B2465" t="s">
        <v>2389</v>
      </c>
      <c r="C2465" t="s">
        <v>2447</v>
      </c>
      <c r="D2465" t="s">
        <v>2379</v>
      </c>
      <c r="E2465" t="s">
        <v>25</v>
      </c>
      <c r="F2465" t="s">
        <v>8565</v>
      </c>
      <c r="G2465" t="s">
        <v>25</v>
      </c>
      <c r="H2465" t="b">
        <v>1</v>
      </c>
      <c r="I2465" s="8">
        <v>45958.410266203704</v>
      </c>
      <c r="J2465" t="s">
        <v>2380</v>
      </c>
      <c r="K2465">
        <v>1204810</v>
      </c>
      <c r="L2465">
        <v>603331</v>
      </c>
      <c r="M2465" t="s">
        <v>2381</v>
      </c>
      <c r="N2465">
        <v>5</v>
      </c>
      <c r="P2465" t="s">
        <v>2394</v>
      </c>
      <c r="Q2465" t="s">
        <v>2383</v>
      </c>
      <c r="R2465">
        <v>1</v>
      </c>
      <c r="S2465" t="s">
        <v>2380</v>
      </c>
      <c r="T2465" t="s">
        <v>2383</v>
      </c>
      <c r="U2465" s="8">
        <v>45951.465497685182</v>
      </c>
      <c r="V2465" s="8">
        <v>45961.958333333336</v>
      </c>
      <c r="W2465">
        <v>1</v>
      </c>
      <c r="X2465">
        <v>4.9447685190000001</v>
      </c>
      <c r="Y2465" t="s">
        <v>8566</v>
      </c>
      <c r="Z2465" t="s">
        <v>8600</v>
      </c>
      <c r="AA2465" t="s">
        <v>8569</v>
      </c>
      <c r="AB2465" t="s">
        <v>1278</v>
      </c>
      <c r="AC2465" t="s">
        <v>8601</v>
      </c>
      <c r="AD2465" t="s">
        <v>2708</v>
      </c>
      <c r="AE2465">
        <v>1</v>
      </c>
      <c r="AO2465" t="s">
        <v>3608</v>
      </c>
      <c r="AP2465" t="s">
        <v>2401</v>
      </c>
    </row>
    <row r="2466" spans="1:42">
      <c r="A2466" t="s">
        <v>10229</v>
      </c>
      <c r="B2466" t="s">
        <v>2377</v>
      </c>
      <c r="C2466" t="s">
        <v>2390</v>
      </c>
      <c r="D2466" t="s">
        <v>2379</v>
      </c>
      <c r="E2466" t="s">
        <v>33</v>
      </c>
      <c r="F2466" t="s">
        <v>2578</v>
      </c>
      <c r="G2466" t="s">
        <v>33</v>
      </c>
      <c r="H2466" t="b">
        <v>1</v>
      </c>
      <c r="I2466" s="8">
        <v>45953.68476851852</v>
      </c>
      <c r="J2466" t="s">
        <v>2380</v>
      </c>
      <c r="K2466">
        <v>1188714</v>
      </c>
      <c r="L2466">
        <v>601544</v>
      </c>
      <c r="M2466" t="s">
        <v>2381</v>
      </c>
      <c r="P2466" t="s">
        <v>2394</v>
      </c>
      <c r="Q2466" t="s">
        <v>2383</v>
      </c>
      <c r="R2466">
        <v>1</v>
      </c>
      <c r="S2466" t="s">
        <v>2380</v>
      </c>
      <c r="T2466" t="s">
        <v>2383</v>
      </c>
      <c r="U2466" s="8">
        <v>45951.479618055557</v>
      </c>
      <c r="V2466" s="8">
        <v>45954.958333333336</v>
      </c>
      <c r="W2466">
        <v>1</v>
      </c>
      <c r="X2466">
        <v>2.2051504629999998</v>
      </c>
      <c r="Y2466" t="s">
        <v>2579</v>
      </c>
      <c r="Z2466" t="s">
        <v>10230</v>
      </c>
      <c r="AA2466" t="s">
        <v>3272</v>
      </c>
      <c r="AB2466" t="s">
        <v>1278</v>
      </c>
      <c r="AC2466" t="s">
        <v>10231</v>
      </c>
      <c r="AE2466">
        <v>1</v>
      </c>
      <c r="AF2466">
        <v>2</v>
      </c>
      <c r="AH2466" t="s">
        <v>2723</v>
      </c>
      <c r="AI2466" s="8">
        <v>45953.666087962964</v>
      </c>
      <c r="AK2466" t="s">
        <v>2719</v>
      </c>
      <c r="AL2466" t="s">
        <v>2724</v>
      </c>
      <c r="AO2466" t="s">
        <v>2388</v>
      </c>
      <c r="AP2466" t="s">
        <v>2401</v>
      </c>
    </row>
    <row r="2467" spans="1:42">
      <c r="A2467" t="s">
        <v>8861</v>
      </c>
      <c r="B2467" t="s">
        <v>2389</v>
      </c>
      <c r="C2467" t="s">
        <v>2378</v>
      </c>
      <c r="D2467" t="s">
        <v>2379</v>
      </c>
      <c r="E2467" t="s">
        <v>2452</v>
      </c>
      <c r="F2467" t="s">
        <v>2541</v>
      </c>
      <c r="G2467" t="s">
        <v>2452</v>
      </c>
      <c r="H2467" t="b">
        <v>1</v>
      </c>
      <c r="I2467" s="8">
        <v>45954.664560185185</v>
      </c>
      <c r="J2467" t="s">
        <v>2380</v>
      </c>
      <c r="K2467">
        <v>1204566</v>
      </c>
      <c r="L2467">
        <v>601441</v>
      </c>
      <c r="M2467" t="s">
        <v>2381</v>
      </c>
      <c r="P2467" t="s">
        <v>2548</v>
      </c>
      <c r="Q2467" t="s">
        <v>2383</v>
      </c>
      <c r="R2467">
        <v>1</v>
      </c>
      <c r="S2467" t="s">
        <v>2380</v>
      </c>
      <c r="T2467" t="s">
        <v>2383</v>
      </c>
      <c r="U2467" s="8">
        <v>45951.491388888891</v>
      </c>
      <c r="V2467" s="8">
        <v>45954.958333333336</v>
      </c>
      <c r="W2467">
        <v>1</v>
      </c>
      <c r="X2467">
        <v>3.173171296</v>
      </c>
      <c r="Y2467" t="s">
        <v>2542</v>
      </c>
      <c r="Z2467" t="s">
        <v>8862</v>
      </c>
      <c r="AA2467" t="s">
        <v>2884</v>
      </c>
      <c r="AB2467" t="s">
        <v>1278</v>
      </c>
      <c r="AC2467" t="s">
        <v>8863</v>
      </c>
      <c r="AD2467" t="s">
        <v>2708</v>
      </c>
      <c r="AE2467">
        <v>1</v>
      </c>
      <c r="AH2467" t="s">
        <v>2723</v>
      </c>
      <c r="AI2467" s="8">
        <v>45954.658483796295</v>
      </c>
      <c r="AK2467" t="s">
        <v>2719</v>
      </c>
      <c r="AL2467" t="s">
        <v>2724</v>
      </c>
      <c r="AO2467" t="s">
        <v>2547</v>
      </c>
      <c r="AP2467" t="s">
        <v>2401</v>
      </c>
    </row>
    <row r="2468" spans="1:42">
      <c r="A2468" t="s">
        <v>8481</v>
      </c>
      <c r="B2468" t="s">
        <v>2389</v>
      </c>
      <c r="C2468" t="s">
        <v>2415</v>
      </c>
      <c r="D2468" t="s">
        <v>2379</v>
      </c>
      <c r="E2468" t="s">
        <v>25</v>
      </c>
      <c r="F2468" t="s">
        <v>8207</v>
      </c>
      <c r="G2468" t="s">
        <v>25</v>
      </c>
      <c r="H2468" t="b">
        <v>1</v>
      </c>
      <c r="I2468" s="8">
        <v>45952.66269675926</v>
      </c>
      <c r="J2468" t="s">
        <v>2380</v>
      </c>
      <c r="K2468">
        <v>1204050</v>
      </c>
      <c r="L2468">
        <v>604459</v>
      </c>
      <c r="M2468" t="s">
        <v>2381</v>
      </c>
      <c r="N2468">
        <v>5</v>
      </c>
      <c r="P2468" t="s">
        <v>2394</v>
      </c>
      <c r="Q2468" t="s">
        <v>2395</v>
      </c>
      <c r="R2468">
        <v>1</v>
      </c>
      <c r="S2468" t="s">
        <v>2380</v>
      </c>
      <c r="T2468" t="s">
        <v>2383</v>
      </c>
      <c r="U2468" s="8">
        <v>45951.497187499997</v>
      </c>
      <c r="V2468" s="8">
        <v>45954.958333333336</v>
      </c>
      <c r="W2468">
        <v>1</v>
      </c>
      <c r="X2468">
        <v>1.165509259</v>
      </c>
      <c r="Y2468" t="s">
        <v>1277</v>
      </c>
      <c r="Z2468" t="s">
        <v>8482</v>
      </c>
      <c r="AA2468" t="s">
        <v>8273</v>
      </c>
      <c r="AB2468" t="s">
        <v>1278</v>
      </c>
      <c r="AC2468" t="s">
        <v>8483</v>
      </c>
      <c r="AD2468" t="s">
        <v>2708</v>
      </c>
      <c r="AE2468">
        <v>1</v>
      </c>
      <c r="AO2468" t="s">
        <v>4137</v>
      </c>
      <c r="AP2468" t="s">
        <v>2401</v>
      </c>
    </row>
    <row r="2469" spans="1:42">
      <c r="A2469" t="s">
        <v>2543</v>
      </c>
      <c r="B2469" t="s">
        <v>2389</v>
      </c>
      <c r="C2469" t="s">
        <v>2443</v>
      </c>
      <c r="D2469" t="s">
        <v>2443</v>
      </c>
      <c r="E2469" t="s">
        <v>25</v>
      </c>
      <c r="F2469" t="s">
        <v>2541</v>
      </c>
      <c r="G2469" t="s">
        <v>25</v>
      </c>
      <c r="H2469" t="b">
        <v>1</v>
      </c>
      <c r="I2469" s="8">
        <v>45959.478252314817</v>
      </c>
      <c r="J2469" t="s">
        <v>2380</v>
      </c>
      <c r="L2469">
        <v>608175</v>
      </c>
      <c r="M2469" t="s">
        <v>2381</v>
      </c>
      <c r="P2469" t="s">
        <v>2394</v>
      </c>
      <c r="Q2469" t="s">
        <v>2383</v>
      </c>
      <c r="R2469">
        <v>1</v>
      </c>
      <c r="S2469" t="s">
        <v>2380</v>
      </c>
      <c r="T2469" t="s">
        <v>2383</v>
      </c>
      <c r="U2469" s="8">
        <v>45951.501342592594</v>
      </c>
      <c r="V2469" s="8">
        <v>45954.958333333336</v>
      </c>
      <c r="W2469">
        <v>1</v>
      </c>
      <c r="X2469">
        <v>5.9769097220000003</v>
      </c>
      <c r="Y2469" t="s">
        <v>2542</v>
      </c>
      <c r="Z2469" t="s">
        <v>2544</v>
      </c>
      <c r="AA2469" t="s">
        <v>2545</v>
      </c>
      <c r="AB2469" t="s">
        <v>1278</v>
      </c>
      <c r="AC2469" t="s">
        <v>2546</v>
      </c>
      <c r="AE2469">
        <v>1</v>
      </c>
      <c r="AO2469" t="s">
        <v>2547</v>
      </c>
      <c r="AP2469" t="s">
        <v>2401</v>
      </c>
    </row>
    <row r="2470" spans="1:42">
      <c r="A2470" t="s">
        <v>4699</v>
      </c>
      <c r="B2470" t="s">
        <v>2389</v>
      </c>
      <c r="C2470" t="s">
        <v>2378</v>
      </c>
      <c r="D2470" t="s">
        <v>2379</v>
      </c>
      <c r="E2470" t="s">
        <v>24</v>
      </c>
      <c r="F2470" t="s">
        <v>4697</v>
      </c>
      <c r="G2470" t="s">
        <v>24</v>
      </c>
      <c r="H2470" t="b">
        <v>1</v>
      </c>
      <c r="I2470" s="8">
        <v>45954.700844907406</v>
      </c>
      <c r="J2470" t="s">
        <v>2380</v>
      </c>
      <c r="K2470">
        <v>1204603</v>
      </c>
      <c r="L2470">
        <v>603948</v>
      </c>
      <c r="M2470" t="s">
        <v>2381</v>
      </c>
      <c r="P2470" t="s">
        <v>2394</v>
      </c>
      <c r="Q2470" t="s">
        <v>2383</v>
      </c>
      <c r="R2470">
        <v>1</v>
      </c>
      <c r="S2470" t="s">
        <v>2380</v>
      </c>
      <c r="T2470" t="s">
        <v>2383</v>
      </c>
      <c r="U2470" s="8">
        <v>45951.504178240742</v>
      </c>
      <c r="V2470" s="8">
        <v>45954.958333333336</v>
      </c>
      <c r="W2470">
        <v>1</v>
      </c>
      <c r="X2470">
        <v>3.1966666670000001</v>
      </c>
      <c r="Y2470" t="s">
        <v>4698</v>
      </c>
      <c r="Z2470" t="s">
        <v>4700</v>
      </c>
      <c r="AA2470" t="s">
        <v>4701</v>
      </c>
      <c r="AB2470" t="s">
        <v>1278</v>
      </c>
      <c r="AC2470" t="s">
        <v>4702</v>
      </c>
      <c r="AD2470" t="s">
        <v>2708</v>
      </c>
      <c r="AE2470">
        <v>1</v>
      </c>
      <c r="AO2470" t="s">
        <v>2957</v>
      </c>
      <c r="AP2470" t="s">
        <v>2401</v>
      </c>
    </row>
    <row r="2471" spans="1:42">
      <c r="A2471" t="s">
        <v>4746</v>
      </c>
      <c r="B2471" t="s">
        <v>2389</v>
      </c>
      <c r="C2471" t="s">
        <v>2378</v>
      </c>
      <c r="D2471" t="s">
        <v>2379</v>
      </c>
      <c r="E2471" t="s">
        <v>2452</v>
      </c>
      <c r="F2471" t="s">
        <v>4697</v>
      </c>
      <c r="G2471" t="s">
        <v>2452</v>
      </c>
      <c r="H2471" t="b">
        <v>1</v>
      </c>
      <c r="I2471" s="8">
        <v>45954.579039351855</v>
      </c>
      <c r="J2471" t="s">
        <v>2380</v>
      </c>
      <c r="K2471">
        <v>1204463</v>
      </c>
      <c r="L2471">
        <v>603752</v>
      </c>
      <c r="M2471" t="s">
        <v>2381</v>
      </c>
      <c r="P2471" t="s">
        <v>2394</v>
      </c>
      <c r="Q2471" t="s">
        <v>2383</v>
      </c>
      <c r="R2471">
        <v>1</v>
      </c>
      <c r="S2471" t="s">
        <v>2380</v>
      </c>
      <c r="T2471" t="s">
        <v>2383</v>
      </c>
      <c r="U2471" s="8">
        <v>45951.505671296298</v>
      </c>
      <c r="V2471" s="8">
        <v>45960.958333333336</v>
      </c>
      <c r="W2471">
        <v>1</v>
      </c>
      <c r="X2471">
        <v>3.0733680560000001</v>
      </c>
      <c r="Y2471" t="s">
        <v>4698</v>
      </c>
      <c r="Z2471" t="s">
        <v>4747</v>
      </c>
      <c r="AA2471" t="s">
        <v>4748</v>
      </c>
      <c r="AB2471" t="s">
        <v>1278</v>
      </c>
      <c r="AC2471" t="s">
        <v>4749</v>
      </c>
      <c r="AD2471" t="s">
        <v>2708</v>
      </c>
      <c r="AE2471">
        <v>1</v>
      </c>
      <c r="AO2471" t="s">
        <v>2957</v>
      </c>
      <c r="AP2471" t="s">
        <v>2401</v>
      </c>
    </row>
    <row r="2472" spans="1:42">
      <c r="A2472" t="s">
        <v>8649</v>
      </c>
      <c r="B2472" t="s">
        <v>2389</v>
      </c>
      <c r="C2472" t="s">
        <v>2415</v>
      </c>
      <c r="D2472" t="s">
        <v>2379</v>
      </c>
      <c r="E2472" t="s">
        <v>24</v>
      </c>
      <c r="F2472" t="s">
        <v>3747</v>
      </c>
      <c r="G2472" t="s">
        <v>24</v>
      </c>
      <c r="H2472" t="b">
        <v>1</v>
      </c>
      <c r="I2472" s="8">
        <v>45952.597488425927</v>
      </c>
      <c r="J2472" t="s">
        <v>2380</v>
      </c>
      <c r="K2472">
        <v>1204020</v>
      </c>
      <c r="L2472">
        <v>602272</v>
      </c>
      <c r="M2472" t="s">
        <v>2381</v>
      </c>
      <c r="P2472" t="s">
        <v>2394</v>
      </c>
      <c r="Q2472" t="s">
        <v>2383</v>
      </c>
      <c r="R2472">
        <v>1</v>
      </c>
      <c r="S2472" t="s">
        <v>2380</v>
      </c>
      <c r="T2472" t="s">
        <v>2383</v>
      </c>
      <c r="U2472" s="8">
        <v>45951.507094907407</v>
      </c>
      <c r="V2472" s="8">
        <v>45954.958333333336</v>
      </c>
      <c r="W2472">
        <v>1</v>
      </c>
      <c r="X2472">
        <v>1.090393519</v>
      </c>
      <c r="Y2472" t="s">
        <v>3748</v>
      </c>
      <c r="Z2472" t="s">
        <v>8650</v>
      </c>
      <c r="AA2472" t="s">
        <v>3824</v>
      </c>
      <c r="AB2472" t="s">
        <v>1278</v>
      </c>
      <c r="AD2472" t="s">
        <v>2708</v>
      </c>
      <c r="AE2472">
        <v>1</v>
      </c>
      <c r="AO2472" t="s">
        <v>2712</v>
      </c>
      <c r="AP2472" t="s">
        <v>2401</v>
      </c>
    </row>
    <row r="2473" spans="1:42">
      <c r="A2473" t="s">
        <v>8891</v>
      </c>
      <c r="B2473" t="s">
        <v>2389</v>
      </c>
      <c r="C2473" t="s">
        <v>2378</v>
      </c>
      <c r="D2473" t="s">
        <v>2379</v>
      </c>
      <c r="E2473" t="s">
        <v>379</v>
      </c>
      <c r="F2473" t="s">
        <v>2457</v>
      </c>
      <c r="G2473" t="s">
        <v>379</v>
      </c>
      <c r="H2473" t="b">
        <v>1</v>
      </c>
      <c r="I2473" s="8">
        <v>45954.630729166667</v>
      </c>
      <c r="J2473" t="s">
        <v>2380</v>
      </c>
      <c r="K2473">
        <v>1203782</v>
      </c>
      <c r="L2473">
        <v>601848</v>
      </c>
      <c r="M2473" t="s">
        <v>2381</v>
      </c>
      <c r="Q2473" t="s">
        <v>2383</v>
      </c>
      <c r="R2473">
        <v>1</v>
      </c>
      <c r="S2473" t="s">
        <v>2380</v>
      </c>
      <c r="T2473" t="s">
        <v>2383</v>
      </c>
      <c r="U2473" s="8">
        <v>45951.508530092593</v>
      </c>
      <c r="V2473" s="8">
        <v>45954.958333333336</v>
      </c>
      <c r="W2473">
        <v>1</v>
      </c>
      <c r="X2473">
        <v>3.1221990740000001</v>
      </c>
      <c r="Y2473" t="s">
        <v>2403</v>
      </c>
      <c r="Z2473" t="s">
        <v>8892</v>
      </c>
      <c r="AA2473" t="s">
        <v>8893</v>
      </c>
      <c r="AB2473" t="s">
        <v>1278</v>
      </c>
      <c r="AC2473" t="s">
        <v>8894</v>
      </c>
      <c r="AD2473" t="s">
        <v>2708</v>
      </c>
      <c r="AE2473">
        <v>1</v>
      </c>
      <c r="AF2473">
        <v>2</v>
      </c>
      <c r="AH2473" t="s">
        <v>2723</v>
      </c>
      <c r="AI2473" s="8">
        <v>45954.487500000003</v>
      </c>
      <c r="AK2473" t="s">
        <v>2719</v>
      </c>
      <c r="AL2473" t="s">
        <v>2724</v>
      </c>
      <c r="AO2473" t="s">
        <v>4121</v>
      </c>
      <c r="AP2473" t="s">
        <v>2401</v>
      </c>
    </row>
    <row r="2474" spans="1:42">
      <c r="A2474" t="s">
        <v>2453</v>
      </c>
      <c r="B2474" t="s">
        <v>2389</v>
      </c>
      <c r="C2474" t="s">
        <v>2378</v>
      </c>
      <c r="D2474" t="s">
        <v>2379</v>
      </c>
      <c r="E2474" t="s">
        <v>2452</v>
      </c>
      <c r="F2474" t="s">
        <v>2402</v>
      </c>
      <c r="G2474" t="s">
        <v>2452</v>
      </c>
      <c r="H2474" t="b">
        <v>1</v>
      </c>
      <c r="I2474" s="8">
        <v>45954.674432870372</v>
      </c>
      <c r="J2474" t="s">
        <v>2380</v>
      </c>
      <c r="L2474">
        <v>606939</v>
      </c>
      <c r="M2474" t="s">
        <v>2381</v>
      </c>
      <c r="P2474" t="s">
        <v>2394</v>
      </c>
      <c r="Q2474" t="s">
        <v>2383</v>
      </c>
      <c r="R2474">
        <v>1</v>
      </c>
      <c r="S2474" t="s">
        <v>2380</v>
      </c>
      <c r="T2474" t="s">
        <v>2383</v>
      </c>
      <c r="U2474" s="8">
        <v>45951.509745370371</v>
      </c>
      <c r="V2474" s="8">
        <v>45954.958333333336</v>
      </c>
      <c r="W2474">
        <v>1</v>
      </c>
      <c r="X2474">
        <v>3.1646874999999999</v>
      </c>
      <c r="Y2474" t="s">
        <v>2403</v>
      </c>
      <c r="Z2474" t="s">
        <v>2454</v>
      </c>
      <c r="AA2474" t="s">
        <v>2455</v>
      </c>
      <c r="AB2474" t="s">
        <v>1278</v>
      </c>
      <c r="AC2474" t="s">
        <v>2456</v>
      </c>
      <c r="AE2474">
        <v>1</v>
      </c>
      <c r="AO2474" t="s">
        <v>2408</v>
      </c>
      <c r="AP2474" t="s">
        <v>2401</v>
      </c>
    </row>
    <row r="2475" spans="1:42">
      <c r="A2475" t="s">
        <v>4737</v>
      </c>
      <c r="B2475" t="s">
        <v>2389</v>
      </c>
      <c r="C2475" t="s">
        <v>2390</v>
      </c>
      <c r="D2475" t="s">
        <v>2379</v>
      </c>
      <c r="E2475" t="s">
        <v>2452</v>
      </c>
      <c r="F2475" t="s">
        <v>3514</v>
      </c>
      <c r="G2475" t="s">
        <v>2452</v>
      </c>
      <c r="H2475" t="b">
        <v>1</v>
      </c>
      <c r="I2475" s="8">
        <v>45954.397048611114</v>
      </c>
      <c r="J2475" t="s">
        <v>2380</v>
      </c>
      <c r="K2475">
        <v>1204357</v>
      </c>
      <c r="L2475">
        <v>603695</v>
      </c>
      <c r="M2475" t="s">
        <v>2381</v>
      </c>
      <c r="P2475" t="s">
        <v>2394</v>
      </c>
      <c r="Q2475" t="s">
        <v>2383</v>
      </c>
      <c r="R2475">
        <v>1</v>
      </c>
      <c r="S2475" t="s">
        <v>2380</v>
      </c>
      <c r="T2475" t="s">
        <v>2383</v>
      </c>
      <c r="U2475" s="8">
        <v>45951.511273148149</v>
      </c>
      <c r="V2475" s="8">
        <v>45954.958333333336</v>
      </c>
      <c r="W2475">
        <v>1</v>
      </c>
      <c r="X2475">
        <v>2.8857754629999999</v>
      </c>
      <c r="Y2475" t="s">
        <v>3515</v>
      </c>
      <c r="Z2475" t="s">
        <v>4738</v>
      </c>
      <c r="AA2475" t="s">
        <v>3518</v>
      </c>
      <c r="AB2475" t="s">
        <v>1278</v>
      </c>
      <c r="AC2475" t="s">
        <v>4739</v>
      </c>
      <c r="AD2475" t="s">
        <v>2708</v>
      </c>
      <c r="AE2475">
        <v>1</v>
      </c>
      <c r="AO2475" t="s">
        <v>2957</v>
      </c>
      <c r="AP2475" t="s">
        <v>2401</v>
      </c>
    </row>
    <row r="2476" spans="1:42">
      <c r="A2476" t="s">
        <v>9929</v>
      </c>
      <c r="B2476" t="s">
        <v>2389</v>
      </c>
      <c r="C2476" t="s">
        <v>2390</v>
      </c>
      <c r="D2476" t="s">
        <v>2379</v>
      </c>
      <c r="E2476" t="s">
        <v>24</v>
      </c>
      <c r="F2476" t="s">
        <v>3747</v>
      </c>
      <c r="G2476" t="s">
        <v>24</v>
      </c>
      <c r="H2476" t="b">
        <v>1</v>
      </c>
      <c r="I2476" s="8">
        <v>45953.6018287037</v>
      </c>
      <c r="J2476" t="s">
        <v>2380</v>
      </c>
      <c r="L2476">
        <v>602272</v>
      </c>
      <c r="M2476" t="s">
        <v>2381</v>
      </c>
      <c r="P2476" t="s">
        <v>2394</v>
      </c>
      <c r="Q2476" t="s">
        <v>2383</v>
      </c>
      <c r="R2476">
        <v>1</v>
      </c>
      <c r="S2476" t="s">
        <v>2380</v>
      </c>
      <c r="T2476" t="s">
        <v>2383</v>
      </c>
      <c r="U2476" s="8">
        <v>45951.526018518518</v>
      </c>
      <c r="V2476" s="8">
        <v>45954.958333333336</v>
      </c>
      <c r="W2476">
        <v>1</v>
      </c>
      <c r="X2476">
        <v>2.0758101849999999</v>
      </c>
      <c r="Y2476" t="s">
        <v>3748</v>
      </c>
      <c r="Z2476" t="s">
        <v>9930</v>
      </c>
      <c r="AA2476" t="s">
        <v>3824</v>
      </c>
      <c r="AB2476" t="s">
        <v>1278</v>
      </c>
      <c r="AC2476" t="s">
        <v>9931</v>
      </c>
      <c r="AE2476">
        <v>1</v>
      </c>
      <c r="AO2476" t="s">
        <v>2712</v>
      </c>
      <c r="AP2476" t="s">
        <v>2401</v>
      </c>
    </row>
    <row r="2477" spans="1:42">
      <c r="A2477" t="s">
        <v>2537</v>
      </c>
      <c r="B2477" t="s">
        <v>2389</v>
      </c>
      <c r="C2477" t="s">
        <v>2390</v>
      </c>
      <c r="D2477" t="s">
        <v>2379</v>
      </c>
      <c r="E2477" t="s">
        <v>2452</v>
      </c>
      <c r="F2477" t="s">
        <v>2417</v>
      </c>
      <c r="G2477" t="s">
        <v>2452</v>
      </c>
      <c r="H2477" t="b">
        <v>1</v>
      </c>
      <c r="I2477" s="8">
        <v>45954.512789351851</v>
      </c>
      <c r="J2477" t="s">
        <v>2380</v>
      </c>
      <c r="L2477">
        <v>602876</v>
      </c>
      <c r="M2477" t="s">
        <v>2381</v>
      </c>
      <c r="Q2477" t="s">
        <v>2383</v>
      </c>
      <c r="R2477">
        <v>1</v>
      </c>
      <c r="S2477" t="s">
        <v>2380</v>
      </c>
      <c r="T2477" t="s">
        <v>2383</v>
      </c>
      <c r="U2477" s="8">
        <v>45951.528634259259</v>
      </c>
      <c r="V2477" s="8">
        <v>45954.958333333336</v>
      </c>
      <c r="W2477">
        <v>1</v>
      </c>
      <c r="X2477">
        <v>2.984155093</v>
      </c>
      <c r="Y2477" t="s">
        <v>2418</v>
      </c>
      <c r="Z2477" t="s">
        <v>2538</v>
      </c>
      <c r="AA2477" t="s">
        <v>1307</v>
      </c>
      <c r="AB2477" t="s">
        <v>1278</v>
      </c>
      <c r="AC2477" t="s">
        <v>2539</v>
      </c>
      <c r="AE2477">
        <v>1</v>
      </c>
      <c r="AO2477" t="s">
        <v>2540</v>
      </c>
      <c r="AP2477" t="s">
        <v>2401</v>
      </c>
    </row>
    <row r="2478" spans="1:42">
      <c r="A2478" t="s">
        <v>8651</v>
      </c>
      <c r="B2478" t="s">
        <v>2389</v>
      </c>
      <c r="C2478" t="s">
        <v>2378</v>
      </c>
      <c r="D2478" t="s">
        <v>2379</v>
      </c>
      <c r="E2478" t="s">
        <v>24</v>
      </c>
      <c r="F2478" t="s">
        <v>3747</v>
      </c>
      <c r="G2478" t="s">
        <v>24</v>
      </c>
      <c r="H2478" t="b">
        <v>1</v>
      </c>
      <c r="I2478" s="8">
        <v>45954.697152777779</v>
      </c>
      <c r="J2478" t="s">
        <v>2380</v>
      </c>
      <c r="K2478">
        <v>1204601</v>
      </c>
      <c r="L2478">
        <v>602272</v>
      </c>
      <c r="M2478" t="s">
        <v>2381</v>
      </c>
      <c r="P2478" t="s">
        <v>2394</v>
      </c>
      <c r="Q2478" t="s">
        <v>2383</v>
      </c>
      <c r="R2478">
        <v>1</v>
      </c>
      <c r="S2478" t="s">
        <v>2380</v>
      </c>
      <c r="T2478" t="s">
        <v>2383</v>
      </c>
      <c r="U2478" s="8">
        <v>45951.529664351852</v>
      </c>
      <c r="V2478" s="8">
        <v>45954.958333333336</v>
      </c>
      <c r="W2478">
        <v>1</v>
      </c>
      <c r="X2478">
        <v>3.1674884259999998</v>
      </c>
      <c r="Y2478" t="s">
        <v>3748</v>
      </c>
      <c r="Z2478" t="s">
        <v>8652</v>
      </c>
      <c r="AA2478" t="s">
        <v>3824</v>
      </c>
      <c r="AB2478" t="s">
        <v>1278</v>
      </c>
      <c r="AC2478" t="s">
        <v>8653</v>
      </c>
      <c r="AD2478" t="s">
        <v>2708</v>
      </c>
      <c r="AE2478">
        <v>1</v>
      </c>
      <c r="AO2478" t="s">
        <v>2712</v>
      </c>
      <c r="AP2478" t="s">
        <v>2401</v>
      </c>
    </row>
    <row r="2479" spans="1:42">
      <c r="A2479" t="s">
        <v>8654</v>
      </c>
      <c r="B2479" t="s">
        <v>2389</v>
      </c>
      <c r="C2479" t="s">
        <v>2378</v>
      </c>
      <c r="D2479" t="s">
        <v>2379</v>
      </c>
      <c r="E2479" t="s">
        <v>24</v>
      </c>
      <c r="F2479" t="s">
        <v>3747</v>
      </c>
      <c r="G2479" t="s">
        <v>24</v>
      </c>
      <c r="H2479" t="b">
        <v>1</v>
      </c>
      <c r="I2479" s="8">
        <v>45954.699317129627</v>
      </c>
      <c r="J2479" t="s">
        <v>2380</v>
      </c>
      <c r="K2479">
        <v>1204602</v>
      </c>
      <c r="L2479">
        <v>602272</v>
      </c>
      <c r="M2479" t="s">
        <v>2381</v>
      </c>
      <c r="P2479" t="s">
        <v>2394</v>
      </c>
      <c r="Q2479" t="s">
        <v>2383</v>
      </c>
      <c r="R2479">
        <v>1</v>
      </c>
      <c r="S2479" t="s">
        <v>2380</v>
      </c>
      <c r="T2479" t="s">
        <v>2383</v>
      </c>
      <c r="U2479" s="8">
        <v>45951.531053240738</v>
      </c>
      <c r="V2479" s="8">
        <v>45954.958333333336</v>
      </c>
      <c r="W2479">
        <v>1</v>
      </c>
      <c r="X2479">
        <v>3.1682638889999999</v>
      </c>
      <c r="Y2479" t="s">
        <v>3748</v>
      </c>
      <c r="Z2479" t="s">
        <v>8655</v>
      </c>
      <c r="AA2479" t="s">
        <v>3824</v>
      </c>
      <c r="AB2479" t="s">
        <v>1278</v>
      </c>
      <c r="AC2479" t="s">
        <v>8656</v>
      </c>
      <c r="AD2479" t="s">
        <v>2708</v>
      </c>
      <c r="AE2479">
        <v>1</v>
      </c>
      <c r="AO2479" t="s">
        <v>2712</v>
      </c>
      <c r="AP2479" t="s">
        <v>2401</v>
      </c>
    </row>
    <row r="2480" spans="1:42">
      <c r="A2480" t="s">
        <v>8657</v>
      </c>
      <c r="B2480" t="s">
        <v>2389</v>
      </c>
      <c r="C2480" t="s">
        <v>2390</v>
      </c>
      <c r="D2480" t="s">
        <v>2379</v>
      </c>
      <c r="E2480" t="s">
        <v>24</v>
      </c>
      <c r="F2480" t="s">
        <v>3747</v>
      </c>
      <c r="G2480" t="s">
        <v>24</v>
      </c>
      <c r="H2480" t="b">
        <v>1</v>
      </c>
      <c r="I2480" s="8">
        <v>45953.612997685188</v>
      </c>
      <c r="J2480" t="s">
        <v>2380</v>
      </c>
      <c r="K2480">
        <v>1204257</v>
      </c>
      <c r="L2480">
        <v>602272</v>
      </c>
      <c r="M2480" t="s">
        <v>2381</v>
      </c>
      <c r="P2480" t="s">
        <v>2394</v>
      </c>
      <c r="Q2480" t="s">
        <v>2383</v>
      </c>
      <c r="R2480">
        <v>1</v>
      </c>
      <c r="S2480" t="s">
        <v>2380</v>
      </c>
      <c r="T2480" t="s">
        <v>2383</v>
      </c>
      <c r="U2480" s="8">
        <v>45951.532372685186</v>
      </c>
      <c r="V2480" s="8">
        <v>45954.958333333336</v>
      </c>
      <c r="W2480">
        <v>1</v>
      </c>
      <c r="X2480">
        <v>2.0806249999999999</v>
      </c>
      <c r="Y2480" t="s">
        <v>3748</v>
      </c>
      <c r="Z2480" t="s">
        <v>8658</v>
      </c>
      <c r="AA2480" t="s">
        <v>3824</v>
      </c>
      <c r="AB2480" t="s">
        <v>1278</v>
      </c>
      <c r="AD2480" t="s">
        <v>2708</v>
      </c>
      <c r="AE2480">
        <v>1</v>
      </c>
      <c r="AO2480" t="s">
        <v>2712</v>
      </c>
      <c r="AP2480" t="s">
        <v>2401</v>
      </c>
    </row>
    <row r="2481" spans="1:42">
      <c r="A2481" t="s">
        <v>4713</v>
      </c>
      <c r="B2481" t="s">
        <v>2389</v>
      </c>
      <c r="C2481" t="s">
        <v>2390</v>
      </c>
      <c r="D2481" t="s">
        <v>2379</v>
      </c>
      <c r="E2481" t="s">
        <v>25</v>
      </c>
      <c r="F2481" t="s">
        <v>3500</v>
      </c>
      <c r="G2481" t="s">
        <v>25</v>
      </c>
      <c r="H2481" t="b">
        <v>1</v>
      </c>
      <c r="I2481" s="8">
        <v>45954.485439814816</v>
      </c>
      <c r="J2481" t="s">
        <v>2380</v>
      </c>
      <c r="K2481">
        <v>1204430</v>
      </c>
      <c r="L2481">
        <v>609991</v>
      </c>
      <c r="M2481" t="s">
        <v>2381</v>
      </c>
      <c r="P2481" t="s">
        <v>2394</v>
      </c>
      <c r="Q2481" t="s">
        <v>2383</v>
      </c>
      <c r="R2481">
        <v>1</v>
      </c>
      <c r="S2481" t="s">
        <v>2380</v>
      </c>
      <c r="T2481" t="s">
        <v>2383</v>
      </c>
      <c r="U2481" s="8">
        <v>45951.532488425924</v>
      </c>
      <c r="V2481" s="8">
        <v>45954.958333333336</v>
      </c>
      <c r="W2481">
        <v>1</v>
      </c>
      <c r="X2481">
        <v>2.9529513889999999</v>
      </c>
      <c r="Y2481" t="s">
        <v>3501</v>
      </c>
      <c r="Z2481" t="s">
        <v>4714</v>
      </c>
      <c r="AA2481" t="s">
        <v>3504</v>
      </c>
      <c r="AB2481" t="s">
        <v>1278</v>
      </c>
      <c r="AC2481" t="s">
        <v>4715</v>
      </c>
      <c r="AD2481" t="s">
        <v>2708</v>
      </c>
      <c r="AE2481">
        <v>1</v>
      </c>
      <c r="AO2481" t="s">
        <v>2957</v>
      </c>
      <c r="AP2481" t="s">
        <v>2401</v>
      </c>
    </row>
    <row r="2482" spans="1:42">
      <c r="A2482" t="s">
        <v>4496</v>
      </c>
      <c r="B2482" t="s">
        <v>2389</v>
      </c>
      <c r="C2482" t="s">
        <v>2390</v>
      </c>
      <c r="D2482" t="s">
        <v>2379</v>
      </c>
      <c r="E2482" t="s">
        <v>2452</v>
      </c>
      <c r="F2482" t="s">
        <v>2637</v>
      </c>
      <c r="G2482" t="s">
        <v>2452</v>
      </c>
      <c r="H2482" t="b">
        <v>1</v>
      </c>
      <c r="I2482" s="8">
        <v>45954.453194444446</v>
      </c>
      <c r="J2482" t="s">
        <v>2380</v>
      </c>
      <c r="K2482">
        <v>1204414</v>
      </c>
      <c r="L2482">
        <v>603986</v>
      </c>
      <c r="M2482" t="s">
        <v>2381</v>
      </c>
      <c r="P2482" t="s">
        <v>2394</v>
      </c>
      <c r="Q2482" t="s">
        <v>2383</v>
      </c>
      <c r="R2482">
        <v>1</v>
      </c>
      <c r="S2482" t="s">
        <v>2380</v>
      </c>
      <c r="T2482" t="s">
        <v>2383</v>
      </c>
      <c r="U2482" s="8">
        <v>45951.534513888888</v>
      </c>
      <c r="V2482" s="8">
        <v>45954.958333333336</v>
      </c>
      <c r="W2482">
        <v>1</v>
      </c>
      <c r="X2482">
        <v>2.918680556</v>
      </c>
      <c r="Y2482" t="s">
        <v>2638</v>
      </c>
      <c r="Z2482" t="s">
        <v>4497</v>
      </c>
      <c r="AA2482" t="s">
        <v>2641</v>
      </c>
      <c r="AB2482" t="s">
        <v>1278</v>
      </c>
      <c r="AC2482" t="s">
        <v>4498</v>
      </c>
      <c r="AD2482" t="s">
        <v>2708</v>
      </c>
      <c r="AE2482">
        <v>1</v>
      </c>
      <c r="AO2482" t="s">
        <v>2388</v>
      </c>
      <c r="AP2482" t="s">
        <v>2401</v>
      </c>
    </row>
    <row r="2483" spans="1:42">
      <c r="A2483" t="s">
        <v>4499</v>
      </c>
      <c r="B2483" t="s">
        <v>2389</v>
      </c>
      <c r="C2483" t="s">
        <v>2390</v>
      </c>
      <c r="D2483" t="s">
        <v>2379</v>
      </c>
      <c r="E2483" t="s">
        <v>2452</v>
      </c>
      <c r="F2483" t="s">
        <v>2637</v>
      </c>
      <c r="G2483" t="s">
        <v>2452</v>
      </c>
      <c r="H2483" t="b">
        <v>1</v>
      </c>
      <c r="I2483" s="8">
        <v>45954.438831018517</v>
      </c>
      <c r="J2483" t="s">
        <v>2380</v>
      </c>
      <c r="K2483">
        <v>1204409</v>
      </c>
      <c r="L2483">
        <v>603986</v>
      </c>
      <c r="M2483" t="s">
        <v>2381</v>
      </c>
      <c r="P2483" t="s">
        <v>2394</v>
      </c>
      <c r="Q2483" t="s">
        <v>2383</v>
      </c>
      <c r="R2483">
        <v>1</v>
      </c>
      <c r="S2483" t="s">
        <v>2380</v>
      </c>
      <c r="T2483" t="s">
        <v>2383</v>
      </c>
      <c r="U2483" s="8">
        <v>45951.538738425923</v>
      </c>
      <c r="V2483" s="8">
        <v>45954.958333333336</v>
      </c>
      <c r="W2483">
        <v>1</v>
      </c>
      <c r="X2483">
        <v>2.9000925930000001</v>
      </c>
      <c r="Y2483" t="s">
        <v>2638</v>
      </c>
      <c r="Z2483" t="s">
        <v>4500</v>
      </c>
      <c r="AA2483" t="s">
        <v>2641</v>
      </c>
      <c r="AB2483" t="s">
        <v>1278</v>
      </c>
      <c r="AC2483" t="s">
        <v>4501</v>
      </c>
      <c r="AD2483" t="s">
        <v>2708</v>
      </c>
      <c r="AE2483">
        <v>1</v>
      </c>
      <c r="AO2483" t="s">
        <v>2388</v>
      </c>
      <c r="AP2483" t="s">
        <v>2401</v>
      </c>
    </row>
    <row r="2484" spans="1:42">
      <c r="A2484" t="s">
        <v>4750</v>
      </c>
      <c r="B2484" t="s">
        <v>2389</v>
      </c>
      <c r="C2484" t="s">
        <v>2378</v>
      </c>
      <c r="D2484" t="s">
        <v>2379</v>
      </c>
      <c r="E2484" t="s">
        <v>2452</v>
      </c>
      <c r="F2484" t="s">
        <v>4697</v>
      </c>
      <c r="G2484" t="s">
        <v>2452</v>
      </c>
      <c r="H2484" t="b">
        <v>1</v>
      </c>
      <c r="I2484" s="8">
        <v>45954.57472222222</v>
      </c>
      <c r="J2484" t="s">
        <v>2380</v>
      </c>
      <c r="K2484">
        <v>1204454</v>
      </c>
      <c r="L2484">
        <v>603752</v>
      </c>
      <c r="M2484" t="s">
        <v>2381</v>
      </c>
      <c r="P2484" t="s">
        <v>2394</v>
      </c>
      <c r="Q2484" t="s">
        <v>2383</v>
      </c>
      <c r="R2484">
        <v>1</v>
      </c>
      <c r="S2484" t="s">
        <v>2380</v>
      </c>
      <c r="T2484" t="s">
        <v>2383</v>
      </c>
      <c r="U2484" s="8">
        <v>45951.543622685182</v>
      </c>
      <c r="V2484" s="8">
        <v>45954.958333333336</v>
      </c>
      <c r="W2484">
        <v>1</v>
      </c>
      <c r="X2484">
        <v>3.0310995369999998</v>
      </c>
      <c r="Y2484" t="s">
        <v>4698</v>
      </c>
      <c r="Z2484" t="s">
        <v>4751</v>
      </c>
      <c r="AA2484" t="s">
        <v>4748</v>
      </c>
      <c r="AB2484" t="s">
        <v>1278</v>
      </c>
      <c r="AC2484" t="s">
        <v>4752</v>
      </c>
      <c r="AD2484" t="s">
        <v>2708</v>
      </c>
      <c r="AE2484">
        <v>1</v>
      </c>
      <c r="AO2484" t="s">
        <v>2957</v>
      </c>
      <c r="AP2484" t="s">
        <v>2401</v>
      </c>
    </row>
    <row r="2485" spans="1:42">
      <c r="A2485" t="s">
        <v>8718</v>
      </c>
      <c r="B2485" t="s">
        <v>2389</v>
      </c>
      <c r="C2485" t="s">
        <v>2443</v>
      </c>
      <c r="D2485" t="s">
        <v>2443</v>
      </c>
      <c r="E2485" t="s">
        <v>12</v>
      </c>
      <c r="F2485" t="s">
        <v>5085</v>
      </c>
      <c r="G2485" t="s">
        <v>12</v>
      </c>
      <c r="H2485" t="b">
        <v>1</v>
      </c>
      <c r="I2485" s="8">
        <v>45958.449120370373</v>
      </c>
      <c r="J2485" t="s">
        <v>2380</v>
      </c>
      <c r="K2485">
        <v>1204870</v>
      </c>
      <c r="L2485">
        <v>602945</v>
      </c>
      <c r="M2485" t="s">
        <v>2381</v>
      </c>
      <c r="Q2485" t="s">
        <v>2383</v>
      </c>
      <c r="R2485">
        <v>1</v>
      </c>
      <c r="S2485" t="s">
        <v>2380</v>
      </c>
      <c r="T2485" t="s">
        <v>5086</v>
      </c>
      <c r="U2485" s="8">
        <v>45951.547800925924</v>
      </c>
      <c r="V2485" s="8">
        <v>45954.958333333336</v>
      </c>
      <c r="W2485">
        <v>1</v>
      </c>
      <c r="X2485">
        <v>4.9013194440000003</v>
      </c>
      <c r="Y2485" t="s">
        <v>5087</v>
      </c>
      <c r="Z2485" t="s">
        <v>8719</v>
      </c>
      <c r="AA2485" t="s">
        <v>5090</v>
      </c>
      <c r="AB2485" t="s">
        <v>1278</v>
      </c>
      <c r="AC2485" t="s">
        <v>8720</v>
      </c>
      <c r="AD2485" t="s">
        <v>2708</v>
      </c>
      <c r="AE2485">
        <v>1</v>
      </c>
      <c r="AO2485" t="s">
        <v>2720</v>
      </c>
      <c r="AP2485" t="s">
        <v>2401</v>
      </c>
    </row>
    <row r="2486" spans="1:42">
      <c r="A2486" t="s">
        <v>4762</v>
      </c>
      <c r="B2486" t="s">
        <v>2389</v>
      </c>
      <c r="C2486" t="s">
        <v>2378</v>
      </c>
      <c r="D2486" t="s">
        <v>2379</v>
      </c>
      <c r="E2486" t="s">
        <v>2452</v>
      </c>
      <c r="F2486" t="s">
        <v>4685</v>
      </c>
      <c r="G2486" t="s">
        <v>2452</v>
      </c>
      <c r="H2486" t="b">
        <v>1</v>
      </c>
      <c r="I2486" s="8">
        <v>45954.585462962961</v>
      </c>
      <c r="J2486" t="s">
        <v>2380</v>
      </c>
      <c r="K2486">
        <v>1204468</v>
      </c>
      <c r="L2486">
        <v>606892</v>
      </c>
      <c r="M2486" t="s">
        <v>2381</v>
      </c>
      <c r="P2486" t="s">
        <v>2394</v>
      </c>
      <c r="Q2486" t="s">
        <v>2383</v>
      </c>
      <c r="R2486">
        <v>1</v>
      </c>
      <c r="S2486" t="s">
        <v>2380</v>
      </c>
      <c r="T2486" t="s">
        <v>2383</v>
      </c>
      <c r="U2486" s="8">
        <v>45951.554872685185</v>
      </c>
      <c r="V2486" s="8">
        <v>45954.958333333336</v>
      </c>
      <c r="W2486">
        <v>1</v>
      </c>
      <c r="X2486">
        <v>3.030590278</v>
      </c>
      <c r="Y2486" t="s">
        <v>4686</v>
      </c>
      <c r="Z2486" t="s">
        <v>4763</v>
      </c>
      <c r="AA2486" t="s">
        <v>4689</v>
      </c>
      <c r="AB2486" t="s">
        <v>1278</v>
      </c>
      <c r="AC2486" t="s">
        <v>4764</v>
      </c>
      <c r="AD2486" t="s">
        <v>2708</v>
      </c>
      <c r="AE2486">
        <v>1</v>
      </c>
      <c r="AO2486" t="s">
        <v>2957</v>
      </c>
      <c r="AP2486" t="s">
        <v>2401</v>
      </c>
    </row>
    <row r="2487" spans="1:42">
      <c r="A2487" t="s">
        <v>2991</v>
      </c>
      <c r="B2487" t="s">
        <v>2389</v>
      </c>
      <c r="C2487" t="s">
        <v>2691</v>
      </c>
      <c r="D2487" t="s">
        <v>2379</v>
      </c>
      <c r="E2487" t="s">
        <v>33</v>
      </c>
      <c r="F2487" t="s">
        <v>2431</v>
      </c>
      <c r="G2487" t="s">
        <v>33</v>
      </c>
      <c r="H2487" t="b">
        <v>1</v>
      </c>
      <c r="I2487" s="8">
        <v>45958.66128472222</v>
      </c>
      <c r="J2487" t="s">
        <v>2380</v>
      </c>
      <c r="K2487">
        <v>1205347</v>
      </c>
      <c r="L2487">
        <v>602731</v>
      </c>
      <c r="M2487" t="s">
        <v>2381</v>
      </c>
      <c r="Q2487" t="s">
        <v>2383</v>
      </c>
      <c r="R2487">
        <v>1</v>
      </c>
      <c r="S2487" t="s">
        <v>2380</v>
      </c>
      <c r="T2487" t="s">
        <v>2383</v>
      </c>
      <c r="U2487" s="8">
        <v>45951.560277777775</v>
      </c>
      <c r="V2487" s="8">
        <v>45961.958333333336</v>
      </c>
      <c r="W2487">
        <v>1</v>
      </c>
      <c r="X2487">
        <v>5.1010069439999999</v>
      </c>
      <c r="Y2487" t="s">
        <v>2433</v>
      </c>
      <c r="Z2487" t="s">
        <v>2992</v>
      </c>
      <c r="AA2487" t="s">
        <v>2993</v>
      </c>
      <c r="AB2487" t="s">
        <v>1278</v>
      </c>
      <c r="AC2487" t="s">
        <v>2994</v>
      </c>
      <c r="AD2487" t="s">
        <v>2708</v>
      </c>
      <c r="AE2487">
        <v>1</v>
      </c>
      <c r="AO2487" t="s">
        <v>2408</v>
      </c>
      <c r="AP2487" t="s">
        <v>2401</v>
      </c>
    </row>
    <row r="2488" spans="1:42">
      <c r="A2488" t="s">
        <v>4502</v>
      </c>
      <c r="B2488" t="s">
        <v>2389</v>
      </c>
      <c r="C2488" t="s">
        <v>2390</v>
      </c>
      <c r="D2488" t="s">
        <v>2379</v>
      </c>
      <c r="E2488" t="s">
        <v>2452</v>
      </c>
      <c r="F2488" t="s">
        <v>2637</v>
      </c>
      <c r="G2488" t="s">
        <v>2452</v>
      </c>
      <c r="H2488" t="b">
        <v>1</v>
      </c>
      <c r="I2488" s="8">
        <v>45954.469155092593</v>
      </c>
      <c r="J2488" t="s">
        <v>2380</v>
      </c>
      <c r="K2488">
        <v>1204425</v>
      </c>
      <c r="L2488">
        <v>603986</v>
      </c>
      <c r="M2488" t="s">
        <v>2381</v>
      </c>
      <c r="P2488" t="s">
        <v>2394</v>
      </c>
      <c r="Q2488" t="s">
        <v>2383</v>
      </c>
      <c r="R2488">
        <v>1</v>
      </c>
      <c r="S2488" t="s">
        <v>2380</v>
      </c>
      <c r="T2488" t="s">
        <v>2383</v>
      </c>
      <c r="U2488" s="8">
        <v>45951.575300925928</v>
      </c>
      <c r="V2488" s="8">
        <v>45954.958333333336</v>
      </c>
      <c r="W2488">
        <v>1</v>
      </c>
      <c r="X2488">
        <v>2.8938541670000002</v>
      </c>
      <c r="Y2488" t="s">
        <v>2638</v>
      </c>
      <c r="Z2488" t="s">
        <v>4503</v>
      </c>
      <c r="AA2488" t="s">
        <v>2641</v>
      </c>
      <c r="AB2488" t="s">
        <v>1278</v>
      </c>
      <c r="AC2488" t="s">
        <v>4504</v>
      </c>
      <c r="AD2488" t="s">
        <v>2708</v>
      </c>
      <c r="AE2488">
        <v>1</v>
      </c>
      <c r="AO2488" t="s">
        <v>2388</v>
      </c>
      <c r="AP2488" t="s">
        <v>2401</v>
      </c>
    </row>
    <row r="2489" spans="1:42">
      <c r="A2489" t="s">
        <v>4467</v>
      </c>
      <c r="B2489" t="s">
        <v>2389</v>
      </c>
      <c r="C2489" t="s">
        <v>2378</v>
      </c>
      <c r="D2489" t="s">
        <v>2379</v>
      </c>
      <c r="E2489" t="s">
        <v>2452</v>
      </c>
      <c r="F2489" t="s">
        <v>2578</v>
      </c>
      <c r="G2489" t="s">
        <v>2452</v>
      </c>
      <c r="H2489" t="b">
        <v>1</v>
      </c>
      <c r="I2489" s="8">
        <v>45954.650219907409</v>
      </c>
      <c r="J2489" t="s">
        <v>2380</v>
      </c>
      <c r="K2489">
        <v>1204585</v>
      </c>
      <c r="L2489">
        <v>603777</v>
      </c>
      <c r="M2489" t="s">
        <v>2381</v>
      </c>
      <c r="P2489" t="s">
        <v>2394</v>
      </c>
      <c r="Q2489" t="s">
        <v>2383</v>
      </c>
      <c r="R2489">
        <v>1</v>
      </c>
      <c r="S2489" t="s">
        <v>2380</v>
      </c>
      <c r="T2489" t="s">
        <v>2383</v>
      </c>
      <c r="U2489" s="8">
        <v>45951.585127314815</v>
      </c>
      <c r="V2489" s="8">
        <v>45954.958333333336</v>
      </c>
      <c r="W2489">
        <v>1</v>
      </c>
      <c r="X2489">
        <v>3.0650925930000001</v>
      </c>
      <c r="Y2489" t="s">
        <v>2579</v>
      </c>
      <c r="Z2489" t="s">
        <v>4468</v>
      </c>
      <c r="AA2489" t="s">
        <v>4469</v>
      </c>
      <c r="AB2489" t="s">
        <v>1278</v>
      </c>
      <c r="AC2489" t="s">
        <v>4470</v>
      </c>
      <c r="AD2489" t="s">
        <v>2708</v>
      </c>
      <c r="AE2489">
        <v>1</v>
      </c>
      <c r="AO2489" t="s">
        <v>2388</v>
      </c>
      <c r="AP2489" t="s">
        <v>2401</v>
      </c>
    </row>
    <row r="2490" spans="1:42">
      <c r="A2490" t="s">
        <v>1143</v>
      </c>
      <c r="B2490" t="s">
        <v>2377</v>
      </c>
      <c r="C2490" t="s">
        <v>2438</v>
      </c>
      <c r="D2490" t="s">
        <v>2379</v>
      </c>
      <c r="E2490" t="s">
        <v>25</v>
      </c>
      <c r="F2490" t="s">
        <v>2417</v>
      </c>
      <c r="G2490" t="s">
        <v>25</v>
      </c>
      <c r="H2490" t="b">
        <v>1</v>
      </c>
      <c r="I2490" s="8">
        <v>45952.370474537034</v>
      </c>
      <c r="J2490" t="s">
        <v>2380</v>
      </c>
      <c r="L2490">
        <v>608552</v>
      </c>
      <c r="M2490" t="s">
        <v>2381</v>
      </c>
      <c r="N2490">
        <v>5</v>
      </c>
      <c r="Q2490" t="s">
        <v>2383</v>
      </c>
      <c r="R2490">
        <v>1</v>
      </c>
      <c r="S2490" t="s">
        <v>2380</v>
      </c>
      <c r="T2490" t="s">
        <v>2383</v>
      </c>
      <c r="U2490" s="8">
        <v>45951.596932870372</v>
      </c>
      <c r="V2490" s="8">
        <v>45958.958333333336</v>
      </c>
      <c r="W2490">
        <v>1</v>
      </c>
      <c r="X2490">
        <v>0.77354166700000004</v>
      </c>
      <c r="Y2490" t="s">
        <v>2418</v>
      </c>
      <c r="Z2490" t="s">
        <v>3077</v>
      </c>
      <c r="AA2490" t="s">
        <v>2425</v>
      </c>
      <c r="AB2490" t="s">
        <v>1278</v>
      </c>
      <c r="AC2490" t="s">
        <v>3078</v>
      </c>
      <c r="AD2490" t="s">
        <v>2708</v>
      </c>
      <c r="AE2490">
        <v>1</v>
      </c>
      <c r="AO2490" t="s">
        <v>2408</v>
      </c>
      <c r="AP2490" t="s">
        <v>2401</v>
      </c>
    </row>
    <row r="2491" spans="1:42">
      <c r="A2491" t="s">
        <v>3014</v>
      </c>
      <c r="B2491" t="s">
        <v>2389</v>
      </c>
      <c r="C2491" t="s">
        <v>2438</v>
      </c>
      <c r="D2491" t="s">
        <v>2379</v>
      </c>
      <c r="E2491" t="s">
        <v>379</v>
      </c>
      <c r="F2491" t="s">
        <v>2417</v>
      </c>
      <c r="G2491" t="s">
        <v>379</v>
      </c>
      <c r="H2491" t="b">
        <v>1</v>
      </c>
      <c r="I2491" s="8">
        <v>45951.605081018519</v>
      </c>
      <c r="J2491" t="s">
        <v>2380</v>
      </c>
      <c r="K2491">
        <v>1203836</v>
      </c>
      <c r="L2491">
        <v>602944</v>
      </c>
      <c r="M2491" t="s">
        <v>2381</v>
      </c>
      <c r="Q2491" t="s">
        <v>2383</v>
      </c>
      <c r="R2491">
        <v>1</v>
      </c>
      <c r="S2491" t="s">
        <v>2380</v>
      </c>
      <c r="T2491" t="s">
        <v>2383</v>
      </c>
      <c r="U2491" s="8">
        <v>45951.596967592595</v>
      </c>
      <c r="V2491" s="8">
        <v>45954.958333333336</v>
      </c>
      <c r="W2491">
        <v>1</v>
      </c>
      <c r="X2491">
        <v>8.113426E-3</v>
      </c>
      <c r="Y2491" t="s">
        <v>2418</v>
      </c>
      <c r="Z2491" t="s">
        <v>3015</v>
      </c>
      <c r="AA2491" t="s">
        <v>2745</v>
      </c>
      <c r="AB2491" t="s">
        <v>1278</v>
      </c>
      <c r="AC2491" t="s">
        <v>3016</v>
      </c>
      <c r="AD2491" t="s">
        <v>2708</v>
      </c>
      <c r="AE2491">
        <v>1</v>
      </c>
      <c r="AO2491" t="s">
        <v>2408</v>
      </c>
      <c r="AP2491" t="s">
        <v>2401</v>
      </c>
    </row>
    <row r="2492" spans="1:42">
      <c r="A2492" t="s">
        <v>4464</v>
      </c>
      <c r="B2492" t="s">
        <v>2389</v>
      </c>
      <c r="C2492" t="s">
        <v>2390</v>
      </c>
      <c r="D2492" t="s">
        <v>2379</v>
      </c>
      <c r="E2492" t="s">
        <v>2452</v>
      </c>
      <c r="F2492">
        <v>6407</v>
      </c>
      <c r="G2492" t="s">
        <v>2452</v>
      </c>
      <c r="H2492" t="b">
        <v>1</v>
      </c>
      <c r="I2492" s="8">
        <v>45954.479895833334</v>
      </c>
      <c r="J2492" t="s">
        <v>2380</v>
      </c>
      <c r="K2492">
        <v>1204428</v>
      </c>
      <c r="L2492">
        <v>609666</v>
      </c>
      <c r="M2492" t="s">
        <v>2381</v>
      </c>
      <c r="P2492" t="s">
        <v>2394</v>
      </c>
      <c r="Q2492" t="s">
        <v>2383</v>
      </c>
      <c r="R2492">
        <v>1</v>
      </c>
      <c r="S2492" t="s">
        <v>2380</v>
      </c>
      <c r="T2492" t="s">
        <v>2383</v>
      </c>
      <c r="U2492" s="8">
        <v>45951.599872685183</v>
      </c>
      <c r="V2492" s="8">
        <v>45954.958333333336</v>
      </c>
      <c r="W2492">
        <v>1</v>
      </c>
      <c r="X2492">
        <v>2.8800231479999998</v>
      </c>
      <c r="Y2492" t="s">
        <v>4416</v>
      </c>
      <c r="Z2492" t="s">
        <v>4465</v>
      </c>
      <c r="AA2492" t="s">
        <v>4419</v>
      </c>
      <c r="AB2492" t="s">
        <v>1278</v>
      </c>
      <c r="AC2492" t="s">
        <v>4466</v>
      </c>
      <c r="AD2492" t="s">
        <v>2708</v>
      </c>
      <c r="AE2492">
        <v>1</v>
      </c>
      <c r="AO2492" t="s">
        <v>2388</v>
      </c>
      <c r="AP2492" t="s">
        <v>2401</v>
      </c>
    </row>
    <row r="2493" spans="1:42">
      <c r="A2493" t="s">
        <v>4421</v>
      </c>
      <c r="B2493" t="s">
        <v>2389</v>
      </c>
      <c r="C2493" t="s">
        <v>2443</v>
      </c>
      <c r="D2493" t="s">
        <v>2443</v>
      </c>
      <c r="E2493" t="s">
        <v>18</v>
      </c>
      <c r="F2493" t="s">
        <v>2637</v>
      </c>
      <c r="G2493" t="s">
        <v>2416</v>
      </c>
      <c r="H2493" t="b">
        <v>1</v>
      </c>
      <c r="I2493" s="8">
        <v>45951.612395833334</v>
      </c>
      <c r="J2493" t="s">
        <v>2380</v>
      </c>
      <c r="K2493">
        <v>1203838</v>
      </c>
      <c r="L2493">
        <v>603986</v>
      </c>
      <c r="M2493" t="s">
        <v>2381</v>
      </c>
      <c r="Q2493" t="s">
        <v>2383</v>
      </c>
      <c r="R2493">
        <v>1</v>
      </c>
      <c r="S2493" t="s">
        <v>2380</v>
      </c>
      <c r="T2493" t="s">
        <v>2383</v>
      </c>
      <c r="U2493" s="8">
        <v>45946</v>
      </c>
      <c r="V2493" s="8">
        <v>45950.958333333336</v>
      </c>
      <c r="W2493">
        <v>1</v>
      </c>
      <c r="X2493">
        <v>3.6123958329999999</v>
      </c>
      <c r="Y2493" t="s">
        <v>2638</v>
      </c>
      <c r="Z2493" t="s">
        <v>4422</v>
      </c>
      <c r="AA2493" t="s">
        <v>2641</v>
      </c>
      <c r="AB2493" t="s">
        <v>1278</v>
      </c>
      <c r="AC2493" t="s">
        <v>4423</v>
      </c>
      <c r="AD2493" t="s">
        <v>2708</v>
      </c>
      <c r="AE2493">
        <v>1</v>
      </c>
      <c r="AO2493" t="s">
        <v>2388</v>
      </c>
      <c r="AP2493" t="s">
        <v>2401</v>
      </c>
    </row>
    <row r="2494" spans="1:42">
      <c r="A2494" t="s">
        <v>2428</v>
      </c>
      <c r="B2494" t="s">
        <v>2377</v>
      </c>
      <c r="C2494" t="s">
        <v>2378</v>
      </c>
      <c r="D2494" t="s">
        <v>2379</v>
      </c>
      <c r="E2494" t="s">
        <v>2416</v>
      </c>
      <c r="F2494" t="s">
        <v>2417</v>
      </c>
      <c r="G2494" t="s">
        <v>2416</v>
      </c>
      <c r="H2494" t="b">
        <v>1</v>
      </c>
      <c r="I2494" s="8">
        <v>45954.622997685183</v>
      </c>
      <c r="J2494" t="s">
        <v>2380</v>
      </c>
      <c r="L2494">
        <v>602557</v>
      </c>
      <c r="M2494" t="s">
        <v>2381</v>
      </c>
      <c r="P2494" t="s">
        <v>2427</v>
      </c>
      <c r="Q2494" t="s">
        <v>2383</v>
      </c>
      <c r="R2494">
        <v>1</v>
      </c>
      <c r="S2494" t="s">
        <v>2380</v>
      </c>
      <c r="T2494" t="s">
        <v>2383</v>
      </c>
      <c r="U2494" s="8">
        <v>45951.604351851849</v>
      </c>
      <c r="V2494" s="8">
        <v>45954.958333333336</v>
      </c>
      <c r="W2494">
        <v>1</v>
      </c>
      <c r="X2494">
        <v>3.0186458329999999</v>
      </c>
      <c r="Y2494" t="s">
        <v>2418</v>
      </c>
      <c r="Z2494" t="s">
        <v>2429</v>
      </c>
      <c r="AA2494" t="s">
        <v>1954</v>
      </c>
      <c r="AB2494" t="s">
        <v>1278</v>
      </c>
      <c r="AC2494" t="s">
        <v>2430</v>
      </c>
      <c r="AE2494">
        <v>1</v>
      </c>
      <c r="AO2494" t="s">
        <v>2408</v>
      </c>
      <c r="AP2494" t="s">
        <v>2401</v>
      </c>
    </row>
    <row r="2495" spans="1:42">
      <c r="A2495" t="s">
        <v>4506</v>
      </c>
      <c r="B2495" t="s">
        <v>2389</v>
      </c>
      <c r="C2495" t="s">
        <v>2390</v>
      </c>
      <c r="D2495" t="s">
        <v>2379</v>
      </c>
      <c r="E2495" t="s">
        <v>2452</v>
      </c>
      <c r="F2495">
        <v>6424</v>
      </c>
      <c r="G2495" t="s">
        <v>2452</v>
      </c>
      <c r="H2495" t="b">
        <v>1</v>
      </c>
      <c r="I2495" s="8">
        <v>45954.348599537036</v>
      </c>
      <c r="J2495" t="s">
        <v>2380</v>
      </c>
      <c r="K2495">
        <v>1204350</v>
      </c>
      <c r="L2495">
        <v>603555</v>
      </c>
      <c r="M2495" t="s">
        <v>2381</v>
      </c>
      <c r="P2495" t="s">
        <v>2394</v>
      </c>
      <c r="Q2495" t="s">
        <v>2383</v>
      </c>
      <c r="R2495">
        <v>1</v>
      </c>
      <c r="S2495" t="s">
        <v>2380</v>
      </c>
      <c r="T2495" t="s">
        <v>2383</v>
      </c>
      <c r="U2495" s="8">
        <v>45951.608958333331</v>
      </c>
      <c r="V2495" s="8">
        <v>45954.958333333336</v>
      </c>
      <c r="W2495">
        <v>1</v>
      </c>
      <c r="X2495">
        <v>2.7396412040000002</v>
      </c>
      <c r="Y2495" t="s">
        <v>4505</v>
      </c>
      <c r="Z2495" t="s">
        <v>4507</v>
      </c>
      <c r="AA2495" t="s">
        <v>4508</v>
      </c>
      <c r="AB2495" t="s">
        <v>1278</v>
      </c>
      <c r="AC2495" t="s">
        <v>4509</v>
      </c>
      <c r="AD2495" t="s">
        <v>2708</v>
      </c>
      <c r="AE2495">
        <v>1</v>
      </c>
      <c r="AO2495" t="s">
        <v>2388</v>
      </c>
      <c r="AP2495" t="s">
        <v>2401</v>
      </c>
    </row>
    <row r="2496" spans="1:42">
      <c r="A2496" t="s">
        <v>8659</v>
      </c>
      <c r="B2496" t="s">
        <v>2389</v>
      </c>
      <c r="C2496" t="s">
        <v>2378</v>
      </c>
      <c r="D2496" t="s">
        <v>2379</v>
      </c>
      <c r="E2496" t="s">
        <v>24</v>
      </c>
      <c r="F2496" t="s">
        <v>3747</v>
      </c>
      <c r="G2496" t="s">
        <v>24</v>
      </c>
      <c r="H2496" t="b">
        <v>1</v>
      </c>
      <c r="I2496" s="8">
        <v>45954.695370370369</v>
      </c>
      <c r="J2496" t="s">
        <v>2380</v>
      </c>
      <c r="K2496">
        <v>1204599</v>
      </c>
      <c r="L2496">
        <v>602272</v>
      </c>
      <c r="M2496" t="s">
        <v>2381</v>
      </c>
      <c r="P2496" t="s">
        <v>2394</v>
      </c>
      <c r="Q2496" t="s">
        <v>2383</v>
      </c>
      <c r="R2496">
        <v>1</v>
      </c>
      <c r="S2496" t="s">
        <v>2380</v>
      </c>
      <c r="T2496" t="s">
        <v>2383</v>
      </c>
      <c r="U2496" s="8">
        <v>45951.616689814815</v>
      </c>
      <c r="V2496" s="8">
        <v>45954.958333333336</v>
      </c>
      <c r="W2496">
        <v>1</v>
      </c>
      <c r="X2496">
        <v>3.0786805560000001</v>
      </c>
      <c r="Y2496" t="s">
        <v>3748</v>
      </c>
      <c r="Z2496" t="s">
        <v>8660</v>
      </c>
      <c r="AA2496" t="s">
        <v>3824</v>
      </c>
      <c r="AB2496" t="s">
        <v>1278</v>
      </c>
      <c r="AC2496" t="s">
        <v>8661</v>
      </c>
      <c r="AD2496" t="s">
        <v>2708</v>
      </c>
      <c r="AE2496">
        <v>1</v>
      </c>
      <c r="AO2496" t="s">
        <v>2712</v>
      </c>
      <c r="AP2496" t="s">
        <v>2401</v>
      </c>
    </row>
    <row r="2497" spans="1:42">
      <c r="A2497" t="s">
        <v>3043</v>
      </c>
      <c r="B2497" t="s">
        <v>2389</v>
      </c>
      <c r="C2497" t="s">
        <v>2390</v>
      </c>
      <c r="D2497" t="s">
        <v>2379</v>
      </c>
      <c r="E2497" t="s">
        <v>2416</v>
      </c>
      <c r="F2497" t="s">
        <v>2417</v>
      </c>
      <c r="G2497" t="s">
        <v>2416</v>
      </c>
      <c r="H2497" t="b">
        <v>1</v>
      </c>
      <c r="I2497" s="8">
        <v>45953.708483796298</v>
      </c>
      <c r="J2497" t="s">
        <v>2380</v>
      </c>
      <c r="K2497">
        <v>1204346</v>
      </c>
      <c r="L2497">
        <v>608946</v>
      </c>
      <c r="M2497" t="s">
        <v>2381</v>
      </c>
      <c r="P2497" t="s">
        <v>2394</v>
      </c>
      <c r="Q2497" t="s">
        <v>2383</v>
      </c>
      <c r="R2497">
        <v>1</v>
      </c>
      <c r="S2497" t="s">
        <v>2380</v>
      </c>
      <c r="T2497" t="s">
        <v>2383</v>
      </c>
      <c r="U2497" s="8">
        <v>45951.616759259261</v>
      </c>
      <c r="V2497" s="8">
        <v>45954.958333333336</v>
      </c>
      <c r="W2497">
        <v>1</v>
      </c>
      <c r="X2497">
        <v>2.0917245370000002</v>
      </c>
      <c r="Y2497" t="s">
        <v>2418</v>
      </c>
      <c r="Z2497" t="s">
        <v>3044</v>
      </c>
      <c r="AA2497" t="s">
        <v>2484</v>
      </c>
      <c r="AB2497" t="s">
        <v>1278</v>
      </c>
      <c r="AC2497" t="s">
        <v>3045</v>
      </c>
      <c r="AD2497" t="s">
        <v>2708</v>
      </c>
      <c r="AE2497">
        <v>1</v>
      </c>
      <c r="AO2497" t="s">
        <v>2408</v>
      </c>
      <c r="AP2497" t="s">
        <v>2401</v>
      </c>
    </row>
    <row r="2498" spans="1:42">
      <c r="A2498" t="s">
        <v>4758</v>
      </c>
      <c r="B2498" t="s">
        <v>2389</v>
      </c>
      <c r="C2498" t="s">
        <v>2390</v>
      </c>
      <c r="D2498" t="s">
        <v>2379</v>
      </c>
      <c r="E2498" t="s">
        <v>2452</v>
      </c>
      <c r="F2498" t="s">
        <v>4756</v>
      </c>
      <c r="G2498" t="s">
        <v>2452</v>
      </c>
      <c r="H2498" t="b">
        <v>1</v>
      </c>
      <c r="I2498" s="8">
        <v>45954.356273148151</v>
      </c>
      <c r="J2498" t="s">
        <v>2380</v>
      </c>
      <c r="K2498">
        <v>1204351</v>
      </c>
      <c r="L2498">
        <v>608491</v>
      </c>
      <c r="M2498" t="s">
        <v>2381</v>
      </c>
      <c r="P2498" t="s">
        <v>2394</v>
      </c>
      <c r="Q2498" t="s">
        <v>2383</v>
      </c>
      <c r="R2498">
        <v>1</v>
      </c>
      <c r="S2498" t="s">
        <v>2380</v>
      </c>
      <c r="T2498" t="s">
        <v>2383</v>
      </c>
      <c r="U2498" s="8">
        <v>45951.617430555554</v>
      </c>
      <c r="V2498" s="8">
        <v>45954.958333333336</v>
      </c>
      <c r="W2498">
        <v>1</v>
      </c>
      <c r="X2498">
        <v>2.7388425930000002</v>
      </c>
      <c r="Y2498" t="s">
        <v>4757</v>
      </c>
      <c r="Z2498" t="s">
        <v>4759</v>
      </c>
      <c r="AA2498" t="s">
        <v>4760</v>
      </c>
      <c r="AB2498" t="s">
        <v>1278</v>
      </c>
      <c r="AC2498" t="s">
        <v>4761</v>
      </c>
      <c r="AD2498" t="s">
        <v>2708</v>
      </c>
      <c r="AE2498">
        <v>1</v>
      </c>
      <c r="AO2498" t="s">
        <v>2957</v>
      </c>
      <c r="AP2498" t="s">
        <v>2401</v>
      </c>
    </row>
    <row r="2499" spans="1:42">
      <c r="A2499" t="s">
        <v>8662</v>
      </c>
      <c r="B2499" t="s">
        <v>2389</v>
      </c>
      <c r="C2499" t="s">
        <v>2415</v>
      </c>
      <c r="D2499" t="s">
        <v>2379</v>
      </c>
      <c r="E2499" t="s">
        <v>24</v>
      </c>
      <c r="F2499" t="s">
        <v>3747</v>
      </c>
      <c r="G2499" t="s">
        <v>24</v>
      </c>
      <c r="H2499" t="b">
        <v>1</v>
      </c>
      <c r="I2499" s="8">
        <v>45953.601446759261</v>
      </c>
      <c r="J2499" t="s">
        <v>2380</v>
      </c>
      <c r="K2499">
        <v>1204255</v>
      </c>
      <c r="L2499">
        <v>602272</v>
      </c>
      <c r="M2499" t="s">
        <v>2381</v>
      </c>
      <c r="P2499" t="s">
        <v>2394</v>
      </c>
      <c r="Q2499" t="s">
        <v>2383</v>
      </c>
      <c r="R2499">
        <v>1</v>
      </c>
      <c r="S2499" t="s">
        <v>2380</v>
      </c>
      <c r="T2499" t="s">
        <v>2383</v>
      </c>
      <c r="U2499" s="8">
        <v>45951.618125000001</v>
      </c>
      <c r="V2499" s="8">
        <v>45954.958333333336</v>
      </c>
      <c r="W2499">
        <v>1</v>
      </c>
      <c r="X2499">
        <v>1.9833217590000001</v>
      </c>
      <c r="Y2499" t="s">
        <v>3748</v>
      </c>
      <c r="Z2499" t="s">
        <v>8663</v>
      </c>
      <c r="AA2499" t="s">
        <v>3824</v>
      </c>
      <c r="AB2499" t="s">
        <v>1278</v>
      </c>
      <c r="AD2499" t="s">
        <v>2708</v>
      </c>
      <c r="AE2499">
        <v>1</v>
      </c>
      <c r="AO2499" t="s">
        <v>2712</v>
      </c>
      <c r="AP2499" t="s">
        <v>2401</v>
      </c>
    </row>
    <row r="2500" spans="1:42">
      <c r="A2500" t="s">
        <v>2469</v>
      </c>
      <c r="B2500" t="s">
        <v>2389</v>
      </c>
      <c r="C2500" t="s">
        <v>2390</v>
      </c>
      <c r="D2500" t="s">
        <v>2379</v>
      </c>
      <c r="E2500" t="s">
        <v>2452</v>
      </c>
      <c r="F2500" t="s">
        <v>2409</v>
      </c>
      <c r="G2500" t="s">
        <v>2452</v>
      </c>
      <c r="H2500" t="b">
        <v>1</v>
      </c>
      <c r="I2500" s="8">
        <v>45954.53019675926</v>
      </c>
      <c r="J2500" t="s">
        <v>2380</v>
      </c>
      <c r="L2500">
        <v>608068</v>
      </c>
      <c r="M2500" t="s">
        <v>2381</v>
      </c>
      <c r="P2500" t="s">
        <v>2394</v>
      </c>
      <c r="Q2500" t="s">
        <v>2383</v>
      </c>
      <c r="R2500">
        <v>1</v>
      </c>
      <c r="S2500" t="s">
        <v>2380</v>
      </c>
      <c r="T2500" t="s">
        <v>2383</v>
      </c>
      <c r="U2500" s="8">
        <v>45951.634918981479</v>
      </c>
      <c r="V2500" s="8">
        <v>45954.958333333336</v>
      </c>
      <c r="W2500">
        <v>1</v>
      </c>
      <c r="X2500">
        <v>2.8952777780000001</v>
      </c>
      <c r="Y2500" t="s">
        <v>2410</v>
      </c>
      <c r="Z2500" t="s">
        <v>2470</v>
      </c>
      <c r="AA2500" t="s">
        <v>2471</v>
      </c>
      <c r="AB2500" t="s">
        <v>1278</v>
      </c>
      <c r="AC2500" t="s">
        <v>2472</v>
      </c>
      <c r="AE2500">
        <v>1</v>
      </c>
      <c r="AO2500" t="s">
        <v>2408</v>
      </c>
      <c r="AP2500" t="s">
        <v>2401</v>
      </c>
    </row>
    <row r="2501" spans="1:42">
      <c r="A2501" t="s">
        <v>8605</v>
      </c>
      <c r="B2501" t="s">
        <v>2389</v>
      </c>
      <c r="C2501" t="s">
        <v>2438</v>
      </c>
      <c r="D2501" t="s">
        <v>2379</v>
      </c>
      <c r="E2501" t="s">
        <v>2439</v>
      </c>
      <c r="F2501" t="s">
        <v>2578</v>
      </c>
      <c r="G2501" t="s">
        <v>2439</v>
      </c>
      <c r="H2501" t="b">
        <v>1</v>
      </c>
      <c r="I2501" s="8">
        <v>45951.661921296298</v>
      </c>
      <c r="J2501" t="s">
        <v>2380</v>
      </c>
      <c r="K2501">
        <v>1203874</v>
      </c>
      <c r="L2501">
        <v>603766</v>
      </c>
      <c r="M2501" t="s">
        <v>2381</v>
      </c>
      <c r="Q2501" t="s">
        <v>2383</v>
      </c>
      <c r="R2501">
        <v>1</v>
      </c>
      <c r="S2501" t="s">
        <v>2380</v>
      </c>
      <c r="T2501" t="s">
        <v>2383</v>
      </c>
      <c r="U2501" s="8">
        <v>45951.644236111111</v>
      </c>
      <c r="V2501" s="8">
        <v>45954.958333333336</v>
      </c>
      <c r="W2501">
        <v>1</v>
      </c>
      <c r="X2501">
        <v>1.7685184999999999E-2</v>
      </c>
      <c r="Y2501" t="s">
        <v>2579</v>
      </c>
      <c r="Z2501" t="s">
        <v>8606</v>
      </c>
      <c r="AA2501" t="s">
        <v>1308</v>
      </c>
      <c r="AB2501" t="s">
        <v>1278</v>
      </c>
      <c r="AC2501" t="s">
        <v>8607</v>
      </c>
      <c r="AD2501" t="s">
        <v>2708</v>
      </c>
      <c r="AE2501">
        <v>1</v>
      </c>
      <c r="AO2501" t="s">
        <v>3644</v>
      </c>
      <c r="AP2501" t="s">
        <v>2401</v>
      </c>
    </row>
    <row r="2502" spans="1:42">
      <c r="A2502" t="s">
        <v>8608</v>
      </c>
      <c r="B2502" t="s">
        <v>2389</v>
      </c>
      <c r="C2502" t="s">
        <v>2438</v>
      </c>
      <c r="D2502" t="s">
        <v>2379</v>
      </c>
      <c r="E2502" t="s">
        <v>2439</v>
      </c>
      <c r="F2502" t="s">
        <v>2578</v>
      </c>
      <c r="G2502" t="s">
        <v>2439</v>
      </c>
      <c r="H2502" t="b">
        <v>1</v>
      </c>
      <c r="I2502" s="8">
        <v>45951.665555555555</v>
      </c>
      <c r="J2502" t="s">
        <v>2380</v>
      </c>
      <c r="K2502">
        <v>1203878</v>
      </c>
      <c r="L2502">
        <v>603766</v>
      </c>
      <c r="M2502" t="s">
        <v>2381</v>
      </c>
      <c r="Q2502" t="s">
        <v>2383</v>
      </c>
      <c r="R2502">
        <v>1</v>
      </c>
      <c r="S2502" t="s">
        <v>2380</v>
      </c>
      <c r="T2502" t="s">
        <v>2383</v>
      </c>
      <c r="U2502" s="8">
        <v>45951.644699074073</v>
      </c>
      <c r="V2502" s="8">
        <v>45954.958333333336</v>
      </c>
      <c r="W2502">
        <v>1</v>
      </c>
      <c r="X2502">
        <v>2.0856481E-2</v>
      </c>
      <c r="Y2502" t="s">
        <v>2579</v>
      </c>
      <c r="Z2502" t="s">
        <v>8609</v>
      </c>
      <c r="AA2502" t="s">
        <v>1308</v>
      </c>
      <c r="AB2502" t="s">
        <v>1278</v>
      </c>
      <c r="AC2502" t="s">
        <v>8610</v>
      </c>
      <c r="AD2502" t="s">
        <v>2708</v>
      </c>
      <c r="AE2502">
        <v>1</v>
      </c>
      <c r="AO2502" t="s">
        <v>3644</v>
      </c>
      <c r="AP2502" t="s">
        <v>2401</v>
      </c>
    </row>
    <row r="2503" spans="1:42">
      <c r="A2503" t="s">
        <v>3502</v>
      </c>
      <c r="B2503" t="s">
        <v>2389</v>
      </c>
      <c r="C2503" t="s">
        <v>2390</v>
      </c>
      <c r="D2503" t="s">
        <v>2379</v>
      </c>
      <c r="E2503" t="s">
        <v>25</v>
      </c>
      <c r="F2503" t="s">
        <v>3500</v>
      </c>
      <c r="G2503" t="s">
        <v>25</v>
      </c>
      <c r="H2503" t="b">
        <v>1</v>
      </c>
      <c r="I2503" s="8">
        <v>45954.476168981484</v>
      </c>
      <c r="J2503" t="s">
        <v>2380</v>
      </c>
      <c r="L2503">
        <v>609991</v>
      </c>
      <c r="M2503" t="s">
        <v>2381</v>
      </c>
      <c r="P2503" t="s">
        <v>2394</v>
      </c>
      <c r="Q2503" t="s">
        <v>2383</v>
      </c>
      <c r="R2503">
        <v>1</v>
      </c>
      <c r="S2503" t="s">
        <v>2380</v>
      </c>
      <c r="T2503" t="s">
        <v>2383</v>
      </c>
      <c r="U2503" s="8">
        <v>45951.647638888891</v>
      </c>
      <c r="V2503" s="8">
        <v>45954.958333333336</v>
      </c>
      <c r="W2503">
        <v>1</v>
      </c>
      <c r="X2503">
        <v>2.8285300929999999</v>
      </c>
      <c r="Y2503" t="s">
        <v>3501</v>
      </c>
      <c r="Z2503" t="s">
        <v>3503</v>
      </c>
      <c r="AA2503" t="s">
        <v>3504</v>
      </c>
      <c r="AB2503" t="s">
        <v>1278</v>
      </c>
      <c r="AC2503" t="s">
        <v>3505</v>
      </c>
      <c r="AE2503">
        <v>1</v>
      </c>
      <c r="AO2503" t="s">
        <v>2957</v>
      </c>
      <c r="AP2503" t="s">
        <v>2401</v>
      </c>
    </row>
    <row r="2504" spans="1:42">
      <c r="A2504" t="s">
        <v>2651</v>
      </c>
      <c r="B2504" t="s">
        <v>2389</v>
      </c>
      <c r="C2504" t="s">
        <v>2390</v>
      </c>
      <c r="D2504" t="s">
        <v>2379</v>
      </c>
      <c r="E2504" t="s">
        <v>2452</v>
      </c>
      <c r="F2504" t="s">
        <v>2578</v>
      </c>
      <c r="G2504" t="s">
        <v>2452</v>
      </c>
      <c r="H2504" t="b">
        <v>1</v>
      </c>
      <c r="I2504" s="8">
        <v>45954.38821759259</v>
      </c>
      <c r="J2504" t="s">
        <v>2380</v>
      </c>
      <c r="L2504">
        <v>602831</v>
      </c>
      <c r="M2504" t="s">
        <v>2381</v>
      </c>
      <c r="P2504" t="s">
        <v>2394</v>
      </c>
      <c r="Q2504" t="s">
        <v>2383</v>
      </c>
      <c r="R2504">
        <v>1</v>
      </c>
      <c r="S2504" t="s">
        <v>2380</v>
      </c>
      <c r="T2504" t="s">
        <v>2383</v>
      </c>
      <c r="U2504" s="8">
        <v>45951.648344907408</v>
      </c>
      <c r="V2504" s="8">
        <v>45960.958333333336</v>
      </c>
      <c r="W2504">
        <v>1</v>
      </c>
      <c r="X2504">
        <v>2.7398726849999999</v>
      </c>
      <c r="Y2504" t="s">
        <v>2579</v>
      </c>
      <c r="Z2504" t="s">
        <v>2652</v>
      </c>
      <c r="AA2504" t="s">
        <v>2653</v>
      </c>
      <c r="AB2504" t="s">
        <v>1278</v>
      </c>
      <c r="AC2504" t="s">
        <v>2654</v>
      </c>
      <c r="AE2504">
        <v>1</v>
      </c>
      <c r="AO2504" t="s">
        <v>2388</v>
      </c>
      <c r="AP2504" t="s">
        <v>2401</v>
      </c>
    </row>
    <row r="2505" spans="1:42">
      <c r="A2505" t="s">
        <v>8602</v>
      </c>
      <c r="B2505" t="s">
        <v>2389</v>
      </c>
      <c r="C2505" t="s">
        <v>2390</v>
      </c>
      <c r="D2505" t="s">
        <v>2379</v>
      </c>
      <c r="E2505" t="s">
        <v>25</v>
      </c>
      <c r="F2505" t="s">
        <v>8565</v>
      </c>
      <c r="G2505" t="s">
        <v>25</v>
      </c>
      <c r="H2505" t="b">
        <v>1</v>
      </c>
      <c r="I2505" s="8">
        <v>45954.465578703705</v>
      </c>
      <c r="J2505" t="s">
        <v>2380</v>
      </c>
      <c r="K2505">
        <v>1204424</v>
      </c>
      <c r="L2505">
        <v>603331</v>
      </c>
      <c r="M2505" t="s">
        <v>2381</v>
      </c>
      <c r="N2505">
        <v>5</v>
      </c>
      <c r="P2505" t="s">
        <v>2394</v>
      </c>
      <c r="Q2505" t="s">
        <v>2383</v>
      </c>
      <c r="R2505">
        <v>1</v>
      </c>
      <c r="S2505" t="s">
        <v>2380</v>
      </c>
      <c r="T2505" t="s">
        <v>2383</v>
      </c>
      <c r="U2505" s="8">
        <v>45951.671597222223</v>
      </c>
      <c r="V2505" s="8">
        <v>45954.958333333336</v>
      </c>
      <c r="W2505">
        <v>1</v>
      </c>
      <c r="X2505">
        <v>2.7939814809999999</v>
      </c>
      <c r="Y2505" t="s">
        <v>8566</v>
      </c>
      <c r="Z2505" t="s">
        <v>8603</v>
      </c>
      <c r="AA2505" t="s">
        <v>8569</v>
      </c>
      <c r="AB2505" t="s">
        <v>1278</v>
      </c>
      <c r="AC2505" t="s">
        <v>8604</v>
      </c>
      <c r="AD2505" t="s">
        <v>2708</v>
      </c>
      <c r="AE2505">
        <v>1</v>
      </c>
      <c r="AO2505" t="s">
        <v>3608</v>
      </c>
      <c r="AP2505" t="s">
        <v>2401</v>
      </c>
    </row>
    <row r="2506" spans="1:42">
      <c r="A2506" t="s">
        <v>8458</v>
      </c>
      <c r="B2506" t="s">
        <v>2389</v>
      </c>
      <c r="C2506" t="s">
        <v>2443</v>
      </c>
      <c r="D2506" t="s">
        <v>2443</v>
      </c>
      <c r="E2506" t="s">
        <v>25</v>
      </c>
      <c r="F2506" t="s">
        <v>8456</v>
      </c>
      <c r="G2506" t="s">
        <v>25</v>
      </c>
      <c r="H2506" t="b">
        <v>1</v>
      </c>
      <c r="I2506" s="8">
        <v>45959.491006944445</v>
      </c>
      <c r="J2506" t="s">
        <v>2380</v>
      </c>
      <c r="K2506">
        <v>1205457</v>
      </c>
      <c r="L2506">
        <v>604501</v>
      </c>
      <c r="M2506" t="s">
        <v>2381</v>
      </c>
      <c r="N2506">
        <v>5</v>
      </c>
      <c r="P2506" t="s">
        <v>2394</v>
      </c>
      <c r="Q2506" t="s">
        <v>2395</v>
      </c>
      <c r="R2506">
        <v>1</v>
      </c>
      <c r="S2506" t="s">
        <v>2380</v>
      </c>
      <c r="T2506" t="s">
        <v>2383</v>
      </c>
      <c r="U2506" s="8">
        <v>45951.672361111108</v>
      </c>
      <c r="V2506" s="8">
        <v>45954.958333333336</v>
      </c>
      <c r="W2506">
        <v>1</v>
      </c>
      <c r="X2506">
        <v>5.8186458329999997</v>
      </c>
      <c r="Y2506" t="s">
        <v>8457</v>
      </c>
      <c r="Z2506" t="s">
        <v>8459</v>
      </c>
      <c r="AA2506" t="s">
        <v>8460</v>
      </c>
      <c r="AB2506" t="s">
        <v>1278</v>
      </c>
      <c r="AC2506" t="s">
        <v>8461</v>
      </c>
      <c r="AD2506" t="s">
        <v>2708</v>
      </c>
      <c r="AE2506">
        <v>1</v>
      </c>
      <c r="AO2506" t="s">
        <v>4137</v>
      </c>
      <c r="AP2506" t="s">
        <v>2401</v>
      </c>
    </row>
    <row r="2507" spans="1:42">
      <c r="A2507" t="s">
        <v>8520</v>
      </c>
      <c r="B2507" t="s">
        <v>2389</v>
      </c>
      <c r="C2507" t="s">
        <v>2390</v>
      </c>
      <c r="D2507" t="s">
        <v>2379</v>
      </c>
      <c r="E2507" t="s">
        <v>25</v>
      </c>
      <c r="F2507" t="s">
        <v>4112</v>
      </c>
      <c r="G2507" t="s">
        <v>25</v>
      </c>
      <c r="H2507" t="b">
        <v>1</v>
      </c>
      <c r="I2507" s="8">
        <v>45954.440254629626</v>
      </c>
      <c r="J2507" t="s">
        <v>2380</v>
      </c>
      <c r="K2507">
        <v>1204410</v>
      </c>
      <c r="L2507">
        <v>604261</v>
      </c>
      <c r="M2507" t="s">
        <v>2381</v>
      </c>
      <c r="N2507">
        <v>5</v>
      </c>
      <c r="P2507" t="s">
        <v>2394</v>
      </c>
      <c r="Q2507" t="s">
        <v>2395</v>
      </c>
      <c r="R2507">
        <v>1</v>
      </c>
      <c r="S2507" t="s">
        <v>2380</v>
      </c>
      <c r="T2507" t="s">
        <v>2383</v>
      </c>
      <c r="U2507" s="8">
        <v>45951.680868055555</v>
      </c>
      <c r="V2507" s="8">
        <v>45954.958333333336</v>
      </c>
      <c r="W2507">
        <v>1</v>
      </c>
      <c r="X2507">
        <v>2.7593865740000001</v>
      </c>
      <c r="Y2507" t="s">
        <v>3901</v>
      </c>
      <c r="Z2507" t="s">
        <v>8521</v>
      </c>
      <c r="AA2507" t="s">
        <v>8522</v>
      </c>
      <c r="AB2507" t="s">
        <v>1278</v>
      </c>
      <c r="AC2507" t="s">
        <v>8523</v>
      </c>
      <c r="AD2507" t="s">
        <v>2708</v>
      </c>
      <c r="AE2507">
        <v>1</v>
      </c>
      <c r="AO2507" t="s">
        <v>4137</v>
      </c>
      <c r="AP2507" t="s">
        <v>2401</v>
      </c>
    </row>
    <row r="2508" spans="1:42">
      <c r="A2508" t="s">
        <v>481</v>
      </c>
      <c r="B2508" t="s">
        <v>2377</v>
      </c>
      <c r="C2508" t="s">
        <v>2443</v>
      </c>
      <c r="D2508" t="s">
        <v>2443</v>
      </c>
      <c r="E2508" t="s">
        <v>18</v>
      </c>
      <c r="F2508" t="s">
        <v>2627</v>
      </c>
      <c r="G2508" t="s">
        <v>2416</v>
      </c>
      <c r="H2508" t="b">
        <v>1</v>
      </c>
      <c r="I2508" s="8">
        <v>45951.686307870368</v>
      </c>
      <c r="J2508" t="s">
        <v>2380</v>
      </c>
      <c r="L2508">
        <v>609751</v>
      </c>
      <c r="M2508" t="s">
        <v>2381</v>
      </c>
      <c r="Q2508" t="s">
        <v>2383</v>
      </c>
      <c r="R2508">
        <v>1</v>
      </c>
      <c r="S2508" t="s">
        <v>2380</v>
      </c>
      <c r="T2508" t="s">
        <v>2383</v>
      </c>
      <c r="U2508" s="8">
        <v>45946</v>
      </c>
      <c r="V2508" s="8">
        <v>45950.958333333336</v>
      </c>
      <c r="W2508">
        <v>1</v>
      </c>
      <c r="X2508">
        <v>3.6863078699999998</v>
      </c>
      <c r="Y2508" t="s">
        <v>2628</v>
      </c>
      <c r="Z2508" t="s">
        <v>4615</v>
      </c>
      <c r="AA2508" t="s">
        <v>1369</v>
      </c>
      <c r="AB2508" t="s">
        <v>1278</v>
      </c>
      <c r="AC2508" t="s">
        <v>4616</v>
      </c>
      <c r="AD2508" t="s">
        <v>2708</v>
      </c>
      <c r="AE2508">
        <v>1</v>
      </c>
      <c r="AO2508" t="s">
        <v>2957</v>
      </c>
      <c r="AP2508" t="s">
        <v>2401</v>
      </c>
    </row>
    <row r="2509" spans="1:42">
      <c r="A2509" t="s">
        <v>8524</v>
      </c>
      <c r="B2509" t="s">
        <v>2389</v>
      </c>
      <c r="C2509" t="s">
        <v>2390</v>
      </c>
      <c r="D2509" t="s">
        <v>2379</v>
      </c>
      <c r="E2509" t="s">
        <v>25</v>
      </c>
      <c r="F2509" t="s">
        <v>4112</v>
      </c>
      <c r="G2509" t="s">
        <v>25</v>
      </c>
      <c r="H2509" t="b">
        <v>1</v>
      </c>
      <c r="I2509" s="8">
        <v>45954.435798611114</v>
      </c>
      <c r="J2509" t="s">
        <v>2380</v>
      </c>
      <c r="K2509">
        <v>1204407</v>
      </c>
      <c r="L2509">
        <v>604261</v>
      </c>
      <c r="M2509" t="s">
        <v>2381</v>
      </c>
      <c r="N2509">
        <v>5</v>
      </c>
      <c r="P2509" t="s">
        <v>2394</v>
      </c>
      <c r="Q2509" t="s">
        <v>2395</v>
      </c>
      <c r="R2509">
        <v>1</v>
      </c>
      <c r="S2509" t="s">
        <v>2380</v>
      </c>
      <c r="T2509" t="s">
        <v>2383</v>
      </c>
      <c r="U2509" s="8">
        <v>45951.688564814816</v>
      </c>
      <c r="V2509" s="8">
        <v>45954.958333333336</v>
      </c>
      <c r="W2509">
        <v>1</v>
      </c>
      <c r="X2509">
        <v>2.7472337960000002</v>
      </c>
      <c r="Y2509" t="s">
        <v>3901</v>
      </c>
      <c r="Z2509" t="s">
        <v>8525</v>
      </c>
      <c r="AA2509" t="s">
        <v>8522</v>
      </c>
      <c r="AB2509" t="s">
        <v>1278</v>
      </c>
      <c r="AC2509" t="s">
        <v>8526</v>
      </c>
      <c r="AD2509" t="s">
        <v>2708</v>
      </c>
      <c r="AE2509">
        <v>1</v>
      </c>
      <c r="AO2509" t="s">
        <v>4137</v>
      </c>
      <c r="AP2509" t="s">
        <v>2401</v>
      </c>
    </row>
    <row r="2510" spans="1:42">
      <c r="A2510" t="s">
        <v>9903</v>
      </c>
      <c r="B2510" t="s">
        <v>2389</v>
      </c>
      <c r="C2510" t="s">
        <v>2390</v>
      </c>
      <c r="D2510" t="s">
        <v>2379</v>
      </c>
      <c r="E2510" t="s">
        <v>2452</v>
      </c>
      <c r="F2510" t="s">
        <v>2627</v>
      </c>
      <c r="G2510" t="s">
        <v>2452</v>
      </c>
      <c r="H2510" t="b">
        <v>1</v>
      </c>
      <c r="I2510" s="8">
        <v>45954.39266203704</v>
      </c>
      <c r="J2510" t="s">
        <v>2380</v>
      </c>
      <c r="L2510">
        <v>602686</v>
      </c>
      <c r="M2510" t="s">
        <v>2381</v>
      </c>
      <c r="P2510" t="s">
        <v>2394</v>
      </c>
      <c r="Q2510" t="s">
        <v>2383</v>
      </c>
      <c r="R2510">
        <v>1</v>
      </c>
      <c r="S2510" t="s">
        <v>2380</v>
      </c>
      <c r="T2510" t="s">
        <v>2383</v>
      </c>
      <c r="U2510" s="8">
        <v>45951.700462962966</v>
      </c>
      <c r="V2510" s="8">
        <v>45954.958333333336</v>
      </c>
      <c r="W2510">
        <v>1</v>
      </c>
      <c r="X2510">
        <v>2.6921990739999999</v>
      </c>
      <c r="Y2510" t="s">
        <v>2628</v>
      </c>
      <c r="Z2510" t="s">
        <v>9904</v>
      </c>
      <c r="AA2510" t="s">
        <v>3585</v>
      </c>
      <c r="AB2510" t="s">
        <v>1278</v>
      </c>
      <c r="AC2510" t="s">
        <v>9905</v>
      </c>
      <c r="AE2510">
        <v>1</v>
      </c>
      <c r="AO2510" t="s">
        <v>3586</v>
      </c>
      <c r="AP2510" t="s">
        <v>2401</v>
      </c>
    </row>
    <row r="2511" spans="1:42">
      <c r="A2511" t="s">
        <v>9906</v>
      </c>
      <c r="B2511" t="s">
        <v>2389</v>
      </c>
      <c r="C2511" t="s">
        <v>2390</v>
      </c>
      <c r="D2511" t="s">
        <v>2379</v>
      </c>
      <c r="E2511" t="s">
        <v>2452</v>
      </c>
      <c r="F2511" t="s">
        <v>2627</v>
      </c>
      <c r="G2511" t="s">
        <v>2452</v>
      </c>
      <c r="H2511" t="b">
        <v>1</v>
      </c>
      <c r="I2511" s="8">
        <v>45954.401087962964</v>
      </c>
      <c r="J2511" t="s">
        <v>2380</v>
      </c>
      <c r="L2511">
        <v>602686</v>
      </c>
      <c r="M2511" t="s">
        <v>2381</v>
      </c>
      <c r="P2511" t="s">
        <v>2394</v>
      </c>
      <c r="Q2511" t="s">
        <v>2383</v>
      </c>
      <c r="R2511">
        <v>1</v>
      </c>
      <c r="S2511" t="s">
        <v>2380</v>
      </c>
      <c r="T2511" t="s">
        <v>2383</v>
      </c>
      <c r="U2511" s="8">
        <v>45951.702615740738</v>
      </c>
      <c r="V2511" s="8">
        <v>45954.958333333336</v>
      </c>
      <c r="W2511">
        <v>1</v>
      </c>
      <c r="X2511">
        <v>2.6984722219999999</v>
      </c>
      <c r="Y2511" t="s">
        <v>2628</v>
      </c>
      <c r="Z2511" t="s">
        <v>9907</v>
      </c>
      <c r="AA2511" t="s">
        <v>3585</v>
      </c>
      <c r="AB2511" t="s">
        <v>1278</v>
      </c>
      <c r="AC2511" t="s">
        <v>9908</v>
      </c>
      <c r="AE2511">
        <v>1</v>
      </c>
      <c r="AO2511" t="s">
        <v>3586</v>
      </c>
      <c r="AP2511" t="s">
        <v>2401</v>
      </c>
    </row>
    <row r="2512" spans="1:42">
      <c r="A2512" t="s">
        <v>9932</v>
      </c>
      <c r="B2512" t="s">
        <v>2389</v>
      </c>
      <c r="C2512" t="s">
        <v>2390</v>
      </c>
      <c r="D2512" t="s">
        <v>2379</v>
      </c>
      <c r="E2512" t="s">
        <v>2452</v>
      </c>
      <c r="F2512" t="s">
        <v>3747</v>
      </c>
      <c r="G2512" t="s">
        <v>2452</v>
      </c>
      <c r="H2512" t="b">
        <v>1</v>
      </c>
      <c r="I2512" s="8">
        <v>45954.511874999997</v>
      </c>
      <c r="J2512" t="s">
        <v>2380</v>
      </c>
      <c r="K2512">
        <v>962053</v>
      </c>
      <c r="L2512">
        <v>606793</v>
      </c>
      <c r="M2512" t="s">
        <v>2381</v>
      </c>
      <c r="P2512" t="s">
        <v>2394</v>
      </c>
      <c r="Q2512" t="s">
        <v>2383</v>
      </c>
      <c r="R2512">
        <v>1</v>
      </c>
      <c r="S2512" t="s">
        <v>2380</v>
      </c>
      <c r="T2512" t="s">
        <v>2383</v>
      </c>
      <c r="U2512" s="8">
        <v>45951.706203703703</v>
      </c>
      <c r="V2512" s="8">
        <v>45954.958333333336</v>
      </c>
      <c r="W2512">
        <v>1</v>
      </c>
      <c r="X2512">
        <v>2.8056712959999999</v>
      </c>
      <c r="Y2512" t="s">
        <v>3748</v>
      </c>
      <c r="Z2512" t="s">
        <v>9933</v>
      </c>
      <c r="AA2512" t="s">
        <v>4885</v>
      </c>
      <c r="AB2512" t="s">
        <v>1278</v>
      </c>
      <c r="AC2512" t="s">
        <v>9934</v>
      </c>
      <c r="AE2512">
        <v>1</v>
      </c>
      <c r="AO2512" t="s">
        <v>2712</v>
      </c>
      <c r="AP2512" t="s">
        <v>2401</v>
      </c>
    </row>
    <row r="2513" spans="1:42">
      <c r="A2513" t="s">
        <v>2667</v>
      </c>
      <c r="B2513" t="s">
        <v>2389</v>
      </c>
      <c r="C2513" t="s">
        <v>2390</v>
      </c>
      <c r="D2513" t="s">
        <v>2379</v>
      </c>
      <c r="E2513" t="s">
        <v>2452</v>
      </c>
      <c r="F2513">
        <v>6397</v>
      </c>
      <c r="G2513" t="s">
        <v>2452</v>
      </c>
      <c r="H2513" t="b">
        <v>1</v>
      </c>
      <c r="I2513" s="8">
        <v>45954.379236111112</v>
      </c>
      <c r="J2513" t="s">
        <v>2380</v>
      </c>
      <c r="L2513">
        <v>609828</v>
      </c>
      <c r="M2513" t="s">
        <v>2381</v>
      </c>
      <c r="P2513" t="s">
        <v>2394</v>
      </c>
      <c r="Q2513" t="s">
        <v>2383</v>
      </c>
      <c r="R2513">
        <v>1</v>
      </c>
      <c r="S2513" t="s">
        <v>2380</v>
      </c>
      <c r="T2513" t="s">
        <v>2383</v>
      </c>
      <c r="U2513" s="8">
        <v>45951.741226851853</v>
      </c>
      <c r="V2513" s="8">
        <v>45954.958333333336</v>
      </c>
      <c r="W2513">
        <v>1</v>
      </c>
      <c r="X2513">
        <v>2.6380092589999999</v>
      </c>
      <c r="Y2513" t="s">
        <v>2607</v>
      </c>
      <c r="Z2513" t="s">
        <v>2668</v>
      </c>
      <c r="AA2513" t="s">
        <v>2610</v>
      </c>
      <c r="AB2513" t="s">
        <v>1278</v>
      </c>
      <c r="AC2513" t="s">
        <v>2669</v>
      </c>
      <c r="AE2513">
        <v>1</v>
      </c>
      <c r="AO2513" t="s">
        <v>2388</v>
      </c>
      <c r="AP2513" t="s">
        <v>2401</v>
      </c>
    </row>
    <row r="2514" spans="1:42">
      <c r="A2514" t="s">
        <v>8949</v>
      </c>
      <c r="B2514" t="s">
        <v>2389</v>
      </c>
      <c r="C2514" t="s">
        <v>2390</v>
      </c>
      <c r="D2514" t="s">
        <v>2379</v>
      </c>
      <c r="E2514" t="s">
        <v>2452</v>
      </c>
      <c r="F2514">
        <v>6343</v>
      </c>
      <c r="G2514" t="s">
        <v>2452</v>
      </c>
      <c r="H2514" t="b">
        <v>1</v>
      </c>
      <c r="I2514" s="8">
        <v>45954.664664351854</v>
      </c>
      <c r="J2514" t="s">
        <v>2380</v>
      </c>
      <c r="K2514">
        <v>1204584</v>
      </c>
      <c r="L2514">
        <v>605693</v>
      </c>
      <c r="M2514" t="s">
        <v>2381</v>
      </c>
      <c r="P2514" t="s">
        <v>2394</v>
      </c>
      <c r="Q2514" t="s">
        <v>2383</v>
      </c>
      <c r="R2514">
        <v>1</v>
      </c>
      <c r="S2514" t="s">
        <v>2380</v>
      </c>
      <c r="T2514" t="s">
        <v>2383</v>
      </c>
      <c r="U2514" s="8">
        <v>45951.747523148151</v>
      </c>
      <c r="V2514" s="8">
        <v>45954.958333333336</v>
      </c>
      <c r="W2514">
        <v>1</v>
      </c>
      <c r="X2514">
        <v>2.917141204</v>
      </c>
      <c r="Y2514" t="s">
        <v>2662</v>
      </c>
      <c r="Z2514" t="s">
        <v>8950</v>
      </c>
      <c r="AA2514" t="s">
        <v>8934</v>
      </c>
      <c r="AB2514" t="s">
        <v>1278</v>
      </c>
      <c r="AC2514" t="s">
        <v>8951</v>
      </c>
      <c r="AD2514" t="s">
        <v>2708</v>
      </c>
      <c r="AE2514">
        <v>1</v>
      </c>
      <c r="AH2514" t="s">
        <v>2723</v>
      </c>
      <c r="AI2514" s="8">
        <v>45954.658680555556</v>
      </c>
      <c r="AK2514" t="s">
        <v>2719</v>
      </c>
      <c r="AL2514" t="s">
        <v>2724</v>
      </c>
      <c r="AO2514" t="s">
        <v>2388</v>
      </c>
      <c r="AP2514" t="s">
        <v>8931</v>
      </c>
    </row>
    <row r="2515" spans="1:42">
      <c r="A2515" t="s">
        <v>8440</v>
      </c>
      <c r="B2515" t="s">
        <v>2389</v>
      </c>
      <c r="C2515" t="s">
        <v>2390</v>
      </c>
      <c r="D2515" t="s">
        <v>2379</v>
      </c>
      <c r="E2515" t="s">
        <v>25</v>
      </c>
      <c r="F2515" t="s">
        <v>2402</v>
      </c>
      <c r="G2515" t="s">
        <v>25</v>
      </c>
      <c r="H2515" t="b">
        <v>1</v>
      </c>
      <c r="I2515" s="8">
        <v>45954.454131944447</v>
      </c>
      <c r="J2515" t="s">
        <v>2380</v>
      </c>
      <c r="K2515">
        <v>1204416</v>
      </c>
      <c r="L2515">
        <v>604461</v>
      </c>
      <c r="M2515" t="s">
        <v>2381</v>
      </c>
      <c r="N2515">
        <v>5</v>
      </c>
      <c r="P2515" t="s">
        <v>2394</v>
      </c>
      <c r="Q2515" t="s">
        <v>2395</v>
      </c>
      <c r="R2515">
        <v>1</v>
      </c>
      <c r="S2515" t="s">
        <v>2380</v>
      </c>
      <c r="T2515" t="s">
        <v>2383</v>
      </c>
      <c r="U2515" s="8">
        <v>45951.772037037037</v>
      </c>
      <c r="V2515" s="8">
        <v>45954.958333333336</v>
      </c>
      <c r="W2515">
        <v>1</v>
      </c>
      <c r="X2515">
        <v>2.6820949070000002</v>
      </c>
      <c r="Y2515" t="s">
        <v>2403</v>
      </c>
      <c r="Z2515" t="s">
        <v>8441</v>
      </c>
      <c r="AA2515" t="s">
        <v>8442</v>
      </c>
      <c r="AB2515" t="s">
        <v>1278</v>
      </c>
      <c r="AC2515" t="s">
        <v>8443</v>
      </c>
      <c r="AD2515" t="s">
        <v>2708</v>
      </c>
      <c r="AE2515">
        <v>1</v>
      </c>
      <c r="AO2515" t="s">
        <v>4137</v>
      </c>
      <c r="AP2515" t="s">
        <v>2401</v>
      </c>
    </row>
    <row r="2516" spans="1:42">
      <c r="A2516" t="s">
        <v>738</v>
      </c>
      <c r="B2516" t="s">
        <v>2377</v>
      </c>
      <c r="C2516" t="s">
        <v>2415</v>
      </c>
      <c r="D2516" t="s">
        <v>2379</v>
      </c>
      <c r="E2516" t="s">
        <v>11</v>
      </c>
      <c r="F2516" t="s">
        <v>2409</v>
      </c>
      <c r="G2516" t="s">
        <v>11</v>
      </c>
      <c r="H2516" t="b">
        <v>1</v>
      </c>
      <c r="I2516" s="8">
        <v>45953.476944444446</v>
      </c>
      <c r="J2516" t="s">
        <v>2380</v>
      </c>
      <c r="L2516">
        <v>608028</v>
      </c>
      <c r="M2516" t="s">
        <v>2381</v>
      </c>
      <c r="Q2516" t="s">
        <v>2383</v>
      </c>
      <c r="R2516">
        <v>1</v>
      </c>
      <c r="S2516" t="s">
        <v>2380</v>
      </c>
      <c r="T2516" t="s">
        <v>2383</v>
      </c>
      <c r="U2516" s="8">
        <v>45952.284895833334</v>
      </c>
      <c r="V2516" s="8">
        <v>45954.958333333336</v>
      </c>
      <c r="W2516">
        <v>1</v>
      </c>
      <c r="X2516">
        <v>1.1920486109999999</v>
      </c>
      <c r="Y2516" t="s">
        <v>2410</v>
      </c>
      <c r="Z2516" t="s">
        <v>8873</v>
      </c>
      <c r="AA2516" t="s">
        <v>8806</v>
      </c>
      <c r="AB2516" t="s">
        <v>1278</v>
      </c>
      <c r="AC2516" t="s">
        <v>8874</v>
      </c>
      <c r="AD2516" t="s">
        <v>2708</v>
      </c>
      <c r="AE2516">
        <v>1</v>
      </c>
      <c r="AH2516" t="s">
        <v>2723</v>
      </c>
      <c r="AI2516" s="8">
        <v>45953.402650462966</v>
      </c>
      <c r="AK2516" t="s">
        <v>2719</v>
      </c>
      <c r="AL2516" t="s">
        <v>2724</v>
      </c>
      <c r="AO2516" t="s">
        <v>3644</v>
      </c>
      <c r="AP2516" t="s">
        <v>2401</v>
      </c>
    </row>
    <row r="2517" spans="1:42">
      <c r="A2517" t="s">
        <v>8507</v>
      </c>
      <c r="B2517" t="s">
        <v>2389</v>
      </c>
      <c r="C2517" t="s">
        <v>2390</v>
      </c>
      <c r="D2517" t="s">
        <v>2379</v>
      </c>
      <c r="E2517" t="s">
        <v>25</v>
      </c>
      <c r="F2517">
        <v>6415</v>
      </c>
      <c r="G2517" t="s">
        <v>25</v>
      </c>
      <c r="H2517" t="b">
        <v>1</v>
      </c>
      <c r="I2517" s="8">
        <v>45954.449224537035</v>
      </c>
      <c r="J2517" t="s">
        <v>2380</v>
      </c>
      <c r="K2517">
        <v>1204413</v>
      </c>
      <c r="L2517">
        <v>604475</v>
      </c>
      <c r="M2517" t="s">
        <v>2381</v>
      </c>
      <c r="N2517">
        <v>5</v>
      </c>
      <c r="P2517" t="s">
        <v>2394</v>
      </c>
      <c r="Q2517" t="s">
        <v>2395</v>
      </c>
      <c r="R2517">
        <v>1</v>
      </c>
      <c r="S2517" t="s">
        <v>2380</v>
      </c>
      <c r="T2517" t="s">
        <v>2383</v>
      </c>
      <c r="U2517" s="8">
        <v>45952.288668981484</v>
      </c>
      <c r="V2517" s="8">
        <v>45954.958333333336</v>
      </c>
      <c r="W2517">
        <v>1</v>
      </c>
      <c r="X2517">
        <v>2.1605555559999998</v>
      </c>
      <c r="Y2517" t="s">
        <v>8176</v>
      </c>
      <c r="Z2517" t="s">
        <v>8508</v>
      </c>
      <c r="AA2517" t="s">
        <v>8179</v>
      </c>
      <c r="AB2517" t="s">
        <v>1278</v>
      </c>
      <c r="AC2517" t="s">
        <v>8509</v>
      </c>
      <c r="AD2517" t="s">
        <v>2708</v>
      </c>
      <c r="AE2517">
        <v>1</v>
      </c>
      <c r="AO2517" t="s">
        <v>4137</v>
      </c>
      <c r="AP2517" t="s">
        <v>2401</v>
      </c>
    </row>
    <row r="2518" spans="1:42">
      <c r="A2518" t="s">
        <v>4587</v>
      </c>
      <c r="B2518" t="s">
        <v>2389</v>
      </c>
      <c r="C2518" t="s">
        <v>2378</v>
      </c>
      <c r="D2518" t="s">
        <v>2379</v>
      </c>
      <c r="E2518" t="s">
        <v>25</v>
      </c>
      <c r="F2518">
        <v>3909</v>
      </c>
      <c r="G2518" t="s">
        <v>25</v>
      </c>
      <c r="H2518" t="b">
        <v>1</v>
      </c>
      <c r="I2518" s="8">
        <v>45955.57775462963</v>
      </c>
      <c r="J2518" t="s">
        <v>2380</v>
      </c>
      <c r="K2518">
        <v>1204648</v>
      </c>
      <c r="L2518">
        <v>609859</v>
      </c>
      <c r="M2518" t="s">
        <v>2381</v>
      </c>
      <c r="N2518">
        <v>5</v>
      </c>
      <c r="P2518" t="s">
        <v>2394</v>
      </c>
      <c r="Q2518" t="s">
        <v>2383</v>
      </c>
      <c r="R2518">
        <v>1</v>
      </c>
      <c r="S2518" t="s">
        <v>2380</v>
      </c>
      <c r="T2518" t="s">
        <v>2383</v>
      </c>
      <c r="U2518" s="8">
        <v>45952.371168981481</v>
      </c>
      <c r="V2518" s="8">
        <v>45958.958333333336</v>
      </c>
      <c r="W2518">
        <v>1</v>
      </c>
      <c r="X2518">
        <v>3.2065856479999999</v>
      </c>
      <c r="Y2518" t="s">
        <v>2583</v>
      </c>
      <c r="Z2518" t="s">
        <v>4588</v>
      </c>
      <c r="AA2518" t="s">
        <v>2586</v>
      </c>
      <c r="AB2518" t="s">
        <v>1278</v>
      </c>
      <c r="AC2518" t="s">
        <v>4589</v>
      </c>
      <c r="AD2518" t="s">
        <v>2708</v>
      </c>
      <c r="AE2518">
        <v>1</v>
      </c>
      <c r="AO2518" t="s">
        <v>2388</v>
      </c>
      <c r="AP2518" t="s">
        <v>2401</v>
      </c>
    </row>
    <row r="2519" spans="1:42">
      <c r="A2519" t="s">
        <v>525</v>
      </c>
      <c r="B2519" t="s">
        <v>2377</v>
      </c>
      <c r="C2519" t="s">
        <v>2447</v>
      </c>
      <c r="D2519" t="s">
        <v>2379</v>
      </c>
      <c r="E2519" t="s">
        <v>12</v>
      </c>
      <c r="F2519" t="s">
        <v>5085</v>
      </c>
      <c r="G2519" t="s">
        <v>12</v>
      </c>
      <c r="H2519" t="b">
        <v>1</v>
      </c>
      <c r="I2519" s="8">
        <v>45958.636805555558</v>
      </c>
      <c r="J2519" t="s">
        <v>2380</v>
      </c>
      <c r="L2519">
        <v>602945</v>
      </c>
      <c r="M2519" t="s">
        <v>2381</v>
      </c>
      <c r="P2519" t="s">
        <v>5107</v>
      </c>
      <c r="Q2519" t="s">
        <v>2383</v>
      </c>
      <c r="R2519">
        <v>1</v>
      </c>
      <c r="S2519" t="s">
        <v>2380</v>
      </c>
      <c r="T2519" t="s">
        <v>5086</v>
      </c>
      <c r="U2519" s="8">
        <v>45952.371631944443</v>
      </c>
      <c r="V2519" s="8">
        <v>45958.958333333336</v>
      </c>
      <c r="W2519">
        <v>1</v>
      </c>
      <c r="X2519">
        <v>4.2651736109999998</v>
      </c>
      <c r="Y2519" t="s">
        <v>5087</v>
      </c>
      <c r="Z2519" t="s">
        <v>8716</v>
      </c>
      <c r="AA2519" t="s">
        <v>5090</v>
      </c>
      <c r="AB2519" t="s">
        <v>1278</v>
      </c>
      <c r="AC2519" t="s">
        <v>8717</v>
      </c>
      <c r="AD2519" t="s">
        <v>2708</v>
      </c>
      <c r="AE2519">
        <v>1</v>
      </c>
      <c r="AO2519" t="s">
        <v>2720</v>
      </c>
      <c r="AP2519" t="s">
        <v>2401</v>
      </c>
    </row>
    <row r="2520" spans="1:42">
      <c r="A2520" t="s">
        <v>8399</v>
      </c>
      <c r="B2520" t="s">
        <v>2389</v>
      </c>
      <c r="C2520" t="s">
        <v>2447</v>
      </c>
      <c r="D2520" t="s">
        <v>2379</v>
      </c>
      <c r="E2520" t="s">
        <v>25</v>
      </c>
      <c r="F2520" t="s">
        <v>7743</v>
      </c>
      <c r="G2520" t="s">
        <v>25</v>
      </c>
      <c r="H2520" t="b">
        <v>1</v>
      </c>
      <c r="I2520" s="8">
        <v>45958.421006944445</v>
      </c>
      <c r="J2520" t="s">
        <v>2380</v>
      </c>
      <c r="K2520">
        <v>1204845</v>
      </c>
      <c r="L2520">
        <v>602352</v>
      </c>
      <c r="M2520" t="s">
        <v>2381</v>
      </c>
      <c r="N2520">
        <v>5</v>
      </c>
      <c r="P2520" t="s">
        <v>2394</v>
      </c>
      <c r="Q2520" t="s">
        <v>2383</v>
      </c>
      <c r="R2520">
        <v>1</v>
      </c>
      <c r="S2520" t="s">
        <v>2380</v>
      </c>
      <c r="T2520" t="s">
        <v>2383</v>
      </c>
      <c r="U2520" s="8">
        <v>45952.379525462966</v>
      </c>
      <c r="V2520" s="8">
        <v>45961.958333333336</v>
      </c>
      <c r="W2520">
        <v>1</v>
      </c>
      <c r="X2520">
        <v>4.0414814809999999</v>
      </c>
      <c r="Y2520" t="s">
        <v>7744</v>
      </c>
      <c r="Z2520" t="s">
        <v>8400</v>
      </c>
      <c r="AA2520" t="s">
        <v>7747</v>
      </c>
      <c r="AB2520" t="s">
        <v>1278</v>
      </c>
      <c r="AC2520" t="s">
        <v>8401</v>
      </c>
      <c r="AD2520" t="s">
        <v>2708</v>
      </c>
      <c r="AE2520">
        <v>1</v>
      </c>
      <c r="AO2520" t="s">
        <v>2957</v>
      </c>
      <c r="AP2520" t="s">
        <v>2401</v>
      </c>
    </row>
    <row r="2521" spans="1:42">
      <c r="A2521" t="s">
        <v>8721</v>
      </c>
      <c r="B2521" t="s">
        <v>2389</v>
      </c>
      <c r="C2521" t="s">
        <v>2447</v>
      </c>
      <c r="D2521" t="s">
        <v>2379</v>
      </c>
      <c r="E2521" t="s">
        <v>12</v>
      </c>
      <c r="F2521" t="s">
        <v>5085</v>
      </c>
      <c r="G2521" t="s">
        <v>12</v>
      </c>
      <c r="H2521" t="b">
        <v>1</v>
      </c>
      <c r="I2521" s="8">
        <v>45958.454918981479</v>
      </c>
      <c r="J2521" t="s">
        <v>2380</v>
      </c>
      <c r="K2521">
        <v>1204877</v>
      </c>
      <c r="L2521">
        <v>602945</v>
      </c>
      <c r="M2521" t="s">
        <v>2381</v>
      </c>
      <c r="P2521" t="s">
        <v>5107</v>
      </c>
      <c r="Q2521" t="s">
        <v>2383</v>
      </c>
      <c r="R2521">
        <v>1</v>
      </c>
      <c r="S2521" t="s">
        <v>2380</v>
      </c>
      <c r="T2521" t="s">
        <v>5086</v>
      </c>
      <c r="U2521" s="8">
        <v>45952.382152777776</v>
      </c>
      <c r="V2521" s="8">
        <v>45958.958333333336</v>
      </c>
      <c r="W2521">
        <v>1</v>
      </c>
      <c r="X2521">
        <v>4.0727662039999997</v>
      </c>
      <c r="Y2521" t="s">
        <v>5087</v>
      </c>
      <c r="Z2521" t="s">
        <v>8722</v>
      </c>
      <c r="AA2521" t="s">
        <v>5090</v>
      </c>
      <c r="AB2521" t="s">
        <v>1278</v>
      </c>
      <c r="AC2521" t="s">
        <v>8723</v>
      </c>
      <c r="AD2521" t="s">
        <v>2708</v>
      </c>
      <c r="AE2521">
        <v>1</v>
      </c>
      <c r="AO2521" t="s">
        <v>2720</v>
      </c>
      <c r="AP2521" t="s">
        <v>2401</v>
      </c>
    </row>
    <row r="2522" spans="1:42">
      <c r="A2522" t="s">
        <v>4710</v>
      </c>
      <c r="B2522" t="s">
        <v>2389</v>
      </c>
      <c r="C2522" t="s">
        <v>2447</v>
      </c>
      <c r="D2522" t="s">
        <v>2379</v>
      </c>
      <c r="E2522" t="s">
        <v>25</v>
      </c>
      <c r="F2522" t="s">
        <v>4709</v>
      </c>
      <c r="G2522" t="s">
        <v>25</v>
      </c>
      <c r="H2522" t="b">
        <v>1</v>
      </c>
      <c r="I2522" s="8">
        <v>45958.627534722225</v>
      </c>
      <c r="J2522" t="s">
        <v>2380</v>
      </c>
      <c r="K2522">
        <v>1205314</v>
      </c>
      <c r="L2522">
        <v>603168</v>
      </c>
      <c r="M2522" t="s">
        <v>2381</v>
      </c>
      <c r="P2522" t="s">
        <v>2394</v>
      </c>
      <c r="Q2522" t="s">
        <v>2383</v>
      </c>
      <c r="R2522">
        <v>1</v>
      </c>
      <c r="S2522" t="s">
        <v>2380</v>
      </c>
      <c r="T2522" t="s">
        <v>2383</v>
      </c>
      <c r="U2522" s="8">
        <v>45952.392893518518</v>
      </c>
      <c r="V2522" s="8">
        <v>45958.958333333336</v>
      </c>
      <c r="W2522">
        <v>1</v>
      </c>
      <c r="X2522">
        <v>4.2346412039999999</v>
      </c>
      <c r="Y2522" t="s">
        <v>4653</v>
      </c>
      <c r="Z2522" t="s">
        <v>4711</v>
      </c>
      <c r="AA2522" t="s">
        <v>4712</v>
      </c>
      <c r="AB2522" t="s">
        <v>1278</v>
      </c>
      <c r="AD2522" t="s">
        <v>2708</v>
      </c>
      <c r="AE2522">
        <v>1</v>
      </c>
      <c r="AO2522" t="s">
        <v>2957</v>
      </c>
      <c r="AP2522" t="s">
        <v>2401</v>
      </c>
    </row>
    <row r="2523" spans="1:42">
      <c r="A2523" t="s">
        <v>8763</v>
      </c>
      <c r="B2523" t="s">
        <v>2389</v>
      </c>
      <c r="C2523" t="s">
        <v>2443</v>
      </c>
      <c r="D2523" t="s">
        <v>2443</v>
      </c>
      <c r="E2523" t="s">
        <v>2452</v>
      </c>
      <c r="F2523" t="s">
        <v>4566</v>
      </c>
      <c r="G2523" t="s">
        <v>2452</v>
      </c>
      <c r="H2523" t="b">
        <v>1</v>
      </c>
      <c r="I2523" s="8">
        <v>45953.556608796294</v>
      </c>
      <c r="J2523" t="s">
        <v>2380</v>
      </c>
      <c r="K2523">
        <v>1204111</v>
      </c>
      <c r="L2523">
        <v>603800</v>
      </c>
      <c r="M2523" t="s">
        <v>2381</v>
      </c>
      <c r="Q2523" t="s">
        <v>2383</v>
      </c>
      <c r="R2523">
        <v>1</v>
      </c>
      <c r="S2523" t="s">
        <v>2380</v>
      </c>
      <c r="T2523" t="s">
        <v>2383</v>
      </c>
      <c r="U2523" s="8">
        <v>45947.645833333336</v>
      </c>
      <c r="V2523" s="8">
        <v>45952.958333333336</v>
      </c>
      <c r="W2523">
        <v>1</v>
      </c>
      <c r="X2523">
        <v>3.9107754629999998</v>
      </c>
      <c r="Y2523" t="s">
        <v>4567</v>
      </c>
      <c r="Z2523" t="s">
        <v>8764</v>
      </c>
      <c r="AA2523" t="s">
        <v>4570</v>
      </c>
      <c r="AB2523" t="s">
        <v>1278</v>
      </c>
      <c r="AC2523" t="s">
        <v>8765</v>
      </c>
      <c r="AD2523" t="s">
        <v>2708</v>
      </c>
      <c r="AE2523">
        <v>1</v>
      </c>
      <c r="AH2523" t="s">
        <v>33</v>
      </c>
      <c r="AI2523" s="8">
        <v>45953.553842592592</v>
      </c>
      <c r="AK2523" t="s">
        <v>2719</v>
      </c>
      <c r="AL2523" t="s">
        <v>2719</v>
      </c>
      <c r="AO2523" t="s">
        <v>2388</v>
      </c>
      <c r="AP2523" t="s">
        <v>2401</v>
      </c>
    </row>
    <row r="2524" spans="1:42">
      <c r="A2524" t="s">
        <v>2655</v>
      </c>
      <c r="B2524" t="s">
        <v>2389</v>
      </c>
      <c r="C2524" t="s">
        <v>2390</v>
      </c>
      <c r="D2524" t="s">
        <v>2379</v>
      </c>
      <c r="E2524" t="s">
        <v>2452</v>
      </c>
      <c r="F2524" t="s">
        <v>2578</v>
      </c>
      <c r="G2524" t="s">
        <v>2452</v>
      </c>
      <c r="H2524" t="b">
        <v>1</v>
      </c>
      <c r="I2524" s="8">
        <v>45955.326423611114</v>
      </c>
      <c r="J2524" t="s">
        <v>2380</v>
      </c>
      <c r="L2524">
        <v>602831</v>
      </c>
      <c r="M2524" t="s">
        <v>2381</v>
      </c>
      <c r="P2524" t="s">
        <v>2394</v>
      </c>
      <c r="Q2524" t="s">
        <v>2383</v>
      </c>
      <c r="R2524">
        <v>1</v>
      </c>
      <c r="S2524" t="s">
        <v>2380</v>
      </c>
      <c r="T2524" t="s">
        <v>2383</v>
      </c>
      <c r="U2524" s="8">
        <v>45952.401342592595</v>
      </c>
      <c r="V2524" s="8">
        <v>45958.958333333336</v>
      </c>
      <c r="W2524">
        <v>1</v>
      </c>
      <c r="X2524">
        <v>2.9250810189999998</v>
      </c>
      <c r="Y2524" t="s">
        <v>2579</v>
      </c>
      <c r="Z2524" t="s">
        <v>2656</v>
      </c>
      <c r="AA2524" t="s">
        <v>2653</v>
      </c>
      <c r="AB2524" t="s">
        <v>1278</v>
      </c>
      <c r="AC2524" t="s">
        <v>2657</v>
      </c>
      <c r="AE2524">
        <v>1</v>
      </c>
      <c r="AO2524" t="s">
        <v>2388</v>
      </c>
      <c r="AP2524" t="s">
        <v>2401</v>
      </c>
    </row>
    <row r="2525" spans="1:42">
      <c r="A2525" t="s">
        <v>216</v>
      </c>
      <c r="B2525" t="s">
        <v>2377</v>
      </c>
      <c r="C2525" t="s">
        <v>2443</v>
      </c>
      <c r="D2525" t="s">
        <v>2443</v>
      </c>
      <c r="E2525" t="s">
        <v>33</v>
      </c>
      <c r="F2525" t="s">
        <v>3921</v>
      </c>
      <c r="G2525" t="s">
        <v>33</v>
      </c>
      <c r="H2525" t="b">
        <v>1</v>
      </c>
      <c r="I2525" s="8">
        <v>45960.377280092594</v>
      </c>
      <c r="J2525" t="s">
        <v>2380</v>
      </c>
      <c r="L2525">
        <v>608029</v>
      </c>
      <c r="M2525" t="s">
        <v>2381</v>
      </c>
      <c r="Q2525" t="s">
        <v>2383</v>
      </c>
      <c r="R2525">
        <v>1</v>
      </c>
      <c r="S2525" t="s">
        <v>2380</v>
      </c>
      <c r="T2525" t="s">
        <v>2383</v>
      </c>
      <c r="U2525" s="8">
        <v>45952.406481481485</v>
      </c>
      <c r="V2525" s="8">
        <v>45958.958333333336</v>
      </c>
      <c r="W2525">
        <v>1</v>
      </c>
      <c r="X2525">
        <v>5.9707986110000002</v>
      </c>
      <c r="Y2525" t="s">
        <v>1352</v>
      </c>
      <c r="Z2525" t="s">
        <v>10224</v>
      </c>
      <c r="AA2525" t="s">
        <v>3923</v>
      </c>
      <c r="AB2525" t="s">
        <v>1278</v>
      </c>
      <c r="AC2525" t="s">
        <v>10225</v>
      </c>
      <c r="AE2525">
        <v>1</v>
      </c>
      <c r="AH2525" t="s">
        <v>2723</v>
      </c>
      <c r="AI2525" s="8">
        <v>45958.69809027778</v>
      </c>
      <c r="AK2525" t="s">
        <v>2719</v>
      </c>
      <c r="AL2525" t="s">
        <v>2719</v>
      </c>
      <c r="AO2525" t="s">
        <v>2720</v>
      </c>
      <c r="AP2525" t="s">
        <v>2401</v>
      </c>
    </row>
    <row r="2526" spans="1:42">
      <c r="A2526" t="s">
        <v>1036</v>
      </c>
      <c r="B2526" t="s">
        <v>2377</v>
      </c>
      <c r="C2526" t="s">
        <v>2443</v>
      </c>
      <c r="D2526" t="s">
        <v>2443</v>
      </c>
      <c r="E2526" t="s">
        <v>33</v>
      </c>
      <c r="F2526" t="s">
        <v>3921</v>
      </c>
      <c r="G2526" t="s">
        <v>33</v>
      </c>
      <c r="H2526" t="b">
        <v>1</v>
      </c>
      <c r="I2526" s="8">
        <v>45959.371944444443</v>
      </c>
      <c r="J2526" t="s">
        <v>2380</v>
      </c>
      <c r="L2526">
        <v>608029</v>
      </c>
      <c r="M2526" t="s">
        <v>2381</v>
      </c>
      <c r="Q2526" t="s">
        <v>2383</v>
      </c>
      <c r="R2526">
        <v>1</v>
      </c>
      <c r="S2526" t="s">
        <v>2380</v>
      </c>
      <c r="T2526" t="s">
        <v>2383</v>
      </c>
      <c r="U2526" s="8">
        <v>45952.406724537039</v>
      </c>
      <c r="V2526" s="8">
        <v>45958.958333333336</v>
      </c>
      <c r="W2526">
        <v>1</v>
      </c>
      <c r="X2526">
        <v>4.9652199069999998</v>
      </c>
      <c r="Y2526" t="s">
        <v>1352</v>
      </c>
      <c r="Z2526" t="s">
        <v>8832</v>
      </c>
      <c r="AA2526" t="s">
        <v>3923</v>
      </c>
      <c r="AB2526" t="s">
        <v>1278</v>
      </c>
      <c r="AC2526" t="s">
        <v>8833</v>
      </c>
      <c r="AD2526" t="s">
        <v>2708</v>
      </c>
      <c r="AE2526">
        <v>1</v>
      </c>
      <c r="AH2526" t="s">
        <v>2723</v>
      </c>
      <c r="AI2526" s="8">
        <v>45958.697731481479</v>
      </c>
      <c r="AK2526" t="s">
        <v>2719</v>
      </c>
      <c r="AL2526" t="s">
        <v>2719</v>
      </c>
      <c r="AO2526" t="s">
        <v>2720</v>
      </c>
      <c r="AP2526" t="s">
        <v>2401</v>
      </c>
    </row>
    <row r="2527" spans="1:42">
      <c r="A2527" t="s">
        <v>1037</v>
      </c>
      <c r="B2527" t="s">
        <v>2377</v>
      </c>
      <c r="C2527" t="s">
        <v>2443</v>
      </c>
      <c r="D2527" t="s">
        <v>2443</v>
      </c>
      <c r="E2527" t="s">
        <v>33</v>
      </c>
      <c r="F2527" t="s">
        <v>3921</v>
      </c>
      <c r="G2527" t="s">
        <v>33</v>
      </c>
      <c r="H2527" t="b">
        <v>1</v>
      </c>
      <c r="I2527" s="8">
        <v>45959.371944444443</v>
      </c>
      <c r="J2527" t="s">
        <v>2380</v>
      </c>
      <c r="L2527">
        <v>608029</v>
      </c>
      <c r="M2527" t="s">
        <v>2381</v>
      </c>
      <c r="Q2527" t="s">
        <v>2383</v>
      </c>
      <c r="R2527">
        <v>1</v>
      </c>
      <c r="S2527" t="s">
        <v>2380</v>
      </c>
      <c r="T2527" t="s">
        <v>2383</v>
      </c>
      <c r="U2527" s="8">
        <v>45952.406944444447</v>
      </c>
      <c r="V2527" s="8">
        <v>45958.958333333336</v>
      </c>
      <c r="W2527">
        <v>1</v>
      </c>
      <c r="X2527">
        <v>4.9649999999999999</v>
      </c>
      <c r="Y2527" t="s">
        <v>1352</v>
      </c>
      <c r="Z2527" t="s">
        <v>8834</v>
      </c>
      <c r="AA2527" t="s">
        <v>3923</v>
      </c>
      <c r="AB2527" t="s">
        <v>1278</v>
      </c>
      <c r="AC2527" t="s">
        <v>8835</v>
      </c>
      <c r="AD2527" t="s">
        <v>2708</v>
      </c>
      <c r="AE2527">
        <v>1</v>
      </c>
      <c r="AH2527" t="s">
        <v>2723</v>
      </c>
      <c r="AI2527" s="8">
        <v>45958.698217592595</v>
      </c>
      <c r="AK2527" t="s">
        <v>2719</v>
      </c>
      <c r="AL2527" t="s">
        <v>2719</v>
      </c>
      <c r="AO2527" t="s">
        <v>2720</v>
      </c>
      <c r="AP2527" t="s">
        <v>2401</v>
      </c>
    </row>
    <row r="2528" spans="1:42">
      <c r="A2528" t="s">
        <v>1042</v>
      </c>
      <c r="B2528" t="s">
        <v>2377</v>
      </c>
      <c r="C2528" t="s">
        <v>2443</v>
      </c>
      <c r="D2528" t="s">
        <v>2443</v>
      </c>
      <c r="E2528" t="s">
        <v>33</v>
      </c>
      <c r="F2528" t="s">
        <v>3921</v>
      </c>
      <c r="G2528" t="s">
        <v>33</v>
      </c>
      <c r="H2528" t="b">
        <v>1</v>
      </c>
      <c r="I2528" s="8">
        <v>45959.37164351852</v>
      </c>
      <c r="J2528" t="s">
        <v>2380</v>
      </c>
      <c r="L2528">
        <v>608029</v>
      </c>
      <c r="M2528" t="s">
        <v>2381</v>
      </c>
      <c r="Q2528" t="s">
        <v>2383</v>
      </c>
      <c r="R2528">
        <v>1</v>
      </c>
      <c r="S2528" t="s">
        <v>2380</v>
      </c>
      <c r="T2528" t="s">
        <v>2383</v>
      </c>
      <c r="U2528" s="8">
        <v>45952.407222222224</v>
      </c>
      <c r="V2528" s="8">
        <v>45958.958333333336</v>
      </c>
      <c r="W2528">
        <v>1</v>
      </c>
      <c r="X2528">
        <v>4.9644212960000003</v>
      </c>
      <c r="Y2528" t="s">
        <v>1352</v>
      </c>
      <c r="Z2528" t="s">
        <v>8836</v>
      </c>
      <c r="AA2528" t="s">
        <v>3923</v>
      </c>
      <c r="AB2528" t="s">
        <v>1278</v>
      </c>
      <c r="AC2528" t="s">
        <v>8837</v>
      </c>
      <c r="AD2528" t="s">
        <v>2708</v>
      </c>
      <c r="AE2528">
        <v>1</v>
      </c>
      <c r="AH2528" t="s">
        <v>2723</v>
      </c>
      <c r="AI2528" s="8">
        <v>45958.697604166664</v>
      </c>
      <c r="AK2528" t="s">
        <v>2719</v>
      </c>
      <c r="AL2528" t="s">
        <v>2719</v>
      </c>
      <c r="AO2528" t="s">
        <v>2720</v>
      </c>
      <c r="AP2528" t="s">
        <v>2401</v>
      </c>
    </row>
    <row r="2529" spans="1:42">
      <c r="A2529" t="s">
        <v>218</v>
      </c>
      <c r="B2529" t="s">
        <v>2377</v>
      </c>
      <c r="C2529" t="s">
        <v>2443</v>
      </c>
      <c r="D2529" t="s">
        <v>2443</v>
      </c>
      <c r="E2529" t="s">
        <v>33</v>
      </c>
      <c r="F2529" t="s">
        <v>3921</v>
      </c>
      <c r="G2529" t="s">
        <v>33</v>
      </c>
      <c r="H2529" t="b">
        <v>1</v>
      </c>
      <c r="I2529" s="8">
        <v>45959.37164351852</v>
      </c>
      <c r="J2529" t="s">
        <v>2380</v>
      </c>
      <c r="L2529">
        <v>608029</v>
      </c>
      <c r="M2529" t="s">
        <v>2381</v>
      </c>
      <c r="Q2529" t="s">
        <v>2383</v>
      </c>
      <c r="R2529">
        <v>1</v>
      </c>
      <c r="S2529" t="s">
        <v>2380</v>
      </c>
      <c r="T2529" t="s">
        <v>2383</v>
      </c>
      <c r="U2529" s="8">
        <v>45952.407430555555</v>
      </c>
      <c r="V2529" s="8">
        <v>45958.958333333336</v>
      </c>
      <c r="W2529">
        <v>1</v>
      </c>
      <c r="X2529">
        <v>4.9642129629999996</v>
      </c>
      <c r="Y2529" t="s">
        <v>1352</v>
      </c>
      <c r="Z2529" t="s">
        <v>8838</v>
      </c>
      <c r="AA2529" t="s">
        <v>3923</v>
      </c>
      <c r="AB2529" t="s">
        <v>1278</v>
      </c>
      <c r="AC2529" t="s">
        <v>8839</v>
      </c>
      <c r="AD2529" t="s">
        <v>2708</v>
      </c>
      <c r="AE2529">
        <v>1</v>
      </c>
      <c r="AH2529" t="s">
        <v>2723</v>
      </c>
      <c r="AI2529" s="8">
        <v>45958.697974537034</v>
      </c>
      <c r="AK2529" t="s">
        <v>2719</v>
      </c>
      <c r="AL2529" t="s">
        <v>2719</v>
      </c>
      <c r="AO2529" t="s">
        <v>2720</v>
      </c>
      <c r="AP2529" t="s">
        <v>2401</v>
      </c>
    </row>
    <row r="2530" spans="1:42">
      <c r="A2530" t="s">
        <v>8462</v>
      </c>
      <c r="B2530" t="s">
        <v>2389</v>
      </c>
      <c r="C2530" t="s">
        <v>2447</v>
      </c>
      <c r="D2530" t="s">
        <v>2379</v>
      </c>
      <c r="E2530" t="s">
        <v>25</v>
      </c>
      <c r="F2530" t="s">
        <v>8456</v>
      </c>
      <c r="G2530" t="s">
        <v>25</v>
      </c>
      <c r="H2530" t="b">
        <v>1</v>
      </c>
      <c r="I2530" s="8">
        <v>45958.666724537034</v>
      </c>
      <c r="J2530" t="s">
        <v>2380</v>
      </c>
      <c r="K2530">
        <v>1205386</v>
      </c>
      <c r="L2530">
        <v>604501</v>
      </c>
      <c r="M2530" t="s">
        <v>2381</v>
      </c>
      <c r="N2530">
        <v>5</v>
      </c>
      <c r="P2530" t="s">
        <v>2394</v>
      </c>
      <c r="Q2530" t="s">
        <v>2395</v>
      </c>
      <c r="R2530">
        <v>1</v>
      </c>
      <c r="S2530" t="s">
        <v>2380</v>
      </c>
      <c r="T2530" t="s">
        <v>2383</v>
      </c>
      <c r="U2530" s="8">
        <v>45952.414178240739</v>
      </c>
      <c r="V2530" s="8">
        <v>45958.958333333336</v>
      </c>
      <c r="W2530">
        <v>1</v>
      </c>
      <c r="X2530">
        <v>4.2525462960000002</v>
      </c>
      <c r="Y2530" t="s">
        <v>8457</v>
      </c>
      <c r="Z2530" t="s">
        <v>8463</v>
      </c>
      <c r="AA2530" t="s">
        <v>8460</v>
      </c>
      <c r="AB2530" t="s">
        <v>1278</v>
      </c>
      <c r="AC2530" t="s">
        <v>8464</v>
      </c>
      <c r="AD2530" t="s">
        <v>2708</v>
      </c>
      <c r="AE2530">
        <v>1</v>
      </c>
      <c r="AO2530" t="s">
        <v>4137</v>
      </c>
      <c r="AP2530" t="s">
        <v>2401</v>
      </c>
    </row>
    <row r="2531" spans="1:42">
      <c r="A2531" t="s">
        <v>4770</v>
      </c>
      <c r="B2531" t="s">
        <v>2389</v>
      </c>
      <c r="C2531" t="s">
        <v>2691</v>
      </c>
      <c r="D2531" t="s">
        <v>2379</v>
      </c>
      <c r="E2531" t="s">
        <v>2452</v>
      </c>
      <c r="F2531" t="s">
        <v>4768</v>
      </c>
      <c r="G2531" t="s">
        <v>2452</v>
      </c>
      <c r="H2531" t="b">
        <v>1</v>
      </c>
      <c r="I2531" s="8">
        <v>45960.388842592591</v>
      </c>
      <c r="J2531" t="s">
        <v>2380</v>
      </c>
      <c r="K2531">
        <v>1205693</v>
      </c>
      <c r="L2531">
        <v>602738</v>
      </c>
      <c r="M2531" t="s">
        <v>2381</v>
      </c>
      <c r="P2531" t="s">
        <v>2394</v>
      </c>
      <c r="Q2531" t="s">
        <v>2383</v>
      </c>
      <c r="R2531">
        <v>1</v>
      </c>
      <c r="S2531" t="s">
        <v>2380</v>
      </c>
      <c r="T2531" t="s">
        <v>2383</v>
      </c>
      <c r="U2531" s="8">
        <v>45952.414178240739</v>
      </c>
      <c r="V2531" s="8">
        <v>45965.958333333336</v>
      </c>
      <c r="W2531">
        <v>1</v>
      </c>
      <c r="X2531">
        <v>5.9746643519999996</v>
      </c>
      <c r="Y2531" t="s">
        <v>4769</v>
      </c>
      <c r="Z2531" t="s">
        <v>4771</v>
      </c>
      <c r="AA2531" t="s">
        <v>4772</v>
      </c>
      <c r="AB2531" t="s">
        <v>1278</v>
      </c>
      <c r="AC2531" t="s">
        <v>4773</v>
      </c>
      <c r="AD2531" t="s">
        <v>2708</v>
      </c>
      <c r="AE2531">
        <v>1</v>
      </c>
      <c r="AO2531" t="s">
        <v>2957</v>
      </c>
      <c r="AP2531" t="s">
        <v>2401</v>
      </c>
    </row>
    <row r="2532" spans="1:42">
      <c r="A2532" t="s">
        <v>3084</v>
      </c>
      <c r="B2532" t="s">
        <v>2389</v>
      </c>
      <c r="C2532" t="s">
        <v>2447</v>
      </c>
      <c r="D2532" t="s">
        <v>2379</v>
      </c>
      <c r="E2532" t="s">
        <v>25</v>
      </c>
      <c r="F2532" t="s">
        <v>2457</v>
      </c>
      <c r="G2532" t="s">
        <v>25</v>
      </c>
      <c r="H2532" t="b">
        <v>1</v>
      </c>
      <c r="I2532" s="8">
        <v>45958.650613425925</v>
      </c>
      <c r="J2532" t="s">
        <v>2380</v>
      </c>
      <c r="K2532">
        <v>1205364</v>
      </c>
      <c r="L2532">
        <v>602770</v>
      </c>
      <c r="M2532" t="s">
        <v>2381</v>
      </c>
      <c r="N2532">
        <v>5</v>
      </c>
      <c r="P2532" t="s">
        <v>2427</v>
      </c>
      <c r="Q2532" t="s">
        <v>2383</v>
      </c>
      <c r="R2532">
        <v>1</v>
      </c>
      <c r="S2532" t="s">
        <v>2380</v>
      </c>
      <c r="T2532" t="s">
        <v>2383</v>
      </c>
      <c r="U2532" s="8">
        <v>45952.414178240739</v>
      </c>
      <c r="V2532" s="8">
        <v>45958.958333333336</v>
      </c>
      <c r="W2532">
        <v>1</v>
      </c>
      <c r="X2532">
        <v>4.2364351850000004</v>
      </c>
      <c r="Y2532" t="s">
        <v>2403</v>
      </c>
      <c r="Z2532" t="s">
        <v>3085</v>
      </c>
      <c r="AA2532" t="s">
        <v>1364</v>
      </c>
      <c r="AB2532" t="s">
        <v>1278</v>
      </c>
      <c r="AC2532" t="s">
        <v>3086</v>
      </c>
      <c r="AD2532" t="s">
        <v>2708</v>
      </c>
      <c r="AE2532">
        <v>1</v>
      </c>
      <c r="AO2532" t="s">
        <v>2408</v>
      </c>
      <c r="AP2532" t="s">
        <v>2401</v>
      </c>
    </row>
    <row r="2533" spans="1:42">
      <c r="A2533" t="s">
        <v>4724</v>
      </c>
      <c r="B2533" t="s">
        <v>2389</v>
      </c>
      <c r="C2533" t="s">
        <v>2390</v>
      </c>
      <c r="D2533" t="s">
        <v>2379</v>
      </c>
      <c r="E2533" t="s">
        <v>2452</v>
      </c>
      <c r="F2533" t="s">
        <v>4722</v>
      </c>
      <c r="G2533" t="s">
        <v>2452</v>
      </c>
      <c r="H2533" t="b">
        <v>1</v>
      </c>
      <c r="I2533" s="8">
        <v>45955.301053240742</v>
      </c>
      <c r="J2533" t="s">
        <v>2380</v>
      </c>
      <c r="K2533">
        <v>1204605</v>
      </c>
      <c r="L2533">
        <v>603590</v>
      </c>
      <c r="M2533" t="s">
        <v>2381</v>
      </c>
      <c r="P2533" t="s">
        <v>2394</v>
      </c>
      <c r="Q2533" t="s">
        <v>2383</v>
      </c>
      <c r="R2533">
        <v>1</v>
      </c>
      <c r="S2533" t="s">
        <v>2380</v>
      </c>
      <c r="T2533" t="s">
        <v>2383</v>
      </c>
      <c r="U2533" s="8">
        <v>45952.420335648145</v>
      </c>
      <c r="V2533" s="8">
        <v>45958.958333333336</v>
      </c>
      <c r="W2533">
        <v>1</v>
      </c>
      <c r="X2533">
        <v>2.880717593</v>
      </c>
      <c r="Y2533" t="s">
        <v>4723</v>
      </c>
      <c r="Z2533" t="s">
        <v>4725</v>
      </c>
      <c r="AA2533" t="s">
        <v>4726</v>
      </c>
      <c r="AB2533" t="s">
        <v>1278</v>
      </c>
      <c r="AC2533" t="s">
        <v>4727</v>
      </c>
      <c r="AD2533" t="s">
        <v>2708</v>
      </c>
      <c r="AE2533">
        <v>1</v>
      </c>
      <c r="AO2533" t="s">
        <v>2957</v>
      </c>
      <c r="AP2533" t="s">
        <v>2401</v>
      </c>
    </row>
    <row r="2534" spans="1:42">
      <c r="A2534" t="s">
        <v>4471</v>
      </c>
      <c r="B2534" t="s">
        <v>2389</v>
      </c>
      <c r="C2534" t="s">
        <v>2390</v>
      </c>
      <c r="D2534" t="s">
        <v>2379</v>
      </c>
      <c r="E2534" t="s">
        <v>2452</v>
      </c>
      <c r="F2534" t="s">
        <v>2578</v>
      </c>
      <c r="G2534" t="s">
        <v>2452</v>
      </c>
      <c r="H2534" t="b">
        <v>1</v>
      </c>
      <c r="I2534" s="8">
        <v>45955.399965277778</v>
      </c>
      <c r="J2534" t="s">
        <v>2380</v>
      </c>
      <c r="K2534">
        <v>1204615</v>
      </c>
      <c r="L2534">
        <v>603777</v>
      </c>
      <c r="M2534" t="s">
        <v>2381</v>
      </c>
      <c r="P2534" t="s">
        <v>2394</v>
      </c>
      <c r="Q2534" t="s">
        <v>2383</v>
      </c>
      <c r="R2534">
        <v>1</v>
      </c>
      <c r="S2534" t="s">
        <v>2380</v>
      </c>
      <c r="T2534" t="s">
        <v>2383</v>
      </c>
      <c r="U2534" s="8">
        <v>45952.421053240738</v>
      </c>
      <c r="V2534" s="8">
        <v>45958.958333333336</v>
      </c>
      <c r="W2534">
        <v>1</v>
      </c>
      <c r="X2534">
        <v>2.9789120370000002</v>
      </c>
      <c r="Y2534" t="s">
        <v>2579</v>
      </c>
      <c r="Z2534" t="s">
        <v>4472</v>
      </c>
      <c r="AA2534" t="s">
        <v>4469</v>
      </c>
      <c r="AB2534" t="s">
        <v>1278</v>
      </c>
      <c r="AC2534" t="s">
        <v>4473</v>
      </c>
      <c r="AD2534" t="s">
        <v>2708</v>
      </c>
      <c r="AE2534">
        <v>1</v>
      </c>
      <c r="AO2534" t="s">
        <v>2388</v>
      </c>
      <c r="AP2534" t="s">
        <v>2401</v>
      </c>
    </row>
    <row r="2535" spans="1:42">
      <c r="A2535" t="s">
        <v>2629</v>
      </c>
      <c r="B2535" t="s">
        <v>2389</v>
      </c>
      <c r="C2535" t="s">
        <v>2378</v>
      </c>
      <c r="D2535" t="s">
        <v>2379</v>
      </c>
      <c r="E2535" t="s">
        <v>25</v>
      </c>
      <c r="F2535" t="s">
        <v>2627</v>
      </c>
      <c r="G2535" t="s">
        <v>25</v>
      </c>
      <c r="H2535" t="b">
        <v>1</v>
      </c>
      <c r="I2535" s="8">
        <v>45955.614942129629</v>
      </c>
      <c r="J2535" t="s">
        <v>2380</v>
      </c>
      <c r="L2535">
        <v>602997</v>
      </c>
      <c r="M2535" t="s">
        <v>2381</v>
      </c>
      <c r="P2535" t="s">
        <v>2394</v>
      </c>
      <c r="Q2535" t="s">
        <v>2383</v>
      </c>
      <c r="R2535">
        <v>1</v>
      </c>
      <c r="S2535" t="s">
        <v>2380</v>
      </c>
      <c r="T2535" t="s">
        <v>2383</v>
      </c>
      <c r="U2535" s="8">
        <v>45952.430277777778</v>
      </c>
      <c r="V2535" s="8">
        <v>45958.958333333336</v>
      </c>
      <c r="W2535">
        <v>1</v>
      </c>
      <c r="X2535">
        <v>3.184664352</v>
      </c>
      <c r="Y2535" t="s">
        <v>2628</v>
      </c>
      <c r="Z2535" t="s">
        <v>2630</v>
      </c>
      <c r="AA2535" t="s">
        <v>2631</v>
      </c>
      <c r="AB2535" t="s">
        <v>1278</v>
      </c>
      <c r="AC2535" t="s">
        <v>2632</v>
      </c>
      <c r="AE2535">
        <v>1</v>
      </c>
      <c r="AO2535" t="s">
        <v>2388</v>
      </c>
      <c r="AP2535" t="s">
        <v>2401</v>
      </c>
    </row>
    <row r="2536" spans="1:42">
      <c r="A2536" t="s">
        <v>4559</v>
      </c>
      <c r="B2536" t="s">
        <v>2389</v>
      </c>
      <c r="C2536" t="s">
        <v>2447</v>
      </c>
      <c r="D2536" t="s">
        <v>2379</v>
      </c>
      <c r="E2536" t="s">
        <v>25</v>
      </c>
      <c r="F2536">
        <v>4227</v>
      </c>
      <c r="G2536" t="s">
        <v>25</v>
      </c>
      <c r="H2536" t="b">
        <v>1</v>
      </c>
      <c r="I2536" s="8">
        <v>45958.552870370368</v>
      </c>
      <c r="J2536" t="s">
        <v>2380</v>
      </c>
      <c r="K2536">
        <v>1204959</v>
      </c>
      <c r="L2536">
        <v>602282</v>
      </c>
      <c r="M2536" t="s">
        <v>2381</v>
      </c>
      <c r="N2536">
        <v>5</v>
      </c>
      <c r="Q2536" t="s">
        <v>2383</v>
      </c>
      <c r="R2536">
        <v>1</v>
      </c>
      <c r="S2536" t="s">
        <v>2380</v>
      </c>
      <c r="T2536" t="s">
        <v>2383</v>
      </c>
      <c r="U2536" s="8">
        <v>45952.434050925927</v>
      </c>
      <c r="V2536" s="8">
        <v>45958.958333333336</v>
      </c>
      <c r="W2536">
        <v>1</v>
      </c>
      <c r="X2536">
        <v>4.1188194439999997</v>
      </c>
      <c r="Y2536" t="s">
        <v>4558</v>
      </c>
      <c r="Z2536" t="s">
        <v>4560</v>
      </c>
      <c r="AA2536" t="s">
        <v>4561</v>
      </c>
      <c r="AB2536" t="s">
        <v>1278</v>
      </c>
      <c r="AC2536" t="s">
        <v>4562</v>
      </c>
      <c r="AD2536" t="s">
        <v>2708</v>
      </c>
      <c r="AE2536">
        <v>1</v>
      </c>
      <c r="AO2536" t="s">
        <v>2388</v>
      </c>
      <c r="AP2536" t="s">
        <v>2401</v>
      </c>
    </row>
    <row r="2537" spans="1:42">
      <c r="A2537" t="s">
        <v>4563</v>
      </c>
      <c r="B2537" t="s">
        <v>2389</v>
      </c>
      <c r="C2537" t="s">
        <v>2447</v>
      </c>
      <c r="D2537" t="s">
        <v>2379</v>
      </c>
      <c r="E2537" t="s">
        <v>25</v>
      </c>
      <c r="F2537">
        <v>4227</v>
      </c>
      <c r="G2537" t="s">
        <v>25</v>
      </c>
      <c r="H2537" t="b">
        <v>1</v>
      </c>
      <c r="I2537" s="8">
        <v>45958.550034722219</v>
      </c>
      <c r="J2537" t="s">
        <v>2380</v>
      </c>
      <c r="K2537">
        <v>1204957</v>
      </c>
      <c r="L2537">
        <v>602282</v>
      </c>
      <c r="M2537" t="s">
        <v>2381</v>
      </c>
      <c r="N2537">
        <v>5</v>
      </c>
      <c r="Q2537" t="s">
        <v>2383</v>
      </c>
      <c r="R2537">
        <v>1</v>
      </c>
      <c r="S2537" t="s">
        <v>2380</v>
      </c>
      <c r="T2537" t="s">
        <v>2383</v>
      </c>
      <c r="U2537" s="8">
        <v>45952.434641203705</v>
      </c>
      <c r="V2537" s="8">
        <v>45958.958333333336</v>
      </c>
      <c r="W2537">
        <v>1</v>
      </c>
      <c r="X2537">
        <v>4.1153935190000004</v>
      </c>
      <c r="Y2537" t="s">
        <v>4558</v>
      </c>
      <c r="Z2537" t="s">
        <v>4564</v>
      </c>
      <c r="AA2537" t="s">
        <v>4561</v>
      </c>
      <c r="AB2537" t="s">
        <v>1278</v>
      </c>
      <c r="AC2537" t="s">
        <v>4565</v>
      </c>
      <c r="AD2537" t="s">
        <v>2708</v>
      </c>
      <c r="AE2537">
        <v>1</v>
      </c>
      <c r="AO2537" t="s">
        <v>2388</v>
      </c>
      <c r="AP2537" t="s">
        <v>2401</v>
      </c>
    </row>
    <row r="2538" spans="1:42">
      <c r="A2538" t="s">
        <v>4590</v>
      </c>
      <c r="B2538" t="s">
        <v>2389</v>
      </c>
      <c r="C2538" t="s">
        <v>2378</v>
      </c>
      <c r="D2538" t="s">
        <v>2379</v>
      </c>
      <c r="E2538" t="s">
        <v>25</v>
      </c>
      <c r="F2538" t="s">
        <v>2578</v>
      </c>
      <c r="G2538" t="s">
        <v>25</v>
      </c>
      <c r="H2538" t="b">
        <v>1</v>
      </c>
      <c r="I2538" s="8">
        <v>45955.580034722225</v>
      </c>
      <c r="J2538" t="s">
        <v>2380</v>
      </c>
      <c r="K2538">
        <v>1204649</v>
      </c>
      <c r="L2538">
        <v>603186</v>
      </c>
      <c r="M2538" t="s">
        <v>2381</v>
      </c>
      <c r="N2538">
        <v>5</v>
      </c>
      <c r="P2538" t="s">
        <v>2394</v>
      </c>
      <c r="Q2538" t="s">
        <v>2383</v>
      </c>
      <c r="R2538">
        <v>1</v>
      </c>
      <c r="S2538" t="s">
        <v>2380</v>
      </c>
      <c r="T2538" t="s">
        <v>2383</v>
      </c>
      <c r="U2538" s="8">
        <v>45952.44222222222</v>
      </c>
      <c r="V2538" s="8">
        <v>45958.958333333336</v>
      </c>
      <c r="W2538">
        <v>1</v>
      </c>
      <c r="X2538">
        <v>3.1378124999999999</v>
      </c>
      <c r="Y2538" t="s">
        <v>2579</v>
      </c>
      <c r="Z2538" t="s">
        <v>4591</v>
      </c>
      <c r="AA2538" t="s">
        <v>4592</v>
      </c>
      <c r="AB2538" t="s">
        <v>1278</v>
      </c>
      <c r="AC2538" t="s">
        <v>4593</v>
      </c>
      <c r="AD2538" t="s">
        <v>2708</v>
      </c>
      <c r="AE2538">
        <v>1</v>
      </c>
      <c r="AO2538" t="s">
        <v>2388</v>
      </c>
      <c r="AP2538" t="s">
        <v>2401</v>
      </c>
    </row>
    <row r="2539" spans="1:42">
      <c r="A2539" t="s">
        <v>8487</v>
      </c>
      <c r="B2539" t="s">
        <v>2389</v>
      </c>
      <c r="C2539" t="s">
        <v>2378</v>
      </c>
      <c r="D2539" t="s">
        <v>2379</v>
      </c>
      <c r="E2539" t="s">
        <v>25</v>
      </c>
      <c r="F2539">
        <v>4240</v>
      </c>
      <c r="G2539" t="s">
        <v>25</v>
      </c>
      <c r="H2539" t="b">
        <v>1</v>
      </c>
      <c r="I2539" s="8">
        <v>45958.404629629629</v>
      </c>
      <c r="J2539" t="s">
        <v>2380</v>
      </c>
      <c r="K2539">
        <v>1204802</v>
      </c>
      <c r="L2539">
        <v>604106</v>
      </c>
      <c r="M2539" t="s">
        <v>2381</v>
      </c>
      <c r="N2539">
        <v>5</v>
      </c>
      <c r="P2539" t="s">
        <v>2394</v>
      </c>
      <c r="Q2539" t="s">
        <v>2395</v>
      </c>
      <c r="R2539">
        <v>1</v>
      </c>
      <c r="S2539" t="s">
        <v>2380</v>
      </c>
      <c r="T2539" t="s">
        <v>2383</v>
      </c>
      <c r="U2539" s="8">
        <v>45952.443553240744</v>
      </c>
      <c r="V2539" s="8">
        <v>45961.958333333336</v>
      </c>
      <c r="W2539">
        <v>1</v>
      </c>
      <c r="X2539">
        <v>3.961076389</v>
      </c>
      <c r="Y2539" t="s">
        <v>8134</v>
      </c>
      <c r="Z2539" t="s">
        <v>8488</v>
      </c>
      <c r="AA2539" t="s">
        <v>8137</v>
      </c>
      <c r="AB2539" t="s">
        <v>1278</v>
      </c>
      <c r="AC2539" t="s">
        <v>8489</v>
      </c>
      <c r="AD2539" t="s">
        <v>2708</v>
      </c>
      <c r="AE2539">
        <v>1</v>
      </c>
      <c r="AO2539" t="s">
        <v>4137</v>
      </c>
      <c r="AP2539" t="s">
        <v>2401</v>
      </c>
    </row>
    <row r="2540" spans="1:42">
      <c r="A2540" t="s">
        <v>8453</v>
      </c>
      <c r="B2540" t="s">
        <v>2389</v>
      </c>
      <c r="C2540" t="s">
        <v>2378</v>
      </c>
      <c r="D2540" t="s">
        <v>2379</v>
      </c>
      <c r="E2540" t="s">
        <v>25</v>
      </c>
      <c r="F2540" t="s">
        <v>8239</v>
      </c>
      <c r="G2540" t="s">
        <v>25</v>
      </c>
      <c r="H2540" t="b">
        <v>1</v>
      </c>
      <c r="I2540" s="8">
        <v>45955.566180555557</v>
      </c>
      <c r="J2540" t="s">
        <v>2380</v>
      </c>
      <c r="K2540">
        <v>1204644</v>
      </c>
      <c r="L2540">
        <v>604452</v>
      </c>
      <c r="M2540" t="s">
        <v>2381</v>
      </c>
      <c r="N2540">
        <v>5</v>
      </c>
      <c r="P2540" t="s">
        <v>2394</v>
      </c>
      <c r="Q2540" t="s">
        <v>2395</v>
      </c>
      <c r="R2540">
        <v>1</v>
      </c>
      <c r="S2540" t="s">
        <v>2380</v>
      </c>
      <c r="T2540" t="s">
        <v>2383</v>
      </c>
      <c r="U2540" s="8">
        <v>45952.449942129628</v>
      </c>
      <c r="V2540" s="8">
        <v>45958.958333333336</v>
      </c>
      <c r="W2540">
        <v>1</v>
      </c>
      <c r="X2540">
        <v>3.1162384259999998</v>
      </c>
      <c r="Y2540" t="s">
        <v>8240</v>
      </c>
      <c r="Z2540" t="s">
        <v>8454</v>
      </c>
      <c r="AA2540" t="s">
        <v>8243</v>
      </c>
      <c r="AB2540" t="s">
        <v>1278</v>
      </c>
      <c r="AC2540" t="s">
        <v>8455</v>
      </c>
      <c r="AD2540" t="s">
        <v>2708</v>
      </c>
      <c r="AE2540">
        <v>1</v>
      </c>
      <c r="AO2540" t="s">
        <v>4137</v>
      </c>
      <c r="AP2540" t="s">
        <v>2401</v>
      </c>
    </row>
    <row r="2541" spans="1:42">
      <c r="A2541" t="s">
        <v>3021</v>
      </c>
      <c r="B2541" t="s">
        <v>2389</v>
      </c>
      <c r="C2541" t="s">
        <v>2447</v>
      </c>
      <c r="D2541" t="s">
        <v>2379</v>
      </c>
      <c r="E2541" t="s">
        <v>25</v>
      </c>
      <c r="F2541" t="s">
        <v>2409</v>
      </c>
      <c r="G2541" t="s">
        <v>25</v>
      </c>
      <c r="H2541" t="b">
        <v>1</v>
      </c>
      <c r="I2541" s="8">
        <v>45958.631192129629</v>
      </c>
      <c r="J2541" t="s">
        <v>2380</v>
      </c>
      <c r="K2541">
        <v>1204616</v>
      </c>
      <c r="L2541">
        <v>606815</v>
      </c>
      <c r="M2541" t="s">
        <v>2381</v>
      </c>
      <c r="P2541" t="s">
        <v>2394</v>
      </c>
      <c r="Q2541" t="s">
        <v>2383</v>
      </c>
      <c r="R2541">
        <v>1</v>
      </c>
      <c r="S2541" t="s">
        <v>2380</v>
      </c>
      <c r="T2541" t="s">
        <v>2383</v>
      </c>
      <c r="U2541" s="8">
        <v>45952.463333333333</v>
      </c>
      <c r="V2541" s="8">
        <v>45958.958333333336</v>
      </c>
      <c r="W2541">
        <v>1</v>
      </c>
      <c r="X2541">
        <v>4.167858796</v>
      </c>
      <c r="Y2541" t="s">
        <v>2410</v>
      </c>
      <c r="Z2541" t="s">
        <v>3022</v>
      </c>
      <c r="AA2541" t="s">
        <v>2413</v>
      </c>
      <c r="AB2541" t="s">
        <v>1278</v>
      </c>
      <c r="AC2541" t="s">
        <v>3023</v>
      </c>
      <c r="AD2541" t="s">
        <v>2708</v>
      </c>
      <c r="AE2541">
        <v>1</v>
      </c>
      <c r="AO2541" t="s">
        <v>2408</v>
      </c>
      <c r="AP2541" t="s">
        <v>2401</v>
      </c>
    </row>
    <row r="2542" spans="1:42">
      <c r="A2542" t="s">
        <v>8490</v>
      </c>
      <c r="B2542" t="s">
        <v>2389</v>
      </c>
      <c r="C2542" t="s">
        <v>2378</v>
      </c>
      <c r="D2542" t="s">
        <v>2379</v>
      </c>
      <c r="E2542" t="s">
        <v>25</v>
      </c>
      <c r="F2542">
        <v>4240</v>
      </c>
      <c r="G2542" t="s">
        <v>25</v>
      </c>
      <c r="H2542" t="b">
        <v>1</v>
      </c>
      <c r="I2542" s="8">
        <v>45955.593819444446</v>
      </c>
      <c r="J2542" t="s">
        <v>2380</v>
      </c>
      <c r="K2542">
        <v>1204651</v>
      </c>
      <c r="L2542">
        <v>604106</v>
      </c>
      <c r="M2542" t="s">
        <v>2381</v>
      </c>
      <c r="N2542">
        <v>5</v>
      </c>
      <c r="P2542" t="s">
        <v>2394</v>
      </c>
      <c r="Q2542" t="s">
        <v>2395</v>
      </c>
      <c r="R2542">
        <v>1</v>
      </c>
      <c r="S2542" t="s">
        <v>2380</v>
      </c>
      <c r="T2542" t="s">
        <v>2383</v>
      </c>
      <c r="U2542" s="8">
        <v>45952.476006944446</v>
      </c>
      <c r="V2542" s="8">
        <v>45958.958333333336</v>
      </c>
      <c r="W2542">
        <v>1</v>
      </c>
      <c r="X2542">
        <v>3.1178124999999999</v>
      </c>
      <c r="Y2542" t="s">
        <v>8134</v>
      </c>
      <c r="Z2542" t="s">
        <v>8491</v>
      </c>
      <c r="AA2542" t="s">
        <v>8137</v>
      </c>
      <c r="AB2542" t="s">
        <v>1278</v>
      </c>
      <c r="AD2542" t="s">
        <v>2708</v>
      </c>
      <c r="AE2542">
        <v>1</v>
      </c>
      <c r="AO2542" t="s">
        <v>4137</v>
      </c>
      <c r="AP2542" t="s">
        <v>2401</v>
      </c>
    </row>
    <row r="2543" spans="1:42">
      <c r="A2543" t="s">
        <v>8671</v>
      </c>
      <c r="B2543" t="s">
        <v>2389</v>
      </c>
      <c r="C2543" t="s">
        <v>2447</v>
      </c>
      <c r="D2543" t="s">
        <v>2379</v>
      </c>
      <c r="E2543" t="s">
        <v>25</v>
      </c>
      <c r="F2543" t="s">
        <v>3747</v>
      </c>
      <c r="G2543" t="s">
        <v>25</v>
      </c>
      <c r="H2543" t="b">
        <v>1</v>
      </c>
      <c r="I2543" s="8">
        <v>45958.654502314814</v>
      </c>
      <c r="J2543" t="s">
        <v>2380</v>
      </c>
      <c r="K2543">
        <v>1205368</v>
      </c>
      <c r="L2543">
        <v>609714</v>
      </c>
      <c r="M2543" t="s">
        <v>2381</v>
      </c>
      <c r="N2543">
        <v>5</v>
      </c>
      <c r="P2543" t="s">
        <v>2394</v>
      </c>
      <c r="Q2543" t="s">
        <v>2383</v>
      </c>
      <c r="R2543">
        <v>1</v>
      </c>
      <c r="S2543" t="s">
        <v>2380</v>
      </c>
      <c r="T2543" t="s">
        <v>2383</v>
      </c>
      <c r="U2543" s="8">
        <v>45952.488842592589</v>
      </c>
      <c r="V2543" s="8">
        <v>45958.958333333336</v>
      </c>
      <c r="W2543">
        <v>1</v>
      </c>
      <c r="X2543">
        <v>4.165659722</v>
      </c>
      <c r="Y2543" t="s">
        <v>3748</v>
      </c>
      <c r="Z2543" t="s">
        <v>8672</v>
      </c>
      <c r="AA2543" t="s">
        <v>3803</v>
      </c>
      <c r="AB2543" t="s">
        <v>1278</v>
      </c>
      <c r="AC2543" t="s">
        <v>8673</v>
      </c>
      <c r="AD2543" t="s">
        <v>2708</v>
      </c>
      <c r="AE2543">
        <v>1</v>
      </c>
      <c r="AO2543" t="s">
        <v>2712</v>
      </c>
      <c r="AP2543" t="s">
        <v>2401</v>
      </c>
    </row>
    <row r="2544" spans="1:42">
      <c r="A2544" t="s">
        <v>2658</v>
      </c>
      <c r="B2544" t="s">
        <v>2389</v>
      </c>
      <c r="C2544" t="s">
        <v>2390</v>
      </c>
      <c r="D2544" t="s">
        <v>2379</v>
      </c>
      <c r="E2544" t="s">
        <v>2452</v>
      </c>
      <c r="F2544" t="s">
        <v>2578</v>
      </c>
      <c r="G2544" t="s">
        <v>2452</v>
      </c>
      <c r="H2544" t="b">
        <v>1</v>
      </c>
      <c r="I2544" s="8">
        <v>45955.403287037036</v>
      </c>
      <c r="J2544" t="s">
        <v>2380</v>
      </c>
      <c r="L2544">
        <v>603617</v>
      </c>
      <c r="M2544" t="s">
        <v>2381</v>
      </c>
      <c r="P2544" t="s">
        <v>2394</v>
      </c>
      <c r="Q2544" t="s">
        <v>2383</v>
      </c>
      <c r="R2544">
        <v>1</v>
      </c>
      <c r="S2544" t="s">
        <v>2380</v>
      </c>
      <c r="T2544" t="s">
        <v>2383</v>
      </c>
      <c r="U2544" s="8">
        <v>45952.496481481481</v>
      </c>
      <c r="V2544" s="8">
        <v>45958.958333333336</v>
      </c>
      <c r="W2544">
        <v>1</v>
      </c>
      <c r="X2544">
        <v>2.9068055560000001</v>
      </c>
      <c r="Y2544" t="s">
        <v>2579</v>
      </c>
      <c r="Z2544" t="s">
        <v>2659</v>
      </c>
      <c r="AA2544" t="s">
        <v>2660</v>
      </c>
      <c r="AB2544" t="s">
        <v>1278</v>
      </c>
      <c r="AC2544" t="s">
        <v>2661</v>
      </c>
      <c r="AE2544">
        <v>1</v>
      </c>
      <c r="AO2544" t="s">
        <v>2388</v>
      </c>
      <c r="AP2544" t="s">
        <v>2401</v>
      </c>
    </row>
    <row r="2545" spans="1:42">
      <c r="A2545" t="s">
        <v>3176</v>
      </c>
      <c r="B2545" t="s">
        <v>2389</v>
      </c>
      <c r="C2545" t="s">
        <v>2378</v>
      </c>
      <c r="D2545" t="s">
        <v>2379</v>
      </c>
      <c r="E2545" t="s">
        <v>25</v>
      </c>
      <c r="F2545" t="s">
        <v>2541</v>
      </c>
      <c r="G2545" t="s">
        <v>25</v>
      </c>
      <c r="H2545" t="b">
        <v>1</v>
      </c>
      <c r="I2545" s="8">
        <v>45955.555763888886</v>
      </c>
      <c r="J2545" t="s">
        <v>2380</v>
      </c>
      <c r="K2545">
        <v>1204643</v>
      </c>
      <c r="L2545">
        <v>601441</v>
      </c>
      <c r="M2545" t="s">
        <v>2381</v>
      </c>
      <c r="N2545">
        <v>5</v>
      </c>
      <c r="P2545" t="s">
        <v>2548</v>
      </c>
      <c r="Q2545" t="s">
        <v>2383</v>
      </c>
      <c r="R2545">
        <v>1</v>
      </c>
      <c r="S2545" t="s">
        <v>2380</v>
      </c>
      <c r="T2545" t="s">
        <v>2383</v>
      </c>
      <c r="U2545" s="8">
        <v>45952.498749999999</v>
      </c>
      <c r="V2545" s="8">
        <v>45958.958333333336</v>
      </c>
      <c r="W2545">
        <v>1</v>
      </c>
      <c r="X2545">
        <v>3.0570138889999998</v>
      </c>
      <c r="Y2545" t="s">
        <v>2542</v>
      </c>
      <c r="Z2545" t="s">
        <v>3177</v>
      </c>
      <c r="AA2545" t="s">
        <v>2884</v>
      </c>
      <c r="AB2545" t="s">
        <v>1278</v>
      </c>
      <c r="AC2545" t="s">
        <v>3178</v>
      </c>
      <c r="AD2545" t="s">
        <v>2708</v>
      </c>
      <c r="AE2545">
        <v>1</v>
      </c>
      <c r="AO2545" t="s">
        <v>2547</v>
      </c>
      <c r="AP2545" t="s">
        <v>2401</v>
      </c>
    </row>
    <row r="2546" spans="1:42">
      <c r="A2546" t="s">
        <v>8471</v>
      </c>
      <c r="B2546" t="s">
        <v>2389</v>
      </c>
      <c r="C2546" t="s">
        <v>2378</v>
      </c>
      <c r="D2546" t="s">
        <v>2379</v>
      </c>
      <c r="E2546" t="s">
        <v>25</v>
      </c>
      <c r="F2546" t="s">
        <v>2578</v>
      </c>
      <c r="G2546" t="s">
        <v>25</v>
      </c>
      <c r="H2546" t="b">
        <v>1</v>
      </c>
      <c r="I2546" s="8">
        <v>45955.582881944443</v>
      </c>
      <c r="J2546" t="s">
        <v>2380</v>
      </c>
      <c r="K2546">
        <v>1204650</v>
      </c>
      <c r="L2546">
        <v>604253</v>
      </c>
      <c r="M2546" t="s">
        <v>2381</v>
      </c>
      <c r="N2546">
        <v>5</v>
      </c>
      <c r="P2546" t="s">
        <v>2394</v>
      </c>
      <c r="Q2546" t="s">
        <v>2395</v>
      </c>
      <c r="R2546">
        <v>1</v>
      </c>
      <c r="S2546" t="s">
        <v>2380</v>
      </c>
      <c r="T2546" t="s">
        <v>2383</v>
      </c>
      <c r="U2546" s="8">
        <v>45952.502835648149</v>
      </c>
      <c r="V2546" s="8">
        <v>45958.958333333336</v>
      </c>
      <c r="W2546">
        <v>1</v>
      </c>
      <c r="X2546">
        <v>3.0800462959999999</v>
      </c>
      <c r="Y2546" t="s">
        <v>2579</v>
      </c>
      <c r="Z2546" t="s">
        <v>8472</v>
      </c>
      <c r="AA2546" t="s">
        <v>8193</v>
      </c>
      <c r="AB2546" t="s">
        <v>1278</v>
      </c>
      <c r="AC2546" t="s">
        <v>8473</v>
      </c>
      <c r="AD2546" t="s">
        <v>2708</v>
      </c>
      <c r="AE2546">
        <v>1</v>
      </c>
      <c r="AO2546" t="s">
        <v>4137</v>
      </c>
      <c r="AP2546" t="s">
        <v>2401</v>
      </c>
    </row>
    <row r="2547" spans="1:42">
      <c r="A2547" t="s">
        <v>8567</v>
      </c>
      <c r="B2547" t="s">
        <v>2389</v>
      </c>
      <c r="C2547" t="s">
        <v>2390</v>
      </c>
      <c r="D2547" t="s">
        <v>2379</v>
      </c>
      <c r="E2547" t="s">
        <v>2452</v>
      </c>
      <c r="F2547" t="s">
        <v>8565</v>
      </c>
      <c r="G2547" t="s">
        <v>2452</v>
      </c>
      <c r="H2547" t="b">
        <v>1</v>
      </c>
      <c r="I2547" s="8">
        <v>45955.349039351851</v>
      </c>
      <c r="J2547" t="s">
        <v>2380</v>
      </c>
      <c r="K2547">
        <v>1204611</v>
      </c>
      <c r="L2547">
        <v>603331</v>
      </c>
      <c r="M2547" t="s">
        <v>2381</v>
      </c>
      <c r="P2547" t="s">
        <v>2394</v>
      </c>
      <c r="Q2547" t="s">
        <v>2383</v>
      </c>
      <c r="R2547">
        <v>1</v>
      </c>
      <c r="S2547" t="s">
        <v>2380</v>
      </c>
      <c r="T2547" t="s">
        <v>2383</v>
      </c>
      <c r="U2547" s="8">
        <v>45952.504293981481</v>
      </c>
      <c r="V2547" s="8">
        <v>45958.958333333336</v>
      </c>
      <c r="W2547">
        <v>1</v>
      </c>
      <c r="X2547">
        <v>2.8447453700000001</v>
      </c>
      <c r="Y2547" t="s">
        <v>8566</v>
      </c>
      <c r="Z2547" t="s">
        <v>8568</v>
      </c>
      <c r="AA2547" t="s">
        <v>8569</v>
      </c>
      <c r="AB2547" t="s">
        <v>1278</v>
      </c>
      <c r="AC2547" t="s">
        <v>8570</v>
      </c>
      <c r="AD2547" t="s">
        <v>2708</v>
      </c>
      <c r="AE2547">
        <v>1</v>
      </c>
      <c r="AO2547" t="s">
        <v>3608</v>
      </c>
      <c r="AP2547" t="s">
        <v>2401</v>
      </c>
    </row>
    <row r="2548" spans="1:42">
      <c r="A2548" t="s">
        <v>4740</v>
      </c>
      <c r="B2548" t="s">
        <v>2389</v>
      </c>
      <c r="C2548" t="s">
        <v>2390</v>
      </c>
      <c r="D2548" t="s">
        <v>2379</v>
      </c>
      <c r="E2548" t="s">
        <v>2452</v>
      </c>
      <c r="F2548" t="s">
        <v>3514</v>
      </c>
      <c r="G2548" t="s">
        <v>2452</v>
      </c>
      <c r="H2548" t="b">
        <v>1</v>
      </c>
      <c r="I2548" s="8">
        <v>45955.30978009259</v>
      </c>
      <c r="J2548" t="s">
        <v>2380</v>
      </c>
      <c r="K2548">
        <v>1204606</v>
      </c>
      <c r="L2548">
        <v>603695</v>
      </c>
      <c r="M2548" t="s">
        <v>2381</v>
      </c>
      <c r="P2548" t="s">
        <v>2394</v>
      </c>
      <c r="Q2548" t="s">
        <v>2383</v>
      </c>
      <c r="R2548">
        <v>1</v>
      </c>
      <c r="S2548" t="s">
        <v>2380</v>
      </c>
      <c r="T2548" t="s">
        <v>2383</v>
      </c>
      <c r="U2548" s="8">
        <v>45952.514918981484</v>
      </c>
      <c r="V2548" s="8">
        <v>45958.958333333336</v>
      </c>
      <c r="W2548">
        <v>1</v>
      </c>
      <c r="X2548">
        <v>2.7948611109999999</v>
      </c>
      <c r="Y2548" t="s">
        <v>3515</v>
      </c>
      <c r="Z2548" t="s">
        <v>4741</v>
      </c>
      <c r="AA2548" t="s">
        <v>3518</v>
      </c>
      <c r="AB2548" t="s">
        <v>1278</v>
      </c>
      <c r="AC2548" t="s">
        <v>4742</v>
      </c>
      <c r="AD2548" t="s">
        <v>2708</v>
      </c>
      <c r="AE2548">
        <v>1</v>
      </c>
      <c r="AO2548" t="s">
        <v>2957</v>
      </c>
      <c r="AP2548" t="s">
        <v>2401</v>
      </c>
    </row>
    <row r="2549" spans="1:42">
      <c r="A2549" t="s">
        <v>8437</v>
      </c>
      <c r="B2549" t="s">
        <v>2389</v>
      </c>
      <c r="C2549" t="s">
        <v>2378</v>
      </c>
      <c r="D2549" t="s">
        <v>2379</v>
      </c>
      <c r="E2549" t="s">
        <v>25</v>
      </c>
      <c r="F2549" t="s">
        <v>2578</v>
      </c>
      <c r="G2549" t="s">
        <v>25</v>
      </c>
      <c r="H2549" t="b">
        <v>1</v>
      </c>
      <c r="I2549" s="8">
        <v>45958.43540509259</v>
      </c>
      <c r="J2549" t="s">
        <v>2380</v>
      </c>
      <c r="K2549">
        <v>1204850</v>
      </c>
      <c r="L2549">
        <v>604455</v>
      </c>
      <c r="M2549" t="s">
        <v>2381</v>
      </c>
      <c r="N2549">
        <v>5</v>
      </c>
      <c r="Q2549" t="s">
        <v>2395</v>
      </c>
      <c r="R2549">
        <v>1</v>
      </c>
      <c r="S2549" t="s">
        <v>2380</v>
      </c>
      <c r="T2549" t="s">
        <v>2383</v>
      </c>
      <c r="U2549" s="8">
        <v>45952.522060185183</v>
      </c>
      <c r="V2549" s="8">
        <v>45958.958333333336</v>
      </c>
      <c r="W2549">
        <v>1</v>
      </c>
      <c r="X2549">
        <v>3.9133449069999999</v>
      </c>
      <c r="Y2549" t="s">
        <v>2579</v>
      </c>
      <c r="Z2549" t="s">
        <v>8438</v>
      </c>
      <c r="AA2549" t="s">
        <v>3661</v>
      </c>
      <c r="AB2549" t="s">
        <v>1278</v>
      </c>
      <c r="AC2549" t="s">
        <v>8439</v>
      </c>
      <c r="AD2549" t="s">
        <v>2708</v>
      </c>
      <c r="AE2549">
        <v>1</v>
      </c>
      <c r="AO2549" t="s">
        <v>4137</v>
      </c>
      <c r="AP2549" t="s">
        <v>2401</v>
      </c>
    </row>
    <row r="2550" spans="1:42">
      <c r="A2550" t="s">
        <v>8795</v>
      </c>
      <c r="B2550" t="s">
        <v>2389</v>
      </c>
      <c r="C2550" t="s">
        <v>2447</v>
      </c>
      <c r="D2550" t="s">
        <v>2379</v>
      </c>
      <c r="E2550" t="s">
        <v>25</v>
      </c>
      <c r="F2550" t="s">
        <v>3491</v>
      </c>
      <c r="G2550" t="s">
        <v>33</v>
      </c>
      <c r="H2550" t="b">
        <v>1</v>
      </c>
      <c r="I2550" s="8">
        <v>45958.678703703707</v>
      </c>
      <c r="J2550" t="s">
        <v>2380</v>
      </c>
      <c r="K2550">
        <v>1204639</v>
      </c>
      <c r="L2550">
        <v>602666</v>
      </c>
      <c r="M2550" t="s">
        <v>2381</v>
      </c>
      <c r="N2550">
        <v>5</v>
      </c>
      <c r="P2550" t="s">
        <v>2394</v>
      </c>
      <c r="Q2550" t="s">
        <v>2383</v>
      </c>
      <c r="R2550">
        <v>1</v>
      </c>
      <c r="S2550" t="s">
        <v>2380</v>
      </c>
      <c r="T2550" t="s">
        <v>2383</v>
      </c>
      <c r="U2550" s="8">
        <v>45952.538113425922</v>
      </c>
      <c r="V2550" s="8">
        <v>45958.958333333336</v>
      </c>
      <c r="W2550">
        <v>1</v>
      </c>
      <c r="X2550">
        <v>4.1405902780000003</v>
      </c>
      <c r="Y2550" t="s">
        <v>3492</v>
      </c>
      <c r="Z2550" t="s">
        <v>8796</v>
      </c>
      <c r="AA2550" t="s">
        <v>3495</v>
      </c>
      <c r="AB2550" t="s">
        <v>1278</v>
      </c>
      <c r="AC2550" t="s">
        <v>8797</v>
      </c>
      <c r="AD2550" t="s">
        <v>2708</v>
      </c>
      <c r="AE2550">
        <v>1</v>
      </c>
      <c r="AH2550" t="s">
        <v>33</v>
      </c>
      <c r="AI2550" s="8">
        <v>45958.644525462965</v>
      </c>
      <c r="AK2550" t="s">
        <v>2719</v>
      </c>
      <c r="AL2550" t="s">
        <v>2719</v>
      </c>
      <c r="AO2550" t="s">
        <v>2957</v>
      </c>
      <c r="AP2550" t="s">
        <v>2401</v>
      </c>
    </row>
    <row r="2551" spans="1:42">
      <c r="A2551" t="s">
        <v>2458</v>
      </c>
      <c r="B2551" t="s">
        <v>2389</v>
      </c>
      <c r="C2551" t="s">
        <v>2390</v>
      </c>
      <c r="D2551" t="s">
        <v>2379</v>
      </c>
      <c r="E2551" t="s">
        <v>2452</v>
      </c>
      <c r="F2551" t="s">
        <v>2457</v>
      </c>
      <c r="G2551" t="s">
        <v>2452</v>
      </c>
      <c r="H2551" t="b">
        <v>1</v>
      </c>
      <c r="I2551" s="8">
        <v>45955.304710648146</v>
      </c>
      <c r="J2551" t="s">
        <v>2380</v>
      </c>
      <c r="L2551">
        <v>602770</v>
      </c>
      <c r="M2551" t="s">
        <v>2381</v>
      </c>
      <c r="P2551" t="s">
        <v>2394</v>
      </c>
      <c r="Q2551" t="s">
        <v>2383</v>
      </c>
      <c r="R2551">
        <v>1</v>
      </c>
      <c r="S2551" t="s">
        <v>2380</v>
      </c>
      <c r="T2551" t="s">
        <v>2383</v>
      </c>
      <c r="U2551" s="8">
        <v>45952.570486111108</v>
      </c>
      <c r="V2551" s="8">
        <v>45958.958333333336</v>
      </c>
      <c r="W2551">
        <v>1</v>
      </c>
      <c r="X2551">
        <v>2.7342245369999998</v>
      </c>
      <c r="Y2551" t="s">
        <v>2403</v>
      </c>
      <c r="Z2551" t="s">
        <v>2459</v>
      </c>
      <c r="AA2551" t="s">
        <v>1364</v>
      </c>
      <c r="AB2551" t="s">
        <v>1278</v>
      </c>
      <c r="AC2551" t="s">
        <v>2460</v>
      </c>
      <c r="AE2551">
        <v>1</v>
      </c>
      <c r="AO2551" t="s">
        <v>2408</v>
      </c>
      <c r="AP2551" t="s">
        <v>2401</v>
      </c>
    </row>
    <row r="2552" spans="1:42">
      <c r="A2552" t="s">
        <v>4728</v>
      </c>
      <c r="B2552" t="s">
        <v>2389</v>
      </c>
      <c r="C2552" t="s">
        <v>2447</v>
      </c>
      <c r="D2552" t="s">
        <v>2379</v>
      </c>
      <c r="E2552" t="s">
        <v>2452</v>
      </c>
      <c r="F2552" t="s">
        <v>4676</v>
      </c>
      <c r="G2552" t="s">
        <v>2452</v>
      </c>
      <c r="H2552" t="b">
        <v>1</v>
      </c>
      <c r="I2552" s="8">
        <v>45959.363217592596</v>
      </c>
      <c r="J2552" t="s">
        <v>2380</v>
      </c>
      <c r="K2552">
        <v>1204609</v>
      </c>
      <c r="L2552">
        <v>602586</v>
      </c>
      <c r="M2552" t="s">
        <v>2381</v>
      </c>
      <c r="P2552" t="s">
        <v>2394</v>
      </c>
      <c r="Q2552" t="s">
        <v>2383</v>
      </c>
      <c r="R2552">
        <v>1</v>
      </c>
      <c r="S2552" t="s">
        <v>2380</v>
      </c>
      <c r="T2552" t="s">
        <v>2383</v>
      </c>
      <c r="U2552" s="8">
        <v>45952.571134259262</v>
      </c>
      <c r="V2552" s="8">
        <v>45964.958333333336</v>
      </c>
      <c r="W2552">
        <v>1</v>
      </c>
      <c r="X2552">
        <v>4.7920833329999999</v>
      </c>
      <c r="Y2552" t="s">
        <v>4677</v>
      </c>
      <c r="Z2552" t="s">
        <v>4729</v>
      </c>
      <c r="AA2552" t="s">
        <v>4680</v>
      </c>
      <c r="AB2552" t="s">
        <v>1278</v>
      </c>
      <c r="AC2552" t="s">
        <v>4730</v>
      </c>
      <c r="AD2552" t="s">
        <v>2708</v>
      </c>
      <c r="AE2552">
        <v>1</v>
      </c>
      <c r="AO2552" t="s">
        <v>2957</v>
      </c>
      <c r="AP2552" t="s">
        <v>2401</v>
      </c>
    </row>
    <row r="2553" spans="1:42">
      <c r="A2553" t="s">
        <v>4753</v>
      </c>
      <c r="B2553" t="s">
        <v>2389</v>
      </c>
      <c r="C2553" t="s">
        <v>2390</v>
      </c>
      <c r="D2553" t="s">
        <v>2379</v>
      </c>
      <c r="E2553" t="s">
        <v>2452</v>
      </c>
      <c r="F2553" t="s">
        <v>4697</v>
      </c>
      <c r="G2553" t="s">
        <v>2452</v>
      </c>
      <c r="H2553" t="b">
        <v>1</v>
      </c>
      <c r="I2553" s="8">
        <v>45955.344780092593</v>
      </c>
      <c r="J2553" t="s">
        <v>2380</v>
      </c>
      <c r="K2553">
        <v>1204610</v>
      </c>
      <c r="L2553">
        <v>603752</v>
      </c>
      <c r="M2553" t="s">
        <v>2381</v>
      </c>
      <c r="P2553" t="s">
        <v>2394</v>
      </c>
      <c r="Q2553" t="s">
        <v>2383</v>
      </c>
      <c r="R2553">
        <v>1</v>
      </c>
      <c r="S2553" t="s">
        <v>2380</v>
      </c>
      <c r="T2553" t="s">
        <v>2383</v>
      </c>
      <c r="U2553" s="8">
        <v>45952.590150462966</v>
      </c>
      <c r="V2553" s="8">
        <v>45958.958333333336</v>
      </c>
      <c r="W2553">
        <v>1</v>
      </c>
      <c r="X2553">
        <v>2.7546296300000002</v>
      </c>
      <c r="Y2553" t="s">
        <v>4698</v>
      </c>
      <c r="Z2553" t="s">
        <v>4754</v>
      </c>
      <c r="AA2553" t="s">
        <v>4748</v>
      </c>
      <c r="AB2553" t="s">
        <v>1278</v>
      </c>
      <c r="AC2553" t="s">
        <v>4755</v>
      </c>
      <c r="AD2553" t="s">
        <v>2708</v>
      </c>
      <c r="AE2553">
        <v>1</v>
      </c>
      <c r="AO2553" t="s">
        <v>2957</v>
      </c>
      <c r="AP2553" t="s">
        <v>2401</v>
      </c>
    </row>
    <row r="2554" spans="1:42">
      <c r="A2554" t="s">
        <v>4743</v>
      </c>
      <c r="B2554" t="s">
        <v>2389</v>
      </c>
      <c r="C2554" t="s">
        <v>2390</v>
      </c>
      <c r="D2554" t="s">
        <v>2379</v>
      </c>
      <c r="E2554" t="s">
        <v>2452</v>
      </c>
      <c r="F2554" t="s">
        <v>3514</v>
      </c>
      <c r="G2554" t="s">
        <v>2452</v>
      </c>
      <c r="H2554" t="b">
        <v>1</v>
      </c>
      <c r="I2554" s="8">
        <v>45955.314375000002</v>
      </c>
      <c r="J2554" t="s">
        <v>2380</v>
      </c>
      <c r="K2554">
        <v>1204607</v>
      </c>
      <c r="L2554">
        <v>603695</v>
      </c>
      <c r="M2554" t="s">
        <v>2381</v>
      </c>
      <c r="P2554" t="s">
        <v>2394</v>
      </c>
      <c r="Q2554" t="s">
        <v>2383</v>
      </c>
      <c r="R2554">
        <v>1</v>
      </c>
      <c r="S2554" t="s">
        <v>2380</v>
      </c>
      <c r="T2554" t="s">
        <v>2383</v>
      </c>
      <c r="U2554" s="8">
        <v>45952.592835648145</v>
      </c>
      <c r="V2554" s="8">
        <v>45958.958333333336</v>
      </c>
      <c r="W2554">
        <v>1</v>
      </c>
      <c r="X2554">
        <v>2.7215393520000002</v>
      </c>
      <c r="Y2554" t="s">
        <v>3515</v>
      </c>
      <c r="Z2554" t="s">
        <v>4744</v>
      </c>
      <c r="AA2554" t="s">
        <v>3518</v>
      </c>
      <c r="AB2554" t="s">
        <v>1278</v>
      </c>
      <c r="AC2554" t="s">
        <v>4745</v>
      </c>
      <c r="AD2554" t="s">
        <v>2708</v>
      </c>
      <c r="AE2554">
        <v>1</v>
      </c>
      <c r="AO2554" t="s">
        <v>2957</v>
      </c>
      <c r="AP2554" t="s">
        <v>2401</v>
      </c>
    </row>
    <row r="2555" spans="1:42">
      <c r="A2555" t="s">
        <v>3079</v>
      </c>
      <c r="B2555" t="s">
        <v>2389</v>
      </c>
      <c r="C2555" t="s">
        <v>2447</v>
      </c>
      <c r="D2555" t="s">
        <v>2379</v>
      </c>
      <c r="E2555" t="s">
        <v>25</v>
      </c>
      <c r="F2555" t="s">
        <v>2417</v>
      </c>
      <c r="G2555" t="s">
        <v>25</v>
      </c>
      <c r="H2555" t="b">
        <v>1</v>
      </c>
      <c r="I2555" s="8">
        <v>45958.612256944441</v>
      </c>
      <c r="J2555" t="s">
        <v>2380</v>
      </c>
      <c r="K2555">
        <v>1205270</v>
      </c>
      <c r="L2555">
        <v>601628</v>
      </c>
      <c r="M2555" t="s">
        <v>2381</v>
      </c>
      <c r="N2555">
        <v>5</v>
      </c>
      <c r="P2555" t="s">
        <v>2394</v>
      </c>
      <c r="Q2555" t="s">
        <v>2383</v>
      </c>
      <c r="R2555">
        <v>1</v>
      </c>
      <c r="S2555" t="s">
        <v>2380</v>
      </c>
      <c r="T2555" t="s">
        <v>2383</v>
      </c>
      <c r="U2555" s="8">
        <v>45952.600011574075</v>
      </c>
      <c r="V2555" s="8">
        <v>45958.958333333336</v>
      </c>
      <c r="W2555">
        <v>1</v>
      </c>
      <c r="X2555">
        <v>4.0122453699999996</v>
      </c>
      <c r="Y2555" t="s">
        <v>2418</v>
      </c>
      <c r="Z2555" t="s">
        <v>3080</v>
      </c>
      <c r="AA2555" t="s">
        <v>2789</v>
      </c>
      <c r="AB2555" t="s">
        <v>1278</v>
      </c>
      <c r="AD2555" t="s">
        <v>2708</v>
      </c>
      <c r="AE2555">
        <v>1</v>
      </c>
      <c r="AO2555" t="s">
        <v>2408</v>
      </c>
      <c r="AP2555" t="s">
        <v>2401</v>
      </c>
    </row>
    <row r="2556" spans="1:42">
      <c r="A2556" t="s">
        <v>2419</v>
      </c>
      <c r="B2556" t="s">
        <v>2377</v>
      </c>
      <c r="C2556" t="s">
        <v>2415</v>
      </c>
      <c r="D2556" t="s">
        <v>2379</v>
      </c>
      <c r="E2556" t="s">
        <v>2416</v>
      </c>
      <c r="F2556" t="s">
        <v>2417</v>
      </c>
      <c r="G2556" t="s">
        <v>2416</v>
      </c>
      <c r="H2556" t="b">
        <v>1</v>
      </c>
      <c r="I2556" s="8">
        <v>45956.450208333335</v>
      </c>
      <c r="J2556" t="s">
        <v>2380</v>
      </c>
      <c r="L2556">
        <v>601143</v>
      </c>
      <c r="M2556" t="s">
        <v>2381</v>
      </c>
      <c r="Q2556" t="s">
        <v>2383</v>
      </c>
      <c r="R2556">
        <v>1</v>
      </c>
      <c r="S2556" t="s">
        <v>2380</v>
      </c>
      <c r="T2556" t="s">
        <v>2383</v>
      </c>
      <c r="U2556" s="8">
        <v>45952.60361111111</v>
      </c>
      <c r="V2556" s="8">
        <v>45958.958333333336</v>
      </c>
      <c r="W2556">
        <v>1</v>
      </c>
      <c r="X2556">
        <v>1.846597222</v>
      </c>
      <c r="Y2556" t="s">
        <v>2418</v>
      </c>
      <c r="Z2556" t="s">
        <v>2420</v>
      </c>
      <c r="AA2556" t="s">
        <v>2421</v>
      </c>
      <c r="AB2556" t="s">
        <v>1278</v>
      </c>
      <c r="AC2556" t="s">
        <v>2422</v>
      </c>
      <c r="AE2556">
        <v>1</v>
      </c>
      <c r="AO2556" t="s">
        <v>2408</v>
      </c>
      <c r="AP2556" t="s">
        <v>2401</v>
      </c>
    </row>
    <row r="2557" spans="1:42">
      <c r="A2557" t="s">
        <v>8369</v>
      </c>
      <c r="B2557" t="s">
        <v>2389</v>
      </c>
      <c r="C2557" t="s">
        <v>2390</v>
      </c>
      <c r="D2557" t="s">
        <v>2379</v>
      </c>
      <c r="E2557" t="s">
        <v>25</v>
      </c>
      <c r="F2557" t="s">
        <v>3577</v>
      </c>
      <c r="G2557" t="s">
        <v>25</v>
      </c>
      <c r="H2557" t="b">
        <v>1</v>
      </c>
      <c r="I2557" s="8">
        <v>45955.491932870369</v>
      </c>
      <c r="J2557" t="s">
        <v>2380</v>
      </c>
      <c r="K2557">
        <v>1204637</v>
      </c>
      <c r="L2557">
        <v>603422</v>
      </c>
      <c r="M2557" t="s">
        <v>2381</v>
      </c>
      <c r="N2557">
        <v>5</v>
      </c>
      <c r="P2557" t="s">
        <v>2394</v>
      </c>
      <c r="Q2557" t="s">
        <v>2383</v>
      </c>
      <c r="R2557">
        <v>1</v>
      </c>
      <c r="S2557" t="s">
        <v>2380</v>
      </c>
      <c r="T2557" t="s">
        <v>2383</v>
      </c>
      <c r="U2557" s="8">
        <v>45952.61347222222</v>
      </c>
      <c r="V2557" s="8">
        <v>45958.958333333336</v>
      </c>
      <c r="W2557">
        <v>1</v>
      </c>
      <c r="X2557">
        <v>2.8784606479999999</v>
      </c>
      <c r="Y2557" t="s">
        <v>3578</v>
      </c>
      <c r="Z2557" t="s">
        <v>8370</v>
      </c>
      <c r="AA2557" t="s">
        <v>3581</v>
      </c>
      <c r="AB2557" t="s">
        <v>1278</v>
      </c>
      <c r="AC2557" t="s">
        <v>8371</v>
      </c>
      <c r="AD2557" t="s">
        <v>2708</v>
      </c>
      <c r="AE2557">
        <v>1</v>
      </c>
      <c r="AO2557" t="s">
        <v>2957</v>
      </c>
      <c r="AP2557" t="s">
        <v>2401</v>
      </c>
    </row>
    <row r="2558" spans="1:42">
      <c r="A2558" t="s">
        <v>8372</v>
      </c>
      <c r="B2558" t="s">
        <v>2389</v>
      </c>
      <c r="C2558" t="s">
        <v>2390</v>
      </c>
      <c r="D2558" t="s">
        <v>2379</v>
      </c>
      <c r="E2558" t="s">
        <v>25</v>
      </c>
      <c r="F2558" t="s">
        <v>3577</v>
      </c>
      <c r="G2558" t="s">
        <v>25</v>
      </c>
      <c r="H2558" t="b">
        <v>1</v>
      </c>
      <c r="I2558" s="8">
        <v>45955.494745370372</v>
      </c>
      <c r="J2558" t="s">
        <v>2380</v>
      </c>
      <c r="K2558">
        <v>1204638</v>
      </c>
      <c r="L2558">
        <v>603422</v>
      </c>
      <c r="M2558" t="s">
        <v>2381</v>
      </c>
      <c r="N2558">
        <v>5</v>
      </c>
      <c r="P2558" t="s">
        <v>2394</v>
      </c>
      <c r="Q2558" t="s">
        <v>2383</v>
      </c>
      <c r="R2558">
        <v>1</v>
      </c>
      <c r="S2558" t="s">
        <v>2380</v>
      </c>
      <c r="T2558" t="s">
        <v>2383</v>
      </c>
      <c r="U2558" s="8">
        <v>45952.614166666666</v>
      </c>
      <c r="V2558" s="8">
        <v>45958.958333333336</v>
      </c>
      <c r="W2558">
        <v>1</v>
      </c>
      <c r="X2558">
        <v>2.8805787039999999</v>
      </c>
      <c r="Y2558" t="s">
        <v>3578</v>
      </c>
      <c r="Z2558" t="s">
        <v>8373</v>
      </c>
      <c r="AA2558" t="s">
        <v>3581</v>
      </c>
      <c r="AB2558" t="s">
        <v>1278</v>
      </c>
      <c r="AC2558" t="s">
        <v>8374</v>
      </c>
      <c r="AD2558" t="s">
        <v>2708</v>
      </c>
      <c r="AE2558">
        <v>1</v>
      </c>
      <c r="AO2558" t="s">
        <v>2957</v>
      </c>
      <c r="AP2558" t="s">
        <v>2401</v>
      </c>
    </row>
    <row r="2559" spans="1:42">
      <c r="A2559" t="s">
        <v>8375</v>
      </c>
      <c r="B2559" t="s">
        <v>2389</v>
      </c>
      <c r="C2559" t="s">
        <v>2390</v>
      </c>
      <c r="D2559" t="s">
        <v>2379</v>
      </c>
      <c r="E2559" t="s">
        <v>25</v>
      </c>
      <c r="F2559" t="s">
        <v>3491</v>
      </c>
      <c r="G2559" t="s">
        <v>25</v>
      </c>
      <c r="H2559" t="b">
        <v>1</v>
      </c>
      <c r="I2559" s="8">
        <v>45955.505046296297</v>
      </c>
      <c r="J2559" t="s">
        <v>2380</v>
      </c>
      <c r="K2559">
        <v>1204640</v>
      </c>
      <c r="L2559">
        <v>602666</v>
      </c>
      <c r="M2559" t="s">
        <v>2381</v>
      </c>
      <c r="N2559">
        <v>5</v>
      </c>
      <c r="P2559" t="s">
        <v>2394</v>
      </c>
      <c r="Q2559" t="s">
        <v>2383</v>
      </c>
      <c r="R2559">
        <v>1</v>
      </c>
      <c r="S2559" t="s">
        <v>2380</v>
      </c>
      <c r="T2559" t="s">
        <v>2383</v>
      </c>
      <c r="U2559" s="8">
        <v>45952.614178240743</v>
      </c>
      <c r="V2559" s="8">
        <v>45958.958333333336</v>
      </c>
      <c r="W2559">
        <v>1</v>
      </c>
      <c r="X2559">
        <v>2.890868056</v>
      </c>
      <c r="Y2559" t="s">
        <v>3492</v>
      </c>
      <c r="Z2559" t="s">
        <v>8376</v>
      </c>
      <c r="AA2559" t="s">
        <v>3495</v>
      </c>
      <c r="AB2559" t="s">
        <v>1278</v>
      </c>
      <c r="AC2559" t="s">
        <v>8377</v>
      </c>
      <c r="AD2559" t="s">
        <v>2708</v>
      </c>
      <c r="AE2559">
        <v>1</v>
      </c>
      <c r="AO2559" t="s">
        <v>2957</v>
      </c>
      <c r="AP2559" t="s">
        <v>2401</v>
      </c>
    </row>
    <row r="2560" spans="1:42">
      <c r="A2560" t="s">
        <v>3579</v>
      </c>
      <c r="B2560" t="s">
        <v>2389</v>
      </c>
      <c r="C2560" t="s">
        <v>2390</v>
      </c>
      <c r="D2560" t="s">
        <v>2379</v>
      </c>
      <c r="E2560" t="s">
        <v>25</v>
      </c>
      <c r="F2560" t="s">
        <v>3577</v>
      </c>
      <c r="G2560" t="s">
        <v>25</v>
      </c>
      <c r="H2560" t="b">
        <v>1</v>
      </c>
      <c r="I2560" s="8">
        <v>45955.498831018522</v>
      </c>
      <c r="J2560" t="s">
        <v>2380</v>
      </c>
      <c r="L2560">
        <v>603422</v>
      </c>
      <c r="M2560" t="s">
        <v>2381</v>
      </c>
      <c r="N2560">
        <v>5</v>
      </c>
      <c r="P2560" t="s">
        <v>2394</v>
      </c>
      <c r="Q2560" t="s">
        <v>2383</v>
      </c>
      <c r="R2560">
        <v>1</v>
      </c>
      <c r="S2560" t="s">
        <v>2380</v>
      </c>
      <c r="T2560" t="s">
        <v>2383</v>
      </c>
      <c r="U2560" s="8">
        <v>45952.614942129629</v>
      </c>
      <c r="V2560" s="8">
        <v>45958.958333333336</v>
      </c>
      <c r="W2560">
        <v>1</v>
      </c>
      <c r="X2560">
        <v>2.8838888890000001</v>
      </c>
      <c r="Y2560" t="s">
        <v>3578</v>
      </c>
      <c r="Z2560" t="s">
        <v>3580</v>
      </c>
      <c r="AA2560" t="s">
        <v>3581</v>
      </c>
      <c r="AB2560" t="s">
        <v>1278</v>
      </c>
      <c r="AC2560" t="s">
        <v>3582</v>
      </c>
      <c r="AE2560">
        <v>1</v>
      </c>
      <c r="AO2560" t="s">
        <v>2957</v>
      </c>
      <c r="AP2560" t="s">
        <v>2401</v>
      </c>
    </row>
    <row r="2561" spans="1:42">
      <c r="A2561" t="s">
        <v>8378</v>
      </c>
      <c r="B2561" t="s">
        <v>2389</v>
      </c>
      <c r="C2561" t="s">
        <v>2390</v>
      </c>
      <c r="D2561" t="s">
        <v>2379</v>
      </c>
      <c r="E2561" t="s">
        <v>25</v>
      </c>
      <c r="F2561" t="s">
        <v>3491</v>
      </c>
      <c r="G2561" t="s">
        <v>25</v>
      </c>
      <c r="H2561" t="b">
        <v>1</v>
      </c>
      <c r="I2561" s="8">
        <v>45955.512002314812</v>
      </c>
      <c r="J2561" t="s">
        <v>2380</v>
      </c>
      <c r="K2561">
        <v>1204641</v>
      </c>
      <c r="L2561">
        <v>602666</v>
      </c>
      <c r="M2561" t="s">
        <v>2381</v>
      </c>
      <c r="N2561">
        <v>5</v>
      </c>
      <c r="P2561" t="s">
        <v>2394</v>
      </c>
      <c r="Q2561" t="s">
        <v>2383</v>
      </c>
      <c r="R2561">
        <v>1</v>
      </c>
      <c r="S2561" t="s">
        <v>2380</v>
      </c>
      <c r="T2561" t="s">
        <v>2383</v>
      </c>
      <c r="U2561" s="8">
        <v>45952.633229166669</v>
      </c>
      <c r="V2561" s="8">
        <v>45958.958333333336</v>
      </c>
      <c r="W2561">
        <v>1</v>
      </c>
      <c r="X2561">
        <v>2.8787731480000001</v>
      </c>
      <c r="Y2561" t="s">
        <v>3492</v>
      </c>
      <c r="Z2561" t="s">
        <v>8379</v>
      </c>
      <c r="AA2561" t="s">
        <v>3495</v>
      </c>
      <c r="AB2561" t="s">
        <v>1278</v>
      </c>
      <c r="AC2561" t="s">
        <v>8380</v>
      </c>
      <c r="AD2561" t="s">
        <v>2708</v>
      </c>
      <c r="AE2561">
        <v>1</v>
      </c>
      <c r="AO2561" t="s">
        <v>2957</v>
      </c>
      <c r="AP2561" t="s">
        <v>2401</v>
      </c>
    </row>
    <row r="2562" spans="1:42">
      <c r="A2562" t="s">
        <v>2663</v>
      </c>
      <c r="B2562" t="s">
        <v>2389</v>
      </c>
      <c r="C2562" t="s">
        <v>2447</v>
      </c>
      <c r="D2562" t="s">
        <v>2379</v>
      </c>
      <c r="E2562" t="s">
        <v>2452</v>
      </c>
      <c r="F2562">
        <v>6343</v>
      </c>
      <c r="G2562" t="s">
        <v>2452</v>
      </c>
      <c r="H2562" t="b">
        <v>1</v>
      </c>
      <c r="I2562" s="8">
        <v>45959.369953703703</v>
      </c>
      <c r="J2562" t="s">
        <v>2380</v>
      </c>
      <c r="L2562">
        <v>602129</v>
      </c>
      <c r="M2562" t="s">
        <v>2381</v>
      </c>
      <c r="P2562" t="s">
        <v>2394</v>
      </c>
      <c r="Q2562" t="s">
        <v>2383</v>
      </c>
      <c r="R2562">
        <v>1</v>
      </c>
      <c r="S2562" t="s">
        <v>2380</v>
      </c>
      <c r="T2562" t="s">
        <v>2383</v>
      </c>
      <c r="U2562" s="8">
        <v>45952.636180555557</v>
      </c>
      <c r="V2562" s="8">
        <v>45959.958333333336</v>
      </c>
      <c r="W2562">
        <v>1</v>
      </c>
      <c r="X2562">
        <v>4.733773148</v>
      </c>
      <c r="Y2562" t="s">
        <v>2662</v>
      </c>
      <c r="Z2562" t="s">
        <v>2664</v>
      </c>
      <c r="AA2562" t="s">
        <v>2665</v>
      </c>
      <c r="AB2562" t="s">
        <v>1278</v>
      </c>
      <c r="AC2562" t="s">
        <v>2666</v>
      </c>
      <c r="AE2562">
        <v>1</v>
      </c>
      <c r="AO2562" t="s">
        <v>2388</v>
      </c>
      <c r="AP2562" t="s">
        <v>2401</v>
      </c>
    </row>
    <row r="2563" spans="1:42">
      <c r="A2563" t="s">
        <v>8381</v>
      </c>
      <c r="B2563" t="s">
        <v>2389</v>
      </c>
      <c r="C2563" t="s">
        <v>2390</v>
      </c>
      <c r="D2563" t="s">
        <v>2379</v>
      </c>
      <c r="E2563" t="s">
        <v>25</v>
      </c>
      <c r="F2563" t="s">
        <v>3491</v>
      </c>
      <c r="G2563" t="s">
        <v>25</v>
      </c>
      <c r="H2563" t="b">
        <v>1</v>
      </c>
      <c r="I2563" s="8">
        <v>45955.514039351852</v>
      </c>
      <c r="J2563" t="s">
        <v>2380</v>
      </c>
      <c r="K2563">
        <v>1204642</v>
      </c>
      <c r="L2563">
        <v>602666</v>
      </c>
      <c r="M2563" t="s">
        <v>2381</v>
      </c>
      <c r="N2563">
        <v>5</v>
      </c>
      <c r="P2563" t="s">
        <v>2394</v>
      </c>
      <c r="Q2563" t="s">
        <v>2383</v>
      </c>
      <c r="R2563">
        <v>1</v>
      </c>
      <c r="S2563" t="s">
        <v>2380</v>
      </c>
      <c r="T2563" t="s">
        <v>2383</v>
      </c>
      <c r="U2563" s="8">
        <v>45952.636689814812</v>
      </c>
      <c r="V2563" s="8">
        <v>45958.958333333336</v>
      </c>
      <c r="W2563">
        <v>1</v>
      </c>
      <c r="X2563">
        <v>2.8773495370000002</v>
      </c>
      <c r="Y2563" t="s">
        <v>3492</v>
      </c>
      <c r="Z2563" t="s">
        <v>8382</v>
      </c>
      <c r="AA2563" t="s">
        <v>3495</v>
      </c>
      <c r="AB2563" t="s">
        <v>1278</v>
      </c>
      <c r="AC2563" t="s">
        <v>8383</v>
      </c>
      <c r="AD2563" t="s">
        <v>2708</v>
      </c>
      <c r="AE2563">
        <v>1</v>
      </c>
      <c r="AO2563" t="s">
        <v>2957</v>
      </c>
      <c r="AP2563" t="s">
        <v>2401</v>
      </c>
    </row>
    <row r="2564" spans="1:42">
      <c r="A2564" t="s">
        <v>493</v>
      </c>
      <c r="B2564" t="s">
        <v>2377</v>
      </c>
      <c r="C2564" t="s">
        <v>2378</v>
      </c>
      <c r="D2564" t="s">
        <v>2379</v>
      </c>
      <c r="E2564" t="s">
        <v>33</v>
      </c>
      <c r="F2564">
        <v>6361</v>
      </c>
      <c r="G2564" t="s">
        <v>33</v>
      </c>
      <c r="H2564" t="b">
        <v>1</v>
      </c>
      <c r="I2564" s="8">
        <v>45958.396064814813</v>
      </c>
      <c r="J2564" t="s">
        <v>2380</v>
      </c>
      <c r="L2564">
        <v>604450</v>
      </c>
      <c r="M2564" t="s">
        <v>2381</v>
      </c>
      <c r="Q2564" t="s">
        <v>2395</v>
      </c>
      <c r="R2564">
        <v>1</v>
      </c>
      <c r="S2564" t="s">
        <v>2380</v>
      </c>
      <c r="T2564" t="s">
        <v>2383</v>
      </c>
      <c r="U2564" s="8">
        <v>45952.640775462962</v>
      </c>
      <c r="V2564" s="8">
        <v>45958.958333333336</v>
      </c>
      <c r="W2564">
        <v>1</v>
      </c>
      <c r="X2564">
        <v>3.7552893520000001</v>
      </c>
      <c r="Y2564" t="s">
        <v>8225</v>
      </c>
      <c r="Z2564" t="s">
        <v>8733</v>
      </c>
      <c r="AA2564" t="s">
        <v>8228</v>
      </c>
      <c r="AB2564" t="s">
        <v>1278</v>
      </c>
      <c r="AC2564" t="s">
        <v>8734</v>
      </c>
      <c r="AD2564" t="s">
        <v>2708</v>
      </c>
      <c r="AE2564">
        <v>1</v>
      </c>
      <c r="AH2564" t="s">
        <v>2723</v>
      </c>
      <c r="AI2564" s="8">
        <v>45954.508622685185</v>
      </c>
      <c r="AK2564" t="s">
        <v>2719</v>
      </c>
      <c r="AL2564" t="s">
        <v>8735</v>
      </c>
      <c r="AO2564" t="s">
        <v>4137</v>
      </c>
      <c r="AP2564" t="s">
        <v>2401</v>
      </c>
    </row>
    <row r="2565" spans="1:42">
      <c r="A2565" t="s">
        <v>4765</v>
      </c>
      <c r="B2565" t="s">
        <v>2389</v>
      </c>
      <c r="C2565" t="s">
        <v>2390</v>
      </c>
      <c r="D2565" t="s">
        <v>2379</v>
      </c>
      <c r="E2565" t="s">
        <v>2452</v>
      </c>
      <c r="F2565" t="s">
        <v>3526</v>
      </c>
      <c r="G2565" t="s">
        <v>2452</v>
      </c>
      <c r="H2565" t="b">
        <v>1</v>
      </c>
      <c r="I2565" s="8">
        <v>45955.32439814815</v>
      </c>
      <c r="J2565" t="s">
        <v>2380</v>
      </c>
      <c r="K2565">
        <v>1204608</v>
      </c>
      <c r="L2565">
        <v>602189</v>
      </c>
      <c r="M2565" t="s">
        <v>2381</v>
      </c>
      <c r="P2565" t="s">
        <v>2394</v>
      </c>
      <c r="Q2565" t="s">
        <v>2383</v>
      </c>
      <c r="R2565">
        <v>1</v>
      </c>
      <c r="S2565" t="s">
        <v>2380</v>
      </c>
      <c r="T2565" t="s">
        <v>2383</v>
      </c>
      <c r="U2565" s="8">
        <v>45952.650138888886</v>
      </c>
      <c r="V2565" s="8">
        <v>45958.958333333336</v>
      </c>
      <c r="W2565">
        <v>1</v>
      </c>
      <c r="X2565">
        <v>2.6742592589999998</v>
      </c>
      <c r="Y2565" t="s">
        <v>3527</v>
      </c>
      <c r="Z2565" t="s">
        <v>4766</v>
      </c>
      <c r="AA2565" t="s">
        <v>3530</v>
      </c>
      <c r="AB2565" t="s">
        <v>1278</v>
      </c>
      <c r="AC2565" t="s">
        <v>4767</v>
      </c>
      <c r="AD2565" t="s">
        <v>2708</v>
      </c>
      <c r="AE2565">
        <v>1</v>
      </c>
      <c r="AO2565" t="s">
        <v>2957</v>
      </c>
      <c r="AP2565" t="s">
        <v>2401</v>
      </c>
    </row>
    <row r="2566" spans="1:42">
      <c r="A2566" t="s">
        <v>2461</v>
      </c>
      <c r="B2566" t="s">
        <v>2389</v>
      </c>
      <c r="C2566" t="s">
        <v>2390</v>
      </c>
      <c r="D2566" t="s">
        <v>2379</v>
      </c>
      <c r="E2566" t="s">
        <v>2452</v>
      </c>
      <c r="F2566" t="s">
        <v>2402</v>
      </c>
      <c r="G2566" t="s">
        <v>2452</v>
      </c>
      <c r="H2566" t="b">
        <v>1</v>
      </c>
      <c r="I2566" s="8">
        <v>45955.315659722219</v>
      </c>
      <c r="J2566" t="s">
        <v>2380</v>
      </c>
      <c r="L2566">
        <v>605125</v>
      </c>
      <c r="M2566" t="s">
        <v>2381</v>
      </c>
      <c r="P2566" t="s">
        <v>2394</v>
      </c>
      <c r="Q2566" t="s">
        <v>2383</v>
      </c>
      <c r="R2566">
        <v>1</v>
      </c>
      <c r="S2566" t="s">
        <v>2380</v>
      </c>
      <c r="T2566" t="s">
        <v>2383</v>
      </c>
      <c r="U2566" s="8">
        <v>45952.650879629633</v>
      </c>
      <c r="V2566" s="8">
        <v>45958.958333333336</v>
      </c>
      <c r="W2566">
        <v>1</v>
      </c>
      <c r="X2566">
        <v>2.6647800930000001</v>
      </c>
      <c r="Y2566" t="s">
        <v>2403</v>
      </c>
      <c r="Z2566" t="s">
        <v>2462</v>
      </c>
      <c r="AA2566" t="s">
        <v>2463</v>
      </c>
      <c r="AB2566" t="s">
        <v>1278</v>
      </c>
      <c r="AC2566" t="s">
        <v>2464</v>
      </c>
      <c r="AE2566">
        <v>1</v>
      </c>
      <c r="AO2566" t="s">
        <v>2408</v>
      </c>
      <c r="AP2566" t="s">
        <v>2401</v>
      </c>
    </row>
    <row r="2567" spans="1:42">
      <c r="A2567" t="s">
        <v>8527</v>
      </c>
      <c r="B2567" t="s">
        <v>2389</v>
      </c>
      <c r="C2567" t="s">
        <v>2378</v>
      </c>
      <c r="D2567" t="s">
        <v>2379</v>
      </c>
      <c r="E2567" t="s">
        <v>25</v>
      </c>
      <c r="F2567" t="s">
        <v>3891</v>
      </c>
      <c r="G2567" t="s">
        <v>25</v>
      </c>
      <c r="H2567" t="b">
        <v>1</v>
      </c>
      <c r="I2567" s="8">
        <v>45958.447997685187</v>
      </c>
      <c r="J2567" t="s">
        <v>2380</v>
      </c>
      <c r="K2567">
        <v>1204869</v>
      </c>
      <c r="L2567">
        <v>604453</v>
      </c>
      <c r="M2567" t="s">
        <v>2381</v>
      </c>
      <c r="N2567">
        <v>5</v>
      </c>
      <c r="P2567" t="s">
        <v>2394</v>
      </c>
      <c r="Q2567" t="s">
        <v>2395</v>
      </c>
      <c r="R2567">
        <v>1</v>
      </c>
      <c r="S2567" t="s">
        <v>2380</v>
      </c>
      <c r="T2567" t="s">
        <v>2383</v>
      </c>
      <c r="U2567" s="8">
        <v>45952.655844907407</v>
      </c>
      <c r="V2567" s="8">
        <v>45958.958333333336</v>
      </c>
      <c r="W2567">
        <v>1</v>
      </c>
      <c r="X2567">
        <v>3.7921527780000002</v>
      </c>
      <c r="Y2567" t="s">
        <v>3892</v>
      </c>
      <c r="Z2567" t="s">
        <v>8528</v>
      </c>
      <c r="AA2567" t="s">
        <v>8341</v>
      </c>
      <c r="AB2567" t="s">
        <v>1278</v>
      </c>
      <c r="AC2567" t="s">
        <v>8529</v>
      </c>
      <c r="AD2567" t="s">
        <v>2708</v>
      </c>
      <c r="AE2567">
        <v>1</v>
      </c>
      <c r="AO2567" t="s">
        <v>4137</v>
      </c>
      <c r="AP2567" t="s">
        <v>2401</v>
      </c>
    </row>
    <row r="2568" spans="1:42">
      <c r="A2568" t="s">
        <v>2423</v>
      </c>
      <c r="B2568" t="s">
        <v>2377</v>
      </c>
      <c r="C2568" t="s">
        <v>2415</v>
      </c>
      <c r="D2568" t="s">
        <v>2379</v>
      </c>
      <c r="E2568" t="s">
        <v>2416</v>
      </c>
      <c r="F2568" t="s">
        <v>2417</v>
      </c>
      <c r="G2568" t="s">
        <v>2416</v>
      </c>
      <c r="H2568" t="b">
        <v>1</v>
      </c>
      <c r="I2568" s="8">
        <v>45956.412372685183</v>
      </c>
      <c r="J2568" t="s">
        <v>2380</v>
      </c>
      <c r="L2568">
        <v>608552</v>
      </c>
      <c r="M2568" t="s">
        <v>2381</v>
      </c>
      <c r="Q2568" t="s">
        <v>2383</v>
      </c>
      <c r="R2568">
        <v>1</v>
      </c>
      <c r="S2568" t="s">
        <v>2380</v>
      </c>
      <c r="T2568" t="s">
        <v>2383</v>
      </c>
      <c r="U2568" s="8">
        <v>45952.659918981481</v>
      </c>
      <c r="V2568" s="8">
        <v>45958.958333333336</v>
      </c>
      <c r="W2568">
        <v>1</v>
      </c>
      <c r="X2568">
        <v>1.7524537039999999</v>
      </c>
      <c r="Y2568" t="s">
        <v>2418</v>
      </c>
      <c r="Z2568" t="s">
        <v>2424</v>
      </c>
      <c r="AA2568" t="s">
        <v>2425</v>
      </c>
      <c r="AB2568" t="s">
        <v>1278</v>
      </c>
      <c r="AC2568" t="s">
        <v>2426</v>
      </c>
      <c r="AE2568">
        <v>1</v>
      </c>
      <c r="AO2568" t="s">
        <v>2408</v>
      </c>
      <c r="AP2568" t="s">
        <v>2401</v>
      </c>
    </row>
    <row r="2569" spans="1:42">
      <c r="A2569" t="s">
        <v>3134</v>
      </c>
      <c r="B2569" t="s">
        <v>2389</v>
      </c>
      <c r="C2569" t="s">
        <v>2390</v>
      </c>
      <c r="D2569" t="s">
        <v>2379</v>
      </c>
      <c r="E2569" t="s">
        <v>25</v>
      </c>
      <c r="F2569" t="s">
        <v>2541</v>
      </c>
      <c r="G2569" t="s">
        <v>25</v>
      </c>
      <c r="H2569" t="b">
        <v>1</v>
      </c>
      <c r="I2569" s="8">
        <v>45955.462256944447</v>
      </c>
      <c r="J2569" t="s">
        <v>2380</v>
      </c>
      <c r="K2569">
        <v>1204633</v>
      </c>
      <c r="L2569">
        <v>601441</v>
      </c>
      <c r="M2569" t="s">
        <v>2381</v>
      </c>
      <c r="N2569">
        <v>5</v>
      </c>
      <c r="Q2569" t="s">
        <v>2383</v>
      </c>
      <c r="R2569">
        <v>1</v>
      </c>
      <c r="S2569" t="s">
        <v>2380</v>
      </c>
      <c r="T2569" t="s">
        <v>2383</v>
      </c>
      <c r="U2569" s="8">
        <v>45952.662268518521</v>
      </c>
      <c r="V2569" s="8">
        <v>45958.958333333336</v>
      </c>
      <c r="W2569">
        <v>1</v>
      </c>
      <c r="X2569">
        <v>2.7999884260000001</v>
      </c>
      <c r="Y2569" t="s">
        <v>2542</v>
      </c>
      <c r="Z2569" t="s">
        <v>3135</v>
      </c>
      <c r="AA2569" t="s">
        <v>2884</v>
      </c>
      <c r="AB2569" t="s">
        <v>1278</v>
      </c>
      <c r="AC2569" t="s">
        <v>3136</v>
      </c>
      <c r="AD2569" t="s">
        <v>2708</v>
      </c>
      <c r="AE2569">
        <v>1</v>
      </c>
      <c r="AO2569" t="s">
        <v>2547</v>
      </c>
      <c r="AP2569" t="s">
        <v>2401</v>
      </c>
    </row>
    <row r="2570" spans="1:42">
      <c r="A2570" t="s">
        <v>3137</v>
      </c>
      <c r="B2570" t="s">
        <v>2389</v>
      </c>
      <c r="C2570" t="s">
        <v>2390</v>
      </c>
      <c r="D2570" t="s">
        <v>2379</v>
      </c>
      <c r="E2570" t="s">
        <v>25</v>
      </c>
      <c r="F2570" t="s">
        <v>2541</v>
      </c>
      <c r="G2570" t="s">
        <v>25</v>
      </c>
      <c r="H2570" t="b">
        <v>1</v>
      </c>
      <c r="I2570" s="8">
        <v>45955.449259259258</v>
      </c>
      <c r="J2570" t="s">
        <v>2380</v>
      </c>
      <c r="K2570">
        <v>1204631</v>
      </c>
      <c r="L2570">
        <v>601441</v>
      </c>
      <c r="M2570" t="s">
        <v>2381</v>
      </c>
      <c r="N2570">
        <v>5</v>
      </c>
      <c r="Q2570" t="s">
        <v>2383</v>
      </c>
      <c r="R2570">
        <v>1</v>
      </c>
      <c r="S2570" t="s">
        <v>2380</v>
      </c>
      <c r="T2570" t="s">
        <v>2383</v>
      </c>
      <c r="U2570" s="8">
        <v>45952.662592592591</v>
      </c>
      <c r="V2570" s="8">
        <v>45958.958333333336</v>
      </c>
      <c r="W2570">
        <v>1</v>
      </c>
      <c r="X2570">
        <v>2.786666667</v>
      </c>
      <c r="Y2570" t="s">
        <v>2542</v>
      </c>
      <c r="Z2570" t="s">
        <v>3138</v>
      </c>
      <c r="AA2570" t="s">
        <v>2884</v>
      </c>
      <c r="AB2570" t="s">
        <v>1278</v>
      </c>
      <c r="AC2570" t="s">
        <v>3139</v>
      </c>
      <c r="AD2570" t="s">
        <v>2708</v>
      </c>
      <c r="AE2570">
        <v>1</v>
      </c>
      <c r="AO2570" t="s">
        <v>2547</v>
      </c>
      <c r="AP2570" t="s">
        <v>2401</v>
      </c>
    </row>
    <row r="2571" spans="1:42">
      <c r="A2571" t="s">
        <v>3179</v>
      </c>
      <c r="B2571" t="s">
        <v>2389</v>
      </c>
      <c r="C2571" t="s">
        <v>2378</v>
      </c>
      <c r="D2571" t="s">
        <v>2379</v>
      </c>
      <c r="E2571" t="s">
        <v>25</v>
      </c>
      <c r="F2571" t="s">
        <v>2541</v>
      </c>
      <c r="G2571" t="s">
        <v>25</v>
      </c>
      <c r="H2571" t="b">
        <v>1</v>
      </c>
      <c r="I2571" s="8">
        <v>45958.640509259261</v>
      </c>
      <c r="J2571" t="s">
        <v>2380</v>
      </c>
      <c r="K2571">
        <v>1205358</v>
      </c>
      <c r="L2571">
        <v>608398</v>
      </c>
      <c r="M2571" t="s">
        <v>2381</v>
      </c>
      <c r="N2571">
        <v>5</v>
      </c>
      <c r="P2571" t="s">
        <v>2548</v>
      </c>
      <c r="Q2571" t="s">
        <v>2383</v>
      </c>
      <c r="R2571">
        <v>1</v>
      </c>
      <c r="S2571" t="s">
        <v>2380</v>
      </c>
      <c r="T2571" t="s">
        <v>2383</v>
      </c>
      <c r="U2571" s="8">
        <v>45952.674131944441</v>
      </c>
      <c r="V2571" s="8">
        <v>45958.958333333336</v>
      </c>
      <c r="W2571">
        <v>1</v>
      </c>
      <c r="X2571">
        <v>3.9663773149999999</v>
      </c>
      <c r="Y2571" t="s">
        <v>2542</v>
      </c>
      <c r="Z2571" t="s">
        <v>3180</v>
      </c>
      <c r="AA2571" t="s">
        <v>2917</v>
      </c>
      <c r="AB2571" t="s">
        <v>1278</v>
      </c>
      <c r="AC2571" t="s">
        <v>3181</v>
      </c>
      <c r="AD2571" t="s">
        <v>2708</v>
      </c>
      <c r="AE2571">
        <v>1</v>
      </c>
      <c r="AO2571" t="s">
        <v>2547</v>
      </c>
      <c r="AP2571" t="s">
        <v>2401</v>
      </c>
    </row>
    <row r="2572" spans="1:42">
      <c r="A2572" t="s">
        <v>10243</v>
      </c>
      <c r="B2572" t="s">
        <v>2389</v>
      </c>
      <c r="C2572" t="s">
        <v>2438</v>
      </c>
      <c r="D2572" t="s">
        <v>2379</v>
      </c>
      <c r="E2572" t="s">
        <v>2452</v>
      </c>
      <c r="F2572" t="s">
        <v>3891</v>
      </c>
      <c r="G2572" t="s">
        <v>2452</v>
      </c>
      <c r="H2572" t="b">
        <v>1</v>
      </c>
      <c r="I2572" s="8">
        <v>45952.680752314816</v>
      </c>
      <c r="J2572" t="s">
        <v>2380</v>
      </c>
      <c r="L2572">
        <v>605639</v>
      </c>
      <c r="M2572" t="s">
        <v>2381</v>
      </c>
      <c r="Q2572" t="s">
        <v>2383</v>
      </c>
      <c r="R2572">
        <v>1</v>
      </c>
      <c r="S2572" t="s">
        <v>2380</v>
      </c>
      <c r="T2572" t="s">
        <v>2383</v>
      </c>
      <c r="U2572" s="8">
        <v>45952.677395833336</v>
      </c>
      <c r="V2572" s="8">
        <v>45958.958333333336</v>
      </c>
      <c r="W2572">
        <v>1</v>
      </c>
      <c r="X2572">
        <v>3.3564810000000001E-3</v>
      </c>
      <c r="Y2572" t="s">
        <v>3892</v>
      </c>
      <c r="Z2572" t="s">
        <v>10244</v>
      </c>
      <c r="AA2572" t="s">
        <v>9429</v>
      </c>
      <c r="AB2572" t="s">
        <v>1278</v>
      </c>
      <c r="AC2572" t="s">
        <v>10245</v>
      </c>
      <c r="AE2572">
        <v>1</v>
      </c>
      <c r="AO2572" t="s">
        <v>2715</v>
      </c>
      <c r="AP2572" t="s">
        <v>8931</v>
      </c>
    </row>
    <row r="2573" spans="1:42">
      <c r="A2573" t="s">
        <v>2633</v>
      </c>
      <c r="B2573" t="s">
        <v>2389</v>
      </c>
      <c r="C2573" t="s">
        <v>2390</v>
      </c>
      <c r="D2573" t="s">
        <v>2379</v>
      </c>
      <c r="E2573" t="s">
        <v>25</v>
      </c>
      <c r="F2573">
        <v>6432</v>
      </c>
      <c r="G2573" t="s">
        <v>25</v>
      </c>
      <c r="H2573" t="b">
        <v>1</v>
      </c>
      <c r="I2573" s="8">
        <v>45955.600960648146</v>
      </c>
      <c r="J2573" t="s">
        <v>2380</v>
      </c>
      <c r="L2573">
        <v>603201</v>
      </c>
      <c r="M2573" t="s">
        <v>2381</v>
      </c>
      <c r="P2573" t="s">
        <v>2394</v>
      </c>
      <c r="Q2573" t="s">
        <v>2383</v>
      </c>
      <c r="R2573">
        <v>1</v>
      </c>
      <c r="S2573" t="s">
        <v>2380</v>
      </c>
      <c r="T2573" t="s">
        <v>2383</v>
      </c>
      <c r="U2573" s="8">
        <v>45952.679097222222</v>
      </c>
      <c r="V2573" s="8">
        <v>45958.958333333336</v>
      </c>
      <c r="W2573">
        <v>1</v>
      </c>
      <c r="X2573">
        <v>2.9218634259999998</v>
      </c>
      <c r="Y2573" t="s">
        <v>2602</v>
      </c>
      <c r="Z2573" t="s">
        <v>2634</v>
      </c>
      <c r="AA2573" t="s">
        <v>2635</v>
      </c>
      <c r="AB2573" t="s">
        <v>1278</v>
      </c>
      <c r="AC2573" t="s">
        <v>2636</v>
      </c>
      <c r="AE2573">
        <v>1</v>
      </c>
      <c r="AO2573" t="s">
        <v>2388</v>
      </c>
      <c r="AP2573" t="s">
        <v>2401</v>
      </c>
    </row>
    <row r="2574" spans="1:42">
      <c r="A2574" t="s">
        <v>4673</v>
      </c>
      <c r="B2574" t="s">
        <v>2389</v>
      </c>
      <c r="C2574" t="s">
        <v>2438</v>
      </c>
      <c r="D2574" t="s">
        <v>2379</v>
      </c>
      <c r="E2574" t="s">
        <v>2452</v>
      </c>
      <c r="F2574" t="s">
        <v>3491</v>
      </c>
      <c r="G2574" t="s">
        <v>2452</v>
      </c>
      <c r="H2574" t="b">
        <v>1</v>
      </c>
      <c r="I2574" s="8">
        <v>45952.685694444444</v>
      </c>
      <c r="J2574" t="s">
        <v>2380</v>
      </c>
      <c r="K2574">
        <v>1204073</v>
      </c>
      <c r="L2574">
        <v>602666</v>
      </c>
      <c r="M2574" t="s">
        <v>2381</v>
      </c>
      <c r="Q2574" t="s">
        <v>2383</v>
      </c>
      <c r="R2574">
        <v>1</v>
      </c>
      <c r="S2574" t="s">
        <v>2380</v>
      </c>
      <c r="T2574" t="s">
        <v>2383</v>
      </c>
      <c r="U2574" s="8">
        <v>45952.679108796299</v>
      </c>
      <c r="V2574" s="8">
        <v>45958.958333333336</v>
      </c>
      <c r="W2574">
        <v>1</v>
      </c>
      <c r="X2574">
        <v>6.5856480000000004E-3</v>
      </c>
      <c r="Y2574" t="s">
        <v>3492</v>
      </c>
      <c r="Z2574" t="s">
        <v>4674</v>
      </c>
      <c r="AA2574" t="s">
        <v>3495</v>
      </c>
      <c r="AB2574" t="s">
        <v>1278</v>
      </c>
      <c r="AC2574" t="s">
        <v>4675</v>
      </c>
      <c r="AD2574" t="s">
        <v>2708</v>
      </c>
      <c r="AE2574">
        <v>1</v>
      </c>
      <c r="AO2574" t="s">
        <v>2957</v>
      </c>
      <c r="AP2574" t="s">
        <v>2401</v>
      </c>
    </row>
    <row r="2575" spans="1:42">
      <c r="A2575" t="s">
        <v>3493</v>
      </c>
      <c r="B2575" t="s">
        <v>2389</v>
      </c>
      <c r="C2575" t="s">
        <v>2438</v>
      </c>
      <c r="D2575" t="s">
        <v>2379</v>
      </c>
      <c r="E2575" t="s">
        <v>2452</v>
      </c>
      <c r="F2575" t="s">
        <v>3491</v>
      </c>
      <c r="G2575" t="s">
        <v>2452</v>
      </c>
      <c r="H2575" t="b">
        <v>1</v>
      </c>
      <c r="I2575" s="8">
        <v>45952.69295138889</v>
      </c>
      <c r="J2575" t="s">
        <v>2380</v>
      </c>
      <c r="L2575">
        <v>602666</v>
      </c>
      <c r="M2575" t="s">
        <v>2381</v>
      </c>
      <c r="Q2575" t="s">
        <v>2383</v>
      </c>
      <c r="R2575">
        <v>1</v>
      </c>
      <c r="S2575" t="s">
        <v>2380</v>
      </c>
      <c r="T2575" t="s">
        <v>2383</v>
      </c>
      <c r="U2575" s="8">
        <v>45952.680243055554</v>
      </c>
      <c r="V2575" s="8">
        <v>45958.958333333336</v>
      </c>
      <c r="W2575">
        <v>1</v>
      </c>
      <c r="X2575">
        <v>1.2708333E-2</v>
      </c>
      <c r="Y2575" t="s">
        <v>3492</v>
      </c>
      <c r="Z2575" t="s">
        <v>3494</v>
      </c>
      <c r="AA2575" t="s">
        <v>3495</v>
      </c>
      <c r="AB2575" t="s">
        <v>1278</v>
      </c>
      <c r="AC2575" t="s">
        <v>3496</v>
      </c>
      <c r="AE2575">
        <v>1</v>
      </c>
      <c r="AO2575" t="s">
        <v>2957</v>
      </c>
      <c r="AP2575" t="s">
        <v>2401</v>
      </c>
    </row>
    <row r="2576" spans="1:42">
      <c r="A2576" t="s">
        <v>3182</v>
      </c>
      <c r="B2576" t="s">
        <v>2389</v>
      </c>
      <c r="C2576" t="s">
        <v>2378</v>
      </c>
      <c r="D2576" t="s">
        <v>2379</v>
      </c>
      <c r="E2576" t="s">
        <v>25</v>
      </c>
      <c r="F2576" t="s">
        <v>2541</v>
      </c>
      <c r="G2576" t="s">
        <v>25</v>
      </c>
      <c r="H2576" t="b">
        <v>1</v>
      </c>
      <c r="I2576" s="8">
        <v>45958.634444444448</v>
      </c>
      <c r="J2576" t="s">
        <v>2380</v>
      </c>
      <c r="K2576">
        <v>1205350</v>
      </c>
      <c r="L2576">
        <v>601353</v>
      </c>
      <c r="M2576" t="s">
        <v>2381</v>
      </c>
      <c r="N2576">
        <v>5</v>
      </c>
      <c r="P2576" t="s">
        <v>2548</v>
      </c>
      <c r="Q2576" t="s">
        <v>2383</v>
      </c>
      <c r="R2576">
        <v>1</v>
      </c>
      <c r="S2576" t="s">
        <v>2380</v>
      </c>
      <c r="T2576" t="s">
        <v>2383</v>
      </c>
      <c r="U2576" s="8">
        <v>45952.690196759257</v>
      </c>
      <c r="V2576" s="8">
        <v>45958.958333333336</v>
      </c>
      <c r="W2576">
        <v>1</v>
      </c>
      <c r="X2576">
        <v>3.9442476850000001</v>
      </c>
      <c r="Y2576" t="s">
        <v>2542</v>
      </c>
      <c r="Z2576" t="s">
        <v>3183</v>
      </c>
      <c r="AA2576" t="s">
        <v>2934</v>
      </c>
      <c r="AB2576" t="s">
        <v>1278</v>
      </c>
      <c r="AC2576" t="s">
        <v>3184</v>
      </c>
      <c r="AD2576" t="s">
        <v>2708</v>
      </c>
      <c r="AE2576">
        <v>1</v>
      </c>
      <c r="AO2576" t="s">
        <v>2547</v>
      </c>
      <c r="AP2576" t="s">
        <v>2401</v>
      </c>
    </row>
    <row r="2577" spans="1:42">
      <c r="A2577" t="s">
        <v>9890</v>
      </c>
      <c r="B2577" t="s">
        <v>2389</v>
      </c>
      <c r="C2577" t="s">
        <v>2390</v>
      </c>
      <c r="D2577" t="s">
        <v>2379</v>
      </c>
      <c r="E2577" t="s">
        <v>25</v>
      </c>
      <c r="F2577" t="s">
        <v>2779</v>
      </c>
      <c r="G2577" t="s">
        <v>25</v>
      </c>
      <c r="H2577" t="b">
        <v>1</v>
      </c>
      <c r="I2577" s="8">
        <v>45955.467361111114</v>
      </c>
      <c r="J2577" t="s">
        <v>2380</v>
      </c>
      <c r="L2577">
        <v>604220</v>
      </c>
      <c r="M2577" t="s">
        <v>2381</v>
      </c>
      <c r="P2577" t="s">
        <v>2548</v>
      </c>
      <c r="Q2577" t="s">
        <v>2395</v>
      </c>
      <c r="R2577">
        <v>1</v>
      </c>
      <c r="S2577" t="s">
        <v>2380</v>
      </c>
      <c r="T2577" t="s">
        <v>2383</v>
      </c>
      <c r="U2577" s="8">
        <v>45952.711863425924</v>
      </c>
      <c r="V2577" s="8">
        <v>45958.958333333336</v>
      </c>
      <c r="W2577">
        <v>1</v>
      </c>
      <c r="X2577">
        <v>2.7554976849999999</v>
      </c>
      <c r="Y2577" t="s">
        <v>1352</v>
      </c>
      <c r="Z2577" t="s">
        <v>9891</v>
      </c>
      <c r="AA2577" t="s">
        <v>8200</v>
      </c>
      <c r="AB2577" t="s">
        <v>1278</v>
      </c>
      <c r="AE2577">
        <v>1</v>
      </c>
      <c r="AO2577" t="s">
        <v>4137</v>
      </c>
      <c r="AP2577" t="s">
        <v>2401</v>
      </c>
    </row>
    <row r="2578" spans="1:42">
      <c r="A2578" t="s">
        <v>8726</v>
      </c>
      <c r="B2578" t="s">
        <v>2389</v>
      </c>
      <c r="C2578" t="s">
        <v>2378</v>
      </c>
      <c r="D2578" t="s">
        <v>2379</v>
      </c>
      <c r="E2578" t="s">
        <v>12</v>
      </c>
      <c r="F2578" t="s">
        <v>5085</v>
      </c>
      <c r="G2578" t="s">
        <v>12</v>
      </c>
      <c r="H2578" t="b">
        <v>1</v>
      </c>
      <c r="I2578" s="8">
        <v>45958.460011574076</v>
      </c>
      <c r="J2578" t="s">
        <v>2380</v>
      </c>
      <c r="K2578">
        <v>1204887</v>
      </c>
      <c r="L2578">
        <v>608684</v>
      </c>
      <c r="M2578" t="s">
        <v>2381</v>
      </c>
      <c r="P2578" t="s">
        <v>2427</v>
      </c>
      <c r="Q2578" t="s">
        <v>2383</v>
      </c>
      <c r="R2578">
        <v>1</v>
      </c>
      <c r="S2578" t="s">
        <v>2380</v>
      </c>
      <c r="T2578" t="s">
        <v>5117</v>
      </c>
      <c r="U2578" s="8">
        <v>45952.722245370373</v>
      </c>
      <c r="V2578" s="8">
        <v>45958.958333333336</v>
      </c>
      <c r="W2578">
        <v>1</v>
      </c>
      <c r="X2578">
        <v>3.7377662040000001</v>
      </c>
      <c r="Y2578" t="s">
        <v>5087</v>
      </c>
      <c r="Z2578" t="s">
        <v>8727</v>
      </c>
      <c r="AA2578" t="s">
        <v>8728</v>
      </c>
      <c r="AB2578" t="s">
        <v>1278</v>
      </c>
      <c r="AC2578" t="s">
        <v>8729</v>
      </c>
      <c r="AD2578" t="s">
        <v>2708</v>
      </c>
      <c r="AE2578">
        <v>1</v>
      </c>
      <c r="AO2578" t="s">
        <v>2720</v>
      </c>
      <c r="AP2578" t="s">
        <v>2401</v>
      </c>
    </row>
    <row r="2579" spans="1:42">
      <c r="A2579" t="s">
        <v>8730</v>
      </c>
      <c r="B2579" t="s">
        <v>2389</v>
      </c>
      <c r="C2579" t="s">
        <v>2378</v>
      </c>
      <c r="D2579" t="s">
        <v>2379</v>
      </c>
      <c r="E2579" t="s">
        <v>12</v>
      </c>
      <c r="F2579" t="s">
        <v>5085</v>
      </c>
      <c r="G2579" t="s">
        <v>12</v>
      </c>
      <c r="H2579" t="b">
        <v>1</v>
      </c>
      <c r="I2579" s="8">
        <v>45958.46565972222</v>
      </c>
      <c r="J2579" t="s">
        <v>2380</v>
      </c>
      <c r="K2579">
        <v>1204888</v>
      </c>
      <c r="L2579">
        <v>608684</v>
      </c>
      <c r="M2579" t="s">
        <v>2381</v>
      </c>
      <c r="P2579" t="s">
        <v>2427</v>
      </c>
      <c r="Q2579" t="s">
        <v>2383</v>
      </c>
      <c r="R2579">
        <v>1</v>
      </c>
      <c r="S2579" t="s">
        <v>2380</v>
      </c>
      <c r="T2579" t="s">
        <v>5117</v>
      </c>
      <c r="U2579" s="8">
        <v>45952.723657407405</v>
      </c>
      <c r="V2579" s="8">
        <v>45958.958333333336</v>
      </c>
      <c r="W2579">
        <v>1</v>
      </c>
      <c r="X2579">
        <v>3.7420023150000001</v>
      </c>
      <c r="Y2579" t="s">
        <v>5087</v>
      </c>
      <c r="Z2579" t="s">
        <v>8731</v>
      </c>
      <c r="AA2579" t="s">
        <v>8728</v>
      </c>
      <c r="AB2579" t="s">
        <v>1278</v>
      </c>
      <c r="AC2579" t="s">
        <v>8732</v>
      </c>
      <c r="AD2579" t="s">
        <v>2708</v>
      </c>
      <c r="AE2579">
        <v>1</v>
      </c>
      <c r="AO2579" t="s">
        <v>2720</v>
      </c>
      <c r="AP2579" t="s">
        <v>2401</v>
      </c>
    </row>
    <row r="2580" spans="1:42">
      <c r="A2580" t="s">
        <v>8664</v>
      </c>
      <c r="B2580" t="s">
        <v>2389</v>
      </c>
      <c r="C2580" t="s">
        <v>2390</v>
      </c>
      <c r="D2580" t="s">
        <v>2379</v>
      </c>
      <c r="E2580" t="s">
        <v>2452</v>
      </c>
      <c r="F2580" t="s">
        <v>3747</v>
      </c>
      <c r="G2580" t="s">
        <v>2452</v>
      </c>
      <c r="H2580" t="b">
        <v>1</v>
      </c>
      <c r="I2580" s="8">
        <v>45955.384039351855</v>
      </c>
      <c r="J2580" t="s">
        <v>2380</v>
      </c>
      <c r="K2580">
        <v>1204612</v>
      </c>
      <c r="L2580">
        <v>606887</v>
      </c>
      <c r="M2580" t="s">
        <v>2381</v>
      </c>
      <c r="P2580" t="s">
        <v>2394</v>
      </c>
      <c r="Q2580" t="s">
        <v>2383</v>
      </c>
      <c r="R2580">
        <v>1</v>
      </c>
      <c r="S2580" t="s">
        <v>2380</v>
      </c>
      <c r="T2580" t="s">
        <v>2383</v>
      </c>
      <c r="U2580" s="8">
        <v>45952.735914351855</v>
      </c>
      <c r="V2580" s="8">
        <v>45958.958333333336</v>
      </c>
      <c r="W2580">
        <v>1</v>
      </c>
      <c r="X2580">
        <v>2.6481249999999998</v>
      </c>
      <c r="Y2580" t="s">
        <v>3748</v>
      </c>
      <c r="Z2580" t="s">
        <v>8665</v>
      </c>
      <c r="AA2580" t="s">
        <v>8647</v>
      </c>
      <c r="AB2580" t="s">
        <v>1278</v>
      </c>
      <c r="AC2580" t="s">
        <v>8666</v>
      </c>
      <c r="AD2580" t="s">
        <v>2708</v>
      </c>
      <c r="AE2580">
        <v>1</v>
      </c>
      <c r="AO2580" t="s">
        <v>2712</v>
      </c>
      <c r="AP2580" t="s">
        <v>2401</v>
      </c>
    </row>
    <row r="2581" spans="1:42">
      <c r="A2581" t="s">
        <v>3081</v>
      </c>
      <c r="B2581" t="s">
        <v>2389</v>
      </c>
      <c r="C2581" t="s">
        <v>2390</v>
      </c>
      <c r="D2581" t="s">
        <v>2379</v>
      </c>
      <c r="E2581" t="s">
        <v>25</v>
      </c>
      <c r="F2581" t="s">
        <v>2779</v>
      </c>
      <c r="G2581" t="s">
        <v>25</v>
      </c>
      <c r="H2581" t="b">
        <v>1</v>
      </c>
      <c r="I2581" s="8">
        <v>45955.598287037035</v>
      </c>
      <c r="J2581" t="s">
        <v>2380</v>
      </c>
      <c r="K2581">
        <v>1204652</v>
      </c>
      <c r="L2581">
        <v>608739</v>
      </c>
      <c r="M2581" t="s">
        <v>2381</v>
      </c>
      <c r="N2581">
        <v>5</v>
      </c>
      <c r="P2581" t="s">
        <v>2394</v>
      </c>
      <c r="Q2581" t="s">
        <v>2383</v>
      </c>
      <c r="R2581">
        <v>1</v>
      </c>
      <c r="S2581" t="s">
        <v>2380</v>
      </c>
      <c r="T2581" t="s">
        <v>2383</v>
      </c>
      <c r="U2581" s="8">
        <v>45952.741550925923</v>
      </c>
      <c r="V2581" s="8">
        <v>45958.958333333336</v>
      </c>
      <c r="W2581">
        <v>1</v>
      </c>
      <c r="X2581">
        <v>2.856736111</v>
      </c>
      <c r="Y2581" t="s">
        <v>1352</v>
      </c>
      <c r="Z2581" t="s">
        <v>3082</v>
      </c>
      <c r="AA2581" t="s">
        <v>3019</v>
      </c>
      <c r="AB2581" t="s">
        <v>1278</v>
      </c>
      <c r="AC2581" t="s">
        <v>3083</v>
      </c>
      <c r="AD2581" t="s">
        <v>2708</v>
      </c>
      <c r="AE2581">
        <v>1</v>
      </c>
      <c r="AO2581" t="s">
        <v>2408</v>
      </c>
      <c r="AP2581" t="s">
        <v>2401</v>
      </c>
    </row>
    <row r="2582" spans="1:42">
      <c r="A2582" t="s">
        <v>2473</v>
      </c>
      <c r="B2582" t="s">
        <v>2389</v>
      </c>
      <c r="C2582" t="s">
        <v>2415</v>
      </c>
      <c r="D2582" t="s">
        <v>2379</v>
      </c>
      <c r="E2582" t="s">
        <v>2416</v>
      </c>
      <c r="F2582" t="s">
        <v>2402</v>
      </c>
      <c r="G2582" t="s">
        <v>2416</v>
      </c>
      <c r="H2582" t="b">
        <v>1</v>
      </c>
      <c r="I2582" s="8">
        <v>45956.467175925929</v>
      </c>
      <c r="J2582" t="s">
        <v>2380</v>
      </c>
      <c r="L2582">
        <v>602645</v>
      </c>
      <c r="M2582" t="s">
        <v>2381</v>
      </c>
      <c r="P2582" t="s">
        <v>2394</v>
      </c>
      <c r="Q2582" t="s">
        <v>2383</v>
      </c>
      <c r="R2582">
        <v>1</v>
      </c>
      <c r="S2582" t="s">
        <v>2380</v>
      </c>
      <c r="T2582" t="s">
        <v>2383</v>
      </c>
      <c r="U2582" s="8">
        <v>45952.929560185185</v>
      </c>
      <c r="V2582" s="8">
        <v>45958.958333333336</v>
      </c>
      <c r="W2582">
        <v>1</v>
      </c>
      <c r="X2582">
        <v>1.537615741</v>
      </c>
      <c r="Y2582" t="s">
        <v>2403</v>
      </c>
      <c r="Z2582" t="s">
        <v>2474</v>
      </c>
      <c r="AA2582" t="s">
        <v>2475</v>
      </c>
      <c r="AB2582" t="s">
        <v>1278</v>
      </c>
      <c r="AC2582" t="s">
        <v>2476</v>
      </c>
      <c r="AE2582">
        <v>1</v>
      </c>
      <c r="AO2582" t="s">
        <v>2408</v>
      </c>
      <c r="AP2582" t="s">
        <v>2401</v>
      </c>
    </row>
    <row r="2583" spans="1:42">
      <c r="A2583" t="s">
        <v>4492</v>
      </c>
      <c r="B2583" t="s">
        <v>2389</v>
      </c>
      <c r="C2583" t="s">
        <v>2390</v>
      </c>
      <c r="D2583" t="s">
        <v>2379</v>
      </c>
      <c r="E2583" t="s">
        <v>2452</v>
      </c>
      <c r="F2583">
        <v>6363</v>
      </c>
      <c r="G2583" t="s">
        <v>2452</v>
      </c>
      <c r="H2583" t="b">
        <v>1</v>
      </c>
      <c r="I2583" s="8">
        <v>45955.392893518518</v>
      </c>
      <c r="J2583" t="s">
        <v>2380</v>
      </c>
      <c r="K2583">
        <v>1204614</v>
      </c>
      <c r="L2583">
        <v>603569</v>
      </c>
      <c r="M2583" t="s">
        <v>2381</v>
      </c>
      <c r="P2583" t="s">
        <v>2394</v>
      </c>
      <c r="Q2583" t="s">
        <v>2383</v>
      </c>
      <c r="R2583">
        <v>1</v>
      </c>
      <c r="S2583" t="s">
        <v>2380</v>
      </c>
      <c r="T2583" t="s">
        <v>2383</v>
      </c>
      <c r="U2583" s="8">
        <v>45953.313078703701</v>
      </c>
      <c r="V2583" s="8">
        <v>45958.958333333336</v>
      </c>
      <c r="W2583">
        <v>1</v>
      </c>
      <c r="X2583">
        <v>2.0798148150000002</v>
      </c>
      <c r="Y2583" t="s">
        <v>4491</v>
      </c>
      <c r="Z2583" t="s">
        <v>4493</v>
      </c>
      <c r="AA2583" t="s">
        <v>4494</v>
      </c>
      <c r="AB2583" t="s">
        <v>1278</v>
      </c>
      <c r="AC2583" t="s">
        <v>4495</v>
      </c>
      <c r="AD2583" t="s">
        <v>2708</v>
      </c>
      <c r="AE2583">
        <v>1</v>
      </c>
      <c r="AO2583" t="s">
        <v>2388</v>
      </c>
      <c r="AP2583" t="s">
        <v>2401</v>
      </c>
    </row>
    <row r="2584" spans="1:42">
      <c r="A2584" t="s">
        <v>8396</v>
      </c>
      <c r="B2584" t="s">
        <v>2389</v>
      </c>
      <c r="C2584" t="s">
        <v>2390</v>
      </c>
      <c r="D2584" t="s">
        <v>2379</v>
      </c>
      <c r="E2584" t="s">
        <v>25</v>
      </c>
      <c r="F2584" t="s">
        <v>3514</v>
      </c>
      <c r="G2584" t="s">
        <v>25</v>
      </c>
      <c r="H2584" t="b">
        <v>1</v>
      </c>
      <c r="I2584" s="8">
        <v>45953.34715277778</v>
      </c>
      <c r="J2584" t="s">
        <v>2380</v>
      </c>
      <c r="K2584">
        <v>1204097</v>
      </c>
      <c r="L2584">
        <v>603695</v>
      </c>
      <c r="M2584" t="s">
        <v>2381</v>
      </c>
      <c r="N2584">
        <v>5</v>
      </c>
      <c r="P2584" t="s">
        <v>2394</v>
      </c>
      <c r="Q2584" t="s">
        <v>2383</v>
      </c>
      <c r="R2584">
        <v>1</v>
      </c>
      <c r="S2584" t="s">
        <v>2380</v>
      </c>
      <c r="T2584" t="s">
        <v>2383</v>
      </c>
      <c r="U2584" s="8">
        <v>45950.60565972222</v>
      </c>
      <c r="V2584" s="8">
        <v>45953.958333333336</v>
      </c>
      <c r="W2584">
        <v>1</v>
      </c>
      <c r="X2584">
        <v>2.7414930559999999</v>
      </c>
      <c r="Y2584" t="s">
        <v>3515</v>
      </c>
      <c r="Z2584" t="s">
        <v>8397</v>
      </c>
      <c r="AA2584" t="s">
        <v>3518</v>
      </c>
      <c r="AB2584" t="s">
        <v>1278</v>
      </c>
      <c r="AC2584" t="s">
        <v>8398</v>
      </c>
      <c r="AD2584" t="s">
        <v>2708</v>
      </c>
      <c r="AE2584">
        <v>1</v>
      </c>
      <c r="AO2584" t="s">
        <v>2957</v>
      </c>
      <c r="AP2584" t="s">
        <v>2401</v>
      </c>
    </row>
    <row r="2585" spans="1:42">
      <c r="A2585" t="s">
        <v>2448</v>
      </c>
      <c r="B2585" t="s">
        <v>2389</v>
      </c>
      <c r="C2585" t="s">
        <v>2447</v>
      </c>
      <c r="D2585" t="s">
        <v>2379</v>
      </c>
      <c r="E2585" t="s">
        <v>28</v>
      </c>
      <c r="F2585" t="s">
        <v>2402</v>
      </c>
      <c r="G2585" t="s">
        <v>28</v>
      </c>
      <c r="H2585" t="b">
        <v>1</v>
      </c>
      <c r="I2585" s="8">
        <v>45959.596921296295</v>
      </c>
      <c r="J2585" t="s">
        <v>2380</v>
      </c>
      <c r="L2585">
        <v>603173</v>
      </c>
      <c r="M2585" t="s">
        <v>2381</v>
      </c>
      <c r="P2585" t="s">
        <v>2394</v>
      </c>
      <c r="Q2585" t="s">
        <v>2383</v>
      </c>
      <c r="R2585">
        <v>1</v>
      </c>
      <c r="S2585" t="s">
        <v>2380</v>
      </c>
      <c r="T2585" t="s">
        <v>2383</v>
      </c>
      <c r="U2585" s="8">
        <v>45953.347291666665</v>
      </c>
      <c r="V2585" s="8">
        <v>45959.958333333336</v>
      </c>
      <c r="W2585">
        <v>1</v>
      </c>
      <c r="X2585">
        <v>4.2496296300000003</v>
      </c>
      <c r="Y2585" t="s">
        <v>2403</v>
      </c>
      <c r="Z2585" t="s">
        <v>2449</v>
      </c>
      <c r="AA2585" t="s">
        <v>2450</v>
      </c>
      <c r="AB2585" t="s">
        <v>1278</v>
      </c>
      <c r="AC2585" t="s">
        <v>2451</v>
      </c>
      <c r="AE2585">
        <v>1</v>
      </c>
      <c r="AO2585" t="s">
        <v>2408</v>
      </c>
      <c r="AP2585" t="s">
        <v>2401</v>
      </c>
    </row>
    <row r="2586" spans="1:42">
      <c r="A2586" t="s">
        <v>996</v>
      </c>
      <c r="B2586" t="s">
        <v>2377</v>
      </c>
      <c r="C2586" t="s">
        <v>2443</v>
      </c>
      <c r="D2586" t="s">
        <v>2443</v>
      </c>
      <c r="E2586" t="s">
        <v>33</v>
      </c>
      <c r="F2586" t="s">
        <v>3921</v>
      </c>
      <c r="G2586" t="s">
        <v>33</v>
      </c>
      <c r="H2586" t="b">
        <v>1</v>
      </c>
      <c r="I2586" s="8">
        <v>45960.396261574075</v>
      </c>
      <c r="J2586" t="s">
        <v>2380</v>
      </c>
      <c r="L2586">
        <v>608029</v>
      </c>
      <c r="M2586" t="s">
        <v>2381</v>
      </c>
      <c r="P2586" t="s">
        <v>2427</v>
      </c>
      <c r="Q2586" t="s">
        <v>2383</v>
      </c>
      <c r="R2586">
        <v>1</v>
      </c>
      <c r="S2586" t="s">
        <v>2380</v>
      </c>
      <c r="T2586" t="s">
        <v>2383</v>
      </c>
      <c r="U2586" s="8">
        <v>45953.36241898148</v>
      </c>
      <c r="V2586" s="8">
        <v>45959.958333333336</v>
      </c>
      <c r="W2586">
        <v>1</v>
      </c>
      <c r="X2586">
        <v>5.0338425930000001</v>
      </c>
      <c r="Y2586" t="s">
        <v>1352</v>
      </c>
      <c r="Z2586" t="s">
        <v>8840</v>
      </c>
      <c r="AA2586" t="s">
        <v>3923</v>
      </c>
      <c r="AB2586" t="s">
        <v>1278</v>
      </c>
      <c r="AC2586" t="s">
        <v>8841</v>
      </c>
      <c r="AD2586" t="s">
        <v>2708</v>
      </c>
      <c r="AE2586">
        <v>1</v>
      </c>
      <c r="AH2586" t="s">
        <v>2723</v>
      </c>
      <c r="AI2586" s="8">
        <v>45960.355706018519</v>
      </c>
      <c r="AK2586" t="s">
        <v>2719</v>
      </c>
      <c r="AL2586" t="s">
        <v>2719</v>
      </c>
      <c r="AO2586" t="s">
        <v>2720</v>
      </c>
      <c r="AP2586" t="s">
        <v>2401</v>
      </c>
    </row>
    <row r="2587" spans="1:42">
      <c r="A2587" t="s">
        <v>1148</v>
      </c>
      <c r="B2587" t="s">
        <v>2377</v>
      </c>
      <c r="C2587" t="s">
        <v>2443</v>
      </c>
      <c r="D2587" t="s">
        <v>2443</v>
      </c>
      <c r="E2587" t="s">
        <v>33</v>
      </c>
      <c r="F2587" t="s">
        <v>3921</v>
      </c>
      <c r="G2587" t="s">
        <v>33</v>
      </c>
      <c r="H2587" t="b">
        <v>1</v>
      </c>
      <c r="I2587" s="8">
        <v>45960.377164351848</v>
      </c>
      <c r="J2587" t="s">
        <v>2380</v>
      </c>
      <c r="L2587">
        <v>608029</v>
      </c>
      <c r="M2587" t="s">
        <v>2381</v>
      </c>
      <c r="P2587" t="s">
        <v>2427</v>
      </c>
      <c r="Q2587" t="s">
        <v>2383</v>
      </c>
      <c r="R2587">
        <v>1</v>
      </c>
      <c r="S2587" t="s">
        <v>2380</v>
      </c>
      <c r="T2587" t="s">
        <v>2383</v>
      </c>
      <c r="U2587" s="8">
        <v>45953.363194444442</v>
      </c>
      <c r="V2587" s="8">
        <v>45959.958333333336</v>
      </c>
      <c r="W2587">
        <v>1</v>
      </c>
      <c r="X2587">
        <v>5.0139699069999999</v>
      </c>
      <c r="Y2587" t="s">
        <v>1352</v>
      </c>
      <c r="Z2587" t="s">
        <v>8842</v>
      </c>
      <c r="AA2587" t="s">
        <v>3923</v>
      </c>
      <c r="AB2587" t="s">
        <v>1278</v>
      </c>
      <c r="AC2587" t="s">
        <v>8843</v>
      </c>
      <c r="AD2587" t="s">
        <v>2708</v>
      </c>
      <c r="AE2587">
        <v>1</v>
      </c>
      <c r="AH2587" t="s">
        <v>2723</v>
      </c>
      <c r="AI2587" s="8">
        <v>45959.706053240741</v>
      </c>
      <c r="AK2587" t="s">
        <v>2719</v>
      </c>
      <c r="AL2587" t="s">
        <v>2719</v>
      </c>
      <c r="AO2587" t="s">
        <v>2720</v>
      </c>
      <c r="AP2587" t="s">
        <v>2401</v>
      </c>
    </row>
    <row r="2588" spans="1:42">
      <c r="A2588" t="s">
        <v>4514</v>
      </c>
      <c r="B2588" t="s">
        <v>2389</v>
      </c>
      <c r="C2588" t="s">
        <v>2443</v>
      </c>
      <c r="D2588" t="s">
        <v>2443</v>
      </c>
      <c r="E2588" t="s">
        <v>2452</v>
      </c>
      <c r="F2588" t="s">
        <v>2588</v>
      </c>
      <c r="G2588" t="s">
        <v>2452</v>
      </c>
      <c r="H2588" t="b">
        <v>1</v>
      </c>
      <c r="I2588" s="8">
        <v>45960.357164351852</v>
      </c>
      <c r="J2588" t="s">
        <v>2380</v>
      </c>
      <c r="K2588">
        <v>1205688</v>
      </c>
      <c r="L2588">
        <v>602590</v>
      </c>
      <c r="M2588" t="s">
        <v>2381</v>
      </c>
      <c r="P2588" t="s">
        <v>2427</v>
      </c>
      <c r="Q2588" t="s">
        <v>2383</v>
      </c>
      <c r="R2588">
        <v>1</v>
      </c>
      <c r="S2588" t="s">
        <v>2380</v>
      </c>
      <c r="T2588" t="s">
        <v>2383</v>
      </c>
      <c r="U2588" s="8">
        <v>45953.363206018519</v>
      </c>
      <c r="V2588" s="8">
        <v>45959.958333333336</v>
      </c>
      <c r="W2588">
        <v>1</v>
      </c>
      <c r="X2588">
        <v>4.9939583330000001</v>
      </c>
      <c r="Y2588" t="s">
        <v>2579</v>
      </c>
      <c r="Z2588" t="s">
        <v>4515</v>
      </c>
      <c r="AA2588" t="s">
        <v>3307</v>
      </c>
      <c r="AB2588" t="s">
        <v>1278</v>
      </c>
      <c r="AC2588" t="s">
        <v>4516</v>
      </c>
      <c r="AD2588" t="s">
        <v>2708</v>
      </c>
      <c r="AE2588">
        <v>1</v>
      </c>
      <c r="AO2588" t="s">
        <v>2388</v>
      </c>
      <c r="AP2588" t="s">
        <v>2401</v>
      </c>
    </row>
    <row r="2589" spans="1:42">
      <c r="A2589" t="s">
        <v>8952</v>
      </c>
      <c r="B2589" t="s">
        <v>2389</v>
      </c>
      <c r="C2589" t="s">
        <v>2390</v>
      </c>
      <c r="D2589" t="s">
        <v>2379</v>
      </c>
      <c r="E2589" t="s">
        <v>25</v>
      </c>
      <c r="F2589">
        <v>6343</v>
      </c>
      <c r="G2589" t="s">
        <v>25</v>
      </c>
      <c r="H2589" t="b">
        <v>1</v>
      </c>
      <c r="I2589" s="8">
        <v>45953.410798611112</v>
      </c>
      <c r="J2589" t="s">
        <v>2380</v>
      </c>
      <c r="K2589">
        <v>1204102</v>
      </c>
      <c r="L2589">
        <v>605693</v>
      </c>
      <c r="M2589" t="s">
        <v>2381</v>
      </c>
      <c r="N2589">
        <v>5</v>
      </c>
      <c r="P2589" t="s">
        <v>2394</v>
      </c>
      <c r="Q2589" t="s">
        <v>2383</v>
      </c>
      <c r="R2589">
        <v>1</v>
      </c>
      <c r="S2589" t="s">
        <v>2380</v>
      </c>
      <c r="T2589" t="s">
        <v>2383</v>
      </c>
      <c r="U2589" s="8">
        <v>45950.760787037034</v>
      </c>
      <c r="V2589" s="8">
        <v>45953.958333333336</v>
      </c>
      <c r="W2589">
        <v>1</v>
      </c>
      <c r="X2589">
        <v>2.6500115740000001</v>
      </c>
      <c r="Y2589" t="s">
        <v>2662</v>
      </c>
      <c r="Z2589" t="s">
        <v>8953</v>
      </c>
      <c r="AA2589" t="s">
        <v>8934</v>
      </c>
      <c r="AB2589" t="s">
        <v>1278</v>
      </c>
      <c r="AC2589" t="s">
        <v>8954</v>
      </c>
      <c r="AD2589" t="s">
        <v>2708</v>
      </c>
      <c r="AE2589">
        <v>1</v>
      </c>
      <c r="AH2589" t="s">
        <v>2723</v>
      </c>
      <c r="AI2589" s="8">
        <v>45953.403483796297</v>
      </c>
      <c r="AK2589" t="s">
        <v>2719</v>
      </c>
      <c r="AL2589" t="s">
        <v>2724</v>
      </c>
      <c r="AO2589" t="s">
        <v>2388</v>
      </c>
      <c r="AP2589" t="s">
        <v>8931</v>
      </c>
    </row>
    <row r="2590" spans="1:42">
      <c r="A2590" t="s">
        <v>2440</v>
      </c>
      <c r="B2590" t="s">
        <v>2389</v>
      </c>
      <c r="C2590" t="s">
        <v>2438</v>
      </c>
      <c r="D2590" t="s">
        <v>2379</v>
      </c>
      <c r="E2590" t="s">
        <v>2439</v>
      </c>
      <c r="F2590" t="s">
        <v>2409</v>
      </c>
      <c r="G2590" t="s">
        <v>2439</v>
      </c>
      <c r="H2590" t="b">
        <v>1</v>
      </c>
      <c r="I2590" s="8">
        <v>45953.369270833333</v>
      </c>
      <c r="J2590" t="s">
        <v>2380</v>
      </c>
      <c r="L2590">
        <v>603109</v>
      </c>
      <c r="M2590" t="s">
        <v>2381</v>
      </c>
      <c r="Q2590" t="s">
        <v>2383</v>
      </c>
      <c r="R2590">
        <v>1</v>
      </c>
      <c r="S2590" t="s">
        <v>2380</v>
      </c>
      <c r="T2590" t="s">
        <v>2383</v>
      </c>
      <c r="U2590" s="8">
        <v>45953.366273148145</v>
      </c>
      <c r="V2590" s="8">
        <v>45959.958333333336</v>
      </c>
      <c r="W2590">
        <v>1</v>
      </c>
      <c r="X2590">
        <v>2.9976849999999999E-3</v>
      </c>
      <c r="Y2590" t="s">
        <v>2410</v>
      </c>
      <c r="Z2590" t="s">
        <v>2441</v>
      </c>
      <c r="AA2590" t="s">
        <v>1305</v>
      </c>
      <c r="AB2590" t="s">
        <v>1278</v>
      </c>
      <c r="AC2590" t="s">
        <v>2442</v>
      </c>
      <c r="AE2590">
        <v>1</v>
      </c>
      <c r="AO2590" t="s">
        <v>2408</v>
      </c>
      <c r="AP2590" t="s">
        <v>2401</v>
      </c>
    </row>
    <row r="2591" spans="1:42">
      <c r="A2591" t="s">
        <v>8772</v>
      </c>
      <c r="B2591" t="s">
        <v>2389</v>
      </c>
      <c r="C2591" t="s">
        <v>2447</v>
      </c>
      <c r="D2591" t="s">
        <v>2379</v>
      </c>
      <c r="E2591" t="s">
        <v>25</v>
      </c>
      <c r="F2591" t="s">
        <v>2578</v>
      </c>
      <c r="G2591" t="s">
        <v>25</v>
      </c>
      <c r="H2591" t="b">
        <v>1</v>
      </c>
      <c r="I2591" s="8">
        <v>45959.721238425926</v>
      </c>
      <c r="J2591" t="s">
        <v>2380</v>
      </c>
      <c r="K2591">
        <v>1205563</v>
      </c>
      <c r="L2591">
        <v>603392</v>
      </c>
      <c r="M2591" t="s">
        <v>2381</v>
      </c>
      <c r="N2591">
        <v>5</v>
      </c>
      <c r="P2591" t="s">
        <v>2394</v>
      </c>
      <c r="Q2591" t="s">
        <v>2383</v>
      </c>
      <c r="R2591">
        <v>1</v>
      </c>
      <c r="S2591" t="s">
        <v>2380</v>
      </c>
      <c r="T2591" t="s">
        <v>2383</v>
      </c>
      <c r="U2591" s="8">
        <v>45953.388981481483</v>
      </c>
      <c r="V2591" s="8">
        <v>45959.958333333336</v>
      </c>
      <c r="W2591">
        <v>1</v>
      </c>
      <c r="X2591">
        <v>4.3322569440000001</v>
      </c>
      <c r="Y2591" t="s">
        <v>2579</v>
      </c>
      <c r="Z2591" t="s">
        <v>8773</v>
      </c>
      <c r="AA2591" t="s">
        <v>8774</v>
      </c>
      <c r="AB2591" t="s">
        <v>1278</v>
      </c>
      <c r="AC2591" t="s">
        <v>8775</v>
      </c>
      <c r="AD2591" t="s">
        <v>2708</v>
      </c>
      <c r="AE2591">
        <v>1</v>
      </c>
      <c r="AH2591" t="s">
        <v>2723</v>
      </c>
      <c r="AI2591" s="8">
        <v>45959.703506944446</v>
      </c>
      <c r="AK2591" t="s">
        <v>2719</v>
      </c>
      <c r="AL2591" t="s">
        <v>2719</v>
      </c>
      <c r="AO2591" t="s">
        <v>2388</v>
      </c>
      <c r="AP2591" t="s">
        <v>2401</v>
      </c>
    </row>
    <row r="2592" spans="1:42">
      <c r="A2592" t="s">
        <v>4324</v>
      </c>
      <c r="B2592" t="s">
        <v>2389</v>
      </c>
      <c r="C2592" t="s">
        <v>2447</v>
      </c>
      <c r="D2592" t="s">
        <v>2379</v>
      </c>
      <c r="E2592" t="s">
        <v>25</v>
      </c>
      <c r="F2592" t="s">
        <v>2541</v>
      </c>
      <c r="G2592" t="s">
        <v>25</v>
      </c>
      <c r="H2592" t="b">
        <v>1</v>
      </c>
      <c r="I2592" s="8">
        <v>45959.656076388892</v>
      </c>
      <c r="J2592" t="s">
        <v>2380</v>
      </c>
      <c r="K2592">
        <v>1205627</v>
      </c>
      <c r="L2592">
        <v>608626</v>
      </c>
      <c r="M2592" t="s">
        <v>2381</v>
      </c>
      <c r="N2592">
        <v>5</v>
      </c>
      <c r="P2592" t="s">
        <v>2548</v>
      </c>
      <c r="Q2592" t="s">
        <v>2383</v>
      </c>
      <c r="R2592">
        <v>1</v>
      </c>
      <c r="S2592" t="s">
        <v>2380</v>
      </c>
      <c r="T2592" t="s">
        <v>2383</v>
      </c>
      <c r="U2592" s="8">
        <v>45953.390798611108</v>
      </c>
      <c r="V2592" s="8">
        <v>45959.958333333336</v>
      </c>
      <c r="W2592">
        <v>1</v>
      </c>
      <c r="X2592">
        <v>4.2652777779999997</v>
      </c>
      <c r="Y2592" t="s">
        <v>2542</v>
      </c>
      <c r="Z2592" t="s">
        <v>4325</v>
      </c>
      <c r="AA2592" t="s">
        <v>2551</v>
      </c>
      <c r="AB2592" t="s">
        <v>1278</v>
      </c>
      <c r="AC2592" t="s">
        <v>4326</v>
      </c>
      <c r="AD2592" t="s">
        <v>2708</v>
      </c>
      <c r="AE2592">
        <v>1</v>
      </c>
      <c r="AO2592" t="s">
        <v>2547</v>
      </c>
      <c r="AP2592" t="s">
        <v>2401</v>
      </c>
    </row>
    <row r="2593" spans="1:42">
      <c r="A2593" t="s">
        <v>2562</v>
      </c>
      <c r="B2593" t="s">
        <v>2389</v>
      </c>
      <c r="C2593" t="s">
        <v>2447</v>
      </c>
      <c r="D2593" t="s">
        <v>2379</v>
      </c>
      <c r="E2593" t="s">
        <v>2452</v>
      </c>
      <c r="F2593" t="s">
        <v>2541</v>
      </c>
      <c r="G2593" t="s">
        <v>2452</v>
      </c>
      <c r="H2593" t="b">
        <v>1</v>
      </c>
      <c r="I2593" s="8">
        <v>45959.483148148145</v>
      </c>
      <c r="J2593" t="s">
        <v>2380</v>
      </c>
      <c r="L2593">
        <v>608236</v>
      </c>
      <c r="M2593" t="s">
        <v>2381</v>
      </c>
      <c r="P2593" t="s">
        <v>2548</v>
      </c>
      <c r="Q2593" t="s">
        <v>2383</v>
      </c>
      <c r="R2593">
        <v>1</v>
      </c>
      <c r="S2593" t="s">
        <v>2380</v>
      </c>
      <c r="T2593" t="s">
        <v>2383</v>
      </c>
      <c r="U2593" s="8">
        <v>45953.391493055555</v>
      </c>
      <c r="V2593" s="8">
        <v>45959.958333333336</v>
      </c>
      <c r="W2593">
        <v>1</v>
      </c>
      <c r="X2593">
        <v>4.091655093</v>
      </c>
      <c r="Y2593" t="s">
        <v>2542</v>
      </c>
      <c r="Z2593" t="s">
        <v>2563</v>
      </c>
      <c r="AA2593" t="s">
        <v>2564</v>
      </c>
      <c r="AB2593" t="s">
        <v>1278</v>
      </c>
      <c r="AC2593" t="s">
        <v>2565</v>
      </c>
      <c r="AE2593">
        <v>1</v>
      </c>
      <c r="AO2593" t="s">
        <v>2547</v>
      </c>
      <c r="AP2593" t="s">
        <v>2401</v>
      </c>
    </row>
    <row r="2594" spans="1:42">
      <c r="A2594" t="s">
        <v>2549</v>
      </c>
      <c r="B2594" t="s">
        <v>2389</v>
      </c>
      <c r="C2594" t="s">
        <v>2447</v>
      </c>
      <c r="D2594" t="s">
        <v>2379</v>
      </c>
      <c r="E2594" t="s">
        <v>25</v>
      </c>
      <c r="F2594" t="s">
        <v>2541</v>
      </c>
      <c r="G2594" t="s">
        <v>25</v>
      </c>
      <c r="H2594" t="b">
        <v>1</v>
      </c>
      <c r="I2594" s="8">
        <v>45959.657164351855</v>
      </c>
      <c r="J2594" t="s">
        <v>2380</v>
      </c>
      <c r="L2594">
        <v>608626</v>
      </c>
      <c r="M2594" t="s">
        <v>2381</v>
      </c>
      <c r="P2594" t="s">
        <v>2548</v>
      </c>
      <c r="Q2594" t="s">
        <v>2383</v>
      </c>
      <c r="R2594">
        <v>1</v>
      </c>
      <c r="S2594" t="s">
        <v>2380</v>
      </c>
      <c r="T2594" t="s">
        <v>2383</v>
      </c>
      <c r="U2594" s="8">
        <v>45953.392870370371</v>
      </c>
      <c r="V2594" s="8">
        <v>45959.958333333336</v>
      </c>
      <c r="W2594">
        <v>1</v>
      </c>
      <c r="X2594">
        <v>4.2642939809999998</v>
      </c>
      <c r="Y2594" t="s">
        <v>2542</v>
      </c>
      <c r="Z2594" t="s">
        <v>2550</v>
      </c>
      <c r="AA2594" t="s">
        <v>2551</v>
      </c>
      <c r="AB2594" t="s">
        <v>1278</v>
      </c>
      <c r="AC2594" t="s">
        <v>2552</v>
      </c>
      <c r="AE2594">
        <v>1</v>
      </c>
      <c r="AO2594" t="s">
        <v>2547</v>
      </c>
      <c r="AP2594" t="s">
        <v>2401</v>
      </c>
    </row>
    <row r="2595" spans="1:42">
      <c r="A2595" t="s">
        <v>3463</v>
      </c>
      <c r="B2595" t="s">
        <v>2389</v>
      </c>
      <c r="C2595" t="s">
        <v>2443</v>
      </c>
      <c r="D2595" t="s">
        <v>2443</v>
      </c>
      <c r="E2595" t="s">
        <v>2452</v>
      </c>
      <c r="F2595">
        <v>6432</v>
      </c>
      <c r="G2595" t="s">
        <v>2452</v>
      </c>
      <c r="H2595" t="b">
        <v>1</v>
      </c>
      <c r="I2595" s="8">
        <v>45960.38144675926</v>
      </c>
      <c r="J2595" t="s">
        <v>2380</v>
      </c>
      <c r="L2595">
        <v>603201</v>
      </c>
      <c r="M2595" t="s">
        <v>2381</v>
      </c>
      <c r="P2595" t="s">
        <v>3462</v>
      </c>
      <c r="Q2595" t="s">
        <v>2383</v>
      </c>
      <c r="R2595">
        <v>1</v>
      </c>
      <c r="S2595" t="s">
        <v>2380</v>
      </c>
      <c r="T2595" t="s">
        <v>2383</v>
      </c>
      <c r="U2595" s="8">
        <v>45953.394942129627</v>
      </c>
      <c r="V2595" s="8">
        <v>45959.958333333336</v>
      </c>
      <c r="W2595">
        <v>1</v>
      </c>
      <c r="X2595">
        <v>4.9865046299999998</v>
      </c>
      <c r="Y2595" t="s">
        <v>2602</v>
      </c>
      <c r="Z2595" t="s">
        <v>3464</v>
      </c>
      <c r="AA2595" t="s">
        <v>2635</v>
      </c>
      <c r="AB2595" t="s">
        <v>1278</v>
      </c>
      <c r="AC2595" t="s">
        <v>3465</v>
      </c>
      <c r="AE2595">
        <v>1</v>
      </c>
      <c r="AO2595" t="s">
        <v>2388</v>
      </c>
      <c r="AP2595" t="s">
        <v>2401</v>
      </c>
    </row>
    <row r="2596" spans="1:42">
      <c r="A2596" t="s">
        <v>4694</v>
      </c>
      <c r="B2596" t="s">
        <v>2389</v>
      </c>
      <c r="C2596" t="s">
        <v>2447</v>
      </c>
      <c r="D2596" t="s">
        <v>2379</v>
      </c>
      <c r="E2596" t="s">
        <v>25</v>
      </c>
      <c r="F2596" t="s">
        <v>3514</v>
      </c>
      <c r="G2596" t="s">
        <v>25</v>
      </c>
      <c r="H2596" t="b">
        <v>1</v>
      </c>
      <c r="I2596" s="8">
        <v>45959.563796296294</v>
      </c>
      <c r="J2596" t="s">
        <v>2380</v>
      </c>
      <c r="K2596">
        <v>1205555</v>
      </c>
      <c r="L2596">
        <v>603695</v>
      </c>
      <c r="M2596" t="s">
        <v>2381</v>
      </c>
      <c r="P2596">
        <v>5</v>
      </c>
      <c r="Q2596" t="s">
        <v>2383</v>
      </c>
      <c r="R2596">
        <v>1</v>
      </c>
      <c r="S2596" t="s">
        <v>2380</v>
      </c>
      <c r="T2596" t="s">
        <v>2383</v>
      </c>
      <c r="U2596" s="8">
        <v>45953.357349537036</v>
      </c>
      <c r="V2596" s="8">
        <v>45959.958333333336</v>
      </c>
      <c r="W2596">
        <v>1</v>
      </c>
      <c r="X2596">
        <v>4.2064467590000003</v>
      </c>
      <c r="Y2596" t="s">
        <v>3515</v>
      </c>
      <c r="Z2596" t="s">
        <v>4695</v>
      </c>
      <c r="AA2596" t="s">
        <v>3518</v>
      </c>
      <c r="AB2596" t="s">
        <v>1278</v>
      </c>
      <c r="AC2596" t="s">
        <v>4696</v>
      </c>
      <c r="AD2596" t="s">
        <v>2708</v>
      </c>
      <c r="AE2596">
        <v>1</v>
      </c>
      <c r="AO2596" t="s">
        <v>2957</v>
      </c>
      <c r="AP2596" t="s">
        <v>2401</v>
      </c>
    </row>
    <row r="2597" spans="1:42">
      <c r="A2597" t="s">
        <v>2553</v>
      </c>
      <c r="B2597" t="s">
        <v>2389</v>
      </c>
      <c r="C2597" t="s">
        <v>2447</v>
      </c>
      <c r="D2597" t="s">
        <v>2379</v>
      </c>
      <c r="E2597" t="s">
        <v>25</v>
      </c>
      <c r="F2597" t="s">
        <v>2541</v>
      </c>
      <c r="G2597" t="s">
        <v>25</v>
      </c>
      <c r="H2597" t="b">
        <v>1</v>
      </c>
      <c r="I2597" s="8">
        <v>45959.653275462966</v>
      </c>
      <c r="J2597" t="s">
        <v>2380</v>
      </c>
      <c r="L2597">
        <v>608626</v>
      </c>
      <c r="M2597" t="s">
        <v>2381</v>
      </c>
      <c r="P2597" t="s">
        <v>2548</v>
      </c>
      <c r="Q2597" t="s">
        <v>2383</v>
      </c>
      <c r="R2597">
        <v>1</v>
      </c>
      <c r="S2597" t="s">
        <v>2380</v>
      </c>
      <c r="T2597" t="s">
        <v>2383</v>
      </c>
      <c r="U2597" s="8">
        <v>45953.39707175926</v>
      </c>
      <c r="V2597" s="8">
        <v>45959.958333333336</v>
      </c>
      <c r="W2597">
        <v>1</v>
      </c>
      <c r="X2597">
        <v>4.2562037039999998</v>
      </c>
      <c r="Y2597" t="s">
        <v>2542</v>
      </c>
      <c r="Z2597" t="s">
        <v>2554</v>
      </c>
      <c r="AA2597" t="s">
        <v>2551</v>
      </c>
      <c r="AB2597" t="s">
        <v>1278</v>
      </c>
      <c r="AC2597" t="s">
        <v>2555</v>
      </c>
      <c r="AE2597">
        <v>1</v>
      </c>
      <c r="AO2597" t="s">
        <v>2547</v>
      </c>
      <c r="AP2597" t="s">
        <v>2401</v>
      </c>
    </row>
    <row r="2598" spans="1:42">
      <c r="A2598" t="s">
        <v>9909</v>
      </c>
      <c r="B2598" t="s">
        <v>2389</v>
      </c>
      <c r="C2598" t="s">
        <v>2378</v>
      </c>
      <c r="D2598" t="s">
        <v>2379</v>
      </c>
      <c r="E2598" t="s">
        <v>2452</v>
      </c>
      <c r="F2598" t="s">
        <v>8565</v>
      </c>
      <c r="G2598" t="s">
        <v>2452</v>
      </c>
      <c r="H2598" t="b">
        <v>1</v>
      </c>
      <c r="I2598" s="8">
        <v>45959.339317129627</v>
      </c>
      <c r="J2598" t="s">
        <v>2380</v>
      </c>
      <c r="L2598">
        <v>603331</v>
      </c>
      <c r="M2598" t="s">
        <v>2381</v>
      </c>
      <c r="P2598" t="s">
        <v>2394</v>
      </c>
      <c r="Q2598" t="s">
        <v>2383</v>
      </c>
      <c r="R2598">
        <v>1</v>
      </c>
      <c r="S2598" t="s">
        <v>2380</v>
      </c>
      <c r="T2598" t="s">
        <v>2383</v>
      </c>
      <c r="U2598" s="8">
        <v>45953.404722222222</v>
      </c>
      <c r="V2598" s="8">
        <v>45959.958333333336</v>
      </c>
      <c r="W2598">
        <v>1</v>
      </c>
      <c r="X2598">
        <v>3.9345949070000001</v>
      </c>
      <c r="Y2598" t="s">
        <v>8566</v>
      </c>
      <c r="Z2598" t="s">
        <v>9910</v>
      </c>
      <c r="AA2598" t="s">
        <v>8569</v>
      </c>
      <c r="AB2598" t="s">
        <v>1278</v>
      </c>
      <c r="AC2598" t="s">
        <v>9911</v>
      </c>
      <c r="AE2598">
        <v>1</v>
      </c>
      <c r="AO2598" t="s">
        <v>3608</v>
      </c>
      <c r="AP2598" t="s">
        <v>2401</v>
      </c>
    </row>
    <row r="2599" spans="1:42">
      <c r="A2599" t="s">
        <v>3159</v>
      </c>
      <c r="B2599" t="s">
        <v>2389</v>
      </c>
      <c r="C2599" t="s">
        <v>2447</v>
      </c>
      <c r="D2599" t="s">
        <v>2379</v>
      </c>
      <c r="E2599" t="s">
        <v>25</v>
      </c>
      <c r="F2599" t="s">
        <v>2541</v>
      </c>
      <c r="G2599" t="s">
        <v>25</v>
      </c>
      <c r="H2599" t="b">
        <v>1</v>
      </c>
      <c r="I2599" s="8">
        <v>45959.621446759258</v>
      </c>
      <c r="J2599" t="s">
        <v>2380</v>
      </c>
      <c r="K2599">
        <v>1205601</v>
      </c>
      <c r="L2599">
        <v>608816</v>
      </c>
      <c r="M2599" t="s">
        <v>2381</v>
      </c>
      <c r="N2599">
        <v>5</v>
      </c>
      <c r="P2599" t="s">
        <v>3117</v>
      </c>
      <c r="Q2599" t="s">
        <v>2383</v>
      </c>
      <c r="R2599">
        <v>1</v>
      </c>
      <c r="S2599" t="s">
        <v>2380</v>
      </c>
      <c r="T2599" t="s">
        <v>2383</v>
      </c>
      <c r="U2599" s="8">
        <v>45953.414918981478</v>
      </c>
      <c r="V2599" s="8">
        <v>45959.958333333336</v>
      </c>
      <c r="W2599">
        <v>1</v>
      </c>
      <c r="X2599">
        <v>4.2065277779999999</v>
      </c>
      <c r="Y2599" t="s">
        <v>2542</v>
      </c>
      <c r="Z2599" t="s">
        <v>3160</v>
      </c>
      <c r="AA2599" t="s">
        <v>2568</v>
      </c>
      <c r="AB2599" t="s">
        <v>1278</v>
      </c>
      <c r="AC2599" t="s">
        <v>3161</v>
      </c>
      <c r="AD2599" t="s">
        <v>2708</v>
      </c>
      <c r="AE2599">
        <v>1</v>
      </c>
      <c r="AO2599" t="s">
        <v>2547</v>
      </c>
      <c r="AP2599" t="s">
        <v>2401</v>
      </c>
    </row>
    <row r="2600" spans="1:42">
      <c r="A2600" t="s">
        <v>3118</v>
      </c>
      <c r="B2600" t="s">
        <v>2389</v>
      </c>
      <c r="C2600" t="s">
        <v>2447</v>
      </c>
      <c r="D2600" t="s">
        <v>2379</v>
      </c>
      <c r="E2600" t="s">
        <v>33</v>
      </c>
      <c r="F2600" t="s">
        <v>2541</v>
      </c>
      <c r="G2600" t="s">
        <v>33</v>
      </c>
      <c r="H2600" t="b">
        <v>1</v>
      </c>
      <c r="I2600" s="8">
        <v>45959.440092592595</v>
      </c>
      <c r="J2600" t="s">
        <v>2380</v>
      </c>
      <c r="K2600">
        <v>1205416</v>
      </c>
      <c r="L2600">
        <v>601441</v>
      </c>
      <c r="M2600" t="s">
        <v>2381</v>
      </c>
      <c r="P2600" t="s">
        <v>3117</v>
      </c>
      <c r="Q2600" t="s">
        <v>2383</v>
      </c>
      <c r="R2600">
        <v>1</v>
      </c>
      <c r="S2600" t="s">
        <v>2380</v>
      </c>
      <c r="T2600" t="s">
        <v>2383</v>
      </c>
      <c r="U2600" s="8">
        <v>45953.414942129632</v>
      </c>
      <c r="V2600" s="8">
        <v>45959.958333333336</v>
      </c>
      <c r="W2600">
        <v>1</v>
      </c>
      <c r="X2600">
        <v>4.0251504630000001</v>
      </c>
      <c r="Y2600" t="s">
        <v>2542</v>
      </c>
      <c r="Z2600" t="s">
        <v>3119</v>
      </c>
      <c r="AA2600" t="s">
        <v>2884</v>
      </c>
      <c r="AB2600" t="s">
        <v>1278</v>
      </c>
      <c r="AC2600" t="s">
        <v>3120</v>
      </c>
      <c r="AD2600" t="s">
        <v>2708</v>
      </c>
      <c r="AE2600">
        <v>1</v>
      </c>
      <c r="AO2600" t="s">
        <v>2547</v>
      </c>
      <c r="AP2600" t="s">
        <v>2401</v>
      </c>
    </row>
    <row r="2601" spans="1:42">
      <c r="A2601" t="s">
        <v>3165</v>
      </c>
      <c r="B2601" t="s">
        <v>2389</v>
      </c>
      <c r="C2601" t="s">
        <v>2447</v>
      </c>
      <c r="D2601" t="s">
        <v>2379</v>
      </c>
      <c r="E2601" t="s">
        <v>25</v>
      </c>
      <c r="F2601" t="s">
        <v>2541</v>
      </c>
      <c r="G2601" t="s">
        <v>25</v>
      </c>
      <c r="H2601" t="b">
        <v>1</v>
      </c>
      <c r="I2601" s="8">
        <v>45959.670300925929</v>
      </c>
      <c r="J2601" t="s">
        <v>2380</v>
      </c>
      <c r="K2601">
        <v>1205637</v>
      </c>
      <c r="L2601">
        <v>604441</v>
      </c>
      <c r="M2601" t="s">
        <v>2381</v>
      </c>
      <c r="N2601">
        <v>5</v>
      </c>
      <c r="P2601" t="s">
        <v>3117</v>
      </c>
      <c r="Q2601" t="s">
        <v>2395</v>
      </c>
      <c r="R2601">
        <v>1</v>
      </c>
      <c r="S2601" t="s">
        <v>2380</v>
      </c>
      <c r="T2601" t="s">
        <v>2383</v>
      </c>
      <c r="U2601" s="8">
        <v>45953.414953703701</v>
      </c>
      <c r="V2601" s="8">
        <v>45959.958333333336</v>
      </c>
      <c r="W2601">
        <v>1</v>
      </c>
      <c r="X2601">
        <v>4.2553472220000002</v>
      </c>
      <c r="Y2601" t="s">
        <v>2542</v>
      </c>
      <c r="Z2601" t="s">
        <v>3166</v>
      </c>
      <c r="AA2601" t="s">
        <v>3167</v>
      </c>
      <c r="AB2601" t="s">
        <v>1278</v>
      </c>
      <c r="AC2601" t="s">
        <v>3168</v>
      </c>
      <c r="AD2601" t="s">
        <v>2708</v>
      </c>
      <c r="AE2601">
        <v>1</v>
      </c>
      <c r="AO2601" t="s">
        <v>2547</v>
      </c>
      <c r="AP2601" t="s">
        <v>2401</v>
      </c>
    </row>
    <row r="2602" spans="1:42">
      <c r="A2602" t="s">
        <v>4327</v>
      </c>
      <c r="B2602" t="s">
        <v>2389</v>
      </c>
      <c r="C2602" t="s">
        <v>2447</v>
      </c>
      <c r="D2602" t="s">
        <v>2379</v>
      </c>
      <c r="E2602" t="s">
        <v>25</v>
      </c>
      <c r="F2602" t="s">
        <v>2541</v>
      </c>
      <c r="G2602" t="s">
        <v>25</v>
      </c>
      <c r="H2602" t="b">
        <v>1</v>
      </c>
      <c r="I2602" s="8">
        <v>45959.645648148151</v>
      </c>
      <c r="J2602" t="s">
        <v>2380</v>
      </c>
      <c r="K2602">
        <v>1205615</v>
      </c>
      <c r="L2602">
        <v>601353</v>
      </c>
      <c r="M2602" t="s">
        <v>2381</v>
      </c>
      <c r="N2602">
        <v>5</v>
      </c>
      <c r="P2602" t="s">
        <v>2548</v>
      </c>
      <c r="Q2602" t="s">
        <v>2383</v>
      </c>
      <c r="R2602">
        <v>1</v>
      </c>
      <c r="S2602" t="s">
        <v>2380</v>
      </c>
      <c r="T2602" t="s">
        <v>2383</v>
      </c>
      <c r="U2602" s="8">
        <v>45953.417395833334</v>
      </c>
      <c r="V2602" s="8">
        <v>45959.958333333336</v>
      </c>
      <c r="W2602">
        <v>1</v>
      </c>
      <c r="X2602">
        <v>4.2282523149999998</v>
      </c>
      <c r="Y2602" t="s">
        <v>2542</v>
      </c>
      <c r="Z2602" t="s">
        <v>4328</v>
      </c>
      <c r="AA2602" t="s">
        <v>2934</v>
      </c>
      <c r="AB2602" t="s">
        <v>1278</v>
      </c>
      <c r="AC2602" t="s">
        <v>4329</v>
      </c>
      <c r="AD2602" t="s">
        <v>2708</v>
      </c>
      <c r="AE2602">
        <v>1</v>
      </c>
      <c r="AO2602" t="s">
        <v>2547</v>
      </c>
      <c r="AP2602" t="s">
        <v>2401</v>
      </c>
    </row>
    <row r="2603" spans="1:42">
      <c r="A2603" t="s">
        <v>4474</v>
      </c>
      <c r="B2603" t="s">
        <v>2389</v>
      </c>
      <c r="C2603" t="s">
        <v>2447</v>
      </c>
      <c r="D2603" t="s">
        <v>2379</v>
      </c>
      <c r="E2603" t="s">
        <v>2452</v>
      </c>
      <c r="F2603" t="s">
        <v>2578</v>
      </c>
      <c r="G2603" t="s">
        <v>2452</v>
      </c>
      <c r="H2603" t="b">
        <v>1</v>
      </c>
      <c r="I2603" s="8">
        <v>45959.514282407406</v>
      </c>
      <c r="J2603" t="s">
        <v>2380</v>
      </c>
      <c r="K2603">
        <v>1205475</v>
      </c>
      <c r="L2603">
        <v>601850</v>
      </c>
      <c r="M2603" t="s">
        <v>2381</v>
      </c>
      <c r="P2603" t="s">
        <v>2394</v>
      </c>
      <c r="Q2603" t="s">
        <v>2383</v>
      </c>
      <c r="R2603">
        <v>1</v>
      </c>
      <c r="S2603" t="s">
        <v>2380</v>
      </c>
      <c r="T2603" t="s">
        <v>2383</v>
      </c>
      <c r="U2603" s="8">
        <v>45953.419525462959</v>
      </c>
      <c r="V2603" s="8">
        <v>45959.958333333336</v>
      </c>
      <c r="W2603">
        <v>1</v>
      </c>
      <c r="X2603">
        <v>4.0947569440000002</v>
      </c>
      <c r="Y2603" t="s">
        <v>2579</v>
      </c>
      <c r="Z2603" t="s">
        <v>4475</v>
      </c>
      <c r="AA2603" t="s">
        <v>2649</v>
      </c>
      <c r="AB2603" t="s">
        <v>1278</v>
      </c>
      <c r="AC2603" t="s">
        <v>4476</v>
      </c>
      <c r="AD2603" t="s">
        <v>2708</v>
      </c>
      <c r="AE2603">
        <v>1</v>
      </c>
      <c r="AO2603" t="s">
        <v>2388</v>
      </c>
      <c r="AP2603" t="s">
        <v>2401</v>
      </c>
    </row>
    <row r="2604" spans="1:42">
      <c r="A2604" t="s">
        <v>9883</v>
      </c>
      <c r="B2604" t="s">
        <v>2389</v>
      </c>
      <c r="C2604" t="s">
        <v>2378</v>
      </c>
      <c r="D2604" t="s">
        <v>2379</v>
      </c>
      <c r="E2604" t="s">
        <v>33</v>
      </c>
      <c r="F2604">
        <v>6361</v>
      </c>
      <c r="G2604" t="s">
        <v>33</v>
      </c>
      <c r="H2604" t="b">
        <v>1</v>
      </c>
      <c r="I2604" s="8">
        <v>45959.397604166668</v>
      </c>
      <c r="J2604" t="s">
        <v>2380</v>
      </c>
      <c r="L2604">
        <v>604450</v>
      </c>
      <c r="M2604" t="s">
        <v>2381</v>
      </c>
      <c r="P2604" t="s">
        <v>6706</v>
      </c>
      <c r="Q2604" t="s">
        <v>2395</v>
      </c>
      <c r="R2604">
        <v>1</v>
      </c>
      <c r="S2604" t="s">
        <v>2380</v>
      </c>
      <c r="T2604" t="s">
        <v>2383</v>
      </c>
      <c r="U2604" s="8">
        <v>45953.420347222222</v>
      </c>
      <c r="V2604" s="8">
        <v>45959.958333333336</v>
      </c>
      <c r="W2604">
        <v>1</v>
      </c>
      <c r="X2604">
        <v>3.9772569440000001</v>
      </c>
      <c r="Y2604" t="s">
        <v>8225</v>
      </c>
      <c r="Z2604" t="s">
        <v>9884</v>
      </c>
      <c r="AA2604" t="s">
        <v>8228</v>
      </c>
      <c r="AB2604" t="s">
        <v>1278</v>
      </c>
      <c r="AC2604" t="s">
        <v>9885</v>
      </c>
      <c r="AE2604">
        <v>1</v>
      </c>
      <c r="AO2604" t="s">
        <v>4137</v>
      </c>
      <c r="AP2604" t="s">
        <v>2401</v>
      </c>
    </row>
    <row r="2605" spans="1:42">
      <c r="A2605" t="s">
        <v>4330</v>
      </c>
      <c r="B2605" t="s">
        <v>2389</v>
      </c>
      <c r="C2605" t="s">
        <v>2447</v>
      </c>
      <c r="D2605" t="s">
        <v>2379</v>
      </c>
      <c r="E2605" t="s">
        <v>25</v>
      </c>
      <c r="F2605" t="s">
        <v>2541</v>
      </c>
      <c r="G2605" t="s">
        <v>25</v>
      </c>
      <c r="H2605" t="b">
        <v>1</v>
      </c>
      <c r="I2605" s="8">
        <v>45959.468101851853</v>
      </c>
      <c r="J2605" t="s">
        <v>2380</v>
      </c>
      <c r="K2605">
        <v>1205445</v>
      </c>
      <c r="L2605">
        <v>601441</v>
      </c>
      <c r="M2605" t="s">
        <v>2381</v>
      </c>
      <c r="N2605">
        <v>5</v>
      </c>
      <c r="P2605" t="s">
        <v>2548</v>
      </c>
      <c r="Q2605" t="s">
        <v>2383</v>
      </c>
      <c r="R2605">
        <v>1</v>
      </c>
      <c r="S2605" t="s">
        <v>2380</v>
      </c>
      <c r="T2605" t="s">
        <v>2383</v>
      </c>
      <c r="U2605" s="8">
        <v>45953.43513888889</v>
      </c>
      <c r="V2605" s="8">
        <v>45959.958333333336</v>
      </c>
      <c r="W2605">
        <v>1</v>
      </c>
      <c r="X2605">
        <v>4.0329629630000001</v>
      </c>
      <c r="Y2605" t="s">
        <v>2542</v>
      </c>
      <c r="Z2605" t="s">
        <v>4331</v>
      </c>
      <c r="AA2605" t="s">
        <v>2884</v>
      </c>
      <c r="AB2605" t="s">
        <v>1278</v>
      </c>
      <c r="AC2605" t="s">
        <v>4332</v>
      </c>
      <c r="AD2605" t="s">
        <v>2708</v>
      </c>
      <c r="AE2605">
        <v>1</v>
      </c>
      <c r="AO2605" t="s">
        <v>2547</v>
      </c>
      <c r="AP2605" t="s">
        <v>2401</v>
      </c>
    </row>
    <row r="2606" spans="1:42">
      <c r="A2606" t="s">
        <v>3017</v>
      </c>
      <c r="B2606" t="s">
        <v>2389</v>
      </c>
      <c r="C2606" t="s">
        <v>2378</v>
      </c>
      <c r="D2606" t="s">
        <v>2379</v>
      </c>
      <c r="E2606" t="s">
        <v>33</v>
      </c>
      <c r="F2606" t="s">
        <v>2779</v>
      </c>
      <c r="G2606" t="s">
        <v>33</v>
      </c>
      <c r="H2606" t="b">
        <v>1</v>
      </c>
      <c r="I2606" s="8">
        <v>45958.661400462966</v>
      </c>
      <c r="J2606" t="s">
        <v>2380</v>
      </c>
      <c r="K2606">
        <v>1205372</v>
      </c>
      <c r="L2606">
        <v>608739</v>
      </c>
      <c r="M2606" t="s">
        <v>2381</v>
      </c>
      <c r="P2606" t="s">
        <v>2394</v>
      </c>
      <c r="Q2606" t="s">
        <v>2383</v>
      </c>
      <c r="R2606">
        <v>1</v>
      </c>
      <c r="S2606" t="s">
        <v>2380</v>
      </c>
      <c r="T2606" t="s">
        <v>2383</v>
      </c>
      <c r="U2606" s="8">
        <v>45953.4375462963</v>
      </c>
      <c r="V2606" s="8">
        <v>45959.958333333336</v>
      </c>
      <c r="W2606">
        <v>1</v>
      </c>
      <c r="X2606">
        <v>3.2238541669999998</v>
      </c>
      <c r="Y2606" t="s">
        <v>1352</v>
      </c>
      <c r="Z2606" t="s">
        <v>3018</v>
      </c>
      <c r="AA2606" t="s">
        <v>3019</v>
      </c>
      <c r="AB2606" t="s">
        <v>1278</v>
      </c>
      <c r="AC2606" t="s">
        <v>3020</v>
      </c>
      <c r="AD2606" t="s">
        <v>2708</v>
      </c>
      <c r="AE2606">
        <v>1</v>
      </c>
      <c r="AO2606" t="s">
        <v>2408</v>
      </c>
      <c r="AP2606" t="s">
        <v>2401</v>
      </c>
    </row>
    <row r="2607" spans="1:42">
      <c r="A2607" t="s">
        <v>3124</v>
      </c>
      <c r="B2607" t="s">
        <v>2389</v>
      </c>
      <c r="C2607" t="s">
        <v>2447</v>
      </c>
      <c r="D2607" t="s">
        <v>2379</v>
      </c>
      <c r="E2607" t="s">
        <v>33</v>
      </c>
      <c r="F2607" t="s">
        <v>2541</v>
      </c>
      <c r="G2607" t="s">
        <v>33</v>
      </c>
      <c r="H2607" t="b">
        <v>1</v>
      </c>
      <c r="I2607" s="8">
        <v>45959.472777777781</v>
      </c>
      <c r="J2607" t="s">
        <v>2380</v>
      </c>
      <c r="K2607">
        <v>1205449</v>
      </c>
      <c r="L2607">
        <v>601096</v>
      </c>
      <c r="M2607" t="s">
        <v>2381</v>
      </c>
      <c r="P2607" t="s">
        <v>2548</v>
      </c>
      <c r="Q2607" t="s">
        <v>2383</v>
      </c>
      <c r="R2607">
        <v>1</v>
      </c>
      <c r="S2607" t="s">
        <v>2380</v>
      </c>
      <c r="T2607" t="s">
        <v>2383</v>
      </c>
      <c r="U2607" s="8">
        <v>45953.449490740742</v>
      </c>
      <c r="V2607" s="8">
        <v>45959.958333333336</v>
      </c>
      <c r="W2607">
        <v>1</v>
      </c>
      <c r="X2607">
        <v>4.0232870370000002</v>
      </c>
      <c r="Y2607" t="s">
        <v>2542</v>
      </c>
      <c r="Z2607" t="s">
        <v>3125</v>
      </c>
      <c r="AA2607" t="s">
        <v>2888</v>
      </c>
      <c r="AB2607" t="s">
        <v>1278</v>
      </c>
      <c r="AC2607" t="s">
        <v>3126</v>
      </c>
      <c r="AD2607" t="s">
        <v>2708</v>
      </c>
      <c r="AE2607">
        <v>1</v>
      </c>
      <c r="AO2607" t="s">
        <v>2547</v>
      </c>
      <c r="AP2607" t="s">
        <v>2401</v>
      </c>
    </row>
    <row r="2608" spans="1:42">
      <c r="A2608" t="s">
        <v>8751</v>
      </c>
      <c r="B2608" t="s">
        <v>2389</v>
      </c>
      <c r="C2608" t="s">
        <v>2447</v>
      </c>
      <c r="D2608" t="s">
        <v>2379</v>
      </c>
      <c r="E2608" t="s">
        <v>25</v>
      </c>
      <c r="F2608" t="s">
        <v>2578</v>
      </c>
      <c r="G2608" t="s">
        <v>25</v>
      </c>
      <c r="H2608" t="b">
        <v>1</v>
      </c>
      <c r="I2608" s="8">
        <v>45959.721168981479</v>
      </c>
      <c r="J2608" t="s">
        <v>2380</v>
      </c>
      <c r="K2608">
        <v>1205561</v>
      </c>
      <c r="L2608">
        <v>602543</v>
      </c>
      <c r="M2608" t="s">
        <v>2381</v>
      </c>
      <c r="N2608">
        <v>5</v>
      </c>
      <c r="P2608" t="s">
        <v>2394</v>
      </c>
      <c r="Q2608" t="s">
        <v>2383</v>
      </c>
      <c r="R2608">
        <v>1</v>
      </c>
      <c r="S2608" t="s">
        <v>2380</v>
      </c>
      <c r="T2608" t="s">
        <v>2383</v>
      </c>
      <c r="U2608" s="8">
        <v>45953.460381944446</v>
      </c>
      <c r="V2608" s="8">
        <v>45959.958333333336</v>
      </c>
      <c r="W2608">
        <v>1</v>
      </c>
      <c r="X2608">
        <v>4.2607870370000001</v>
      </c>
      <c r="Y2608" t="s">
        <v>2579</v>
      </c>
      <c r="Z2608" t="s">
        <v>8752</v>
      </c>
      <c r="AA2608" t="s">
        <v>6048</v>
      </c>
      <c r="AB2608" t="s">
        <v>1278</v>
      </c>
      <c r="AC2608" t="s">
        <v>8753</v>
      </c>
      <c r="AD2608" t="s">
        <v>2708</v>
      </c>
      <c r="AE2608">
        <v>1</v>
      </c>
      <c r="AH2608" t="s">
        <v>2723</v>
      </c>
      <c r="AI2608" s="8">
        <v>45959.703148148146</v>
      </c>
      <c r="AK2608" t="s">
        <v>2719</v>
      </c>
      <c r="AL2608" t="s">
        <v>2719</v>
      </c>
      <c r="AO2608" t="s">
        <v>2547</v>
      </c>
      <c r="AP2608" t="s">
        <v>2401</v>
      </c>
    </row>
    <row r="2609" spans="1:42">
      <c r="A2609" t="s">
        <v>8596</v>
      </c>
      <c r="B2609" t="s">
        <v>2389</v>
      </c>
      <c r="C2609" t="s">
        <v>2447</v>
      </c>
      <c r="D2609" t="s">
        <v>2379</v>
      </c>
      <c r="E2609" t="s">
        <v>28</v>
      </c>
      <c r="F2609" t="s">
        <v>3570</v>
      </c>
      <c r="G2609" t="s">
        <v>28</v>
      </c>
      <c r="H2609" t="b">
        <v>1</v>
      </c>
      <c r="I2609" s="8">
        <v>45959.531053240738</v>
      </c>
      <c r="J2609" t="s">
        <v>2380</v>
      </c>
      <c r="K2609">
        <v>1205537</v>
      </c>
      <c r="L2609">
        <v>602348</v>
      </c>
      <c r="M2609" t="s">
        <v>2381</v>
      </c>
      <c r="N2609">
        <v>15</v>
      </c>
      <c r="P2609" t="s">
        <v>2394</v>
      </c>
      <c r="Q2609" t="s">
        <v>2383</v>
      </c>
      <c r="R2609">
        <v>1</v>
      </c>
      <c r="S2609" t="s">
        <v>2380</v>
      </c>
      <c r="T2609" t="s">
        <v>2383</v>
      </c>
      <c r="U2609" s="8">
        <v>45953.474872685183</v>
      </c>
      <c r="V2609" s="8">
        <v>45959.958333333336</v>
      </c>
      <c r="W2609">
        <v>1</v>
      </c>
      <c r="X2609">
        <v>4.0561805560000002</v>
      </c>
      <c r="Y2609" t="s">
        <v>3572</v>
      </c>
      <c r="Z2609" t="s">
        <v>8597</v>
      </c>
      <c r="AA2609" t="s">
        <v>8591</v>
      </c>
      <c r="AB2609" t="s">
        <v>1278</v>
      </c>
      <c r="AC2609" t="s">
        <v>8598</v>
      </c>
      <c r="AD2609" t="s">
        <v>2708</v>
      </c>
      <c r="AE2609">
        <v>1</v>
      </c>
      <c r="AO2609" t="s">
        <v>3608</v>
      </c>
      <c r="AP2609" t="s">
        <v>2401</v>
      </c>
    </row>
    <row r="2610" spans="1:42">
      <c r="A2610" t="s">
        <v>10202</v>
      </c>
      <c r="B2610" t="s">
        <v>2389</v>
      </c>
      <c r="C2610" t="s">
        <v>2447</v>
      </c>
      <c r="D2610" t="s">
        <v>2379</v>
      </c>
      <c r="E2610" t="s">
        <v>2416</v>
      </c>
      <c r="F2610" t="s">
        <v>2417</v>
      </c>
      <c r="G2610" t="s">
        <v>2416</v>
      </c>
      <c r="H2610" t="b">
        <v>1</v>
      </c>
      <c r="I2610" s="8">
        <v>45959.723368055558</v>
      </c>
      <c r="J2610" t="s">
        <v>2380</v>
      </c>
      <c r="L2610">
        <v>608946</v>
      </c>
      <c r="M2610" t="s">
        <v>2381</v>
      </c>
      <c r="P2610" t="s">
        <v>2394</v>
      </c>
      <c r="Q2610" t="s">
        <v>2383</v>
      </c>
      <c r="R2610">
        <v>1</v>
      </c>
      <c r="S2610" t="s">
        <v>2380</v>
      </c>
      <c r="T2610" t="s">
        <v>2383</v>
      </c>
      <c r="U2610" s="8">
        <v>45953.476921296293</v>
      </c>
      <c r="V2610" s="8">
        <v>45959.958333333336</v>
      </c>
      <c r="W2610">
        <v>1</v>
      </c>
      <c r="X2610">
        <v>4.2464467590000003</v>
      </c>
      <c r="Y2610" t="s">
        <v>2418</v>
      </c>
      <c r="Z2610" t="s">
        <v>10203</v>
      </c>
      <c r="AA2610" t="s">
        <v>2484</v>
      </c>
      <c r="AB2610" t="s">
        <v>1278</v>
      </c>
      <c r="AC2610" t="s">
        <v>10204</v>
      </c>
      <c r="AE2610">
        <v>1</v>
      </c>
      <c r="AH2610" t="s">
        <v>2723</v>
      </c>
      <c r="AI2610" s="8">
        <v>45959.709826388891</v>
      </c>
      <c r="AK2610" t="s">
        <v>2719</v>
      </c>
      <c r="AL2610" t="s">
        <v>2719</v>
      </c>
      <c r="AO2610" t="s">
        <v>2408</v>
      </c>
      <c r="AP2610" t="s">
        <v>2401</v>
      </c>
    </row>
    <row r="2611" spans="1:42">
      <c r="A2611" t="s">
        <v>3510</v>
      </c>
      <c r="B2611" t="s">
        <v>2389</v>
      </c>
      <c r="C2611" t="s">
        <v>2378</v>
      </c>
      <c r="D2611" t="s">
        <v>2379</v>
      </c>
      <c r="E2611" t="s">
        <v>2452</v>
      </c>
      <c r="F2611">
        <v>4517</v>
      </c>
      <c r="G2611" t="s">
        <v>2452</v>
      </c>
      <c r="H2611" t="b">
        <v>1</v>
      </c>
      <c r="I2611" s="8">
        <v>45959.460173611114</v>
      </c>
      <c r="J2611" t="s">
        <v>2380</v>
      </c>
      <c r="L2611">
        <v>602992</v>
      </c>
      <c r="M2611" t="s">
        <v>2381</v>
      </c>
      <c r="P2611" t="s">
        <v>2394</v>
      </c>
      <c r="Q2611" t="s">
        <v>2383</v>
      </c>
      <c r="R2611">
        <v>1</v>
      </c>
      <c r="S2611" t="s">
        <v>2380</v>
      </c>
      <c r="T2611" t="s">
        <v>2383</v>
      </c>
      <c r="U2611" s="8">
        <v>45953.485625000001</v>
      </c>
      <c r="V2611" s="8">
        <v>45959.958333333336</v>
      </c>
      <c r="W2611">
        <v>1</v>
      </c>
      <c r="X2611">
        <v>3.9745486109999999</v>
      </c>
      <c r="Y2611" t="s">
        <v>3509</v>
      </c>
      <c r="Z2611" t="s">
        <v>3511</v>
      </c>
      <c r="AA2611" t="s">
        <v>3512</v>
      </c>
      <c r="AB2611" t="s">
        <v>1278</v>
      </c>
      <c r="AC2611" t="s">
        <v>3513</v>
      </c>
      <c r="AE2611">
        <v>1</v>
      </c>
      <c r="AO2611" t="s">
        <v>2957</v>
      </c>
      <c r="AP2611" t="s">
        <v>2401</v>
      </c>
    </row>
    <row r="2612" spans="1:42">
      <c r="A2612" t="s">
        <v>500</v>
      </c>
      <c r="B2612" t="s">
        <v>2377</v>
      </c>
      <c r="C2612" t="s">
        <v>2447</v>
      </c>
      <c r="D2612" t="s">
        <v>2379</v>
      </c>
      <c r="E2612" t="s">
        <v>33</v>
      </c>
      <c r="F2612" t="s">
        <v>2457</v>
      </c>
      <c r="G2612" t="s">
        <v>33</v>
      </c>
      <c r="H2612" t="b">
        <v>1</v>
      </c>
      <c r="I2612" s="8">
        <v>45959.622604166667</v>
      </c>
      <c r="J2612" t="s">
        <v>2380</v>
      </c>
      <c r="L2612">
        <v>602915</v>
      </c>
      <c r="M2612" t="s">
        <v>2381</v>
      </c>
      <c r="P2612" t="s">
        <v>2704</v>
      </c>
      <c r="Q2612" t="s">
        <v>2383</v>
      </c>
      <c r="R2612">
        <v>1</v>
      </c>
      <c r="S2612" t="s">
        <v>2380</v>
      </c>
      <c r="T2612" t="s">
        <v>2383</v>
      </c>
      <c r="U2612" s="8">
        <v>45953.493356481478</v>
      </c>
      <c r="V2612" s="8">
        <v>45959.958333333336</v>
      </c>
      <c r="W2612">
        <v>1</v>
      </c>
      <c r="X2612">
        <v>4.1292476850000002</v>
      </c>
      <c r="Y2612" t="s">
        <v>2403</v>
      </c>
      <c r="Z2612" t="s">
        <v>8742</v>
      </c>
      <c r="AA2612" t="s">
        <v>3095</v>
      </c>
      <c r="AB2612" t="s">
        <v>1278</v>
      </c>
      <c r="AC2612" t="s">
        <v>8743</v>
      </c>
      <c r="AD2612" t="s">
        <v>2708</v>
      </c>
      <c r="AE2612">
        <v>1</v>
      </c>
      <c r="AH2612" t="s">
        <v>2723</v>
      </c>
      <c r="AI2612" s="8">
        <v>45959.619201388887</v>
      </c>
      <c r="AK2612" t="s">
        <v>2719</v>
      </c>
      <c r="AL2612" t="s">
        <v>2719</v>
      </c>
      <c r="AO2612" t="s">
        <v>2408</v>
      </c>
      <c r="AP2612" t="s">
        <v>2401</v>
      </c>
    </row>
    <row r="2613" spans="1:42">
      <c r="A2613" t="s">
        <v>4487</v>
      </c>
      <c r="B2613" t="s">
        <v>2389</v>
      </c>
      <c r="C2613" t="s">
        <v>2378</v>
      </c>
      <c r="D2613" t="s">
        <v>2379</v>
      </c>
      <c r="E2613" t="s">
        <v>2452</v>
      </c>
      <c r="F2613" t="s">
        <v>3514</v>
      </c>
      <c r="G2613" t="s">
        <v>2452</v>
      </c>
      <c r="H2613" t="b">
        <v>1</v>
      </c>
      <c r="I2613" s="8">
        <v>45959.455983796295</v>
      </c>
      <c r="J2613" t="s">
        <v>2380</v>
      </c>
      <c r="K2613">
        <v>1205421</v>
      </c>
      <c r="L2613">
        <v>606958</v>
      </c>
      <c r="M2613" t="s">
        <v>2381</v>
      </c>
      <c r="P2613" t="s">
        <v>2394</v>
      </c>
      <c r="Q2613" t="s">
        <v>2383</v>
      </c>
      <c r="R2613">
        <v>1</v>
      </c>
      <c r="S2613" t="s">
        <v>2380</v>
      </c>
      <c r="T2613" t="s">
        <v>2383</v>
      </c>
      <c r="U2613" s="8">
        <v>45953.51353009259</v>
      </c>
      <c r="V2613" s="8">
        <v>45959.958333333336</v>
      </c>
      <c r="W2613">
        <v>1</v>
      </c>
      <c r="X2613">
        <v>3.9424537040000001</v>
      </c>
      <c r="Y2613" t="s">
        <v>3515</v>
      </c>
      <c r="Z2613" t="s">
        <v>4488</v>
      </c>
      <c r="AA2613" t="s">
        <v>4489</v>
      </c>
      <c r="AB2613" t="s">
        <v>1278</v>
      </c>
      <c r="AC2613" t="s">
        <v>4490</v>
      </c>
      <c r="AD2613" t="s">
        <v>2708</v>
      </c>
      <c r="AE2613">
        <v>1</v>
      </c>
      <c r="AO2613" t="s">
        <v>2388</v>
      </c>
      <c r="AP2613" t="s">
        <v>2401</v>
      </c>
    </row>
    <row r="2614" spans="1:42">
      <c r="A2614" t="s">
        <v>10241</v>
      </c>
      <c r="B2614" t="s">
        <v>2389</v>
      </c>
      <c r="C2614" t="s">
        <v>2447</v>
      </c>
      <c r="D2614" t="s">
        <v>2379</v>
      </c>
      <c r="E2614" t="s">
        <v>25</v>
      </c>
      <c r="F2614" t="s">
        <v>9487</v>
      </c>
      <c r="G2614" t="s">
        <v>25</v>
      </c>
      <c r="H2614" t="b">
        <v>1</v>
      </c>
      <c r="I2614" s="8">
        <v>45959.547731481478</v>
      </c>
      <c r="J2614" t="s">
        <v>2380</v>
      </c>
      <c r="K2614">
        <v>745555</v>
      </c>
      <c r="L2614">
        <v>605834</v>
      </c>
      <c r="M2614" t="s">
        <v>2381</v>
      </c>
      <c r="P2614" t="s">
        <v>2394</v>
      </c>
      <c r="Q2614" t="s">
        <v>2383</v>
      </c>
      <c r="R2614">
        <v>1</v>
      </c>
      <c r="S2614" t="s">
        <v>2380</v>
      </c>
      <c r="T2614" t="s">
        <v>2383</v>
      </c>
      <c r="U2614" s="8">
        <v>45953.516365740739</v>
      </c>
      <c r="V2614" s="8">
        <v>45959.958333333336</v>
      </c>
      <c r="W2614">
        <v>1</v>
      </c>
      <c r="X2614">
        <v>4.0313657410000001</v>
      </c>
      <c r="Y2614" t="s">
        <v>1333</v>
      </c>
      <c r="Z2614" t="s">
        <v>10242</v>
      </c>
      <c r="AA2614" t="s">
        <v>9489</v>
      </c>
      <c r="AB2614" t="s">
        <v>1278</v>
      </c>
      <c r="AC2614" t="s">
        <v>3835</v>
      </c>
      <c r="AE2614">
        <v>1</v>
      </c>
      <c r="AO2614" t="s">
        <v>3608</v>
      </c>
      <c r="AP2614" t="s">
        <v>8931</v>
      </c>
    </row>
    <row r="2615" spans="1:42">
      <c r="A2615" t="s">
        <v>4828</v>
      </c>
      <c r="B2615" t="s">
        <v>2389</v>
      </c>
      <c r="C2615" t="s">
        <v>2447</v>
      </c>
      <c r="D2615" t="s">
        <v>2379</v>
      </c>
      <c r="E2615" t="s">
        <v>28</v>
      </c>
      <c r="F2615" t="s">
        <v>3514</v>
      </c>
      <c r="G2615" t="s">
        <v>28</v>
      </c>
      <c r="H2615" t="b">
        <v>1</v>
      </c>
      <c r="I2615" s="8">
        <v>45959.555324074077</v>
      </c>
      <c r="J2615" t="s">
        <v>2380</v>
      </c>
      <c r="K2615">
        <v>1205554</v>
      </c>
      <c r="L2615">
        <v>603644</v>
      </c>
      <c r="M2615" t="s">
        <v>2381</v>
      </c>
      <c r="N2615">
        <v>15</v>
      </c>
      <c r="P2615" t="s">
        <v>2394</v>
      </c>
      <c r="Q2615" t="s">
        <v>2383</v>
      </c>
      <c r="R2615">
        <v>1</v>
      </c>
      <c r="S2615" t="s">
        <v>2380</v>
      </c>
      <c r="T2615" t="s">
        <v>2383</v>
      </c>
      <c r="U2615" s="8">
        <v>45953.5233912037</v>
      </c>
      <c r="V2615" s="8">
        <v>45959.958333333336</v>
      </c>
      <c r="W2615">
        <v>1</v>
      </c>
      <c r="X2615">
        <v>4.0319328700000003</v>
      </c>
      <c r="Y2615" t="s">
        <v>3515</v>
      </c>
      <c r="Z2615" t="s">
        <v>4829</v>
      </c>
      <c r="AA2615" t="s">
        <v>4830</v>
      </c>
      <c r="AB2615" t="s">
        <v>1278</v>
      </c>
      <c r="AC2615" t="s">
        <v>4831</v>
      </c>
      <c r="AD2615" t="s">
        <v>2708</v>
      </c>
      <c r="AE2615">
        <v>1</v>
      </c>
      <c r="AO2615" t="s">
        <v>2957</v>
      </c>
      <c r="AP2615" t="s">
        <v>2401</v>
      </c>
    </row>
    <row r="2616" spans="1:42">
      <c r="A2616" t="s">
        <v>10205</v>
      </c>
      <c r="B2616" t="s">
        <v>2389</v>
      </c>
      <c r="C2616" t="s">
        <v>2443</v>
      </c>
      <c r="D2616" t="s">
        <v>2443</v>
      </c>
      <c r="E2616" t="s">
        <v>2416</v>
      </c>
      <c r="F2616" t="s">
        <v>2417</v>
      </c>
      <c r="G2616" t="s">
        <v>2416</v>
      </c>
      <c r="H2616" t="b">
        <v>1</v>
      </c>
      <c r="I2616" s="8">
        <v>45960.616469907407</v>
      </c>
      <c r="J2616" t="s">
        <v>2380</v>
      </c>
      <c r="L2616">
        <v>608946</v>
      </c>
      <c r="M2616" t="s">
        <v>2381</v>
      </c>
      <c r="P2616" t="s">
        <v>2394</v>
      </c>
      <c r="Q2616" t="s">
        <v>2383</v>
      </c>
      <c r="R2616">
        <v>1</v>
      </c>
      <c r="S2616" t="s">
        <v>2380</v>
      </c>
      <c r="T2616" t="s">
        <v>2383</v>
      </c>
      <c r="U2616" s="8">
        <v>45953.538055555553</v>
      </c>
      <c r="V2616" s="8">
        <v>45959.958333333336</v>
      </c>
      <c r="W2616">
        <v>1</v>
      </c>
      <c r="X2616">
        <v>5.0784143520000002</v>
      </c>
      <c r="Y2616" t="s">
        <v>2418</v>
      </c>
      <c r="Z2616" t="s">
        <v>10206</v>
      </c>
      <c r="AA2616" t="s">
        <v>2484</v>
      </c>
      <c r="AB2616" t="s">
        <v>1278</v>
      </c>
      <c r="AC2616" t="s">
        <v>10207</v>
      </c>
      <c r="AE2616">
        <v>1</v>
      </c>
      <c r="AH2616" t="s">
        <v>2723</v>
      </c>
      <c r="AI2616" s="8">
        <v>45960.611701388887</v>
      </c>
      <c r="AK2616" t="s">
        <v>2719</v>
      </c>
      <c r="AL2616" t="s">
        <v>2719</v>
      </c>
      <c r="AO2616" t="s">
        <v>2408</v>
      </c>
      <c r="AP2616" t="s">
        <v>2401</v>
      </c>
    </row>
    <row r="2617" spans="1:42">
      <c r="A2617" t="s">
        <v>2397</v>
      </c>
      <c r="B2617" t="s">
        <v>2389</v>
      </c>
      <c r="C2617" t="s">
        <v>2390</v>
      </c>
      <c r="D2617" t="s">
        <v>2379</v>
      </c>
      <c r="E2617" t="s">
        <v>2391</v>
      </c>
      <c r="F2617" t="s">
        <v>2392</v>
      </c>
      <c r="G2617" t="s">
        <v>2391</v>
      </c>
      <c r="H2617" t="b">
        <v>1</v>
      </c>
      <c r="I2617" s="8">
        <v>45958.450335648151</v>
      </c>
      <c r="J2617" t="s">
        <v>2393</v>
      </c>
      <c r="L2617">
        <v>604513</v>
      </c>
      <c r="M2617" t="s">
        <v>2381</v>
      </c>
      <c r="P2617" t="s">
        <v>2394</v>
      </c>
      <c r="Q2617" t="s">
        <v>2395</v>
      </c>
      <c r="R2617">
        <v>1</v>
      </c>
      <c r="S2617" t="s">
        <v>2393</v>
      </c>
      <c r="T2617" t="s">
        <v>2383</v>
      </c>
      <c r="U2617" s="8">
        <v>45953.545127314814</v>
      </c>
      <c r="V2617" s="8">
        <v>45959.958333333336</v>
      </c>
      <c r="W2617">
        <v>1</v>
      </c>
      <c r="X2617">
        <v>2.905208333</v>
      </c>
      <c r="Y2617" t="s">
        <v>2396</v>
      </c>
      <c r="Z2617" t="s">
        <v>2398</v>
      </c>
      <c r="AA2617" t="s">
        <v>2311</v>
      </c>
      <c r="AB2617" t="s">
        <v>1278</v>
      </c>
      <c r="AC2617" t="s">
        <v>2399</v>
      </c>
      <c r="AE2617">
        <v>1</v>
      </c>
      <c r="AO2617" t="s">
        <v>2400</v>
      </c>
      <c r="AP2617" t="s">
        <v>2401</v>
      </c>
    </row>
    <row r="2618" spans="1:42">
      <c r="A2618" t="s">
        <v>4333</v>
      </c>
      <c r="B2618" t="s">
        <v>2389</v>
      </c>
      <c r="C2618" t="s">
        <v>2447</v>
      </c>
      <c r="D2618" t="s">
        <v>2379</v>
      </c>
      <c r="E2618" t="s">
        <v>25</v>
      </c>
      <c r="F2618" t="s">
        <v>2541</v>
      </c>
      <c r="G2618" t="s">
        <v>25</v>
      </c>
      <c r="H2618" t="b">
        <v>1</v>
      </c>
      <c r="I2618" s="8">
        <v>45959.633842592593</v>
      </c>
      <c r="J2618" t="s">
        <v>2380</v>
      </c>
      <c r="K2618">
        <v>1205604</v>
      </c>
      <c r="L2618">
        <v>602299</v>
      </c>
      <c r="M2618" t="s">
        <v>2381</v>
      </c>
      <c r="N2618">
        <v>5</v>
      </c>
      <c r="P2618" t="s">
        <v>2548</v>
      </c>
      <c r="Q2618" t="s">
        <v>2383</v>
      </c>
      <c r="R2618">
        <v>1</v>
      </c>
      <c r="S2618" t="s">
        <v>2380</v>
      </c>
      <c r="T2618" t="s">
        <v>2383</v>
      </c>
      <c r="U2618" s="8">
        <v>45953.545706018522</v>
      </c>
      <c r="V2618" s="8">
        <v>45959.958333333336</v>
      </c>
      <c r="W2618">
        <v>1</v>
      </c>
      <c r="X2618">
        <v>4.088136574</v>
      </c>
      <c r="Y2618" t="s">
        <v>2542</v>
      </c>
      <c r="Z2618" t="s">
        <v>4334</v>
      </c>
      <c r="AA2618" t="s">
        <v>2927</v>
      </c>
      <c r="AB2618" t="s">
        <v>1278</v>
      </c>
      <c r="AC2618" t="s">
        <v>4335</v>
      </c>
      <c r="AD2618" t="s">
        <v>2708</v>
      </c>
      <c r="AE2618">
        <v>1</v>
      </c>
      <c r="AO2618" t="s">
        <v>2547</v>
      </c>
      <c r="AP2618" t="s">
        <v>2401</v>
      </c>
    </row>
    <row r="2619" spans="1:42">
      <c r="A2619" t="s">
        <v>2612</v>
      </c>
      <c r="B2619" t="s">
        <v>2389</v>
      </c>
      <c r="C2619" t="s">
        <v>2438</v>
      </c>
      <c r="D2619" t="s">
        <v>2379</v>
      </c>
      <c r="E2619" t="s">
        <v>2452</v>
      </c>
      <c r="F2619">
        <v>6397</v>
      </c>
      <c r="G2619" t="s">
        <v>2452</v>
      </c>
      <c r="H2619" t="b">
        <v>1</v>
      </c>
      <c r="I2619" s="8">
        <v>45953.571875000001</v>
      </c>
      <c r="J2619" t="s">
        <v>2380</v>
      </c>
      <c r="L2619">
        <v>609828</v>
      </c>
      <c r="M2619" t="s">
        <v>2381</v>
      </c>
      <c r="Q2619" t="s">
        <v>2383</v>
      </c>
      <c r="R2619">
        <v>1</v>
      </c>
      <c r="S2619" t="s">
        <v>2380</v>
      </c>
      <c r="T2619" t="s">
        <v>2383</v>
      </c>
      <c r="U2619" s="8">
        <v>45953.568530092591</v>
      </c>
      <c r="V2619" s="8">
        <v>45959.958333333336</v>
      </c>
      <c r="W2619">
        <v>1</v>
      </c>
      <c r="X2619">
        <v>3.3449069999999998E-3</v>
      </c>
      <c r="Y2619" t="s">
        <v>2607</v>
      </c>
      <c r="Z2619" t="s">
        <v>2613</v>
      </c>
      <c r="AA2619" t="s">
        <v>2610</v>
      </c>
      <c r="AB2619" t="s">
        <v>1278</v>
      </c>
      <c r="AC2619" t="s">
        <v>2614</v>
      </c>
      <c r="AE2619">
        <v>1</v>
      </c>
      <c r="AO2619" t="s">
        <v>2388</v>
      </c>
      <c r="AP2619" t="s">
        <v>2401</v>
      </c>
    </row>
    <row r="2620" spans="1:42">
      <c r="A2620" t="s">
        <v>2615</v>
      </c>
      <c r="B2620" t="s">
        <v>2389</v>
      </c>
      <c r="C2620" t="s">
        <v>2438</v>
      </c>
      <c r="D2620" t="s">
        <v>2379</v>
      </c>
      <c r="E2620" t="s">
        <v>2452</v>
      </c>
      <c r="F2620">
        <v>6397</v>
      </c>
      <c r="G2620" t="s">
        <v>2452</v>
      </c>
      <c r="H2620" t="b">
        <v>1</v>
      </c>
      <c r="I2620" s="8">
        <v>45953.572534722225</v>
      </c>
      <c r="J2620" t="s">
        <v>2380</v>
      </c>
      <c r="L2620">
        <v>609828</v>
      </c>
      <c r="M2620" t="s">
        <v>2381</v>
      </c>
      <c r="Q2620" t="s">
        <v>2383</v>
      </c>
      <c r="R2620">
        <v>1</v>
      </c>
      <c r="S2620" t="s">
        <v>2380</v>
      </c>
      <c r="T2620" t="s">
        <v>2383</v>
      </c>
      <c r="U2620" s="8">
        <v>45953.568981481483</v>
      </c>
      <c r="V2620" s="8">
        <v>45959.958333333336</v>
      </c>
      <c r="W2620">
        <v>1</v>
      </c>
      <c r="X2620">
        <v>3.553241E-3</v>
      </c>
      <c r="Y2620" t="s">
        <v>2607</v>
      </c>
      <c r="Z2620" t="s">
        <v>2616</v>
      </c>
      <c r="AA2620" t="s">
        <v>2610</v>
      </c>
      <c r="AB2620" t="s">
        <v>1278</v>
      </c>
      <c r="AC2620" t="s">
        <v>2617</v>
      </c>
      <c r="AE2620">
        <v>1</v>
      </c>
      <c r="AO2620" t="s">
        <v>2388</v>
      </c>
      <c r="AP2620" t="s">
        <v>2401</v>
      </c>
    </row>
    <row r="2621" spans="1:42">
      <c r="A2621" t="s">
        <v>2618</v>
      </c>
      <c r="B2621" t="s">
        <v>2389</v>
      </c>
      <c r="C2621" t="s">
        <v>2438</v>
      </c>
      <c r="D2621" t="s">
        <v>2379</v>
      </c>
      <c r="E2621" t="s">
        <v>2452</v>
      </c>
      <c r="F2621">
        <v>6397</v>
      </c>
      <c r="G2621" t="s">
        <v>2452</v>
      </c>
      <c r="H2621" t="b">
        <v>1</v>
      </c>
      <c r="I2621" s="8">
        <v>45953.573252314818</v>
      </c>
      <c r="J2621" t="s">
        <v>2380</v>
      </c>
      <c r="L2621">
        <v>609828</v>
      </c>
      <c r="M2621" t="s">
        <v>2381</v>
      </c>
      <c r="Q2621" t="s">
        <v>2383</v>
      </c>
      <c r="R2621">
        <v>1</v>
      </c>
      <c r="S2621" t="s">
        <v>2380</v>
      </c>
      <c r="T2621" t="s">
        <v>2383</v>
      </c>
      <c r="U2621" s="8">
        <v>45953.569293981483</v>
      </c>
      <c r="V2621" s="8">
        <v>45959.958333333336</v>
      </c>
      <c r="W2621">
        <v>1</v>
      </c>
      <c r="X2621">
        <v>3.9583329999999996E-3</v>
      </c>
      <c r="Y2621" t="s">
        <v>2607</v>
      </c>
      <c r="Z2621" t="s">
        <v>2619</v>
      </c>
      <c r="AA2621" t="s">
        <v>2610</v>
      </c>
      <c r="AB2621" t="s">
        <v>1278</v>
      </c>
      <c r="AC2621" t="s">
        <v>2620</v>
      </c>
      <c r="AE2621">
        <v>1</v>
      </c>
      <c r="AO2621" t="s">
        <v>2388</v>
      </c>
      <c r="AP2621" t="s">
        <v>2401</v>
      </c>
    </row>
    <row r="2622" spans="1:42">
      <c r="A2622" t="s">
        <v>2621</v>
      </c>
      <c r="B2622" t="s">
        <v>2389</v>
      </c>
      <c r="C2622" t="s">
        <v>2438</v>
      </c>
      <c r="D2622" t="s">
        <v>2379</v>
      </c>
      <c r="E2622" t="s">
        <v>2452</v>
      </c>
      <c r="F2622">
        <v>6397</v>
      </c>
      <c r="G2622" t="s">
        <v>2452</v>
      </c>
      <c r="H2622" t="b">
        <v>1</v>
      </c>
      <c r="I2622" s="8">
        <v>45953.574050925927</v>
      </c>
      <c r="J2622" t="s">
        <v>2380</v>
      </c>
      <c r="L2622">
        <v>609828</v>
      </c>
      <c r="M2622" t="s">
        <v>2381</v>
      </c>
      <c r="Q2622" t="s">
        <v>2383</v>
      </c>
      <c r="R2622">
        <v>1</v>
      </c>
      <c r="S2622" t="s">
        <v>2380</v>
      </c>
      <c r="T2622" t="s">
        <v>2383</v>
      </c>
      <c r="U2622" s="8">
        <v>45953.569687499999</v>
      </c>
      <c r="V2622" s="8">
        <v>45959.958333333336</v>
      </c>
      <c r="W2622">
        <v>1</v>
      </c>
      <c r="X2622">
        <v>4.3634260000000001E-3</v>
      </c>
      <c r="Y2622" t="s">
        <v>2607</v>
      </c>
      <c r="Z2622" t="s">
        <v>2622</v>
      </c>
      <c r="AA2622" t="s">
        <v>2610</v>
      </c>
      <c r="AB2622" t="s">
        <v>1278</v>
      </c>
      <c r="AC2622" t="s">
        <v>2623</v>
      </c>
      <c r="AE2622">
        <v>1</v>
      </c>
      <c r="AO2622" t="s">
        <v>2388</v>
      </c>
      <c r="AP2622" t="s">
        <v>2401</v>
      </c>
    </row>
    <row r="2623" spans="1:42">
      <c r="A2623" t="s">
        <v>2624</v>
      </c>
      <c r="B2623" t="s">
        <v>2389</v>
      </c>
      <c r="C2623" t="s">
        <v>2438</v>
      </c>
      <c r="D2623" t="s">
        <v>2379</v>
      </c>
      <c r="E2623" t="s">
        <v>2452</v>
      </c>
      <c r="F2623">
        <v>6397</v>
      </c>
      <c r="G2623" t="s">
        <v>2452</v>
      </c>
      <c r="H2623" t="b">
        <v>1</v>
      </c>
      <c r="I2623" s="8">
        <v>45953.57503472222</v>
      </c>
      <c r="J2623" t="s">
        <v>2380</v>
      </c>
      <c r="L2623">
        <v>609828</v>
      </c>
      <c r="M2623" t="s">
        <v>2381</v>
      </c>
      <c r="Q2623" t="s">
        <v>2383</v>
      </c>
      <c r="R2623">
        <v>1</v>
      </c>
      <c r="S2623" t="s">
        <v>2380</v>
      </c>
      <c r="T2623" t="s">
        <v>2383</v>
      </c>
      <c r="U2623" s="8">
        <v>45953.57</v>
      </c>
      <c r="V2623" s="8">
        <v>45959.958333333336</v>
      </c>
      <c r="W2623">
        <v>1</v>
      </c>
      <c r="X2623">
        <v>5.0347220000000002E-3</v>
      </c>
      <c r="Y2623" t="s">
        <v>2607</v>
      </c>
      <c r="Z2623" t="s">
        <v>2625</v>
      </c>
      <c r="AA2623" t="s">
        <v>2610</v>
      </c>
      <c r="AB2623" t="s">
        <v>1278</v>
      </c>
      <c r="AC2623" t="s">
        <v>2626</v>
      </c>
      <c r="AE2623">
        <v>1</v>
      </c>
      <c r="AO2623" t="s">
        <v>2388</v>
      </c>
      <c r="AP2623" t="s">
        <v>2401</v>
      </c>
    </row>
    <row r="2624" spans="1:42">
      <c r="A2624" t="s">
        <v>8936</v>
      </c>
      <c r="B2624" t="s">
        <v>2389</v>
      </c>
      <c r="C2624" t="s">
        <v>2438</v>
      </c>
      <c r="D2624" t="s">
        <v>2379</v>
      </c>
      <c r="E2624" t="s">
        <v>2452</v>
      </c>
      <c r="F2624" t="s">
        <v>4812</v>
      </c>
      <c r="G2624" t="s">
        <v>2452</v>
      </c>
      <c r="H2624" t="b">
        <v>1</v>
      </c>
      <c r="I2624" s="8">
        <v>45953.596006944441</v>
      </c>
      <c r="J2624" t="s">
        <v>2380</v>
      </c>
      <c r="K2624">
        <v>1204252</v>
      </c>
      <c r="L2624">
        <v>605558</v>
      </c>
      <c r="M2624" t="s">
        <v>2381</v>
      </c>
      <c r="Q2624" t="s">
        <v>2383</v>
      </c>
      <c r="R2624">
        <v>1</v>
      </c>
      <c r="S2624" t="s">
        <v>2380</v>
      </c>
      <c r="T2624" t="s">
        <v>2383</v>
      </c>
      <c r="U2624" s="8">
        <v>45953.581238425926</v>
      </c>
      <c r="V2624" s="8">
        <v>45959.958333333336</v>
      </c>
      <c r="W2624">
        <v>1</v>
      </c>
      <c r="X2624">
        <v>1.4768519000000001E-2</v>
      </c>
      <c r="Y2624" t="s">
        <v>4813</v>
      </c>
      <c r="Z2624" t="s">
        <v>8937</v>
      </c>
      <c r="AA2624" t="s">
        <v>8938</v>
      </c>
      <c r="AB2624" t="s">
        <v>1278</v>
      </c>
      <c r="AC2624" t="s">
        <v>8939</v>
      </c>
      <c r="AD2624" t="s">
        <v>2708</v>
      </c>
      <c r="AE2624">
        <v>1</v>
      </c>
      <c r="AO2624" t="s">
        <v>2957</v>
      </c>
      <c r="AP2624" t="s">
        <v>8931</v>
      </c>
    </row>
    <row r="2625" spans="1:42">
      <c r="A2625" t="s">
        <v>4336</v>
      </c>
      <c r="B2625" t="s">
        <v>2389</v>
      </c>
      <c r="C2625" t="s">
        <v>2447</v>
      </c>
      <c r="D2625" t="s">
        <v>2379</v>
      </c>
      <c r="E2625" t="s">
        <v>25</v>
      </c>
      <c r="F2625" t="s">
        <v>2541</v>
      </c>
      <c r="G2625" t="s">
        <v>25</v>
      </c>
      <c r="H2625" t="b">
        <v>1</v>
      </c>
      <c r="I2625" s="8">
        <v>45959.638784722221</v>
      </c>
      <c r="J2625" t="s">
        <v>2380</v>
      </c>
      <c r="K2625">
        <v>1205605</v>
      </c>
      <c r="L2625">
        <v>602299</v>
      </c>
      <c r="M2625" t="s">
        <v>2381</v>
      </c>
      <c r="N2625">
        <v>5</v>
      </c>
      <c r="P2625" t="s">
        <v>2548</v>
      </c>
      <c r="Q2625" t="s">
        <v>2383</v>
      </c>
      <c r="R2625">
        <v>1</v>
      </c>
      <c r="S2625" t="s">
        <v>2380</v>
      </c>
      <c r="T2625" t="s">
        <v>2383</v>
      </c>
      <c r="U2625" s="8">
        <v>45953.594629629632</v>
      </c>
      <c r="V2625" s="8">
        <v>45959.958333333336</v>
      </c>
      <c r="W2625">
        <v>1</v>
      </c>
      <c r="X2625">
        <v>4.0441550929999996</v>
      </c>
      <c r="Y2625" t="s">
        <v>2542</v>
      </c>
      <c r="Z2625" t="s">
        <v>4337</v>
      </c>
      <c r="AA2625" t="s">
        <v>2927</v>
      </c>
      <c r="AB2625" t="s">
        <v>1278</v>
      </c>
      <c r="AC2625" t="s">
        <v>4338</v>
      </c>
      <c r="AD2625" t="s">
        <v>2708</v>
      </c>
      <c r="AE2625">
        <v>1</v>
      </c>
      <c r="AO2625" t="s">
        <v>2547</v>
      </c>
      <c r="AP2625" t="s">
        <v>2401</v>
      </c>
    </row>
    <row r="2626" spans="1:42">
      <c r="A2626" t="s">
        <v>8384</v>
      </c>
      <c r="B2626" t="s">
        <v>2389</v>
      </c>
      <c r="C2626" t="s">
        <v>2378</v>
      </c>
      <c r="D2626" t="s">
        <v>2379</v>
      </c>
      <c r="E2626" t="s">
        <v>25</v>
      </c>
      <c r="F2626" t="s">
        <v>3491</v>
      </c>
      <c r="G2626" t="s">
        <v>25</v>
      </c>
      <c r="H2626" t="b">
        <v>1</v>
      </c>
      <c r="I2626" s="8">
        <v>45959.463958333334</v>
      </c>
      <c r="J2626" t="s">
        <v>2380</v>
      </c>
      <c r="K2626">
        <v>1205425</v>
      </c>
      <c r="L2626">
        <v>602666</v>
      </c>
      <c r="M2626" t="s">
        <v>2381</v>
      </c>
      <c r="N2626">
        <v>5</v>
      </c>
      <c r="P2626" t="s">
        <v>2394</v>
      </c>
      <c r="Q2626" t="s">
        <v>2383</v>
      </c>
      <c r="R2626">
        <v>1</v>
      </c>
      <c r="S2626" t="s">
        <v>2380</v>
      </c>
      <c r="T2626" t="s">
        <v>2383</v>
      </c>
      <c r="U2626" s="8">
        <v>45953.601990740739</v>
      </c>
      <c r="V2626" s="8">
        <v>45959.958333333336</v>
      </c>
      <c r="W2626">
        <v>1</v>
      </c>
      <c r="X2626">
        <v>3.8619675930000001</v>
      </c>
      <c r="Y2626" t="s">
        <v>3492</v>
      </c>
      <c r="Z2626" t="s">
        <v>8385</v>
      </c>
      <c r="AA2626" t="s">
        <v>3495</v>
      </c>
      <c r="AB2626" t="s">
        <v>1278</v>
      </c>
      <c r="AC2626" t="s">
        <v>8386</v>
      </c>
      <c r="AD2626" t="s">
        <v>2708</v>
      </c>
      <c r="AE2626">
        <v>1</v>
      </c>
      <c r="AO2626" t="s">
        <v>2957</v>
      </c>
      <c r="AP2626" t="s">
        <v>2401</v>
      </c>
    </row>
    <row r="2627" spans="1:42">
      <c r="A2627" t="s">
        <v>2482</v>
      </c>
      <c r="B2627" t="s">
        <v>2389</v>
      </c>
      <c r="C2627" t="s">
        <v>2447</v>
      </c>
      <c r="D2627" t="s">
        <v>2379</v>
      </c>
      <c r="E2627" t="s">
        <v>2416</v>
      </c>
      <c r="F2627" t="s">
        <v>2417</v>
      </c>
      <c r="G2627" t="s">
        <v>2416</v>
      </c>
      <c r="H2627" t="b">
        <v>1</v>
      </c>
      <c r="I2627" s="8">
        <v>45959.681284722225</v>
      </c>
      <c r="J2627" t="s">
        <v>2380</v>
      </c>
      <c r="L2627">
        <v>608946</v>
      </c>
      <c r="M2627" t="s">
        <v>2381</v>
      </c>
      <c r="P2627" t="s">
        <v>2394</v>
      </c>
      <c r="Q2627" t="s">
        <v>2383</v>
      </c>
      <c r="R2627">
        <v>1</v>
      </c>
      <c r="S2627" t="s">
        <v>2380</v>
      </c>
      <c r="T2627" t="s">
        <v>2383</v>
      </c>
      <c r="U2627" s="8">
        <v>45953.610474537039</v>
      </c>
      <c r="V2627" s="8">
        <v>45959.958333333336</v>
      </c>
      <c r="W2627">
        <v>1</v>
      </c>
      <c r="X2627">
        <v>4.070810185</v>
      </c>
      <c r="Y2627" t="s">
        <v>2418</v>
      </c>
      <c r="Z2627" t="s">
        <v>2483</v>
      </c>
      <c r="AA2627" t="s">
        <v>2484</v>
      </c>
      <c r="AB2627" t="s">
        <v>1278</v>
      </c>
      <c r="AC2627" t="s">
        <v>2485</v>
      </c>
      <c r="AE2627">
        <v>1</v>
      </c>
      <c r="AO2627" t="s">
        <v>2408</v>
      </c>
      <c r="AP2627" t="s">
        <v>2401</v>
      </c>
    </row>
    <row r="2628" spans="1:42">
      <c r="A2628" t="s">
        <v>2384</v>
      </c>
      <c r="B2628" t="s">
        <v>2377</v>
      </c>
      <c r="C2628" t="s">
        <v>2378</v>
      </c>
      <c r="D2628" t="s">
        <v>2379</v>
      </c>
      <c r="E2628" t="s">
        <v>25</v>
      </c>
      <c r="G2628" t="s">
        <v>25</v>
      </c>
      <c r="H2628" t="b">
        <v>1</v>
      </c>
      <c r="I2628" s="8">
        <v>45953.615555555552</v>
      </c>
      <c r="J2628" t="s">
        <v>2380</v>
      </c>
      <c r="L2628">
        <v>609768</v>
      </c>
      <c r="M2628" t="s">
        <v>2381</v>
      </c>
      <c r="N2628">
        <v>20</v>
      </c>
      <c r="P2628" t="s">
        <v>2382</v>
      </c>
      <c r="Q2628" t="s">
        <v>2383</v>
      </c>
      <c r="R2628">
        <v>1</v>
      </c>
      <c r="S2628" t="s">
        <v>2380</v>
      </c>
      <c r="T2628" t="s">
        <v>2383</v>
      </c>
      <c r="U2628" s="8">
        <v>45950.588680555556</v>
      </c>
      <c r="V2628" s="8">
        <v>45953.958333333336</v>
      </c>
      <c r="W2628">
        <v>1</v>
      </c>
      <c r="X2628">
        <v>3.026875</v>
      </c>
      <c r="Z2628" t="s">
        <v>2385</v>
      </c>
      <c r="AA2628" t="s">
        <v>2386</v>
      </c>
      <c r="AB2628" t="s">
        <v>1278</v>
      </c>
      <c r="AC2628" t="s">
        <v>2387</v>
      </c>
      <c r="AE2628">
        <v>1</v>
      </c>
      <c r="AO2628" t="s">
        <v>2388</v>
      </c>
    </row>
    <row r="2629" spans="1:42">
      <c r="A2629" t="s">
        <v>2404</v>
      </c>
      <c r="B2629" t="s">
        <v>2377</v>
      </c>
      <c r="C2629" t="s">
        <v>2390</v>
      </c>
      <c r="D2629" t="s">
        <v>2379</v>
      </c>
      <c r="E2629" t="s">
        <v>24</v>
      </c>
      <c r="F2629" t="s">
        <v>2402</v>
      </c>
      <c r="G2629" t="s">
        <v>24</v>
      </c>
      <c r="H2629" t="b">
        <v>1</v>
      </c>
      <c r="I2629" s="8">
        <v>45958.447025462963</v>
      </c>
      <c r="J2629" t="s">
        <v>2380</v>
      </c>
      <c r="L2629">
        <v>605085</v>
      </c>
      <c r="M2629" t="s">
        <v>2381</v>
      </c>
      <c r="Q2629" t="s">
        <v>2383</v>
      </c>
      <c r="R2629">
        <v>1</v>
      </c>
      <c r="S2629" t="s">
        <v>2380</v>
      </c>
      <c r="T2629" t="s">
        <v>2383</v>
      </c>
      <c r="U2629" s="8">
        <v>45953.613263888888</v>
      </c>
      <c r="V2629" s="8">
        <v>45959.958333333336</v>
      </c>
      <c r="W2629">
        <v>1</v>
      </c>
      <c r="X2629">
        <v>2.8337615739999999</v>
      </c>
      <c r="Y2629" t="s">
        <v>2403</v>
      </c>
      <c r="Z2629" t="s">
        <v>2405</v>
      </c>
      <c r="AA2629" t="s">
        <v>2406</v>
      </c>
      <c r="AB2629" t="s">
        <v>1278</v>
      </c>
      <c r="AC2629" t="s">
        <v>2407</v>
      </c>
      <c r="AE2629">
        <v>1</v>
      </c>
      <c r="AO2629" t="s">
        <v>2408</v>
      </c>
      <c r="AP2629" t="s">
        <v>2401</v>
      </c>
    </row>
    <row r="2630" spans="1:42">
      <c r="A2630" t="s">
        <v>2580</v>
      </c>
      <c r="B2630" t="s">
        <v>2377</v>
      </c>
      <c r="C2630" t="s">
        <v>2438</v>
      </c>
      <c r="D2630" t="s">
        <v>2379</v>
      </c>
      <c r="E2630" t="s">
        <v>25</v>
      </c>
      <c r="F2630" t="s">
        <v>2578</v>
      </c>
      <c r="H2630" t="b">
        <v>1</v>
      </c>
      <c r="I2630" s="8">
        <v>45953.667870370373</v>
      </c>
      <c r="J2630" t="s">
        <v>2380</v>
      </c>
      <c r="L2630">
        <v>609768</v>
      </c>
      <c r="M2630" t="s">
        <v>2381</v>
      </c>
      <c r="Q2630" t="s">
        <v>2383</v>
      </c>
      <c r="R2630">
        <v>1</v>
      </c>
      <c r="S2630" t="s">
        <v>2380</v>
      </c>
      <c r="T2630" t="s">
        <v>2383</v>
      </c>
      <c r="U2630" s="8">
        <v>45953.619456018518</v>
      </c>
      <c r="V2630" s="8">
        <v>45959.958333333336</v>
      </c>
      <c r="W2630">
        <v>1</v>
      </c>
      <c r="X2630">
        <v>4.8414352000000001E-2</v>
      </c>
      <c r="Y2630" t="s">
        <v>2579</v>
      </c>
      <c r="Z2630" t="s">
        <v>2581</v>
      </c>
      <c r="AA2630" t="s">
        <v>2386</v>
      </c>
      <c r="AB2630" t="s">
        <v>1278</v>
      </c>
      <c r="AC2630" t="s">
        <v>2582</v>
      </c>
      <c r="AE2630">
        <v>1</v>
      </c>
      <c r="AO2630" t="s">
        <v>2388</v>
      </c>
      <c r="AP2630" t="s">
        <v>2401</v>
      </c>
    </row>
    <row r="2631" spans="1:42">
      <c r="A2631" t="s">
        <v>8484</v>
      </c>
      <c r="B2631" t="s">
        <v>2389</v>
      </c>
      <c r="C2631" t="s">
        <v>2447</v>
      </c>
      <c r="D2631" t="s">
        <v>2379</v>
      </c>
      <c r="E2631" t="s">
        <v>25</v>
      </c>
      <c r="F2631" t="s">
        <v>8207</v>
      </c>
      <c r="G2631" t="s">
        <v>25</v>
      </c>
      <c r="H2631" t="b">
        <v>1</v>
      </c>
      <c r="I2631" s="8">
        <v>45959.684618055559</v>
      </c>
      <c r="J2631" t="s">
        <v>2380</v>
      </c>
      <c r="K2631">
        <v>1205655</v>
      </c>
      <c r="L2631">
        <v>604459</v>
      </c>
      <c r="M2631" t="s">
        <v>2381</v>
      </c>
      <c r="N2631">
        <v>5</v>
      </c>
      <c r="P2631" t="s">
        <v>2394</v>
      </c>
      <c r="Q2631" t="s">
        <v>2395</v>
      </c>
      <c r="R2631">
        <v>1</v>
      </c>
      <c r="S2631" t="s">
        <v>2380</v>
      </c>
      <c r="T2631" t="s">
        <v>2383</v>
      </c>
      <c r="U2631" s="8">
        <v>45953.623206018521</v>
      </c>
      <c r="V2631" s="8">
        <v>45959.958333333336</v>
      </c>
      <c r="W2631">
        <v>1</v>
      </c>
      <c r="X2631">
        <v>4.0614120370000002</v>
      </c>
      <c r="Y2631" t="s">
        <v>1277</v>
      </c>
      <c r="Z2631" t="s">
        <v>8485</v>
      </c>
      <c r="AA2631" t="s">
        <v>8273</v>
      </c>
      <c r="AB2631" t="s">
        <v>1278</v>
      </c>
      <c r="AC2631" t="s">
        <v>8486</v>
      </c>
      <c r="AD2631" t="s">
        <v>2708</v>
      </c>
      <c r="AE2631">
        <v>1</v>
      </c>
      <c r="AO2631" t="s">
        <v>4137</v>
      </c>
      <c r="AP2631" t="s">
        <v>2401</v>
      </c>
    </row>
    <row r="2632" spans="1:42">
      <c r="A2632" t="s">
        <v>3039</v>
      </c>
      <c r="B2632" t="s">
        <v>2389</v>
      </c>
      <c r="C2632" t="s">
        <v>2378</v>
      </c>
      <c r="D2632" t="s">
        <v>2379</v>
      </c>
      <c r="E2632" t="s">
        <v>2452</v>
      </c>
      <c r="F2632" t="s">
        <v>2417</v>
      </c>
      <c r="G2632" t="s">
        <v>2452</v>
      </c>
      <c r="H2632" t="b">
        <v>1</v>
      </c>
      <c r="I2632" s="8">
        <v>45959.467280092591</v>
      </c>
      <c r="J2632" t="s">
        <v>2380</v>
      </c>
      <c r="K2632">
        <v>1205439</v>
      </c>
      <c r="L2632">
        <v>602540</v>
      </c>
      <c r="M2632" t="s">
        <v>2381</v>
      </c>
      <c r="P2632" t="s">
        <v>2394</v>
      </c>
      <c r="Q2632" t="s">
        <v>2383</v>
      </c>
      <c r="R2632">
        <v>1</v>
      </c>
      <c r="S2632" t="s">
        <v>2380</v>
      </c>
      <c r="T2632" t="s">
        <v>2383</v>
      </c>
      <c r="U2632" s="8">
        <v>45953.626655092594</v>
      </c>
      <c r="V2632" s="8">
        <v>45964.958333333336</v>
      </c>
      <c r="W2632">
        <v>1</v>
      </c>
      <c r="X2632">
        <v>3.8406250000000002</v>
      </c>
      <c r="Y2632" t="s">
        <v>2418</v>
      </c>
      <c r="Z2632" t="s">
        <v>3040</v>
      </c>
      <c r="AA2632" t="s">
        <v>3041</v>
      </c>
      <c r="AB2632" t="s">
        <v>1278</v>
      </c>
      <c r="AC2632" t="s">
        <v>3042</v>
      </c>
      <c r="AD2632" t="s">
        <v>2708</v>
      </c>
      <c r="AE2632">
        <v>1</v>
      </c>
      <c r="AO2632" t="s">
        <v>2408</v>
      </c>
      <c r="AP2632" t="s">
        <v>2401</v>
      </c>
    </row>
    <row r="2633" spans="1:42">
      <c r="A2633" t="s">
        <v>4339</v>
      </c>
      <c r="B2633" t="s">
        <v>2389</v>
      </c>
      <c r="C2633" t="s">
        <v>2378</v>
      </c>
      <c r="D2633" t="s">
        <v>2379</v>
      </c>
      <c r="E2633" t="s">
        <v>25</v>
      </c>
      <c r="F2633" t="s">
        <v>2541</v>
      </c>
      <c r="G2633" t="s">
        <v>25</v>
      </c>
      <c r="H2633" t="b">
        <v>1</v>
      </c>
      <c r="I2633" s="8">
        <v>45959.623773148145</v>
      </c>
      <c r="J2633" t="s">
        <v>2380</v>
      </c>
      <c r="K2633">
        <v>1205602</v>
      </c>
      <c r="L2633">
        <v>602299</v>
      </c>
      <c r="M2633" t="s">
        <v>2381</v>
      </c>
      <c r="N2633">
        <v>5</v>
      </c>
      <c r="P2633" t="s">
        <v>2548</v>
      </c>
      <c r="Q2633" t="s">
        <v>2383</v>
      </c>
      <c r="R2633">
        <v>1</v>
      </c>
      <c r="S2633" t="s">
        <v>2380</v>
      </c>
      <c r="T2633" t="s">
        <v>2383</v>
      </c>
      <c r="U2633" s="8">
        <v>45953.630266203705</v>
      </c>
      <c r="V2633" s="8">
        <v>45959.958333333336</v>
      </c>
      <c r="W2633">
        <v>1</v>
      </c>
      <c r="X2633">
        <v>3.9935069439999999</v>
      </c>
      <c r="Y2633" t="s">
        <v>2542</v>
      </c>
      <c r="Z2633" t="s">
        <v>4340</v>
      </c>
      <c r="AA2633" t="s">
        <v>2927</v>
      </c>
      <c r="AB2633" t="s">
        <v>1278</v>
      </c>
      <c r="AC2633" t="s">
        <v>4341</v>
      </c>
      <c r="AD2633" t="s">
        <v>2708</v>
      </c>
      <c r="AE2633">
        <v>1</v>
      </c>
      <c r="AO2633" t="s">
        <v>2547</v>
      </c>
      <c r="AP2633" t="s">
        <v>2401</v>
      </c>
    </row>
    <row r="2634" spans="1:42">
      <c r="A2634" t="s">
        <v>4342</v>
      </c>
      <c r="B2634" t="s">
        <v>2389</v>
      </c>
      <c r="C2634" t="s">
        <v>2447</v>
      </c>
      <c r="D2634" t="s">
        <v>2379</v>
      </c>
      <c r="E2634" t="s">
        <v>25</v>
      </c>
      <c r="F2634" t="s">
        <v>2541</v>
      </c>
      <c r="G2634" t="s">
        <v>25</v>
      </c>
      <c r="H2634" t="b">
        <v>1</v>
      </c>
      <c r="I2634" s="8">
        <v>45959.642604166664</v>
      </c>
      <c r="J2634" t="s">
        <v>2380</v>
      </c>
      <c r="K2634">
        <v>1205606</v>
      </c>
      <c r="L2634">
        <v>602299</v>
      </c>
      <c r="M2634" t="s">
        <v>2381</v>
      </c>
      <c r="N2634">
        <v>5</v>
      </c>
      <c r="P2634" t="s">
        <v>2548</v>
      </c>
      <c r="Q2634" t="s">
        <v>2383</v>
      </c>
      <c r="R2634">
        <v>1</v>
      </c>
      <c r="S2634" t="s">
        <v>2380</v>
      </c>
      <c r="T2634" t="s">
        <v>2383</v>
      </c>
      <c r="U2634" s="8">
        <v>45953.635821759257</v>
      </c>
      <c r="V2634" s="8">
        <v>45959.958333333336</v>
      </c>
      <c r="W2634">
        <v>1</v>
      </c>
      <c r="X2634">
        <v>4.0067824070000002</v>
      </c>
      <c r="Y2634" t="s">
        <v>2542</v>
      </c>
      <c r="Z2634" t="s">
        <v>4343</v>
      </c>
      <c r="AA2634" t="s">
        <v>2927</v>
      </c>
      <c r="AB2634" t="s">
        <v>1278</v>
      </c>
      <c r="AC2634" t="s">
        <v>4344</v>
      </c>
      <c r="AD2634" t="s">
        <v>2708</v>
      </c>
      <c r="AE2634">
        <v>1</v>
      </c>
      <c r="AO2634" t="s">
        <v>2547</v>
      </c>
      <c r="AP2634" t="s">
        <v>2401</v>
      </c>
    </row>
    <row r="2635" spans="1:42">
      <c r="A2635" t="s">
        <v>3466</v>
      </c>
      <c r="B2635" t="s">
        <v>2377</v>
      </c>
      <c r="C2635" t="s">
        <v>2378</v>
      </c>
      <c r="D2635" t="s">
        <v>2379</v>
      </c>
      <c r="E2635" t="s">
        <v>24</v>
      </c>
      <c r="F2635" t="s">
        <v>3261</v>
      </c>
      <c r="G2635" t="s">
        <v>24</v>
      </c>
      <c r="H2635" t="b">
        <v>1</v>
      </c>
      <c r="I2635" s="8">
        <v>45959.600428240738</v>
      </c>
      <c r="J2635" t="s">
        <v>2380</v>
      </c>
      <c r="L2635">
        <v>602679</v>
      </c>
      <c r="M2635" t="s">
        <v>2381</v>
      </c>
      <c r="Q2635" t="s">
        <v>2383</v>
      </c>
      <c r="R2635">
        <v>1</v>
      </c>
      <c r="S2635" t="s">
        <v>2380</v>
      </c>
      <c r="T2635" t="s">
        <v>2383</v>
      </c>
      <c r="U2635" s="8">
        <v>45953.637418981481</v>
      </c>
      <c r="V2635" s="8">
        <v>45959.958333333336</v>
      </c>
      <c r="W2635">
        <v>1</v>
      </c>
      <c r="X2635">
        <v>3.9630092590000001</v>
      </c>
      <c r="Y2635" t="s">
        <v>3262</v>
      </c>
      <c r="Z2635" t="s">
        <v>3467</v>
      </c>
      <c r="AA2635" t="s">
        <v>1294</v>
      </c>
      <c r="AB2635" t="s">
        <v>1278</v>
      </c>
      <c r="AC2635" t="s">
        <v>3187</v>
      </c>
      <c r="AE2635">
        <v>1</v>
      </c>
      <c r="AO2635" t="s">
        <v>2957</v>
      </c>
      <c r="AP2635" t="s">
        <v>2401</v>
      </c>
    </row>
    <row r="2636" spans="1:42">
      <c r="A2636" t="s">
        <v>4428</v>
      </c>
      <c r="B2636" t="s">
        <v>2389</v>
      </c>
      <c r="C2636" t="s">
        <v>2390</v>
      </c>
      <c r="D2636" t="s">
        <v>2379</v>
      </c>
      <c r="E2636" t="s">
        <v>33</v>
      </c>
      <c r="F2636">
        <v>6343</v>
      </c>
      <c r="G2636" t="s">
        <v>33</v>
      </c>
      <c r="H2636" t="b">
        <v>1</v>
      </c>
      <c r="I2636" s="8">
        <v>45958.663113425922</v>
      </c>
      <c r="J2636" t="s">
        <v>2380</v>
      </c>
      <c r="K2636">
        <v>1205380</v>
      </c>
      <c r="L2636">
        <v>602129</v>
      </c>
      <c r="M2636" t="s">
        <v>2381</v>
      </c>
      <c r="P2636" t="s">
        <v>2394</v>
      </c>
      <c r="Q2636" t="s">
        <v>2383</v>
      </c>
      <c r="R2636">
        <v>1</v>
      </c>
      <c r="S2636" t="s">
        <v>2380</v>
      </c>
      <c r="T2636" t="s">
        <v>2383</v>
      </c>
      <c r="U2636" s="8">
        <v>45953.669027777774</v>
      </c>
      <c r="V2636" s="8">
        <v>45959.958333333336</v>
      </c>
      <c r="W2636">
        <v>1</v>
      </c>
      <c r="X2636">
        <v>2.994085648</v>
      </c>
      <c r="Y2636" t="s">
        <v>2662</v>
      </c>
      <c r="Z2636" t="s">
        <v>4429</v>
      </c>
      <c r="AA2636" t="s">
        <v>2665</v>
      </c>
      <c r="AB2636" t="s">
        <v>1278</v>
      </c>
      <c r="AC2636" t="s">
        <v>4430</v>
      </c>
      <c r="AD2636" t="s">
        <v>2708</v>
      </c>
      <c r="AE2636">
        <v>1</v>
      </c>
      <c r="AO2636" t="s">
        <v>2388</v>
      </c>
      <c r="AP2636" t="s">
        <v>2401</v>
      </c>
    </row>
    <row r="2637" spans="1:42">
      <c r="A2637" t="s">
        <v>4594</v>
      </c>
      <c r="B2637" t="s">
        <v>2389</v>
      </c>
      <c r="C2637" t="s">
        <v>2378</v>
      </c>
      <c r="D2637" t="s">
        <v>2379</v>
      </c>
      <c r="E2637" t="s">
        <v>25</v>
      </c>
      <c r="F2637" t="s">
        <v>2578</v>
      </c>
      <c r="G2637" t="s">
        <v>25</v>
      </c>
      <c r="H2637" t="b">
        <v>1</v>
      </c>
      <c r="I2637" s="8">
        <v>45959.588449074072</v>
      </c>
      <c r="J2637" t="s">
        <v>2380</v>
      </c>
      <c r="K2637">
        <v>1205560</v>
      </c>
      <c r="L2637">
        <v>605141</v>
      </c>
      <c r="M2637" t="s">
        <v>2381</v>
      </c>
      <c r="N2637">
        <v>5</v>
      </c>
      <c r="P2637" t="s">
        <v>2394</v>
      </c>
      <c r="Q2637" t="s">
        <v>2383</v>
      </c>
      <c r="R2637">
        <v>1</v>
      </c>
      <c r="S2637" t="s">
        <v>2380</v>
      </c>
      <c r="T2637" t="s">
        <v>2383</v>
      </c>
      <c r="U2637" s="8">
        <v>45953.676145833335</v>
      </c>
      <c r="V2637" s="8">
        <v>45959.958333333336</v>
      </c>
      <c r="W2637">
        <v>1</v>
      </c>
      <c r="X2637">
        <v>3.912303241</v>
      </c>
      <c r="Y2637" t="s">
        <v>2579</v>
      </c>
      <c r="Z2637" t="s">
        <v>4595</v>
      </c>
      <c r="AA2637" t="s">
        <v>3377</v>
      </c>
      <c r="AB2637" t="s">
        <v>1278</v>
      </c>
      <c r="AC2637" t="s">
        <v>4596</v>
      </c>
      <c r="AD2637" t="s">
        <v>2708</v>
      </c>
      <c r="AE2637">
        <v>1</v>
      </c>
      <c r="AO2637" t="s">
        <v>2388</v>
      </c>
      <c r="AP2637" t="s">
        <v>2401</v>
      </c>
    </row>
    <row r="2638" spans="1:42">
      <c r="A2638" t="s">
        <v>4832</v>
      </c>
      <c r="B2638" t="s">
        <v>2389</v>
      </c>
      <c r="C2638" t="s">
        <v>2378</v>
      </c>
      <c r="D2638" t="s">
        <v>2379</v>
      </c>
      <c r="E2638" t="s">
        <v>28</v>
      </c>
      <c r="F2638" t="s">
        <v>3514</v>
      </c>
      <c r="G2638" t="s">
        <v>28</v>
      </c>
      <c r="H2638" t="b">
        <v>1</v>
      </c>
      <c r="I2638" s="8">
        <v>45959.59574074074</v>
      </c>
      <c r="J2638" t="s">
        <v>2380</v>
      </c>
      <c r="K2638">
        <v>1205562</v>
      </c>
      <c r="L2638">
        <v>603644</v>
      </c>
      <c r="M2638" t="s">
        <v>2381</v>
      </c>
      <c r="N2638">
        <v>15</v>
      </c>
      <c r="P2638" t="s">
        <v>2394</v>
      </c>
      <c r="Q2638" t="s">
        <v>2383</v>
      </c>
      <c r="R2638">
        <v>1</v>
      </c>
      <c r="S2638" t="s">
        <v>2380</v>
      </c>
      <c r="T2638" t="s">
        <v>2383</v>
      </c>
      <c r="U2638" s="8">
        <v>45953.688680555555</v>
      </c>
      <c r="V2638" s="8">
        <v>45959.958333333336</v>
      </c>
      <c r="W2638">
        <v>1</v>
      </c>
      <c r="X2638">
        <v>3.9070601850000002</v>
      </c>
      <c r="Y2638" t="s">
        <v>3515</v>
      </c>
      <c r="Z2638" t="s">
        <v>4833</v>
      </c>
      <c r="AA2638" t="s">
        <v>4830</v>
      </c>
      <c r="AB2638" t="s">
        <v>1278</v>
      </c>
      <c r="AC2638" t="s">
        <v>4834</v>
      </c>
      <c r="AD2638" t="s">
        <v>2708</v>
      </c>
      <c r="AE2638">
        <v>1</v>
      </c>
      <c r="AO2638" t="s">
        <v>2957</v>
      </c>
      <c r="AP2638" t="s">
        <v>2401</v>
      </c>
    </row>
    <row r="2639" spans="1:42">
      <c r="A2639" t="s">
        <v>4610</v>
      </c>
      <c r="B2639" t="s">
        <v>2389</v>
      </c>
      <c r="C2639" t="s">
        <v>2378</v>
      </c>
      <c r="D2639" t="s">
        <v>2379</v>
      </c>
      <c r="E2639" t="s">
        <v>25</v>
      </c>
      <c r="F2639">
        <v>6397</v>
      </c>
      <c r="G2639" t="s">
        <v>25</v>
      </c>
      <c r="H2639" t="b">
        <v>1</v>
      </c>
      <c r="I2639" s="8">
        <v>45959.509606481479</v>
      </c>
      <c r="J2639" t="s">
        <v>2380</v>
      </c>
      <c r="K2639">
        <v>1205462</v>
      </c>
      <c r="L2639">
        <v>606290</v>
      </c>
      <c r="M2639" t="s">
        <v>2381</v>
      </c>
      <c r="N2639">
        <v>5</v>
      </c>
      <c r="P2639" t="s">
        <v>2394</v>
      </c>
      <c r="Q2639" t="s">
        <v>2383</v>
      </c>
      <c r="R2639">
        <v>1</v>
      </c>
      <c r="S2639" t="s">
        <v>2380</v>
      </c>
      <c r="T2639" t="s">
        <v>2383</v>
      </c>
      <c r="U2639" s="8">
        <v>45953.701481481483</v>
      </c>
      <c r="V2639" s="8">
        <v>45959.958333333336</v>
      </c>
      <c r="W2639">
        <v>1</v>
      </c>
      <c r="X2639">
        <v>3.808125</v>
      </c>
      <c r="Y2639" t="s">
        <v>2607</v>
      </c>
      <c r="Z2639" t="s">
        <v>4611</v>
      </c>
      <c r="AA2639" t="s">
        <v>4462</v>
      </c>
      <c r="AB2639" t="s">
        <v>1278</v>
      </c>
      <c r="AC2639" t="s">
        <v>4612</v>
      </c>
      <c r="AD2639" t="s">
        <v>2708</v>
      </c>
      <c r="AE2639">
        <v>1</v>
      </c>
      <c r="AO2639" t="s">
        <v>2388</v>
      </c>
      <c r="AP2639" t="s">
        <v>2401</v>
      </c>
    </row>
    <row r="2640" spans="1:42">
      <c r="A2640" t="s">
        <v>8492</v>
      </c>
      <c r="B2640" t="s">
        <v>2389</v>
      </c>
      <c r="C2640" t="s">
        <v>2378</v>
      </c>
      <c r="D2640" t="s">
        <v>2379</v>
      </c>
      <c r="E2640" t="s">
        <v>25</v>
      </c>
      <c r="F2640">
        <v>4240</v>
      </c>
      <c r="G2640" t="s">
        <v>25</v>
      </c>
      <c r="H2640" t="b">
        <v>1</v>
      </c>
      <c r="I2640" s="8">
        <v>45959.569050925929</v>
      </c>
      <c r="J2640" t="s">
        <v>2380</v>
      </c>
      <c r="K2640">
        <v>1205556</v>
      </c>
      <c r="L2640">
        <v>604106</v>
      </c>
      <c r="M2640" t="s">
        <v>2381</v>
      </c>
      <c r="N2640">
        <v>5</v>
      </c>
      <c r="P2640" t="s">
        <v>2394</v>
      </c>
      <c r="Q2640" t="s">
        <v>2395</v>
      </c>
      <c r="R2640">
        <v>1</v>
      </c>
      <c r="S2640" t="s">
        <v>2380</v>
      </c>
      <c r="T2640" t="s">
        <v>2383</v>
      </c>
      <c r="U2640" s="8">
        <v>45953.726655092592</v>
      </c>
      <c r="V2640" s="8">
        <v>45959.958333333336</v>
      </c>
      <c r="W2640">
        <v>1</v>
      </c>
      <c r="X2640">
        <v>3.8423958329999999</v>
      </c>
      <c r="Y2640" t="s">
        <v>8134</v>
      </c>
      <c r="Z2640" t="s">
        <v>8493</v>
      </c>
      <c r="AA2640" t="s">
        <v>8137</v>
      </c>
      <c r="AB2640" t="s">
        <v>1278</v>
      </c>
      <c r="AC2640" t="s">
        <v>8494</v>
      </c>
      <c r="AD2640" t="s">
        <v>2708</v>
      </c>
      <c r="AE2640">
        <v>1</v>
      </c>
      <c r="AO2640" t="s">
        <v>4137</v>
      </c>
      <c r="AP2640" t="s">
        <v>2401</v>
      </c>
    </row>
    <row r="2641" spans="1:42">
      <c r="A2641" t="s">
        <v>4606</v>
      </c>
      <c r="B2641" t="s">
        <v>2389</v>
      </c>
      <c r="C2641" t="s">
        <v>2378</v>
      </c>
      <c r="D2641" t="s">
        <v>2379</v>
      </c>
      <c r="E2641" t="s">
        <v>25</v>
      </c>
      <c r="F2641" t="s">
        <v>4604</v>
      </c>
      <c r="G2641" t="s">
        <v>25</v>
      </c>
      <c r="H2641" t="b">
        <v>1</v>
      </c>
      <c r="I2641" s="8">
        <v>45959.539502314816</v>
      </c>
      <c r="J2641" t="s">
        <v>2380</v>
      </c>
      <c r="K2641">
        <v>1205550</v>
      </c>
      <c r="L2641">
        <v>601741</v>
      </c>
      <c r="M2641" t="s">
        <v>2381</v>
      </c>
      <c r="N2641">
        <v>5</v>
      </c>
      <c r="P2641" t="s">
        <v>2394</v>
      </c>
      <c r="Q2641" t="s">
        <v>2383</v>
      </c>
      <c r="R2641">
        <v>1</v>
      </c>
      <c r="S2641" t="s">
        <v>2380</v>
      </c>
      <c r="T2641" t="s">
        <v>2383</v>
      </c>
      <c r="U2641" s="8">
        <v>45953.739942129629</v>
      </c>
      <c r="V2641" s="8">
        <v>45959.958333333336</v>
      </c>
      <c r="W2641">
        <v>1</v>
      </c>
      <c r="X2641">
        <v>3.7995601849999998</v>
      </c>
      <c r="Y2641" t="s">
        <v>4605</v>
      </c>
      <c r="Z2641" t="s">
        <v>4607</v>
      </c>
      <c r="AA2641" t="s">
        <v>4608</v>
      </c>
      <c r="AB2641" t="s">
        <v>1278</v>
      </c>
      <c r="AC2641" t="s">
        <v>4609</v>
      </c>
      <c r="AD2641" t="s">
        <v>2708</v>
      </c>
      <c r="AE2641">
        <v>1</v>
      </c>
      <c r="AO2641" t="s">
        <v>2388</v>
      </c>
      <c r="AP2641" t="s">
        <v>2401</v>
      </c>
    </row>
    <row r="2642" spans="1:42">
      <c r="A2642" t="s">
        <v>10208</v>
      </c>
      <c r="B2642" t="s">
        <v>2389</v>
      </c>
      <c r="C2642" t="s">
        <v>2378</v>
      </c>
      <c r="D2642" t="s">
        <v>2379</v>
      </c>
      <c r="E2642" t="s">
        <v>2416</v>
      </c>
      <c r="F2642" t="s">
        <v>2417</v>
      </c>
      <c r="G2642" t="s">
        <v>2416</v>
      </c>
      <c r="H2642" t="b">
        <v>1</v>
      </c>
      <c r="I2642" s="8">
        <v>45959.723437499997</v>
      </c>
      <c r="J2642" t="s">
        <v>2380</v>
      </c>
      <c r="L2642">
        <v>608946</v>
      </c>
      <c r="M2642" t="s">
        <v>2381</v>
      </c>
      <c r="P2642" t="s">
        <v>2394</v>
      </c>
      <c r="Q2642" t="s">
        <v>2383</v>
      </c>
      <c r="R2642">
        <v>1</v>
      </c>
      <c r="S2642" t="s">
        <v>2380</v>
      </c>
      <c r="T2642" t="s">
        <v>2383</v>
      </c>
      <c r="U2642" s="8">
        <v>45953.786064814813</v>
      </c>
      <c r="V2642" s="8">
        <v>45959.958333333336</v>
      </c>
      <c r="W2642">
        <v>1</v>
      </c>
      <c r="X2642">
        <v>3.9373726850000001</v>
      </c>
      <c r="Y2642" t="s">
        <v>2418</v>
      </c>
      <c r="Z2642" t="s">
        <v>10209</v>
      </c>
      <c r="AA2642" t="s">
        <v>2484</v>
      </c>
      <c r="AB2642" t="s">
        <v>1278</v>
      </c>
      <c r="AC2642" t="s">
        <v>10210</v>
      </c>
      <c r="AE2642">
        <v>1</v>
      </c>
      <c r="AH2642" t="s">
        <v>2723</v>
      </c>
      <c r="AI2642" s="8">
        <v>45959.709502314814</v>
      </c>
      <c r="AK2642" t="s">
        <v>2719</v>
      </c>
      <c r="AL2642" t="s">
        <v>2719</v>
      </c>
      <c r="AO2642" t="s">
        <v>2408</v>
      </c>
      <c r="AP2642" t="s">
        <v>2401</v>
      </c>
    </row>
    <row r="2643" spans="1:42">
      <c r="A2643" t="s">
        <v>8510</v>
      </c>
      <c r="B2643" t="s">
        <v>2389</v>
      </c>
      <c r="C2643" t="s">
        <v>2378</v>
      </c>
      <c r="D2643" t="s">
        <v>2379</v>
      </c>
      <c r="E2643" t="s">
        <v>25</v>
      </c>
      <c r="F2643">
        <v>6415</v>
      </c>
      <c r="G2643" t="s">
        <v>25</v>
      </c>
      <c r="H2643" t="b">
        <v>1</v>
      </c>
      <c r="I2643" s="8">
        <v>45959.55395833333</v>
      </c>
      <c r="J2643" t="s">
        <v>2380</v>
      </c>
      <c r="K2643">
        <v>1205553</v>
      </c>
      <c r="L2643">
        <v>604475</v>
      </c>
      <c r="M2643" t="s">
        <v>2381</v>
      </c>
      <c r="N2643">
        <v>5</v>
      </c>
      <c r="P2643" t="s">
        <v>2394</v>
      </c>
      <c r="Q2643" t="s">
        <v>2395</v>
      </c>
      <c r="R2643">
        <v>1</v>
      </c>
      <c r="S2643" t="s">
        <v>2380</v>
      </c>
      <c r="T2643" t="s">
        <v>2383</v>
      </c>
      <c r="U2643" s="8">
        <v>45953.821759259263</v>
      </c>
      <c r="V2643" s="8">
        <v>45959.958333333336</v>
      </c>
      <c r="W2643">
        <v>1</v>
      </c>
      <c r="X2643">
        <v>3.7321990739999999</v>
      </c>
      <c r="Y2643" t="s">
        <v>8176</v>
      </c>
      <c r="Z2643" t="s">
        <v>8511</v>
      </c>
      <c r="AA2643" t="s">
        <v>8179</v>
      </c>
      <c r="AB2643" t="s">
        <v>1278</v>
      </c>
      <c r="AC2643" t="s">
        <v>8512</v>
      </c>
      <c r="AD2643" t="s">
        <v>2708</v>
      </c>
      <c r="AE2643">
        <v>1</v>
      </c>
      <c r="AO2643" t="s">
        <v>4137</v>
      </c>
      <c r="AP2643" t="s">
        <v>2401</v>
      </c>
    </row>
    <row r="2644" spans="1:42">
      <c r="A2644" t="s">
        <v>4705</v>
      </c>
      <c r="B2644" t="s">
        <v>2389</v>
      </c>
      <c r="C2644" t="s">
        <v>2378</v>
      </c>
      <c r="D2644" t="s">
        <v>2379</v>
      </c>
      <c r="E2644" t="s">
        <v>33</v>
      </c>
      <c r="F2644" t="s">
        <v>4703</v>
      </c>
      <c r="G2644" t="s">
        <v>33</v>
      </c>
      <c r="H2644" t="b">
        <v>1</v>
      </c>
      <c r="I2644" s="8">
        <v>45959.437395833331</v>
      </c>
      <c r="J2644" t="s">
        <v>2380</v>
      </c>
      <c r="K2644">
        <v>1205415</v>
      </c>
      <c r="L2644">
        <v>603232</v>
      </c>
      <c r="M2644" t="s">
        <v>2381</v>
      </c>
      <c r="P2644" t="s">
        <v>2394</v>
      </c>
      <c r="Q2644" t="s">
        <v>2383</v>
      </c>
      <c r="R2644">
        <v>1</v>
      </c>
      <c r="S2644" t="s">
        <v>2380</v>
      </c>
      <c r="T2644" t="s">
        <v>2383</v>
      </c>
      <c r="U2644" s="8">
        <v>45953.841967592591</v>
      </c>
      <c r="V2644" s="8">
        <v>45959.958333333336</v>
      </c>
      <c r="W2644">
        <v>1</v>
      </c>
      <c r="X2644">
        <v>3.595428241</v>
      </c>
      <c r="Y2644" t="s">
        <v>4704</v>
      </c>
      <c r="Z2644" t="s">
        <v>4706</v>
      </c>
      <c r="AA2644" t="s">
        <v>4707</v>
      </c>
      <c r="AB2644" t="s">
        <v>1278</v>
      </c>
      <c r="AC2644" t="s">
        <v>4708</v>
      </c>
      <c r="AD2644" t="s">
        <v>2708</v>
      </c>
      <c r="AE2644">
        <v>1</v>
      </c>
      <c r="AO2644" t="s">
        <v>2957</v>
      </c>
      <c r="AP2644" t="s">
        <v>2401</v>
      </c>
    </row>
    <row r="2645" spans="1:42">
      <c r="A2645" t="s">
        <v>4483</v>
      </c>
      <c r="B2645" t="s">
        <v>2389</v>
      </c>
      <c r="C2645" t="s">
        <v>2378</v>
      </c>
      <c r="D2645" t="s">
        <v>2379</v>
      </c>
      <c r="E2645" t="s">
        <v>2452</v>
      </c>
      <c r="F2645">
        <v>6428</v>
      </c>
      <c r="G2645" t="s">
        <v>2452</v>
      </c>
      <c r="H2645" t="b">
        <v>1</v>
      </c>
      <c r="I2645" s="8">
        <v>45959.543437499997</v>
      </c>
      <c r="J2645" t="s">
        <v>2380</v>
      </c>
      <c r="K2645">
        <v>1205552</v>
      </c>
      <c r="L2645">
        <v>606907</v>
      </c>
      <c r="M2645" t="s">
        <v>2381</v>
      </c>
      <c r="P2645" t="s">
        <v>2394</v>
      </c>
      <c r="Q2645" t="s">
        <v>2383</v>
      </c>
      <c r="R2645">
        <v>1</v>
      </c>
      <c r="S2645" t="s">
        <v>2380</v>
      </c>
      <c r="T2645" t="s">
        <v>2383</v>
      </c>
      <c r="U2645" s="8">
        <v>45953.848969907405</v>
      </c>
      <c r="V2645" s="8">
        <v>45959.958333333336</v>
      </c>
      <c r="W2645">
        <v>1</v>
      </c>
      <c r="X2645">
        <v>3.6944675930000002</v>
      </c>
      <c r="Y2645" t="s">
        <v>4482</v>
      </c>
      <c r="Z2645" t="s">
        <v>4484</v>
      </c>
      <c r="AA2645" t="s">
        <v>4485</v>
      </c>
      <c r="AB2645" t="s">
        <v>1278</v>
      </c>
      <c r="AC2645" t="s">
        <v>4486</v>
      </c>
      <c r="AD2645" t="s">
        <v>2708</v>
      </c>
      <c r="AE2645">
        <v>1</v>
      </c>
      <c r="AO2645" t="s">
        <v>2388</v>
      </c>
      <c r="AP2645" t="s">
        <v>2401</v>
      </c>
    </row>
    <row r="2646" spans="1:42">
      <c r="A2646" t="s">
        <v>8776</v>
      </c>
      <c r="B2646" t="s">
        <v>2389</v>
      </c>
      <c r="C2646" t="s">
        <v>2378</v>
      </c>
      <c r="D2646" t="s">
        <v>2379</v>
      </c>
      <c r="E2646" t="s">
        <v>25</v>
      </c>
      <c r="F2646" t="s">
        <v>2578</v>
      </c>
      <c r="G2646" t="s">
        <v>25</v>
      </c>
      <c r="H2646" t="b">
        <v>1</v>
      </c>
      <c r="I2646" s="8">
        <v>45959.721296296295</v>
      </c>
      <c r="J2646" t="s">
        <v>2380</v>
      </c>
      <c r="K2646">
        <v>1205558</v>
      </c>
      <c r="L2646">
        <v>603303</v>
      </c>
      <c r="M2646" t="s">
        <v>2381</v>
      </c>
      <c r="N2646">
        <v>5</v>
      </c>
      <c r="P2646" t="s">
        <v>2394</v>
      </c>
      <c r="Q2646" t="s">
        <v>2383</v>
      </c>
      <c r="R2646">
        <v>1</v>
      </c>
      <c r="S2646" t="s">
        <v>2380</v>
      </c>
      <c r="T2646" t="s">
        <v>2383</v>
      </c>
      <c r="U2646" s="8">
        <v>45954.289988425924</v>
      </c>
      <c r="V2646" s="8">
        <v>45959.958333333336</v>
      </c>
      <c r="W2646">
        <v>1</v>
      </c>
      <c r="X2646">
        <v>3.4313078699999999</v>
      </c>
      <c r="Y2646" t="s">
        <v>2579</v>
      </c>
      <c r="Z2646" t="s">
        <v>8777</v>
      </c>
      <c r="AA2646" t="s">
        <v>4599</v>
      </c>
      <c r="AB2646" t="s">
        <v>1278</v>
      </c>
      <c r="AD2646" t="s">
        <v>2708</v>
      </c>
      <c r="AE2646">
        <v>1</v>
      </c>
      <c r="AH2646" t="s">
        <v>2723</v>
      </c>
      <c r="AI2646" s="8">
        <v>45959.7031712963</v>
      </c>
      <c r="AK2646" t="s">
        <v>2719</v>
      </c>
      <c r="AL2646" t="s">
        <v>2719</v>
      </c>
      <c r="AO2646" t="s">
        <v>2388</v>
      </c>
      <c r="AP2646" t="s">
        <v>2401</v>
      </c>
    </row>
    <row r="2647" spans="1:42">
      <c r="A2647" t="s">
        <v>4597</v>
      </c>
      <c r="B2647" t="s">
        <v>2389</v>
      </c>
      <c r="C2647" t="s">
        <v>2378</v>
      </c>
      <c r="D2647" t="s">
        <v>2379</v>
      </c>
      <c r="E2647" t="s">
        <v>25</v>
      </c>
      <c r="F2647" t="s">
        <v>2578</v>
      </c>
      <c r="G2647" t="s">
        <v>25</v>
      </c>
      <c r="H2647" t="b">
        <v>1</v>
      </c>
      <c r="I2647" s="8">
        <v>45959.579942129632</v>
      </c>
      <c r="J2647" t="s">
        <v>2380</v>
      </c>
      <c r="K2647">
        <v>1205559</v>
      </c>
      <c r="L2647">
        <v>603303</v>
      </c>
      <c r="M2647" t="s">
        <v>2381</v>
      </c>
      <c r="N2647">
        <v>5</v>
      </c>
      <c r="P2647" t="s">
        <v>2394</v>
      </c>
      <c r="Q2647" t="s">
        <v>2383</v>
      </c>
      <c r="R2647">
        <v>1</v>
      </c>
      <c r="S2647" t="s">
        <v>2380</v>
      </c>
      <c r="T2647" t="s">
        <v>2383</v>
      </c>
      <c r="U2647" s="8">
        <v>45954.301192129627</v>
      </c>
      <c r="V2647" s="8">
        <v>45959.958333333336</v>
      </c>
      <c r="W2647">
        <v>1</v>
      </c>
      <c r="X2647">
        <v>3.2787500000000001</v>
      </c>
      <c r="Y2647" t="s">
        <v>2579</v>
      </c>
      <c r="Z2647" t="s">
        <v>4598</v>
      </c>
      <c r="AA2647" t="s">
        <v>4599</v>
      </c>
      <c r="AB2647" t="s">
        <v>1278</v>
      </c>
      <c r="AC2647" t="s">
        <v>4600</v>
      </c>
      <c r="AD2647" t="s">
        <v>2708</v>
      </c>
      <c r="AE2647">
        <v>1</v>
      </c>
      <c r="AO2647" t="s">
        <v>2388</v>
      </c>
      <c r="AP2647" t="s">
        <v>2401</v>
      </c>
    </row>
    <row r="2648" spans="1:42">
      <c r="A2648" t="s">
        <v>3528</v>
      </c>
      <c r="B2648" t="s">
        <v>2389</v>
      </c>
      <c r="C2648" t="s">
        <v>2447</v>
      </c>
      <c r="D2648" t="s">
        <v>2379</v>
      </c>
      <c r="E2648" t="s">
        <v>2452</v>
      </c>
      <c r="F2648" t="s">
        <v>3526</v>
      </c>
      <c r="G2648" t="s">
        <v>2452</v>
      </c>
      <c r="H2648" t="b">
        <v>1</v>
      </c>
      <c r="I2648" s="8">
        <v>45960.434641203705</v>
      </c>
      <c r="J2648" t="s">
        <v>2380</v>
      </c>
      <c r="L2648">
        <v>602189</v>
      </c>
      <c r="M2648" t="s">
        <v>2381</v>
      </c>
      <c r="P2648" t="s">
        <v>2394</v>
      </c>
      <c r="Q2648" t="s">
        <v>2383</v>
      </c>
      <c r="R2648">
        <v>1</v>
      </c>
      <c r="S2648" t="s">
        <v>2380</v>
      </c>
      <c r="T2648" t="s">
        <v>2383</v>
      </c>
      <c r="U2648" s="8">
        <v>45954.352824074071</v>
      </c>
      <c r="V2648" s="8">
        <v>45960.958333333336</v>
      </c>
      <c r="W2648">
        <v>1</v>
      </c>
      <c r="X2648">
        <v>4.0818171300000001</v>
      </c>
      <c r="Y2648" t="s">
        <v>3527</v>
      </c>
      <c r="Z2648" t="s">
        <v>3529</v>
      </c>
      <c r="AA2648" t="s">
        <v>3530</v>
      </c>
      <c r="AB2648" t="s">
        <v>1278</v>
      </c>
      <c r="AC2648" t="s">
        <v>3531</v>
      </c>
      <c r="AE2648">
        <v>1</v>
      </c>
      <c r="AO2648" t="s">
        <v>2957</v>
      </c>
      <c r="AP2648" t="s">
        <v>2401</v>
      </c>
    </row>
    <row r="2649" spans="1:42">
      <c r="A2649" t="s">
        <v>4413</v>
      </c>
      <c r="B2649" t="s">
        <v>2389</v>
      </c>
      <c r="C2649" t="s">
        <v>2438</v>
      </c>
      <c r="D2649" t="s">
        <v>2379</v>
      </c>
      <c r="E2649" t="s">
        <v>2452</v>
      </c>
      <c r="F2649" t="s">
        <v>2578</v>
      </c>
      <c r="G2649" t="s">
        <v>2452</v>
      </c>
      <c r="H2649" t="b">
        <v>1</v>
      </c>
      <c r="I2649" s="8">
        <v>45954.370150462964</v>
      </c>
      <c r="J2649" t="s">
        <v>2380</v>
      </c>
      <c r="K2649">
        <v>1204353</v>
      </c>
      <c r="L2649">
        <v>601850</v>
      </c>
      <c r="M2649" t="s">
        <v>2381</v>
      </c>
      <c r="Q2649" t="s">
        <v>2383</v>
      </c>
      <c r="R2649">
        <v>1</v>
      </c>
      <c r="S2649" t="s">
        <v>2380</v>
      </c>
      <c r="T2649" t="s">
        <v>2383</v>
      </c>
      <c r="U2649" s="8">
        <v>45954.36078703704</v>
      </c>
      <c r="V2649" s="8">
        <v>45960.958333333336</v>
      </c>
      <c r="W2649">
        <v>1</v>
      </c>
      <c r="X2649">
        <v>9.3634259999999993E-3</v>
      </c>
      <c r="Y2649" t="s">
        <v>2579</v>
      </c>
      <c r="Z2649" t="s">
        <v>4414</v>
      </c>
      <c r="AA2649" t="s">
        <v>2649</v>
      </c>
      <c r="AB2649" t="s">
        <v>1278</v>
      </c>
      <c r="AC2649" t="s">
        <v>4415</v>
      </c>
      <c r="AD2649" t="s">
        <v>2708</v>
      </c>
      <c r="AE2649">
        <v>1</v>
      </c>
      <c r="AO2649" t="s">
        <v>2388</v>
      </c>
      <c r="AP2649" t="s">
        <v>2401</v>
      </c>
    </row>
    <row r="2650" spans="1:42">
      <c r="A2650" t="s">
        <v>3532</v>
      </c>
      <c r="B2650" t="s">
        <v>2389</v>
      </c>
      <c r="C2650" t="s">
        <v>2447</v>
      </c>
      <c r="D2650" t="s">
        <v>2379</v>
      </c>
      <c r="E2650" t="s">
        <v>2452</v>
      </c>
      <c r="F2650" t="s">
        <v>3526</v>
      </c>
      <c r="G2650" t="s">
        <v>2452</v>
      </c>
      <c r="H2650" t="b">
        <v>1</v>
      </c>
      <c r="I2650" s="8">
        <v>45960.485081018516</v>
      </c>
      <c r="J2650" t="s">
        <v>2380</v>
      </c>
      <c r="L2650">
        <v>602189</v>
      </c>
      <c r="M2650" t="s">
        <v>2381</v>
      </c>
      <c r="P2650" t="s">
        <v>2394</v>
      </c>
      <c r="Q2650" t="s">
        <v>2383</v>
      </c>
      <c r="R2650">
        <v>1</v>
      </c>
      <c r="S2650" t="s">
        <v>2380</v>
      </c>
      <c r="T2650" t="s">
        <v>2383</v>
      </c>
      <c r="U2650" s="8">
        <v>45954.362673611111</v>
      </c>
      <c r="V2650" s="8">
        <v>45960.958333333336</v>
      </c>
      <c r="W2650">
        <v>1</v>
      </c>
      <c r="X2650">
        <v>4.1224074069999999</v>
      </c>
      <c r="Y2650" t="s">
        <v>3527</v>
      </c>
      <c r="Z2650" t="s">
        <v>3533</v>
      </c>
      <c r="AA2650" t="s">
        <v>3530</v>
      </c>
      <c r="AB2650" t="s">
        <v>1278</v>
      </c>
      <c r="AC2650" t="s">
        <v>3534</v>
      </c>
      <c r="AE2650">
        <v>1</v>
      </c>
      <c r="AO2650" t="s">
        <v>2957</v>
      </c>
      <c r="AP2650" t="s">
        <v>2401</v>
      </c>
    </row>
    <row r="2651" spans="1:42">
      <c r="A2651" t="s">
        <v>3506</v>
      </c>
      <c r="B2651" t="s">
        <v>2389</v>
      </c>
      <c r="C2651" t="s">
        <v>2447</v>
      </c>
      <c r="D2651" t="s">
        <v>2379</v>
      </c>
      <c r="E2651" t="s">
        <v>2601</v>
      </c>
      <c r="F2651" t="s">
        <v>3261</v>
      </c>
      <c r="G2651" t="s">
        <v>2601</v>
      </c>
      <c r="H2651" t="b">
        <v>1</v>
      </c>
      <c r="I2651" s="8">
        <v>45960.534317129626</v>
      </c>
      <c r="J2651" t="s">
        <v>2380</v>
      </c>
      <c r="L2651">
        <v>603495</v>
      </c>
      <c r="M2651" t="s">
        <v>2381</v>
      </c>
      <c r="P2651" t="s">
        <v>2394</v>
      </c>
      <c r="Q2651" t="s">
        <v>2383</v>
      </c>
      <c r="R2651">
        <v>1</v>
      </c>
      <c r="S2651" t="s">
        <v>2380</v>
      </c>
      <c r="T2651" t="s">
        <v>2383</v>
      </c>
      <c r="U2651" s="8">
        <v>45954.364884259259</v>
      </c>
      <c r="V2651" s="8">
        <v>45960.958333333336</v>
      </c>
      <c r="W2651">
        <v>1</v>
      </c>
      <c r="X2651">
        <v>4.1694328699999996</v>
      </c>
      <c r="Y2651" t="s">
        <v>3262</v>
      </c>
      <c r="Z2651" t="s">
        <v>3507</v>
      </c>
      <c r="AA2651" t="s">
        <v>3508</v>
      </c>
      <c r="AB2651" t="s">
        <v>1278</v>
      </c>
      <c r="AE2651">
        <v>1</v>
      </c>
      <c r="AO2651" t="s">
        <v>2957</v>
      </c>
      <c r="AP2651" t="s">
        <v>2401</v>
      </c>
    </row>
    <row r="2652" spans="1:42">
      <c r="A2652" t="s">
        <v>2566</v>
      </c>
      <c r="B2652" t="s">
        <v>2389</v>
      </c>
      <c r="C2652" t="s">
        <v>2447</v>
      </c>
      <c r="D2652" t="s">
        <v>2379</v>
      </c>
      <c r="E2652" t="s">
        <v>2452</v>
      </c>
      <c r="F2652" t="s">
        <v>2541</v>
      </c>
      <c r="G2652" t="s">
        <v>2452</v>
      </c>
      <c r="H2652" t="b">
        <v>1</v>
      </c>
      <c r="I2652" s="8">
        <v>45960.402187500003</v>
      </c>
      <c r="J2652" t="s">
        <v>2380</v>
      </c>
      <c r="L2652">
        <v>608816</v>
      </c>
      <c r="M2652" t="s">
        <v>2381</v>
      </c>
      <c r="P2652" t="s">
        <v>2548</v>
      </c>
      <c r="Q2652" t="s">
        <v>2383</v>
      </c>
      <c r="R2652">
        <v>1</v>
      </c>
      <c r="S2652" t="s">
        <v>2380</v>
      </c>
      <c r="T2652" t="s">
        <v>2383</v>
      </c>
      <c r="U2652" s="8">
        <v>45954.37226851852</v>
      </c>
      <c r="V2652" s="8">
        <v>45960.958333333336</v>
      </c>
      <c r="W2652">
        <v>1</v>
      </c>
      <c r="X2652">
        <v>4.0299189809999998</v>
      </c>
      <c r="Y2652" t="s">
        <v>2542</v>
      </c>
      <c r="Z2652" t="s">
        <v>2567</v>
      </c>
      <c r="AA2652" t="s">
        <v>2568</v>
      </c>
      <c r="AB2652" t="s">
        <v>1278</v>
      </c>
      <c r="AC2652" t="s">
        <v>2569</v>
      </c>
      <c r="AE2652">
        <v>1</v>
      </c>
      <c r="AO2652" t="s">
        <v>2547</v>
      </c>
      <c r="AP2652" t="s">
        <v>2401</v>
      </c>
    </row>
    <row r="2653" spans="1:42">
      <c r="A2653" t="s">
        <v>4345</v>
      </c>
      <c r="B2653" t="s">
        <v>2389</v>
      </c>
      <c r="C2653" t="s">
        <v>2378</v>
      </c>
      <c r="D2653" t="s">
        <v>2379</v>
      </c>
      <c r="E2653" t="s">
        <v>25</v>
      </c>
      <c r="F2653" t="s">
        <v>2541</v>
      </c>
      <c r="G2653" t="s">
        <v>25</v>
      </c>
      <c r="H2653" t="b">
        <v>1</v>
      </c>
      <c r="I2653" s="8">
        <v>45959.80232638889</v>
      </c>
      <c r="J2653" t="s">
        <v>2380</v>
      </c>
      <c r="K2653">
        <v>1205679</v>
      </c>
      <c r="L2653">
        <v>602299</v>
      </c>
      <c r="M2653" t="s">
        <v>2381</v>
      </c>
      <c r="N2653">
        <v>5</v>
      </c>
      <c r="P2653" t="s">
        <v>2548</v>
      </c>
      <c r="Q2653" t="s">
        <v>2383</v>
      </c>
      <c r="R2653">
        <v>1</v>
      </c>
      <c r="S2653" t="s">
        <v>2380</v>
      </c>
      <c r="T2653" t="s">
        <v>2383</v>
      </c>
      <c r="U2653" s="8">
        <v>45954.378703703704</v>
      </c>
      <c r="V2653" s="8">
        <v>45960.958333333336</v>
      </c>
      <c r="W2653">
        <v>1</v>
      </c>
      <c r="X2653">
        <v>3.4236226850000002</v>
      </c>
      <c r="Y2653" t="s">
        <v>2542</v>
      </c>
      <c r="Z2653" t="s">
        <v>4346</v>
      </c>
      <c r="AA2653" t="s">
        <v>2927</v>
      </c>
      <c r="AB2653" t="s">
        <v>1278</v>
      </c>
      <c r="AC2653" t="s">
        <v>4347</v>
      </c>
      <c r="AD2653" t="s">
        <v>2708</v>
      </c>
      <c r="AE2653">
        <v>1</v>
      </c>
      <c r="AO2653" t="s">
        <v>2547</v>
      </c>
      <c r="AP2653" t="s">
        <v>2401</v>
      </c>
    </row>
    <row r="2654" spans="1:42">
      <c r="A2654" t="s">
        <v>3028</v>
      </c>
      <c r="B2654" t="s">
        <v>2389</v>
      </c>
      <c r="C2654" t="s">
        <v>2447</v>
      </c>
      <c r="D2654" t="s">
        <v>2379</v>
      </c>
      <c r="E2654" t="s">
        <v>2601</v>
      </c>
      <c r="F2654" t="s">
        <v>2779</v>
      </c>
      <c r="G2654" t="s">
        <v>2601</v>
      </c>
      <c r="H2654" t="b">
        <v>1</v>
      </c>
      <c r="I2654" s="8">
        <v>45960.419421296298</v>
      </c>
      <c r="J2654" t="s">
        <v>2380</v>
      </c>
      <c r="K2654">
        <v>1205751</v>
      </c>
      <c r="L2654">
        <v>608381</v>
      </c>
      <c r="M2654" t="s">
        <v>2381</v>
      </c>
      <c r="P2654" t="s">
        <v>2394</v>
      </c>
      <c r="Q2654" t="s">
        <v>2383</v>
      </c>
      <c r="R2654">
        <v>1</v>
      </c>
      <c r="S2654" t="s">
        <v>2380</v>
      </c>
      <c r="T2654" t="s">
        <v>2383</v>
      </c>
      <c r="U2654" s="8">
        <v>45954.37940972222</v>
      </c>
      <c r="V2654" s="8">
        <v>45960.958333333336</v>
      </c>
      <c r="W2654">
        <v>1</v>
      </c>
      <c r="X2654">
        <v>4.0400115740000002</v>
      </c>
      <c r="Y2654" t="s">
        <v>1352</v>
      </c>
      <c r="Z2654" t="s">
        <v>3029</v>
      </c>
      <c r="AA2654" t="s">
        <v>3030</v>
      </c>
      <c r="AB2654" t="s">
        <v>1278</v>
      </c>
      <c r="AC2654" t="s">
        <v>3031</v>
      </c>
      <c r="AD2654" t="s">
        <v>2708</v>
      </c>
      <c r="AE2654">
        <v>1</v>
      </c>
      <c r="AO2654" t="s">
        <v>2408</v>
      </c>
      <c r="AP2654" t="s">
        <v>2401</v>
      </c>
    </row>
    <row r="2655" spans="1:42">
      <c r="A2655" t="s">
        <v>4348</v>
      </c>
      <c r="B2655" t="s">
        <v>2389</v>
      </c>
      <c r="C2655" t="s">
        <v>2378</v>
      </c>
      <c r="D2655" t="s">
        <v>2379</v>
      </c>
      <c r="E2655" t="s">
        <v>25</v>
      </c>
      <c r="F2655" t="s">
        <v>2541</v>
      </c>
      <c r="G2655" t="s">
        <v>25</v>
      </c>
      <c r="H2655" t="b">
        <v>1</v>
      </c>
      <c r="I2655" s="8">
        <v>45959.806585648148</v>
      </c>
      <c r="J2655" t="s">
        <v>2380</v>
      </c>
      <c r="K2655">
        <v>1205681</v>
      </c>
      <c r="L2655">
        <v>602299</v>
      </c>
      <c r="M2655" t="s">
        <v>2381</v>
      </c>
      <c r="N2655">
        <v>5</v>
      </c>
      <c r="P2655" t="s">
        <v>2548</v>
      </c>
      <c r="Q2655" t="s">
        <v>2383</v>
      </c>
      <c r="R2655">
        <v>1</v>
      </c>
      <c r="S2655" t="s">
        <v>2380</v>
      </c>
      <c r="T2655" t="s">
        <v>2383</v>
      </c>
      <c r="U2655" s="8">
        <v>45954.383506944447</v>
      </c>
      <c r="V2655" s="8">
        <v>45960.958333333336</v>
      </c>
      <c r="W2655">
        <v>1</v>
      </c>
      <c r="X2655">
        <v>3.4230787039999999</v>
      </c>
      <c r="Y2655" t="s">
        <v>2542</v>
      </c>
      <c r="Z2655" t="s">
        <v>4349</v>
      </c>
      <c r="AA2655" t="s">
        <v>2927</v>
      </c>
      <c r="AB2655" t="s">
        <v>1278</v>
      </c>
      <c r="AC2655" t="s">
        <v>4350</v>
      </c>
      <c r="AD2655" t="s">
        <v>2708</v>
      </c>
      <c r="AE2655">
        <v>1</v>
      </c>
      <c r="AO2655" t="s">
        <v>2547</v>
      </c>
      <c r="AP2655" t="s">
        <v>2401</v>
      </c>
    </row>
    <row r="2656" spans="1:42">
      <c r="A2656" t="s">
        <v>10181</v>
      </c>
      <c r="B2656" t="s">
        <v>2377</v>
      </c>
      <c r="C2656" t="s">
        <v>2447</v>
      </c>
      <c r="D2656" t="s">
        <v>2379</v>
      </c>
      <c r="E2656" t="s">
        <v>2416</v>
      </c>
      <c r="F2656" t="s">
        <v>3891</v>
      </c>
      <c r="G2656" t="s">
        <v>2416</v>
      </c>
      <c r="H2656" t="b">
        <v>1</v>
      </c>
      <c r="I2656" s="8">
        <v>45960.751458333332</v>
      </c>
      <c r="J2656" t="s">
        <v>2380</v>
      </c>
      <c r="L2656">
        <v>609793</v>
      </c>
      <c r="M2656" t="s">
        <v>2381</v>
      </c>
      <c r="Q2656" t="s">
        <v>2383</v>
      </c>
      <c r="R2656">
        <v>1</v>
      </c>
      <c r="S2656" t="s">
        <v>2380</v>
      </c>
      <c r="T2656" t="s">
        <v>2383</v>
      </c>
      <c r="U2656" s="8">
        <v>45954.390115740738</v>
      </c>
      <c r="V2656" s="8">
        <v>45960.958333333336</v>
      </c>
      <c r="W2656">
        <v>1</v>
      </c>
      <c r="X2656">
        <v>4.3613425929999998</v>
      </c>
      <c r="Y2656" t="s">
        <v>3892</v>
      </c>
      <c r="Z2656" t="s">
        <v>10182</v>
      </c>
      <c r="AA2656" t="s">
        <v>8700</v>
      </c>
      <c r="AB2656" t="s">
        <v>1278</v>
      </c>
      <c r="AC2656" t="s">
        <v>10183</v>
      </c>
      <c r="AE2656">
        <v>1</v>
      </c>
      <c r="AO2656" t="s">
        <v>2715</v>
      </c>
      <c r="AP2656" t="s">
        <v>2401</v>
      </c>
    </row>
    <row r="2657" spans="1:42">
      <c r="A2657" t="s">
        <v>10217</v>
      </c>
      <c r="B2657" t="s">
        <v>2389</v>
      </c>
      <c r="C2657" t="s">
        <v>2378</v>
      </c>
      <c r="D2657" t="s">
        <v>2379</v>
      </c>
      <c r="E2657" t="s">
        <v>2750</v>
      </c>
      <c r="F2657" t="s">
        <v>2627</v>
      </c>
      <c r="G2657" t="s">
        <v>2750</v>
      </c>
      <c r="H2657" t="b">
        <v>1</v>
      </c>
      <c r="I2657" s="8">
        <v>45959.456759259258</v>
      </c>
      <c r="J2657" t="s">
        <v>5579</v>
      </c>
      <c r="L2657">
        <v>602686</v>
      </c>
      <c r="M2657" t="s">
        <v>2381</v>
      </c>
      <c r="Q2657" t="s">
        <v>2383</v>
      </c>
      <c r="R2657">
        <v>1</v>
      </c>
      <c r="S2657" t="s">
        <v>5579</v>
      </c>
      <c r="T2657" t="s">
        <v>2383</v>
      </c>
      <c r="U2657" s="8">
        <v>45954.392222222225</v>
      </c>
      <c r="V2657" s="8">
        <v>45960.958333333336</v>
      </c>
      <c r="W2657">
        <v>1</v>
      </c>
      <c r="X2657">
        <v>3.064537037</v>
      </c>
      <c r="Y2657" t="s">
        <v>2628</v>
      </c>
      <c r="Z2657" t="s">
        <v>10218</v>
      </c>
      <c r="AA2657" t="s">
        <v>3585</v>
      </c>
      <c r="AB2657" t="s">
        <v>1278</v>
      </c>
      <c r="AC2657" t="s">
        <v>10219</v>
      </c>
      <c r="AE2657">
        <v>1</v>
      </c>
      <c r="AH2657" t="s">
        <v>10220</v>
      </c>
      <c r="AI2657" s="8">
        <v>45959.435381944444</v>
      </c>
      <c r="AK2657" t="s">
        <v>2719</v>
      </c>
      <c r="AL2657" t="s">
        <v>2719</v>
      </c>
      <c r="AO2657" t="s">
        <v>3586</v>
      </c>
      <c r="AP2657" t="s">
        <v>2401</v>
      </c>
    </row>
    <row r="2658" spans="1:42">
      <c r="A2658" t="s">
        <v>226</v>
      </c>
      <c r="B2658" t="s">
        <v>2377</v>
      </c>
      <c r="C2658" t="s">
        <v>2438</v>
      </c>
      <c r="D2658" t="s">
        <v>2379</v>
      </c>
      <c r="E2658" t="s">
        <v>25</v>
      </c>
      <c r="G2658" t="s">
        <v>25</v>
      </c>
      <c r="H2658" t="b">
        <v>1</v>
      </c>
      <c r="I2658" s="8">
        <v>45954.428101851852</v>
      </c>
      <c r="J2658" t="s">
        <v>2380</v>
      </c>
      <c r="L2658">
        <v>609768</v>
      </c>
      <c r="M2658" t="s">
        <v>2381</v>
      </c>
      <c r="N2658">
        <v>30</v>
      </c>
      <c r="Q2658" t="s">
        <v>2383</v>
      </c>
      <c r="R2658">
        <v>1</v>
      </c>
      <c r="S2658" t="s">
        <v>2380</v>
      </c>
      <c r="T2658" t="s">
        <v>2383</v>
      </c>
      <c r="U2658" s="8">
        <v>45953.619456018518</v>
      </c>
      <c r="V2658" s="8">
        <v>45959.958333333336</v>
      </c>
      <c r="W2658">
        <v>1</v>
      </c>
      <c r="X2658">
        <v>0.80864583300000004</v>
      </c>
      <c r="Z2658" t="s">
        <v>2953</v>
      </c>
      <c r="AA2658" t="s">
        <v>2386</v>
      </c>
      <c r="AB2658" t="s">
        <v>1278</v>
      </c>
      <c r="AC2658" t="s">
        <v>2954</v>
      </c>
      <c r="AD2658" t="s">
        <v>2708</v>
      </c>
      <c r="AE2658">
        <v>1</v>
      </c>
      <c r="AO2658" t="s">
        <v>2388</v>
      </c>
    </row>
    <row r="2659" spans="1:42">
      <c r="A2659" t="s">
        <v>3162</v>
      </c>
      <c r="B2659" t="s">
        <v>2389</v>
      </c>
      <c r="C2659" t="s">
        <v>2378</v>
      </c>
      <c r="D2659" t="s">
        <v>2379</v>
      </c>
      <c r="E2659" t="s">
        <v>25</v>
      </c>
      <c r="F2659" t="s">
        <v>2541</v>
      </c>
      <c r="G2659" t="s">
        <v>25</v>
      </c>
      <c r="H2659" t="b">
        <v>1</v>
      </c>
      <c r="I2659" s="8">
        <v>45959.715196759258</v>
      </c>
      <c r="J2659" t="s">
        <v>2380</v>
      </c>
      <c r="K2659">
        <v>1205661</v>
      </c>
      <c r="L2659">
        <v>601096</v>
      </c>
      <c r="M2659" t="s">
        <v>2381</v>
      </c>
      <c r="N2659">
        <v>5</v>
      </c>
      <c r="P2659" t="s">
        <v>3117</v>
      </c>
      <c r="Q2659" t="s">
        <v>2383</v>
      </c>
      <c r="R2659">
        <v>1</v>
      </c>
      <c r="S2659" t="s">
        <v>2380</v>
      </c>
      <c r="T2659" t="s">
        <v>2383</v>
      </c>
      <c r="U2659" s="8">
        <v>45954.401122685187</v>
      </c>
      <c r="V2659" s="8">
        <v>45960.958333333336</v>
      </c>
      <c r="W2659">
        <v>1</v>
      </c>
      <c r="X2659">
        <v>3.3140740740000001</v>
      </c>
      <c r="Y2659" t="s">
        <v>2542</v>
      </c>
      <c r="Z2659" t="s">
        <v>3163</v>
      </c>
      <c r="AA2659" t="s">
        <v>2888</v>
      </c>
      <c r="AB2659" t="s">
        <v>1278</v>
      </c>
      <c r="AC2659" t="s">
        <v>3164</v>
      </c>
      <c r="AD2659" t="s">
        <v>2708</v>
      </c>
      <c r="AE2659">
        <v>1</v>
      </c>
      <c r="AO2659" t="s">
        <v>2547</v>
      </c>
      <c r="AP2659" t="s">
        <v>2401</v>
      </c>
    </row>
    <row r="2660" spans="1:42">
      <c r="A2660" t="s">
        <v>3109</v>
      </c>
      <c r="B2660" t="s">
        <v>2389</v>
      </c>
      <c r="C2660" t="s">
        <v>2438</v>
      </c>
      <c r="D2660" t="s">
        <v>2379</v>
      </c>
      <c r="E2660" t="s">
        <v>2452</v>
      </c>
      <c r="F2660" t="s">
        <v>2541</v>
      </c>
      <c r="G2660" t="s">
        <v>2452</v>
      </c>
      <c r="H2660" t="b">
        <v>1</v>
      </c>
      <c r="I2660" s="8">
        <v>45954.418298611112</v>
      </c>
      <c r="J2660" t="s">
        <v>2380</v>
      </c>
      <c r="K2660">
        <v>1204383</v>
      </c>
      <c r="L2660">
        <v>605288</v>
      </c>
      <c r="M2660" t="s">
        <v>2381</v>
      </c>
      <c r="Q2660" t="s">
        <v>2383</v>
      </c>
      <c r="R2660">
        <v>1</v>
      </c>
      <c r="S2660" t="s">
        <v>2380</v>
      </c>
      <c r="T2660" t="s">
        <v>2383</v>
      </c>
      <c r="U2660" s="8">
        <v>45954.410138888888</v>
      </c>
      <c r="V2660" s="8">
        <v>45960.958333333336</v>
      </c>
      <c r="W2660">
        <v>1</v>
      </c>
      <c r="X2660">
        <v>8.1597219999999995E-3</v>
      </c>
      <c r="Y2660" t="s">
        <v>2542</v>
      </c>
      <c r="Z2660" t="s">
        <v>3110</v>
      </c>
      <c r="AA2660" t="s">
        <v>3111</v>
      </c>
      <c r="AB2660" t="s">
        <v>1278</v>
      </c>
      <c r="AC2660" t="s">
        <v>3112</v>
      </c>
      <c r="AD2660" t="s">
        <v>2708</v>
      </c>
      <c r="AE2660">
        <v>1</v>
      </c>
      <c r="AO2660" t="s">
        <v>2547</v>
      </c>
      <c r="AP2660" t="s">
        <v>2401</v>
      </c>
    </row>
    <row r="2661" spans="1:42">
      <c r="A2661" t="s">
        <v>2603</v>
      </c>
      <c r="B2661" t="s">
        <v>2389</v>
      </c>
      <c r="C2661" t="s">
        <v>2447</v>
      </c>
      <c r="D2661" t="s">
        <v>2379</v>
      </c>
      <c r="E2661" t="s">
        <v>2601</v>
      </c>
      <c r="F2661">
        <v>6432</v>
      </c>
      <c r="G2661" t="s">
        <v>2601</v>
      </c>
      <c r="H2661" t="b">
        <v>1</v>
      </c>
      <c r="I2661" s="8">
        <v>45960.514039351852</v>
      </c>
      <c r="J2661" t="s">
        <v>2380</v>
      </c>
      <c r="L2661">
        <v>602859</v>
      </c>
      <c r="M2661" t="s">
        <v>2381</v>
      </c>
      <c r="Q2661" t="s">
        <v>2383</v>
      </c>
      <c r="R2661">
        <v>1</v>
      </c>
      <c r="S2661" t="s">
        <v>2380</v>
      </c>
      <c r="T2661" t="s">
        <v>2383</v>
      </c>
      <c r="U2661" s="8">
        <v>45954.415949074071</v>
      </c>
      <c r="V2661" s="8">
        <v>45960.958333333336</v>
      </c>
      <c r="W2661">
        <v>1</v>
      </c>
      <c r="X2661">
        <v>4.0980902779999999</v>
      </c>
      <c r="Y2661" t="s">
        <v>2602</v>
      </c>
      <c r="Z2661" t="s">
        <v>2604</v>
      </c>
      <c r="AA2661" t="s">
        <v>2605</v>
      </c>
      <c r="AB2661" t="s">
        <v>1278</v>
      </c>
      <c r="AC2661" t="s">
        <v>2606</v>
      </c>
      <c r="AE2661">
        <v>1</v>
      </c>
      <c r="AO2661" t="s">
        <v>2388</v>
      </c>
      <c r="AP2661" t="s">
        <v>2401</v>
      </c>
    </row>
    <row r="2662" spans="1:42">
      <c r="A2662" t="s">
        <v>8544</v>
      </c>
      <c r="B2662" t="s">
        <v>2389</v>
      </c>
      <c r="C2662" t="s">
        <v>2438</v>
      </c>
      <c r="D2662" t="s">
        <v>2379</v>
      </c>
      <c r="E2662" t="s">
        <v>2439</v>
      </c>
      <c r="F2662" t="s">
        <v>2402</v>
      </c>
      <c r="G2662" t="s">
        <v>2439</v>
      </c>
      <c r="H2662" t="b">
        <v>1</v>
      </c>
      <c r="I2662" s="8">
        <v>45954.441261574073</v>
      </c>
      <c r="J2662" t="s">
        <v>2380</v>
      </c>
      <c r="K2662">
        <v>1204411</v>
      </c>
      <c r="L2662">
        <v>603630</v>
      </c>
      <c r="M2662" t="s">
        <v>2381</v>
      </c>
      <c r="Q2662" t="s">
        <v>2383</v>
      </c>
      <c r="R2662">
        <v>1</v>
      </c>
      <c r="S2662" t="s">
        <v>2380</v>
      </c>
      <c r="T2662" t="s">
        <v>2383</v>
      </c>
      <c r="U2662" s="8">
        <v>45954.419733796298</v>
      </c>
      <c r="V2662" s="8">
        <v>45960.958333333336</v>
      </c>
      <c r="W2662">
        <v>1</v>
      </c>
      <c r="X2662">
        <v>2.1527778000000001E-2</v>
      </c>
      <c r="Y2662" t="s">
        <v>2403</v>
      </c>
      <c r="Z2662" t="s">
        <v>8545</v>
      </c>
      <c r="AA2662" t="s">
        <v>3592</v>
      </c>
      <c r="AB2662" t="s">
        <v>1278</v>
      </c>
      <c r="AC2662" t="s">
        <v>8546</v>
      </c>
      <c r="AD2662" t="s">
        <v>2708</v>
      </c>
      <c r="AE2662">
        <v>1</v>
      </c>
      <c r="AO2662" t="s">
        <v>3586</v>
      </c>
      <c r="AP2662" t="s">
        <v>2401</v>
      </c>
    </row>
    <row r="2663" spans="1:42">
      <c r="A2663" t="s">
        <v>8537</v>
      </c>
      <c r="B2663" t="s">
        <v>2389</v>
      </c>
      <c r="C2663" t="s">
        <v>2378</v>
      </c>
      <c r="D2663" t="s">
        <v>2379</v>
      </c>
      <c r="E2663" t="s">
        <v>25</v>
      </c>
      <c r="F2663" t="s">
        <v>2779</v>
      </c>
      <c r="G2663" t="s">
        <v>25</v>
      </c>
      <c r="H2663" t="b">
        <v>1</v>
      </c>
      <c r="I2663" s="8">
        <v>45959.773275462961</v>
      </c>
      <c r="J2663" t="s">
        <v>2380</v>
      </c>
      <c r="K2663">
        <v>1205670</v>
      </c>
      <c r="L2663">
        <v>604346</v>
      </c>
      <c r="M2663" t="s">
        <v>2381</v>
      </c>
      <c r="N2663">
        <v>5</v>
      </c>
      <c r="P2663" t="s">
        <v>2548</v>
      </c>
      <c r="Q2663" t="s">
        <v>2395</v>
      </c>
      <c r="R2663">
        <v>1</v>
      </c>
      <c r="S2663" t="s">
        <v>2380</v>
      </c>
      <c r="T2663" t="s">
        <v>2383</v>
      </c>
      <c r="U2663" s="8">
        <v>45954.427453703705</v>
      </c>
      <c r="V2663" s="8">
        <v>45960.958333333336</v>
      </c>
      <c r="W2663">
        <v>1</v>
      </c>
      <c r="X2663">
        <v>3.3458217590000001</v>
      </c>
      <c r="Y2663" t="s">
        <v>1352</v>
      </c>
      <c r="Z2663" t="s">
        <v>8538</v>
      </c>
      <c r="AA2663" t="s">
        <v>8539</v>
      </c>
      <c r="AB2663" t="s">
        <v>1278</v>
      </c>
      <c r="AC2663" t="s">
        <v>8540</v>
      </c>
      <c r="AD2663" t="s">
        <v>2708</v>
      </c>
      <c r="AE2663">
        <v>1</v>
      </c>
      <c r="AO2663" t="s">
        <v>4137</v>
      </c>
      <c r="AP2663" t="s">
        <v>2401</v>
      </c>
    </row>
    <row r="2664" spans="1:42">
      <c r="A2664" t="s">
        <v>8444</v>
      </c>
      <c r="B2664" t="s">
        <v>2389</v>
      </c>
      <c r="C2664" t="s">
        <v>2378</v>
      </c>
      <c r="D2664" t="s">
        <v>2379</v>
      </c>
      <c r="E2664" t="s">
        <v>25</v>
      </c>
      <c r="F2664">
        <v>4227</v>
      </c>
      <c r="G2664" t="s">
        <v>25</v>
      </c>
      <c r="H2664" t="b">
        <v>1</v>
      </c>
      <c r="I2664" s="8">
        <v>45959.783101851855</v>
      </c>
      <c r="J2664" t="s">
        <v>2380</v>
      </c>
      <c r="K2664">
        <v>1205674</v>
      </c>
      <c r="L2664">
        <v>604477</v>
      </c>
      <c r="M2664" t="s">
        <v>2381</v>
      </c>
      <c r="N2664">
        <v>5</v>
      </c>
      <c r="P2664" t="s">
        <v>2394</v>
      </c>
      <c r="Q2664" t="s">
        <v>2395</v>
      </c>
      <c r="R2664">
        <v>1</v>
      </c>
      <c r="S2664" t="s">
        <v>2380</v>
      </c>
      <c r="T2664" t="s">
        <v>2383</v>
      </c>
      <c r="U2664" s="8">
        <v>45954.427997685183</v>
      </c>
      <c r="V2664" s="8">
        <v>45960.958333333336</v>
      </c>
      <c r="W2664">
        <v>1</v>
      </c>
      <c r="X2664">
        <v>3.3551041669999999</v>
      </c>
      <c r="Y2664" t="s">
        <v>4558</v>
      </c>
      <c r="Z2664" t="s">
        <v>8445</v>
      </c>
      <c r="AA2664" t="s">
        <v>8120</v>
      </c>
      <c r="AB2664" t="s">
        <v>1278</v>
      </c>
      <c r="AC2664" t="s">
        <v>8446</v>
      </c>
      <c r="AD2664" t="s">
        <v>2708</v>
      </c>
      <c r="AE2664">
        <v>1</v>
      </c>
      <c r="AO2664" t="s">
        <v>4137</v>
      </c>
      <c r="AP2664" t="s">
        <v>2401</v>
      </c>
    </row>
    <row r="2665" spans="1:42">
      <c r="A2665" t="s">
        <v>8571</v>
      </c>
      <c r="B2665" t="s">
        <v>2389</v>
      </c>
      <c r="C2665" t="s">
        <v>2447</v>
      </c>
      <c r="D2665" t="s">
        <v>2379</v>
      </c>
      <c r="E2665" t="s">
        <v>2416</v>
      </c>
      <c r="F2665" t="s">
        <v>8565</v>
      </c>
      <c r="G2665" t="s">
        <v>2416</v>
      </c>
      <c r="H2665" t="b">
        <v>1</v>
      </c>
      <c r="I2665" s="8">
        <v>45960.756377314814</v>
      </c>
      <c r="J2665" t="s">
        <v>2380</v>
      </c>
      <c r="K2665">
        <v>1206071</v>
      </c>
      <c r="L2665">
        <v>603331</v>
      </c>
      <c r="M2665" t="s">
        <v>2381</v>
      </c>
      <c r="P2665" t="s">
        <v>2394</v>
      </c>
      <c r="Q2665" t="s">
        <v>2383</v>
      </c>
      <c r="R2665">
        <v>1</v>
      </c>
      <c r="S2665" t="s">
        <v>2380</v>
      </c>
      <c r="T2665" t="s">
        <v>2383</v>
      </c>
      <c r="U2665" s="8">
        <v>45954.441319444442</v>
      </c>
      <c r="V2665" s="8">
        <v>45960.958333333336</v>
      </c>
      <c r="W2665">
        <v>1</v>
      </c>
      <c r="X2665">
        <v>4.3150578700000004</v>
      </c>
      <c r="Y2665" t="s">
        <v>8566</v>
      </c>
      <c r="Z2665" t="s">
        <v>8572</v>
      </c>
      <c r="AA2665" t="s">
        <v>8569</v>
      </c>
      <c r="AB2665" t="s">
        <v>1278</v>
      </c>
      <c r="AC2665" t="s">
        <v>8573</v>
      </c>
      <c r="AD2665" t="s">
        <v>2708</v>
      </c>
      <c r="AE2665">
        <v>1</v>
      </c>
      <c r="AO2665" t="s">
        <v>3608</v>
      </c>
      <c r="AP2665" t="s">
        <v>2401</v>
      </c>
    </row>
    <row r="2666" spans="1:42">
      <c r="A2666" t="s">
        <v>8574</v>
      </c>
      <c r="B2666" t="s">
        <v>2389</v>
      </c>
      <c r="C2666" t="s">
        <v>2447</v>
      </c>
      <c r="D2666" t="s">
        <v>2379</v>
      </c>
      <c r="E2666" t="s">
        <v>2416</v>
      </c>
      <c r="F2666" t="s">
        <v>8565</v>
      </c>
      <c r="G2666" t="s">
        <v>2416</v>
      </c>
      <c r="H2666" t="b">
        <v>1</v>
      </c>
      <c r="I2666" s="8">
        <v>45960.76289351852</v>
      </c>
      <c r="J2666" t="s">
        <v>2380</v>
      </c>
      <c r="K2666">
        <v>1206072</v>
      </c>
      <c r="L2666">
        <v>603331</v>
      </c>
      <c r="M2666" t="s">
        <v>2381</v>
      </c>
      <c r="P2666" t="s">
        <v>2394</v>
      </c>
      <c r="Q2666" t="s">
        <v>2383</v>
      </c>
      <c r="R2666">
        <v>1</v>
      </c>
      <c r="S2666" t="s">
        <v>2380</v>
      </c>
      <c r="T2666" t="s">
        <v>2383</v>
      </c>
      <c r="U2666" s="8">
        <v>45954.442800925928</v>
      </c>
      <c r="V2666" s="8">
        <v>45960.958333333336</v>
      </c>
      <c r="W2666">
        <v>1</v>
      </c>
      <c r="X2666">
        <v>4.320092593</v>
      </c>
      <c r="Y2666" t="s">
        <v>8566</v>
      </c>
      <c r="Z2666" t="s">
        <v>8575</v>
      </c>
      <c r="AA2666" t="s">
        <v>8569</v>
      </c>
      <c r="AB2666" t="s">
        <v>1278</v>
      </c>
      <c r="AC2666" t="s">
        <v>8576</v>
      </c>
      <c r="AD2666" t="s">
        <v>2708</v>
      </c>
      <c r="AE2666">
        <v>1</v>
      </c>
      <c r="AO2666" t="s">
        <v>3608</v>
      </c>
      <c r="AP2666" t="s">
        <v>2401</v>
      </c>
    </row>
    <row r="2667" spans="1:42">
      <c r="A2667" t="s">
        <v>8577</v>
      </c>
      <c r="B2667" t="s">
        <v>2389</v>
      </c>
      <c r="C2667" t="s">
        <v>2447</v>
      </c>
      <c r="D2667" t="s">
        <v>2379</v>
      </c>
      <c r="E2667" t="s">
        <v>2416</v>
      </c>
      <c r="F2667" t="s">
        <v>8565</v>
      </c>
      <c r="G2667" t="s">
        <v>2416</v>
      </c>
      <c r="H2667" t="b">
        <v>1</v>
      </c>
      <c r="I2667" s="8">
        <v>45960.767500000002</v>
      </c>
      <c r="J2667" t="s">
        <v>2380</v>
      </c>
      <c r="K2667">
        <v>1206073</v>
      </c>
      <c r="L2667">
        <v>603331</v>
      </c>
      <c r="M2667" t="s">
        <v>2381</v>
      </c>
      <c r="P2667" t="s">
        <v>2394</v>
      </c>
      <c r="Q2667" t="s">
        <v>2383</v>
      </c>
      <c r="R2667">
        <v>1</v>
      </c>
      <c r="S2667" t="s">
        <v>2380</v>
      </c>
      <c r="T2667" t="s">
        <v>2383</v>
      </c>
      <c r="U2667" s="8">
        <v>45954.443449074075</v>
      </c>
      <c r="V2667" s="8">
        <v>45960.958333333336</v>
      </c>
      <c r="W2667">
        <v>1</v>
      </c>
      <c r="X2667">
        <v>4.324050926</v>
      </c>
      <c r="Y2667" t="s">
        <v>8566</v>
      </c>
      <c r="Z2667" t="s">
        <v>8578</v>
      </c>
      <c r="AA2667" t="s">
        <v>8569</v>
      </c>
      <c r="AB2667" t="s">
        <v>1278</v>
      </c>
      <c r="AC2667" t="s">
        <v>8579</v>
      </c>
      <c r="AD2667" t="s">
        <v>2708</v>
      </c>
      <c r="AE2667">
        <v>1</v>
      </c>
      <c r="AO2667" t="s">
        <v>3608</v>
      </c>
      <c r="AP2667" t="s">
        <v>2401</v>
      </c>
    </row>
    <row r="2668" spans="1:42">
      <c r="A2668" t="s">
        <v>2639</v>
      </c>
      <c r="B2668" t="s">
        <v>2389</v>
      </c>
      <c r="C2668" t="s">
        <v>2378</v>
      </c>
      <c r="D2668" t="s">
        <v>2379</v>
      </c>
      <c r="E2668" t="s">
        <v>25</v>
      </c>
      <c r="F2668" t="s">
        <v>2637</v>
      </c>
      <c r="G2668" t="s">
        <v>25</v>
      </c>
      <c r="H2668" t="b">
        <v>1</v>
      </c>
      <c r="I2668" s="8">
        <v>45959.710752314815</v>
      </c>
      <c r="J2668" t="s">
        <v>2380</v>
      </c>
      <c r="K2668">
        <v>1204409</v>
      </c>
      <c r="L2668">
        <v>603986</v>
      </c>
      <c r="M2668" t="s">
        <v>2381</v>
      </c>
      <c r="P2668" t="s">
        <v>2394</v>
      </c>
      <c r="Q2668" t="s">
        <v>2383</v>
      </c>
      <c r="R2668">
        <v>1</v>
      </c>
      <c r="S2668" t="s">
        <v>2380</v>
      </c>
      <c r="T2668" t="s">
        <v>2383</v>
      </c>
      <c r="U2668" s="8">
        <v>45954.453368055554</v>
      </c>
      <c r="V2668" s="8">
        <v>45960.958333333336</v>
      </c>
      <c r="W2668">
        <v>1</v>
      </c>
      <c r="X2668">
        <v>3.2573842590000002</v>
      </c>
      <c r="Y2668" t="s">
        <v>2638</v>
      </c>
      <c r="Z2668" t="s">
        <v>2640</v>
      </c>
      <c r="AA2668" t="s">
        <v>2641</v>
      </c>
      <c r="AB2668" t="s">
        <v>1278</v>
      </c>
      <c r="AC2668" t="s">
        <v>2642</v>
      </c>
      <c r="AE2668">
        <v>1</v>
      </c>
      <c r="AO2668" t="s">
        <v>2388</v>
      </c>
      <c r="AP2668" t="s">
        <v>2401</v>
      </c>
    </row>
    <row r="2669" spans="1:42">
      <c r="A2669" t="s">
        <v>4417</v>
      </c>
      <c r="B2669" t="s">
        <v>2389</v>
      </c>
      <c r="C2669" t="s">
        <v>2443</v>
      </c>
      <c r="D2669" t="s">
        <v>2443</v>
      </c>
      <c r="E2669" t="s">
        <v>18</v>
      </c>
      <c r="F2669">
        <v>6407</v>
      </c>
      <c r="G2669" t="s">
        <v>2416</v>
      </c>
      <c r="H2669" t="b">
        <v>1</v>
      </c>
      <c r="I2669" s="8">
        <v>45954.503587962965</v>
      </c>
      <c r="J2669" t="s">
        <v>2380</v>
      </c>
      <c r="K2669">
        <v>1204433</v>
      </c>
      <c r="L2669">
        <v>609666</v>
      </c>
      <c r="M2669" t="s">
        <v>2381</v>
      </c>
      <c r="Q2669" t="s">
        <v>2383</v>
      </c>
      <c r="R2669">
        <v>1</v>
      </c>
      <c r="S2669" t="s">
        <v>2380</v>
      </c>
      <c r="T2669" t="s">
        <v>2383</v>
      </c>
      <c r="U2669" s="8">
        <v>45951</v>
      </c>
      <c r="V2669" s="8">
        <v>45953.958333333336</v>
      </c>
      <c r="W2669">
        <v>1</v>
      </c>
      <c r="X2669">
        <v>3.5035879630000002</v>
      </c>
      <c r="Y2669" t="s">
        <v>4416</v>
      </c>
      <c r="Z2669" t="s">
        <v>4418</v>
      </c>
      <c r="AA2669" t="s">
        <v>4419</v>
      </c>
      <c r="AB2669" t="s">
        <v>1278</v>
      </c>
      <c r="AC2669" t="s">
        <v>4420</v>
      </c>
      <c r="AD2669" t="s">
        <v>2708</v>
      </c>
      <c r="AE2669">
        <v>1</v>
      </c>
      <c r="AO2669" t="s">
        <v>2388</v>
      </c>
      <c r="AP2669" t="s">
        <v>2401</v>
      </c>
    </row>
    <row r="2670" spans="1:42">
      <c r="A2670" t="s">
        <v>8547</v>
      </c>
      <c r="B2670" t="s">
        <v>2389</v>
      </c>
      <c r="C2670" t="s">
        <v>2378</v>
      </c>
      <c r="D2670" t="s">
        <v>2379</v>
      </c>
      <c r="E2670" t="s">
        <v>2601</v>
      </c>
      <c r="F2670" t="s">
        <v>2627</v>
      </c>
      <c r="G2670" t="s">
        <v>2601</v>
      </c>
      <c r="H2670" t="b">
        <v>1</v>
      </c>
      <c r="I2670" s="8">
        <v>45960.509155092594</v>
      </c>
      <c r="J2670" t="s">
        <v>2380</v>
      </c>
      <c r="K2670">
        <v>1205813</v>
      </c>
      <c r="L2670">
        <v>609739</v>
      </c>
      <c r="M2670" t="s">
        <v>2381</v>
      </c>
      <c r="P2670" t="s">
        <v>2427</v>
      </c>
      <c r="Q2670" t="s">
        <v>2383</v>
      </c>
      <c r="R2670">
        <v>1</v>
      </c>
      <c r="S2670" t="s">
        <v>2380</v>
      </c>
      <c r="T2670" t="s">
        <v>2383</v>
      </c>
      <c r="U2670" s="8">
        <v>45954.509895833333</v>
      </c>
      <c r="V2670" s="8">
        <v>45960.958333333336</v>
      </c>
      <c r="W2670">
        <v>1</v>
      </c>
      <c r="X2670">
        <v>3.999259259</v>
      </c>
      <c r="Y2670" t="s">
        <v>2628</v>
      </c>
      <c r="Z2670" t="s">
        <v>8548</v>
      </c>
      <c r="AA2670" t="s">
        <v>8549</v>
      </c>
      <c r="AB2670" t="s">
        <v>1278</v>
      </c>
      <c r="AC2670" t="s">
        <v>8550</v>
      </c>
      <c r="AD2670" t="s">
        <v>2708</v>
      </c>
      <c r="AE2670">
        <v>1</v>
      </c>
      <c r="AO2670" t="s">
        <v>3586</v>
      </c>
      <c r="AP2670" t="s">
        <v>2401</v>
      </c>
    </row>
    <row r="2671" spans="1:42">
      <c r="A2671" t="s">
        <v>8447</v>
      </c>
      <c r="B2671" t="s">
        <v>2389</v>
      </c>
      <c r="C2671" t="s">
        <v>2378</v>
      </c>
      <c r="D2671" t="s">
        <v>2379</v>
      </c>
      <c r="E2671" t="s">
        <v>25</v>
      </c>
      <c r="F2671">
        <v>4227</v>
      </c>
      <c r="G2671" t="s">
        <v>25</v>
      </c>
      <c r="H2671" t="b">
        <v>1</v>
      </c>
      <c r="I2671" s="8">
        <v>45959.785324074073</v>
      </c>
      <c r="J2671" t="s">
        <v>2380</v>
      </c>
      <c r="K2671">
        <v>1205675</v>
      </c>
      <c r="L2671">
        <v>604477</v>
      </c>
      <c r="M2671" t="s">
        <v>2381</v>
      </c>
      <c r="N2671">
        <v>5</v>
      </c>
      <c r="P2671" t="s">
        <v>2394</v>
      </c>
      <c r="Q2671" t="s">
        <v>2395</v>
      </c>
      <c r="R2671">
        <v>1</v>
      </c>
      <c r="S2671" t="s">
        <v>2380</v>
      </c>
      <c r="T2671" t="s">
        <v>2383</v>
      </c>
      <c r="U2671" s="8">
        <v>45954.513854166667</v>
      </c>
      <c r="V2671" s="8">
        <v>45960.958333333336</v>
      </c>
      <c r="W2671">
        <v>1</v>
      </c>
      <c r="X2671">
        <v>3.2714699070000002</v>
      </c>
      <c r="Y2671" t="s">
        <v>4558</v>
      </c>
      <c r="Z2671" t="s">
        <v>8448</v>
      </c>
      <c r="AA2671" t="s">
        <v>8120</v>
      </c>
      <c r="AB2671" t="s">
        <v>1278</v>
      </c>
      <c r="AC2671" t="s">
        <v>8449</v>
      </c>
      <c r="AD2671" t="s">
        <v>2708</v>
      </c>
      <c r="AE2671">
        <v>1</v>
      </c>
      <c r="AO2671" t="s">
        <v>4137</v>
      </c>
      <c r="AP2671" t="s">
        <v>2401</v>
      </c>
    </row>
    <row r="2672" spans="1:42">
      <c r="A2672" t="s">
        <v>4733</v>
      </c>
      <c r="B2672" t="s">
        <v>2389</v>
      </c>
      <c r="C2672" t="s">
        <v>2378</v>
      </c>
      <c r="D2672" t="s">
        <v>2379</v>
      </c>
      <c r="E2672" t="s">
        <v>2452</v>
      </c>
      <c r="F2672" t="s">
        <v>4731</v>
      </c>
      <c r="G2672" t="s">
        <v>2452</v>
      </c>
      <c r="H2672" t="b">
        <v>1</v>
      </c>
      <c r="I2672" s="8">
        <v>45960.504247685189</v>
      </c>
      <c r="J2672" t="s">
        <v>2380</v>
      </c>
      <c r="K2672">
        <v>1205809</v>
      </c>
      <c r="L2672">
        <v>609777</v>
      </c>
      <c r="M2672" t="s">
        <v>2381</v>
      </c>
      <c r="P2672" t="s">
        <v>2394</v>
      </c>
      <c r="Q2672" t="s">
        <v>2383</v>
      </c>
      <c r="R2672">
        <v>1</v>
      </c>
      <c r="S2672" t="s">
        <v>2380</v>
      </c>
      <c r="T2672" t="s">
        <v>2383</v>
      </c>
      <c r="U2672" s="8">
        <v>45954.528055555558</v>
      </c>
      <c r="V2672" s="8">
        <v>45960.958333333336</v>
      </c>
      <c r="W2672">
        <v>1</v>
      </c>
      <c r="X2672">
        <v>3.9761921299999998</v>
      </c>
      <c r="Y2672" t="s">
        <v>4732</v>
      </c>
      <c r="Z2672" t="s">
        <v>4734</v>
      </c>
      <c r="AA2672" t="s">
        <v>4735</v>
      </c>
      <c r="AB2672" t="s">
        <v>1278</v>
      </c>
      <c r="AC2672" t="s">
        <v>4736</v>
      </c>
      <c r="AD2672" t="s">
        <v>2708</v>
      </c>
      <c r="AE2672">
        <v>1</v>
      </c>
      <c r="AO2672" t="s">
        <v>2957</v>
      </c>
      <c r="AP2672" t="s">
        <v>2401</v>
      </c>
    </row>
    <row r="2673" spans="1:42">
      <c r="A2673" t="s">
        <v>4380</v>
      </c>
      <c r="B2673" t="s">
        <v>2389</v>
      </c>
      <c r="C2673" t="s">
        <v>2378</v>
      </c>
      <c r="D2673" t="s">
        <v>2379</v>
      </c>
      <c r="E2673" t="s">
        <v>25</v>
      </c>
      <c r="F2673" t="s">
        <v>2541</v>
      </c>
      <c r="G2673" t="s">
        <v>25</v>
      </c>
      <c r="H2673" t="b">
        <v>1</v>
      </c>
      <c r="I2673" s="8">
        <v>45959.80027777778</v>
      </c>
      <c r="J2673" t="s">
        <v>2380</v>
      </c>
      <c r="K2673">
        <v>1205678</v>
      </c>
      <c r="L2673">
        <v>608176</v>
      </c>
      <c r="M2673" t="s">
        <v>2381</v>
      </c>
      <c r="N2673">
        <v>5</v>
      </c>
      <c r="P2673" t="s">
        <v>2427</v>
      </c>
      <c r="Q2673" t="s">
        <v>2383</v>
      </c>
      <c r="R2673">
        <v>1</v>
      </c>
      <c r="S2673" t="s">
        <v>2380</v>
      </c>
      <c r="T2673" t="s">
        <v>2383</v>
      </c>
      <c r="U2673" s="8">
        <v>45954.531412037039</v>
      </c>
      <c r="V2673" s="8">
        <v>45960.958333333336</v>
      </c>
      <c r="W2673">
        <v>1</v>
      </c>
      <c r="X2673">
        <v>3.2688657409999999</v>
      </c>
      <c r="Y2673" t="s">
        <v>2542</v>
      </c>
      <c r="Z2673" t="s">
        <v>4381</v>
      </c>
      <c r="AA2673" t="s">
        <v>4382</v>
      </c>
      <c r="AB2673" t="s">
        <v>1278</v>
      </c>
      <c r="AC2673" t="s">
        <v>4383</v>
      </c>
      <c r="AD2673" t="s">
        <v>2708</v>
      </c>
      <c r="AE2673">
        <v>1</v>
      </c>
      <c r="AO2673" t="s">
        <v>2547</v>
      </c>
      <c r="AP2673" t="s">
        <v>2401</v>
      </c>
    </row>
    <row r="2674" spans="1:42">
      <c r="A2674" t="s">
        <v>8541</v>
      </c>
      <c r="B2674" t="s">
        <v>2389</v>
      </c>
      <c r="C2674" t="s">
        <v>2378</v>
      </c>
      <c r="D2674" t="s">
        <v>2379</v>
      </c>
      <c r="E2674" t="s">
        <v>25</v>
      </c>
      <c r="F2674" t="s">
        <v>2779</v>
      </c>
      <c r="G2674" t="s">
        <v>25</v>
      </c>
      <c r="H2674" t="b">
        <v>1</v>
      </c>
      <c r="I2674" s="8">
        <v>45959.770300925928</v>
      </c>
      <c r="J2674" t="s">
        <v>2380</v>
      </c>
      <c r="K2674">
        <v>1205669</v>
      </c>
      <c r="L2674">
        <v>604220</v>
      </c>
      <c r="M2674" t="s">
        <v>2381</v>
      </c>
      <c r="N2674">
        <v>5</v>
      </c>
      <c r="P2674" t="s">
        <v>2548</v>
      </c>
      <c r="Q2674" t="s">
        <v>2395</v>
      </c>
      <c r="R2674">
        <v>1</v>
      </c>
      <c r="S2674" t="s">
        <v>2380</v>
      </c>
      <c r="T2674" t="s">
        <v>2383</v>
      </c>
      <c r="U2674" s="8">
        <v>45954.540648148148</v>
      </c>
      <c r="V2674" s="8">
        <v>45960.958333333336</v>
      </c>
      <c r="W2674">
        <v>1</v>
      </c>
      <c r="X2674">
        <v>3.2296527780000002</v>
      </c>
      <c r="Y2674" t="s">
        <v>1352</v>
      </c>
      <c r="Z2674" t="s">
        <v>8542</v>
      </c>
      <c r="AA2674" t="s">
        <v>8200</v>
      </c>
      <c r="AB2674" t="s">
        <v>1278</v>
      </c>
      <c r="AC2674" t="s">
        <v>8543</v>
      </c>
      <c r="AD2674" t="s">
        <v>2708</v>
      </c>
      <c r="AE2674">
        <v>1</v>
      </c>
      <c r="AO2674" t="s">
        <v>4137</v>
      </c>
      <c r="AP2674" t="s">
        <v>2401</v>
      </c>
    </row>
    <row r="2675" spans="1:42">
      <c r="A2675" t="s">
        <v>4454</v>
      </c>
      <c r="B2675" t="s">
        <v>2389</v>
      </c>
      <c r="C2675" t="s">
        <v>2378</v>
      </c>
      <c r="D2675" t="s">
        <v>2379</v>
      </c>
      <c r="E2675" t="s">
        <v>2601</v>
      </c>
      <c r="F2675">
        <v>3842</v>
      </c>
      <c r="G2675" t="s">
        <v>2601</v>
      </c>
      <c r="H2675" t="b">
        <v>1</v>
      </c>
      <c r="I2675" s="8">
        <v>45960.403622685182</v>
      </c>
      <c r="J2675" t="s">
        <v>2380</v>
      </c>
      <c r="K2675">
        <v>1205697</v>
      </c>
      <c r="L2675">
        <v>603092</v>
      </c>
      <c r="M2675" t="s">
        <v>2381</v>
      </c>
      <c r="P2675" t="s">
        <v>2394</v>
      </c>
      <c r="Q2675" t="s">
        <v>2383</v>
      </c>
      <c r="R2675">
        <v>1</v>
      </c>
      <c r="S2675" t="s">
        <v>2380</v>
      </c>
      <c r="T2675" t="s">
        <v>2383</v>
      </c>
      <c r="U2675" s="8">
        <v>45954.542650462965</v>
      </c>
      <c r="V2675" s="8">
        <v>45960.958333333336</v>
      </c>
      <c r="W2675">
        <v>1</v>
      </c>
      <c r="X2675">
        <v>3.860972222</v>
      </c>
      <c r="Y2675" t="s">
        <v>4453</v>
      </c>
      <c r="Z2675" t="s">
        <v>4455</v>
      </c>
      <c r="AA2675" t="s">
        <v>4456</v>
      </c>
      <c r="AB2675" t="s">
        <v>1278</v>
      </c>
      <c r="AD2675" t="s">
        <v>2708</v>
      </c>
      <c r="AE2675">
        <v>1</v>
      </c>
      <c r="AO2675" t="s">
        <v>2388</v>
      </c>
      <c r="AP2675" t="s">
        <v>2401</v>
      </c>
    </row>
    <row r="2676" spans="1:42">
      <c r="A2676" t="s">
        <v>3036</v>
      </c>
      <c r="B2676" t="s">
        <v>2389</v>
      </c>
      <c r="C2676" t="s">
        <v>2378</v>
      </c>
      <c r="D2676" t="s">
        <v>2379</v>
      </c>
      <c r="E2676" t="s">
        <v>2452</v>
      </c>
      <c r="F2676" t="s">
        <v>2402</v>
      </c>
      <c r="G2676" t="s">
        <v>2452</v>
      </c>
      <c r="H2676" t="b">
        <v>1</v>
      </c>
      <c r="I2676" s="8">
        <v>45960.49355324074</v>
      </c>
      <c r="J2676" t="s">
        <v>2380</v>
      </c>
      <c r="K2676">
        <v>1205799</v>
      </c>
      <c r="L2676">
        <v>609764</v>
      </c>
      <c r="M2676" t="s">
        <v>2381</v>
      </c>
      <c r="P2676" t="s">
        <v>2394</v>
      </c>
      <c r="Q2676" t="s">
        <v>2383</v>
      </c>
      <c r="R2676">
        <v>1</v>
      </c>
      <c r="S2676" t="s">
        <v>2380</v>
      </c>
      <c r="T2676" t="s">
        <v>2383</v>
      </c>
      <c r="U2676" s="8">
        <v>45954.579918981479</v>
      </c>
      <c r="V2676" s="8">
        <v>45960.958333333336</v>
      </c>
      <c r="W2676">
        <v>1</v>
      </c>
      <c r="X2676">
        <v>3.9136342590000002</v>
      </c>
      <c r="Y2676" t="s">
        <v>2403</v>
      </c>
      <c r="Z2676" t="s">
        <v>3037</v>
      </c>
      <c r="AA2676" t="s">
        <v>3009</v>
      </c>
      <c r="AB2676" t="s">
        <v>1278</v>
      </c>
      <c r="AC2676" t="s">
        <v>3038</v>
      </c>
      <c r="AD2676" t="s">
        <v>2708</v>
      </c>
      <c r="AE2676">
        <v>1</v>
      </c>
      <c r="AO2676" t="s">
        <v>2408</v>
      </c>
      <c r="AP2676" t="s">
        <v>2401</v>
      </c>
    </row>
    <row r="2677" spans="1:42">
      <c r="A2677" t="s">
        <v>4687</v>
      </c>
      <c r="B2677" t="s">
        <v>2389</v>
      </c>
      <c r="C2677" t="s">
        <v>2438</v>
      </c>
      <c r="D2677" t="s">
        <v>2379</v>
      </c>
      <c r="E2677" t="s">
        <v>2452</v>
      </c>
      <c r="F2677" t="s">
        <v>4685</v>
      </c>
      <c r="G2677" t="s">
        <v>2452</v>
      </c>
      <c r="H2677" t="b">
        <v>1</v>
      </c>
      <c r="I2677" s="8">
        <v>45954.590740740743</v>
      </c>
      <c r="J2677" t="s">
        <v>2380</v>
      </c>
      <c r="K2677">
        <v>1204544</v>
      </c>
      <c r="L2677">
        <v>606892</v>
      </c>
      <c r="M2677" t="s">
        <v>2381</v>
      </c>
      <c r="Q2677" t="s">
        <v>2383</v>
      </c>
      <c r="R2677">
        <v>1</v>
      </c>
      <c r="S2677" t="s">
        <v>2380</v>
      </c>
      <c r="T2677" t="s">
        <v>2383</v>
      </c>
      <c r="U2677" s="8">
        <v>45954.580324074072</v>
      </c>
      <c r="V2677" s="8">
        <v>45960.958333333336</v>
      </c>
      <c r="W2677">
        <v>1</v>
      </c>
      <c r="X2677">
        <v>1.0416666999999999E-2</v>
      </c>
      <c r="Y2677" t="s">
        <v>4686</v>
      </c>
      <c r="Z2677" t="s">
        <v>4688</v>
      </c>
      <c r="AA2677" t="s">
        <v>4689</v>
      </c>
      <c r="AB2677" t="s">
        <v>1278</v>
      </c>
      <c r="AC2677" t="s">
        <v>4690</v>
      </c>
      <c r="AD2677" t="s">
        <v>2708</v>
      </c>
      <c r="AE2677">
        <v>1</v>
      </c>
      <c r="AO2677" t="s">
        <v>2957</v>
      </c>
      <c r="AP2677" t="s">
        <v>2401</v>
      </c>
    </row>
    <row r="2678" spans="1:42">
      <c r="A2678" t="s">
        <v>4351</v>
      </c>
      <c r="B2678" t="s">
        <v>2389</v>
      </c>
      <c r="C2678" t="s">
        <v>2378</v>
      </c>
      <c r="D2678" t="s">
        <v>2379</v>
      </c>
      <c r="E2678" t="s">
        <v>25</v>
      </c>
      <c r="F2678" t="s">
        <v>2541</v>
      </c>
      <c r="G2678" t="s">
        <v>25</v>
      </c>
      <c r="H2678" t="b">
        <v>1</v>
      </c>
      <c r="I2678" s="8">
        <v>45959.804074074076</v>
      </c>
      <c r="J2678" t="s">
        <v>2380</v>
      </c>
      <c r="K2678">
        <v>1205680</v>
      </c>
      <c r="L2678">
        <v>602299</v>
      </c>
      <c r="M2678" t="s">
        <v>2381</v>
      </c>
      <c r="N2678">
        <v>5</v>
      </c>
      <c r="P2678" t="s">
        <v>2548</v>
      </c>
      <c r="Q2678" t="s">
        <v>2383</v>
      </c>
      <c r="R2678">
        <v>1</v>
      </c>
      <c r="S2678" t="s">
        <v>2380</v>
      </c>
      <c r="T2678" t="s">
        <v>2383</v>
      </c>
      <c r="U2678" s="8">
        <v>45954.581157407411</v>
      </c>
      <c r="V2678" s="8">
        <v>45960.958333333336</v>
      </c>
      <c r="W2678">
        <v>1</v>
      </c>
      <c r="X2678">
        <v>3.2229166669999998</v>
      </c>
      <c r="Y2678" t="s">
        <v>2542</v>
      </c>
      <c r="Z2678" t="s">
        <v>4352</v>
      </c>
      <c r="AA2678" t="s">
        <v>2927</v>
      </c>
      <c r="AB2678" t="s">
        <v>1278</v>
      </c>
      <c r="AD2678" t="s">
        <v>2708</v>
      </c>
      <c r="AE2678">
        <v>1</v>
      </c>
      <c r="AO2678" t="s">
        <v>2547</v>
      </c>
      <c r="AP2678" t="s">
        <v>2401</v>
      </c>
    </row>
    <row r="2679" spans="1:42">
      <c r="A2679" t="s">
        <v>4457</v>
      </c>
      <c r="B2679" t="s">
        <v>2389</v>
      </c>
      <c r="C2679" t="s">
        <v>2378</v>
      </c>
      <c r="D2679" t="s">
        <v>2379</v>
      </c>
      <c r="E2679" t="s">
        <v>2601</v>
      </c>
      <c r="F2679">
        <v>3842</v>
      </c>
      <c r="G2679" t="s">
        <v>2601</v>
      </c>
      <c r="H2679" t="b">
        <v>1</v>
      </c>
      <c r="I2679" s="8">
        <v>45960.493368055555</v>
      </c>
      <c r="J2679" t="s">
        <v>2380</v>
      </c>
      <c r="K2679">
        <v>1205800</v>
      </c>
      <c r="L2679">
        <v>603092</v>
      </c>
      <c r="M2679" t="s">
        <v>2381</v>
      </c>
      <c r="P2679" t="s">
        <v>2394</v>
      </c>
      <c r="Q2679" t="s">
        <v>2383</v>
      </c>
      <c r="R2679">
        <v>1</v>
      </c>
      <c r="S2679" t="s">
        <v>2380</v>
      </c>
      <c r="T2679" t="s">
        <v>2383</v>
      </c>
      <c r="U2679" s="8">
        <v>45954.586296296293</v>
      </c>
      <c r="V2679" s="8">
        <v>45960.958333333336</v>
      </c>
      <c r="W2679">
        <v>1</v>
      </c>
      <c r="X2679">
        <v>3.9070717589999999</v>
      </c>
      <c r="Y2679" t="s">
        <v>4453</v>
      </c>
      <c r="Z2679" t="s">
        <v>4458</v>
      </c>
      <c r="AA2679" t="s">
        <v>4456</v>
      </c>
      <c r="AB2679" t="s">
        <v>1278</v>
      </c>
      <c r="AC2679" t="s">
        <v>4459</v>
      </c>
      <c r="AD2679" t="s">
        <v>2708</v>
      </c>
      <c r="AE2679">
        <v>1</v>
      </c>
      <c r="AO2679" t="s">
        <v>2388</v>
      </c>
      <c r="AP2679" t="s">
        <v>2401</v>
      </c>
    </row>
    <row r="2680" spans="1:42">
      <c r="A2680" t="s">
        <v>8450</v>
      </c>
      <c r="B2680" t="s">
        <v>2389</v>
      </c>
      <c r="C2680" t="s">
        <v>2378</v>
      </c>
      <c r="D2680" t="s">
        <v>2379</v>
      </c>
      <c r="E2680" t="s">
        <v>25</v>
      </c>
      <c r="F2680">
        <v>4227</v>
      </c>
      <c r="G2680" t="s">
        <v>25</v>
      </c>
      <c r="H2680" t="b">
        <v>1</v>
      </c>
      <c r="I2680" s="8">
        <v>45959.781469907408</v>
      </c>
      <c r="J2680" t="s">
        <v>2380</v>
      </c>
      <c r="K2680">
        <v>1205673</v>
      </c>
      <c r="L2680">
        <v>604477</v>
      </c>
      <c r="M2680" t="s">
        <v>2381</v>
      </c>
      <c r="N2680">
        <v>5</v>
      </c>
      <c r="P2680" t="s">
        <v>2394</v>
      </c>
      <c r="Q2680" t="s">
        <v>2395</v>
      </c>
      <c r="R2680">
        <v>1</v>
      </c>
      <c r="S2680" t="s">
        <v>2380</v>
      </c>
      <c r="T2680" t="s">
        <v>2383</v>
      </c>
      <c r="U2680" s="8">
        <v>45954.603900462964</v>
      </c>
      <c r="V2680" s="8">
        <v>45960.958333333336</v>
      </c>
      <c r="W2680">
        <v>1</v>
      </c>
      <c r="X2680">
        <v>3.177569444</v>
      </c>
      <c r="Y2680" t="s">
        <v>4558</v>
      </c>
      <c r="Z2680" t="s">
        <v>8451</v>
      </c>
      <c r="AA2680" t="s">
        <v>8120</v>
      </c>
      <c r="AB2680" t="s">
        <v>1278</v>
      </c>
      <c r="AC2680" t="s">
        <v>8452</v>
      </c>
      <c r="AD2680" t="s">
        <v>2708</v>
      </c>
      <c r="AE2680">
        <v>1</v>
      </c>
      <c r="AO2680" t="s">
        <v>4137</v>
      </c>
      <c r="AP2680" t="s">
        <v>2401</v>
      </c>
    </row>
    <row r="2681" spans="1:42">
      <c r="A2681" t="s">
        <v>8495</v>
      </c>
      <c r="B2681" t="s">
        <v>2389</v>
      </c>
      <c r="C2681" t="s">
        <v>2378</v>
      </c>
      <c r="D2681" t="s">
        <v>2379</v>
      </c>
      <c r="E2681" t="s">
        <v>25</v>
      </c>
      <c r="F2681">
        <v>4240</v>
      </c>
      <c r="G2681" t="s">
        <v>25</v>
      </c>
      <c r="H2681" t="b">
        <v>1</v>
      </c>
      <c r="I2681" s="8">
        <v>45959.710370370369</v>
      </c>
      <c r="J2681" t="s">
        <v>2380</v>
      </c>
      <c r="K2681">
        <v>1205657</v>
      </c>
      <c r="L2681">
        <v>604106</v>
      </c>
      <c r="M2681" t="s">
        <v>2381</v>
      </c>
      <c r="N2681">
        <v>5</v>
      </c>
      <c r="P2681" t="s">
        <v>2394</v>
      </c>
      <c r="Q2681" t="s">
        <v>2395</v>
      </c>
      <c r="R2681">
        <v>1</v>
      </c>
      <c r="S2681" t="s">
        <v>2380</v>
      </c>
      <c r="T2681" t="s">
        <v>2383</v>
      </c>
      <c r="U2681" s="8">
        <v>45954.610127314816</v>
      </c>
      <c r="V2681" s="8">
        <v>45960.958333333336</v>
      </c>
      <c r="W2681">
        <v>1</v>
      </c>
      <c r="X2681">
        <v>3.1002430560000001</v>
      </c>
      <c r="Y2681" t="s">
        <v>8134</v>
      </c>
      <c r="Z2681" t="s">
        <v>8496</v>
      </c>
      <c r="AA2681" t="s">
        <v>8137</v>
      </c>
      <c r="AB2681" t="s">
        <v>1278</v>
      </c>
      <c r="AC2681" t="s">
        <v>8497</v>
      </c>
      <c r="AD2681" t="s">
        <v>2708</v>
      </c>
      <c r="AE2681">
        <v>1</v>
      </c>
      <c r="AO2681" t="s">
        <v>4137</v>
      </c>
      <c r="AP2681" t="s">
        <v>2401</v>
      </c>
    </row>
    <row r="2682" spans="1:42">
      <c r="A2682" t="s">
        <v>8913</v>
      </c>
      <c r="B2682" t="s">
        <v>2377</v>
      </c>
      <c r="C2682" t="s">
        <v>2447</v>
      </c>
      <c r="D2682" t="s">
        <v>2379</v>
      </c>
      <c r="E2682" t="s">
        <v>33</v>
      </c>
      <c r="F2682" t="s">
        <v>3891</v>
      </c>
      <c r="G2682" t="s">
        <v>33</v>
      </c>
      <c r="H2682" t="b">
        <v>1</v>
      </c>
      <c r="I2682" s="8">
        <v>45960.639965277776</v>
      </c>
      <c r="J2682" t="s">
        <v>2380</v>
      </c>
      <c r="L2682">
        <v>606860</v>
      </c>
      <c r="M2682" t="s">
        <v>2381</v>
      </c>
      <c r="Q2682" t="s">
        <v>2383</v>
      </c>
      <c r="R2682">
        <v>1</v>
      </c>
      <c r="S2682" t="s">
        <v>2380</v>
      </c>
      <c r="T2682" t="s">
        <v>2383</v>
      </c>
      <c r="U2682" s="8">
        <v>45954.611238425925</v>
      </c>
      <c r="V2682" s="8">
        <v>45960.958333333336</v>
      </c>
      <c r="W2682">
        <v>1</v>
      </c>
      <c r="X2682">
        <v>4.0287268520000001</v>
      </c>
      <c r="Y2682" t="s">
        <v>3892</v>
      </c>
      <c r="Z2682" t="s">
        <v>8914</v>
      </c>
      <c r="AA2682" t="s">
        <v>3898</v>
      </c>
      <c r="AB2682" t="s">
        <v>1278</v>
      </c>
      <c r="AC2682" t="s">
        <v>8915</v>
      </c>
      <c r="AD2682" t="s">
        <v>2708</v>
      </c>
      <c r="AE2682">
        <v>1</v>
      </c>
      <c r="AF2682">
        <v>2</v>
      </c>
      <c r="AH2682" t="s">
        <v>2723</v>
      </c>
      <c r="AI2682" s="8">
        <v>45960.636666666665</v>
      </c>
      <c r="AK2682" t="s">
        <v>2719</v>
      </c>
      <c r="AL2682" t="s">
        <v>2724</v>
      </c>
      <c r="AO2682" t="s">
        <v>2715</v>
      </c>
      <c r="AP2682" t="s">
        <v>2401</v>
      </c>
    </row>
    <row r="2683" spans="1:42">
      <c r="A2683" t="s">
        <v>4460</v>
      </c>
      <c r="B2683" t="s">
        <v>2389</v>
      </c>
      <c r="C2683" t="s">
        <v>2378</v>
      </c>
      <c r="D2683" t="s">
        <v>2379</v>
      </c>
      <c r="E2683" t="s">
        <v>2601</v>
      </c>
      <c r="F2683">
        <v>6397</v>
      </c>
      <c r="G2683" t="s">
        <v>2601</v>
      </c>
      <c r="H2683" t="b">
        <v>1</v>
      </c>
      <c r="I2683" s="8">
        <v>45960.413287037038</v>
      </c>
      <c r="J2683" t="s">
        <v>2380</v>
      </c>
      <c r="K2683">
        <v>1205735</v>
      </c>
      <c r="L2683">
        <v>606290</v>
      </c>
      <c r="M2683" t="s">
        <v>2381</v>
      </c>
      <c r="P2683" t="s">
        <v>2394</v>
      </c>
      <c r="Q2683" t="s">
        <v>2383</v>
      </c>
      <c r="R2683">
        <v>1</v>
      </c>
      <c r="S2683" t="s">
        <v>2380</v>
      </c>
      <c r="T2683" t="s">
        <v>2383</v>
      </c>
      <c r="U2683" s="8">
        <v>45954.620104166665</v>
      </c>
      <c r="V2683" s="8">
        <v>45960.958333333336</v>
      </c>
      <c r="W2683">
        <v>1</v>
      </c>
      <c r="X2683">
        <v>3.7931828699999999</v>
      </c>
      <c r="Y2683" t="s">
        <v>2607</v>
      </c>
      <c r="Z2683" t="s">
        <v>4461</v>
      </c>
      <c r="AA2683" t="s">
        <v>4462</v>
      </c>
      <c r="AB2683" t="s">
        <v>1278</v>
      </c>
      <c r="AC2683" t="s">
        <v>4463</v>
      </c>
      <c r="AD2683" t="s">
        <v>2708</v>
      </c>
      <c r="AE2683">
        <v>1</v>
      </c>
      <c r="AO2683" t="s">
        <v>2388</v>
      </c>
      <c r="AP2683" t="s">
        <v>2401</v>
      </c>
    </row>
    <row r="2684" spans="1:42">
      <c r="A2684" t="s">
        <v>4510</v>
      </c>
      <c r="B2684" t="s">
        <v>2389</v>
      </c>
      <c r="C2684" t="s">
        <v>2378</v>
      </c>
      <c r="D2684" t="s">
        <v>2379</v>
      </c>
      <c r="E2684" t="s">
        <v>24</v>
      </c>
      <c r="F2684" t="s">
        <v>2578</v>
      </c>
      <c r="G2684" t="s">
        <v>24</v>
      </c>
      <c r="H2684" t="b">
        <v>1</v>
      </c>
      <c r="I2684" s="8">
        <v>45960.417303240742</v>
      </c>
      <c r="J2684" t="s">
        <v>2380</v>
      </c>
      <c r="K2684">
        <v>1205738</v>
      </c>
      <c r="L2684">
        <v>603006</v>
      </c>
      <c r="M2684" t="s">
        <v>2381</v>
      </c>
      <c r="P2684" t="s">
        <v>2427</v>
      </c>
      <c r="Q2684" t="s">
        <v>2383</v>
      </c>
      <c r="R2684">
        <v>1</v>
      </c>
      <c r="S2684" t="s">
        <v>2380</v>
      </c>
      <c r="T2684" t="s">
        <v>2383</v>
      </c>
      <c r="U2684" s="8">
        <v>45954.630196759259</v>
      </c>
      <c r="V2684" s="8">
        <v>45960.958333333336</v>
      </c>
      <c r="W2684">
        <v>1</v>
      </c>
      <c r="X2684">
        <v>3.7871064809999999</v>
      </c>
      <c r="Y2684" t="s">
        <v>2579</v>
      </c>
      <c r="Z2684" t="s">
        <v>4511</v>
      </c>
      <c r="AA2684" t="s">
        <v>4512</v>
      </c>
      <c r="AB2684" t="s">
        <v>1278</v>
      </c>
      <c r="AC2684" t="s">
        <v>4513</v>
      </c>
      <c r="AD2684" t="s">
        <v>2708</v>
      </c>
      <c r="AE2684">
        <v>1</v>
      </c>
      <c r="AO2684" t="s">
        <v>2388</v>
      </c>
      <c r="AP2684" t="s">
        <v>2401</v>
      </c>
    </row>
    <row r="2685" spans="1:42">
      <c r="A2685" t="s">
        <v>4435</v>
      </c>
      <c r="B2685" t="s">
        <v>2389</v>
      </c>
      <c r="C2685" t="s">
        <v>2378</v>
      </c>
      <c r="D2685" t="s">
        <v>2379</v>
      </c>
      <c r="E2685" t="s">
        <v>2601</v>
      </c>
      <c r="F2685">
        <v>4778</v>
      </c>
      <c r="G2685" t="s">
        <v>2601</v>
      </c>
      <c r="H2685" t="b">
        <v>1</v>
      </c>
      <c r="I2685" s="8">
        <v>45960.500034722223</v>
      </c>
      <c r="J2685" t="s">
        <v>2380</v>
      </c>
      <c r="K2685">
        <v>1205804</v>
      </c>
      <c r="L2685">
        <v>609725</v>
      </c>
      <c r="M2685" t="s">
        <v>2381</v>
      </c>
      <c r="P2685" t="s">
        <v>2394</v>
      </c>
      <c r="Q2685" t="s">
        <v>2383</v>
      </c>
      <c r="R2685">
        <v>1</v>
      </c>
      <c r="S2685" t="s">
        <v>2380</v>
      </c>
      <c r="T2685" t="s">
        <v>2383</v>
      </c>
      <c r="U2685" s="8">
        <v>45954.63758101852</v>
      </c>
      <c r="V2685" s="8">
        <v>45960.958333333336</v>
      </c>
      <c r="W2685">
        <v>1</v>
      </c>
      <c r="X2685">
        <v>3.862453704</v>
      </c>
      <c r="Y2685" t="s">
        <v>4434</v>
      </c>
      <c r="Z2685" t="s">
        <v>4436</v>
      </c>
      <c r="AA2685" t="s">
        <v>4437</v>
      </c>
      <c r="AB2685" t="s">
        <v>1278</v>
      </c>
      <c r="AC2685" t="s">
        <v>4438</v>
      </c>
      <c r="AD2685" t="s">
        <v>2708</v>
      </c>
      <c r="AE2685">
        <v>1</v>
      </c>
      <c r="AO2685" t="s">
        <v>2388</v>
      </c>
      <c r="AP2685" t="s">
        <v>2401</v>
      </c>
    </row>
    <row r="2686" spans="1:42">
      <c r="A2686" t="s">
        <v>8465</v>
      </c>
      <c r="B2686" t="s">
        <v>2389</v>
      </c>
      <c r="C2686" t="s">
        <v>2443</v>
      </c>
      <c r="D2686" t="s">
        <v>2443</v>
      </c>
      <c r="E2686" t="s">
        <v>25</v>
      </c>
      <c r="F2686">
        <v>3801</v>
      </c>
      <c r="G2686" t="s">
        <v>25</v>
      </c>
      <c r="H2686" t="b">
        <v>1</v>
      </c>
      <c r="I2686" s="8">
        <v>45954.661006944443</v>
      </c>
      <c r="J2686" t="s">
        <v>2380</v>
      </c>
      <c r="K2686">
        <v>1204589</v>
      </c>
      <c r="L2686">
        <v>604334</v>
      </c>
      <c r="M2686" t="s">
        <v>2381</v>
      </c>
      <c r="N2686">
        <v>5</v>
      </c>
      <c r="P2686" t="s">
        <v>2394</v>
      </c>
      <c r="Q2686" t="s">
        <v>2395</v>
      </c>
      <c r="R2686">
        <v>1</v>
      </c>
      <c r="S2686" t="s">
        <v>2380</v>
      </c>
      <c r="T2686" t="s">
        <v>2383</v>
      </c>
      <c r="U2686" s="8">
        <v>45950.391412037039</v>
      </c>
      <c r="V2686" s="8">
        <v>45953.958333333336</v>
      </c>
      <c r="W2686">
        <v>1</v>
      </c>
      <c r="X2686">
        <v>4.2695949070000001</v>
      </c>
      <c r="Y2686" t="s">
        <v>3318</v>
      </c>
      <c r="Z2686" t="s">
        <v>8466</v>
      </c>
      <c r="AA2686" t="s">
        <v>8250</v>
      </c>
      <c r="AB2686" t="s">
        <v>1278</v>
      </c>
      <c r="AC2686" t="s">
        <v>8467</v>
      </c>
      <c r="AD2686" t="s">
        <v>2708</v>
      </c>
      <c r="AE2686">
        <v>1</v>
      </c>
      <c r="AO2686" t="s">
        <v>4137</v>
      </c>
      <c r="AP2686" t="s">
        <v>2401</v>
      </c>
    </row>
    <row r="2687" spans="1:42">
      <c r="A2687" t="s">
        <v>9926</v>
      </c>
      <c r="B2687" t="s">
        <v>2377</v>
      </c>
      <c r="C2687" t="s">
        <v>2378</v>
      </c>
      <c r="D2687" t="s">
        <v>2379</v>
      </c>
      <c r="E2687" t="s">
        <v>24</v>
      </c>
      <c r="F2687" t="s">
        <v>3747</v>
      </c>
      <c r="G2687" t="s">
        <v>24</v>
      </c>
      <c r="H2687" t="b">
        <v>1</v>
      </c>
      <c r="I2687" s="8">
        <v>45960.600891203707</v>
      </c>
      <c r="J2687" t="s">
        <v>2380</v>
      </c>
      <c r="L2687">
        <v>601335</v>
      </c>
      <c r="M2687" t="s">
        <v>2381</v>
      </c>
      <c r="Q2687" t="s">
        <v>2383</v>
      </c>
      <c r="R2687">
        <v>1</v>
      </c>
      <c r="S2687" t="s">
        <v>2380</v>
      </c>
      <c r="T2687" t="s">
        <v>2383</v>
      </c>
      <c r="U2687" s="8">
        <v>45954.643113425926</v>
      </c>
      <c r="V2687" s="8">
        <v>45960.958333333336</v>
      </c>
      <c r="W2687">
        <v>1</v>
      </c>
      <c r="X2687">
        <v>3.9577777780000001</v>
      </c>
      <c r="Y2687" t="s">
        <v>3748</v>
      </c>
      <c r="Z2687" t="s">
        <v>9927</v>
      </c>
      <c r="AA2687" t="s">
        <v>3784</v>
      </c>
      <c r="AB2687" t="s">
        <v>1278</v>
      </c>
      <c r="AC2687" t="s">
        <v>9928</v>
      </c>
      <c r="AE2687">
        <v>1</v>
      </c>
      <c r="AO2687" t="s">
        <v>2712</v>
      </c>
      <c r="AP2687" t="s">
        <v>2401</v>
      </c>
    </row>
    <row r="2688" spans="1:42">
      <c r="A2688" t="s">
        <v>4431</v>
      </c>
      <c r="B2688" t="s">
        <v>2389</v>
      </c>
      <c r="C2688" t="s">
        <v>2415</v>
      </c>
      <c r="D2688" t="s">
        <v>2379</v>
      </c>
      <c r="E2688" t="s">
        <v>33</v>
      </c>
      <c r="F2688">
        <v>6343</v>
      </c>
      <c r="G2688" t="s">
        <v>33</v>
      </c>
      <c r="H2688" t="b">
        <v>1</v>
      </c>
      <c r="I2688" s="8">
        <v>45958.626817129632</v>
      </c>
      <c r="J2688" t="s">
        <v>2380</v>
      </c>
      <c r="K2688">
        <v>1205349</v>
      </c>
      <c r="L2688">
        <v>602129</v>
      </c>
      <c r="M2688" t="s">
        <v>2381</v>
      </c>
      <c r="P2688" t="s">
        <v>2394</v>
      </c>
      <c r="Q2688" t="s">
        <v>2383</v>
      </c>
      <c r="R2688">
        <v>1</v>
      </c>
      <c r="S2688" t="s">
        <v>2380</v>
      </c>
      <c r="T2688" t="s">
        <v>2383</v>
      </c>
      <c r="U2688" s="8">
        <v>45954.650960648149</v>
      </c>
      <c r="V2688" s="8">
        <v>45960.958333333336</v>
      </c>
      <c r="W2688">
        <v>1</v>
      </c>
      <c r="X2688">
        <v>1.9758564810000001</v>
      </c>
      <c r="Y2688" t="s">
        <v>2662</v>
      </c>
      <c r="Z2688" t="s">
        <v>4432</v>
      </c>
      <c r="AA2688" t="s">
        <v>2665</v>
      </c>
      <c r="AB2688" t="s">
        <v>1278</v>
      </c>
      <c r="AC2688" t="s">
        <v>4433</v>
      </c>
      <c r="AD2688" t="s">
        <v>2708</v>
      </c>
      <c r="AE2688">
        <v>1</v>
      </c>
      <c r="AO2688" t="s">
        <v>2388</v>
      </c>
      <c r="AP2688" t="s">
        <v>2401</v>
      </c>
    </row>
    <row r="2689" spans="1:42">
      <c r="A2689" t="s">
        <v>8530</v>
      </c>
      <c r="B2689" t="s">
        <v>2389</v>
      </c>
      <c r="C2689" t="s">
        <v>2378</v>
      </c>
      <c r="D2689" t="s">
        <v>2379</v>
      </c>
      <c r="E2689" t="s">
        <v>25</v>
      </c>
      <c r="F2689" t="s">
        <v>3891</v>
      </c>
      <c r="G2689" t="s">
        <v>25</v>
      </c>
      <c r="H2689" t="b">
        <v>1</v>
      </c>
      <c r="I2689" s="8">
        <v>45959.746261574073</v>
      </c>
      <c r="J2689" t="s">
        <v>2380</v>
      </c>
      <c r="K2689">
        <v>1205665</v>
      </c>
      <c r="L2689">
        <v>604434</v>
      </c>
      <c r="M2689" t="s">
        <v>2381</v>
      </c>
      <c r="N2689">
        <v>5</v>
      </c>
      <c r="P2689" t="s">
        <v>2394</v>
      </c>
      <c r="Q2689" t="s">
        <v>2395</v>
      </c>
      <c r="R2689">
        <v>1</v>
      </c>
      <c r="S2689" t="s">
        <v>2380</v>
      </c>
      <c r="T2689" t="s">
        <v>2383</v>
      </c>
      <c r="U2689" s="8">
        <v>45954.653055555558</v>
      </c>
      <c r="V2689" s="8">
        <v>45960.958333333336</v>
      </c>
      <c r="W2689">
        <v>1</v>
      </c>
      <c r="X2689">
        <v>3.0932060190000001</v>
      </c>
      <c r="Y2689" t="s">
        <v>3892</v>
      </c>
      <c r="Z2689" t="s">
        <v>8531</v>
      </c>
      <c r="AA2689" t="s">
        <v>8532</v>
      </c>
      <c r="AB2689" t="s">
        <v>1278</v>
      </c>
      <c r="AC2689" t="s">
        <v>8533</v>
      </c>
      <c r="AD2689" t="s">
        <v>2708</v>
      </c>
      <c r="AE2689">
        <v>1</v>
      </c>
      <c r="AO2689" t="s">
        <v>4137</v>
      </c>
      <c r="AP2689" t="s">
        <v>2401</v>
      </c>
    </row>
    <row r="2690" spans="1:42">
      <c r="A2690" t="s">
        <v>4353</v>
      </c>
      <c r="B2690" t="s">
        <v>2389</v>
      </c>
      <c r="C2690" t="s">
        <v>2378</v>
      </c>
      <c r="D2690" t="s">
        <v>2379</v>
      </c>
      <c r="E2690" t="s">
        <v>25</v>
      </c>
      <c r="F2690" t="s">
        <v>2541</v>
      </c>
      <c r="G2690" t="s">
        <v>25</v>
      </c>
      <c r="H2690" t="b">
        <v>1</v>
      </c>
      <c r="I2690" s="8">
        <v>45959.809166666666</v>
      </c>
      <c r="J2690" t="s">
        <v>2380</v>
      </c>
      <c r="K2690">
        <v>1205682</v>
      </c>
      <c r="L2690">
        <v>608398</v>
      </c>
      <c r="M2690" t="s">
        <v>2381</v>
      </c>
      <c r="N2690">
        <v>5</v>
      </c>
      <c r="P2690" t="s">
        <v>2548</v>
      </c>
      <c r="Q2690" t="s">
        <v>2383</v>
      </c>
      <c r="R2690">
        <v>1</v>
      </c>
      <c r="S2690" t="s">
        <v>2380</v>
      </c>
      <c r="T2690" t="s">
        <v>2383</v>
      </c>
      <c r="U2690" s="8">
        <v>45954.65457175926</v>
      </c>
      <c r="V2690" s="8">
        <v>45960.958333333336</v>
      </c>
      <c r="W2690">
        <v>1</v>
      </c>
      <c r="X2690">
        <v>3.1545949069999999</v>
      </c>
      <c r="Y2690" t="s">
        <v>2542</v>
      </c>
      <c r="Z2690" t="s">
        <v>4354</v>
      </c>
      <c r="AA2690" t="s">
        <v>2917</v>
      </c>
      <c r="AB2690" t="s">
        <v>1278</v>
      </c>
      <c r="AC2690" t="s">
        <v>4355</v>
      </c>
      <c r="AD2690" t="s">
        <v>2708</v>
      </c>
      <c r="AE2690">
        <v>1</v>
      </c>
      <c r="AO2690" t="s">
        <v>2547</v>
      </c>
      <c r="AP2690" t="s">
        <v>2401</v>
      </c>
    </row>
    <row r="2691" spans="1:42">
      <c r="A2691" t="s">
        <v>10226</v>
      </c>
      <c r="B2691" t="s">
        <v>2377</v>
      </c>
      <c r="C2691" t="s">
        <v>2378</v>
      </c>
      <c r="D2691" t="s">
        <v>2379</v>
      </c>
      <c r="E2691" t="s">
        <v>24</v>
      </c>
      <c r="F2691" t="s">
        <v>3891</v>
      </c>
      <c r="G2691" t="s">
        <v>24</v>
      </c>
      <c r="H2691" t="b">
        <v>1</v>
      </c>
      <c r="I2691" s="8">
        <v>45960.656967592593</v>
      </c>
      <c r="J2691" t="s">
        <v>2380</v>
      </c>
      <c r="L2691">
        <v>603381</v>
      </c>
      <c r="M2691" t="s">
        <v>2381</v>
      </c>
      <c r="Q2691" t="s">
        <v>2383</v>
      </c>
      <c r="R2691">
        <v>1</v>
      </c>
      <c r="S2691" t="s">
        <v>2380</v>
      </c>
      <c r="T2691" t="s">
        <v>2383</v>
      </c>
      <c r="U2691" s="8">
        <v>45954.657523148147</v>
      </c>
      <c r="V2691" s="8">
        <v>45960.958333333336</v>
      </c>
      <c r="W2691">
        <v>1</v>
      </c>
      <c r="X2691">
        <v>3.9994444439999999</v>
      </c>
      <c r="Y2691" t="s">
        <v>3892</v>
      </c>
      <c r="Z2691" t="s">
        <v>10227</v>
      </c>
      <c r="AA2691" t="s">
        <v>2714</v>
      </c>
      <c r="AB2691" t="s">
        <v>1278</v>
      </c>
      <c r="AC2691" t="s">
        <v>10228</v>
      </c>
      <c r="AE2691">
        <v>1</v>
      </c>
      <c r="AH2691" t="s">
        <v>33</v>
      </c>
      <c r="AI2691" s="8">
        <v>45960.655671296299</v>
      </c>
      <c r="AK2691" t="s">
        <v>2719</v>
      </c>
      <c r="AL2691" t="s">
        <v>2719</v>
      </c>
      <c r="AO2691" t="s">
        <v>2715</v>
      </c>
      <c r="AP2691" t="s">
        <v>2401</v>
      </c>
    </row>
    <row r="2692" spans="1:42">
      <c r="A2692" t="s">
        <v>2584</v>
      </c>
      <c r="B2692" t="s">
        <v>2377</v>
      </c>
      <c r="C2692" t="s">
        <v>2378</v>
      </c>
      <c r="D2692" t="s">
        <v>2379</v>
      </c>
      <c r="E2692" t="s">
        <v>28</v>
      </c>
      <c r="F2692">
        <v>3909</v>
      </c>
      <c r="G2692" t="s">
        <v>28</v>
      </c>
      <c r="H2692" t="b">
        <v>1</v>
      </c>
      <c r="I2692" s="8">
        <v>45960.631956018522</v>
      </c>
      <c r="J2692" t="s">
        <v>2380</v>
      </c>
      <c r="L2692">
        <v>609859</v>
      </c>
      <c r="M2692" t="s">
        <v>2381</v>
      </c>
      <c r="Q2692" t="s">
        <v>2383</v>
      </c>
      <c r="R2692">
        <v>1</v>
      </c>
      <c r="S2692" t="s">
        <v>2380</v>
      </c>
      <c r="T2692" t="s">
        <v>2383</v>
      </c>
      <c r="U2692" s="8">
        <v>45954.658449074072</v>
      </c>
      <c r="V2692" s="8">
        <v>45960.958333333336</v>
      </c>
      <c r="W2692">
        <v>1</v>
      </c>
      <c r="X2692">
        <v>3.9735069439999999</v>
      </c>
      <c r="Y2692" t="s">
        <v>2583</v>
      </c>
      <c r="Z2692" t="s">
        <v>2585</v>
      </c>
      <c r="AA2692" t="s">
        <v>2586</v>
      </c>
      <c r="AB2692" t="s">
        <v>1278</v>
      </c>
      <c r="AC2692" t="s">
        <v>2587</v>
      </c>
      <c r="AE2692">
        <v>1</v>
      </c>
      <c r="AO2692" t="s">
        <v>2388</v>
      </c>
      <c r="AP2692" t="s">
        <v>2401</v>
      </c>
    </row>
    <row r="2693" spans="1:42">
      <c r="A2693" t="s">
        <v>8500</v>
      </c>
      <c r="B2693" t="s">
        <v>2389</v>
      </c>
      <c r="C2693" t="s">
        <v>2443</v>
      </c>
      <c r="D2693" t="s">
        <v>2443</v>
      </c>
      <c r="E2693" t="s">
        <v>25</v>
      </c>
      <c r="F2693" t="s">
        <v>8498</v>
      </c>
      <c r="G2693" t="s">
        <v>25</v>
      </c>
      <c r="H2693" t="b">
        <v>1</v>
      </c>
      <c r="I2693" s="8">
        <v>45954.66715277778</v>
      </c>
      <c r="J2693" t="s">
        <v>2380</v>
      </c>
      <c r="K2693">
        <v>1204590</v>
      </c>
      <c r="L2693">
        <v>604912</v>
      </c>
      <c r="M2693" t="s">
        <v>2381</v>
      </c>
      <c r="N2693">
        <v>5</v>
      </c>
      <c r="P2693" t="s">
        <v>2394</v>
      </c>
      <c r="Q2693" t="s">
        <v>2395</v>
      </c>
      <c r="R2693">
        <v>1</v>
      </c>
      <c r="S2693" t="s">
        <v>2380</v>
      </c>
      <c r="T2693" t="s">
        <v>2383</v>
      </c>
      <c r="U2693" s="8">
        <v>45950.483796296299</v>
      </c>
      <c r="V2693" s="8">
        <v>45953.958333333336</v>
      </c>
      <c r="W2693">
        <v>1</v>
      </c>
      <c r="X2693">
        <v>4.1833564809999997</v>
      </c>
      <c r="Y2693" t="s">
        <v>8499</v>
      </c>
      <c r="Z2693" t="s">
        <v>8501</v>
      </c>
      <c r="AA2693" t="s">
        <v>8502</v>
      </c>
      <c r="AB2693" t="s">
        <v>1278</v>
      </c>
      <c r="AC2693" t="s">
        <v>8503</v>
      </c>
      <c r="AD2693" t="s">
        <v>2708</v>
      </c>
      <c r="AE2693">
        <v>1</v>
      </c>
      <c r="AO2693" t="s">
        <v>4137</v>
      </c>
      <c r="AP2693" t="s">
        <v>2401</v>
      </c>
    </row>
    <row r="2694" spans="1:42">
      <c r="A2694" t="s">
        <v>3131</v>
      </c>
      <c r="B2694" t="s">
        <v>2389</v>
      </c>
      <c r="C2694" t="s">
        <v>2378</v>
      </c>
      <c r="D2694" t="s">
        <v>2379</v>
      </c>
      <c r="E2694" t="s">
        <v>2452</v>
      </c>
      <c r="F2694" t="s">
        <v>2541</v>
      </c>
      <c r="G2694" t="s">
        <v>2452</v>
      </c>
      <c r="H2694" t="b">
        <v>1</v>
      </c>
      <c r="I2694" s="8">
        <v>45960.472592592596</v>
      </c>
      <c r="J2694" t="s">
        <v>2380</v>
      </c>
      <c r="K2694">
        <v>1205788</v>
      </c>
      <c r="L2694">
        <v>601441</v>
      </c>
      <c r="M2694" t="s">
        <v>2381</v>
      </c>
      <c r="P2694" t="s">
        <v>2548</v>
      </c>
      <c r="Q2694" t="s">
        <v>2383</v>
      </c>
      <c r="R2694">
        <v>1</v>
      </c>
      <c r="S2694" t="s">
        <v>2380</v>
      </c>
      <c r="T2694" t="s">
        <v>2383</v>
      </c>
      <c r="U2694" s="8">
        <v>45954.662928240738</v>
      </c>
      <c r="V2694" s="8">
        <v>45960.958333333336</v>
      </c>
      <c r="W2694">
        <v>1</v>
      </c>
      <c r="X2694">
        <v>3.809664352</v>
      </c>
      <c r="Y2694" t="s">
        <v>2542</v>
      </c>
      <c r="Z2694" t="s">
        <v>3132</v>
      </c>
      <c r="AA2694" t="s">
        <v>2884</v>
      </c>
      <c r="AB2694" t="s">
        <v>1278</v>
      </c>
      <c r="AC2694" t="s">
        <v>3133</v>
      </c>
      <c r="AD2694" t="s">
        <v>2708</v>
      </c>
      <c r="AE2694">
        <v>1</v>
      </c>
      <c r="AO2694" t="s">
        <v>2547</v>
      </c>
      <c r="AP2694" t="s">
        <v>2401</v>
      </c>
    </row>
    <row r="2695" spans="1:42">
      <c r="A2695" t="s">
        <v>10175</v>
      </c>
      <c r="B2695" t="s">
        <v>2377</v>
      </c>
      <c r="C2695" t="s">
        <v>2378</v>
      </c>
      <c r="D2695" t="s">
        <v>2379</v>
      </c>
      <c r="E2695" t="s">
        <v>24</v>
      </c>
      <c r="F2695" t="s">
        <v>3891</v>
      </c>
      <c r="G2695" t="s">
        <v>24</v>
      </c>
      <c r="H2695" t="b">
        <v>1</v>
      </c>
      <c r="I2695" s="8">
        <v>45960.480324074073</v>
      </c>
      <c r="J2695" t="s">
        <v>2380</v>
      </c>
      <c r="L2695">
        <v>608002</v>
      </c>
      <c r="M2695" t="s">
        <v>2381</v>
      </c>
      <c r="Q2695" t="s">
        <v>2383</v>
      </c>
      <c r="R2695">
        <v>1</v>
      </c>
      <c r="S2695" t="s">
        <v>2380</v>
      </c>
      <c r="T2695" t="s">
        <v>2383</v>
      </c>
      <c r="U2695" s="8">
        <v>45954.67763888889</v>
      </c>
      <c r="V2695" s="8">
        <v>45960.958333333336</v>
      </c>
      <c r="W2695">
        <v>1</v>
      </c>
      <c r="X2695">
        <v>3.8026851850000001</v>
      </c>
      <c r="Y2695" t="s">
        <v>3892</v>
      </c>
      <c r="Z2695" t="s">
        <v>10176</v>
      </c>
      <c r="AA2695" t="s">
        <v>461</v>
      </c>
      <c r="AB2695" t="s">
        <v>1278</v>
      </c>
      <c r="AC2695" t="s">
        <v>8033</v>
      </c>
      <c r="AE2695">
        <v>1</v>
      </c>
      <c r="AO2695" t="s">
        <v>2715</v>
      </c>
      <c r="AP2695" t="s">
        <v>2401</v>
      </c>
    </row>
    <row r="2696" spans="1:42">
      <c r="A2696" t="s">
        <v>10177</v>
      </c>
      <c r="B2696" t="s">
        <v>2377</v>
      </c>
      <c r="C2696" t="s">
        <v>2378</v>
      </c>
      <c r="D2696" t="s">
        <v>2379</v>
      </c>
      <c r="E2696" t="s">
        <v>24</v>
      </c>
      <c r="F2696" t="s">
        <v>3891</v>
      </c>
      <c r="G2696" t="s">
        <v>24</v>
      </c>
      <c r="H2696" t="b">
        <v>1</v>
      </c>
      <c r="I2696" s="8">
        <v>45960.599907407406</v>
      </c>
      <c r="J2696" t="s">
        <v>2380</v>
      </c>
      <c r="L2696">
        <v>603381</v>
      </c>
      <c r="M2696" t="s">
        <v>2381</v>
      </c>
      <c r="Q2696" t="s">
        <v>2383</v>
      </c>
      <c r="R2696">
        <v>1</v>
      </c>
      <c r="S2696" t="s">
        <v>2380</v>
      </c>
      <c r="T2696" t="s">
        <v>2383</v>
      </c>
      <c r="U2696" s="8">
        <v>45954.67869212963</v>
      </c>
      <c r="V2696" s="8">
        <v>45960.958333333336</v>
      </c>
      <c r="W2696">
        <v>1</v>
      </c>
      <c r="X2696">
        <v>3.921215278</v>
      </c>
      <c r="Y2696" t="s">
        <v>3892</v>
      </c>
      <c r="Z2696" t="s">
        <v>10178</v>
      </c>
      <c r="AA2696" t="s">
        <v>2714</v>
      </c>
      <c r="AB2696" t="s">
        <v>1278</v>
      </c>
      <c r="AC2696" t="s">
        <v>2414</v>
      </c>
      <c r="AE2696">
        <v>1</v>
      </c>
      <c r="AO2696" t="s">
        <v>2715</v>
      </c>
      <c r="AP2696" t="s">
        <v>2401</v>
      </c>
    </row>
    <row r="2697" spans="1:42">
      <c r="A2697" t="s">
        <v>10179</v>
      </c>
      <c r="B2697" t="s">
        <v>2377</v>
      </c>
      <c r="C2697" t="s">
        <v>2378</v>
      </c>
      <c r="D2697" t="s">
        <v>2379</v>
      </c>
      <c r="E2697" t="s">
        <v>24</v>
      </c>
      <c r="F2697" t="s">
        <v>3891</v>
      </c>
      <c r="G2697" t="s">
        <v>24</v>
      </c>
      <c r="H2697" t="b">
        <v>1</v>
      </c>
      <c r="I2697" s="8">
        <v>45960.479513888888</v>
      </c>
      <c r="J2697" t="s">
        <v>2380</v>
      </c>
      <c r="L2697">
        <v>603381</v>
      </c>
      <c r="M2697" t="s">
        <v>2381</v>
      </c>
      <c r="Q2697" t="s">
        <v>2383</v>
      </c>
      <c r="R2697">
        <v>1</v>
      </c>
      <c r="S2697" t="s">
        <v>2380</v>
      </c>
      <c r="T2697" t="s">
        <v>2383</v>
      </c>
      <c r="U2697" s="8">
        <v>45954.6796412037</v>
      </c>
      <c r="V2697" s="8">
        <v>45960.958333333336</v>
      </c>
      <c r="W2697">
        <v>1</v>
      </c>
      <c r="X2697">
        <v>3.799872685</v>
      </c>
      <c r="Y2697" t="s">
        <v>3892</v>
      </c>
      <c r="Z2697" t="s">
        <v>10180</v>
      </c>
      <c r="AA2697" t="s">
        <v>2714</v>
      </c>
      <c r="AB2697" t="s">
        <v>1278</v>
      </c>
      <c r="AC2697" t="s">
        <v>2414</v>
      </c>
      <c r="AE2697">
        <v>1</v>
      </c>
      <c r="AO2697" t="s">
        <v>2715</v>
      </c>
      <c r="AP2697" t="s">
        <v>2401</v>
      </c>
    </row>
    <row r="2698" spans="1:42">
      <c r="A2698" t="s">
        <v>8516</v>
      </c>
      <c r="B2698" t="s">
        <v>2389</v>
      </c>
      <c r="C2698" t="s">
        <v>2378</v>
      </c>
      <c r="D2698" t="s">
        <v>2379</v>
      </c>
      <c r="E2698" t="s">
        <v>25</v>
      </c>
      <c r="F2698" t="s">
        <v>2725</v>
      </c>
      <c r="G2698" t="s">
        <v>25</v>
      </c>
      <c r="H2698" t="b">
        <v>1</v>
      </c>
      <c r="I2698" s="8">
        <v>45959.752349537041</v>
      </c>
      <c r="J2698" t="s">
        <v>2380</v>
      </c>
      <c r="K2698">
        <v>1205667</v>
      </c>
      <c r="L2698">
        <v>604507</v>
      </c>
      <c r="M2698" t="s">
        <v>2381</v>
      </c>
      <c r="N2698">
        <v>5</v>
      </c>
      <c r="P2698" t="s">
        <v>2394</v>
      </c>
      <c r="Q2698" t="s">
        <v>2395</v>
      </c>
      <c r="R2698">
        <v>1</v>
      </c>
      <c r="S2698" t="s">
        <v>2380</v>
      </c>
      <c r="T2698" t="s">
        <v>2383</v>
      </c>
      <c r="U2698" s="8">
        <v>45954.715590277781</v>
      </c>
      <c r="V2698" s="8">
        <v>45960.958333333336</v>
      </c>
      <c r="W2698">
        <v>1</v>
      </c>
      <c r="X2698">
        <v>3.0367592590000001</v>
      </c>
      <c r="Y2698" t="s">
        <v>1352</v>
      </c>
      <c r="Z2698" t="s">
        <v>8517</v>
      </c>
      <c r="AA2698" t="s">
        <v>8518</v>
      </c>
      <c r="AB2698" t="s">
        <v>1278</v>
      </c>
      <c r="AC2698" t="s">
        <v>8519</v>
      </c>
      <c r="AD2698" t="s">
        <v>2708</v>
      </c>
      <c r="AE2698">
        <v>1</v>
      </c>
      <c r="AO2698" t="s">
        <v>4137</v>
      </c>
      <c r="AP2698" t="s">
        <v>2401</v>
      </c>
    </row>
    <row r="2699" spans="1:42">
      <c r="A2699" t="s">
        <v>1179</v>
      </c>
      <c r="B2699" t="s">
        <v>2377</v>
      </c>
      <c r="C2699" t="s">
        <v>2443</v>
      </c>
      <c r="D2699" t="s">
        <v>2443</v>
      </c>
      <c r="E2699" t="s">
        <v>2416</v>
      </c>
      <c r="F2699" t="s">
        <v>3891</v>
      </c>
      <c r="G2699" t="s">
        <v>33</v>
      </c>
      <c r="H2699" t="b">
        <v>1</v>
      </c>
      <c r="I2699" s="8">
        <v>45958.678402777776</v>
      </c>
      <c r="J2699" t="s">
        <v>2380</v>
      </c>
      <c r="L2699">
        <v>603825</v>
      </c>
      <c r="M2699" t="s">
        <v>2381</v>
      </c>
      <c r="Q2699" t="s">
        <v>2383</v>
      </c>
      <c r="R2699">
        <v>1</v>
      </c>
      <c r="S2699" t="s">
        <v>2380</v>
      </c>
      <c r="T2699" t="s">
        <v>2383</v>
      </c>
      <c r="U2699" s="8">
        <v>45950</v>
      </c>
      <c r="V2699" s="8">
        <v>45952.958333333336</v>
      </c>
      <c r="W2699">
        <v>1</v>
      </c>
      <c r="X2699">
        <v>6.6784027779999997</v>
      </c>
      <c r="Y2699" t="s">
        <v>3892</v>
      </c>
      <c r="Z2699" t="s">
        <v>8853</v>
      </c>
      <c r="AA2699" t="s">
        <v>4953</v>
      </c>
      <c r="AB2699" t="s">
        <v>1278</v>
      </c>
      <c r="AC2699" t="s">
        <v>8854</v>
      </c>
      <c r="AD2699" t="s">
        <v>2708</v>
      </c>
      <c r="AE2699">
        <v>1</v>
      </c>
      <c r="AH2699" t="s">
        <v>33</v>
      </c>
      <c r="AI2699" s="8">
        <v>45958.644201388888</v>
      </c>
      <c r="AK2699" t="s">
        <v>2719</v>
      </c>
      <c r="AL2699" t="s">
        <v>2719</v>
      </c>
      <c r="AO2699" t="s">
        <v>2715</v>
      </c>
      <c r="AP2699" t="s">
        <v>2401</v>
      </c>
    </row>
    <row r="2700" spans="1:42">
      <c r="A2700" t="s">
        <v>3516</v>
      </c>
      <c r="B2700" t="s">
        <v>2389</v>
      </c>
      <c r="C2700" t="s">
        <v>2378</v>
      </c>
      <c r="D2700" t="s">
        <v>2379</v>
      </c>
      <c r="E2700" t="s">
        <v>2452</v>
      </c>
      <c r="F2700" t="s">
        <v>3514</v>
      </c>
      <c r="G2700" t="s">
        <v>2452</v>
      </c>
      <c r="H2700" t="b">
        <v>1</v>
      </c>
      <c r="I2700" s="8">
        <v>45960.481828703705</v>
      </c>
      <c r="J2700" t="s">
        <v>2380</v>
      </c>
      <c r="L2700">
        <v>603695</v>
      </c>
      <c r="M2700" t="s">
        <v>2381</v>
      </c>
      <c r="P2700" t="s">
        <v>2394</v>
      </c>
      <c r="Q2700" t="s">
        <v>2383</v>
      </c>
      <c r="R2700">
        <v>1</v>
      </c>
      <c r="S2700" t="s">
        <v>2380</v>
      </c>
      <c r="T2700" t="s">
        <v>2383</v>
      </c>
      <c r="U2700" s="8">
        <v>45954.769305555557</v>
      </c>
      <c r="V2700" s="8">
        <v>45960.958333333336</v>
      </c>
      <c r="W2700">
        <v>1</v>
      </c>
      <c r="X2700">
        <v>3.7125231479999998</v>
      </c>
      <c r="Y2700" t="s">
        <v>3515</v>
      </c>
      <c r="Z2700" t="s">
        <v>3517</v>
      </c>
      <c r="AA2700" t="s">
        <v>3518</v>
      </c>
      <c r="AB2700" t="s">
        <v>1278</v>
      </c>
      <c r="AC2700" t="s">
        <v>3519</v>
      </c>
      <c r="AE2700">
        <v>1</v>
      </c>
      <c r="AO2700" t="s">
        <v>2957</v>
      </c>
      <c r="AP2700" t="s">
        <v>2401</v>
      </c>
    </row>
    <row r="2701" spans="1:42">
      <c r="A2701" t="s">
        <v>4678</v>
      </c>
      <c r="B2701" t="s">
        <v>2389</v>
      </c>
      <c r="C2701" t="s">
        <v>2378</v>
      </c>
      <c r="D2701" t="s">
        <v>2379</v>
      </c>
      <c r="E2701" t="s">
        <v>2452</v>
      </c>
      <c r="F2701" t="s">
        <v>4676</v>
      </c>
      <c r="G2701" t="s">
        <v>2452</v>
      </c>
      <c r="H2701" t="b">
        <v>1</v>
      </c>
      <c r="I2701" s="8">
        <v>45960.373263888891</v>
      </c>
      <c r="J2701" t="s">
        <v>2380</v>
      </c>
      <c r="K2701">
        <v>1205690</v>
      </c>
      <c r="L2701">
        <v>602586</v>
      </c>
      <c r="M2701" t="s">
        <v>2381</v>
      </c>
      <c r="Q2701" t="s">
        <v>2383</v>
      </c>
      <c r="R2701">
        <v>1</v>
      </c>
      <c r="S2701" t="s">
        <v>2380</v>
      </c>
      <c r="T2701" t="s">
        <v>2383</v>
      </c>
      <c r="U2701" s="8">
        <v>45955.327789351853</v>
      </c>
      <c r="V2701" s="8">
        <v>45964.958333333336</v>
      </c>
      <c r="W2701">
        <v>1</v>
      </c>
      <c r="X2701">
        <v>3.045474537</v>
      </c>
      <c r="Y2701" t="s">
        <v>4677</v>
      </c>
      <c r="Z2701" t="s">
        <v>4679</v>
      </c>
      <c r="AA2701" t="s">
        <v>4680</v>
      </c>
      <c r="AB2701" t="s">
        <v>1278</v>
      </c>
      <c r="AC2701" t="s">
        <v>4681</v>
      </c>
      <c r="AD2701" t="s">
        <v>2708</v>
      </c>
      <c r="AE2701">
        <v>1</v>
      </c>
      <c r="AO2701" t="s">
        <v>2957</v>
      </c>
      <c r="AP2701" t="s">
        <v>2401</v>
      </c>
    </row>
    <row r="2702" spans="1:42">
      <c r="A2702" t="s">
        <v>3468</v>
      </c>
      <c r="B2702" t="s">
        <v>2377</v>
      </c>
      <c r="C2702" t="s">
        <v>2378</v>
      </c>
      <c r="D2702" t="s">
        <v>2379</v>
      </c>
      <c r="E2702" t="s">
        <v>28</v>
      </c>
      <c r="F2702" t="s">
        <v>3301</v>
      </c>
      <c r="G2702" t="s">
        <v>28</v>
      </c>
      <c r="H2702" t="b">
        <v>1</v>
      </c>
      <c r="I2702" s="8">
        <v>45960.624722222223</v>
      </c>
      <c r="J2702" t="s">
        <v>2380</v>
      </c>
      <c r="L2702">
        <v>606875</v>
      </c>
      <c r="M2702" t="s">
        <v>2381</v>
      </c>
      <c r="Q2702" t="s">
        <v>2383</v>
      </c>
      <c r="R2702">
        <v>1</v>
      </c>
      <c r="S2702" t="s">
        <v>2380</v>
      </c>
      <c r="T2702" t="s">
        <v>2383</v>
      </c>
      <c r="U2702" s="8">
        <v>45955.352685185186</v>
      </c>
      <c r="V2702" s="8">
        <v>45960.958333333336</v>
      </c>
      <c r="W2702">
        <v>1</v>
      </c>
      <c r="X2702">
        <v>3.272037037</v>
      </c>
      <c r="Y2702" t="s">
        <v>3302</v>
      </c>
      <c r="Z2702" t="s">
        <v>3469</v>
      </c>
      <c r="AA2702" t="s">
        <v>3470</v>
      </c>
      <c r="AB2702" t="s">
        <v>1278</v>
      </c>
      <c r="AC2702" t="s">
        <v>3471</v>
      </c>
      <c r="AE2702">
        <v>1</v>
      </c>
      <c r="AO2702" t="s">
        <v>2957</v>
      </c>
      <c r="AP2702" t="s">
        <v>2401</v>
      </c>
    </row>
    <row r="2703" spans="1:42">
      <c r="A2703" t="s">
        <v>3487</v>
      </c>
      <c r="B2703" t="s">
        <v>2389</v>
      </c>
      <c r="C2703" t="s">
        <v>2390</v>
      </c>
      <c r="D2703" t="s">
        <v>2379</v>
      </c>
      <c r="E2703" t="s">
        <v>2452</v>
      </c>
      <c r="F2703" t="s">
        <v>3485</v>
      </c>
      <c r="G2703" t="s">
        <v>2452</v>
      </c>
      <c r="H2703" t="b">
        <v>1</v>
      </c>
      <c r="I2703" s="8">
        <v>45959.409409722219</v>
      </c>
      <c r="J2703" t="s">
        <v>2380</v>
      </c>
      <c r="L2703">
        <v>601554</v>
      </c>
      <c r="M2703" t="s">
        <v>2381</v>
      </c>
      <c r="Q2703" t="s">
        <v>2383</v>
      </c>
      <c r="R2703">
        <v>1</v>
      </c>
      <c r="S2703" t="s">
        <v>2380</v>
      </c>
      <c r="T2703" t="s">
        <v>2383</v>
      </c>
      <c r="U2703" s="8">
        <v>45955.35601851852</v>
      </c>
      <c r="V2703" s="8">
        <v>45964.958333333336</v>
      </c>
      <c r="W2703">
        <v>1</v>
      </c>
      <c r="X2703">
        <v>2.053391204</v>
      </c>
      <c r="Y2703" t="s">
        <v>3486</v>
      </c>
      <c r="Z2703" t="s">
        <v>3488</v>
      </c>
      <c r="AA2703" t="s">
        <v>3489</v>
      </c>
      <c r="AB2703" t="s">
        <v>1278</v>
      </c>
      <c r="AC2703" t="s">
        <v>3490</v>
      </c>
      <c r="AE2703">
        <v>1</v>
      </c>
      <c r="AO2703" t="s">
        <v>2957</v>
      </c>
      <c r="AP2703" t="s">
        <v>2401</v>
      </c>
    </row>
    <row r="2704" spans="1:42">
      <c r="A2704" t="s">
        <v>8645</v>
      </c>
      <c r="B2704" t="s">
        <v>2389</v>
      </c>
      <c r="C2704" t="s">
        <v>2390</v>
      </c>
      <c r="D2704" t="s">
        <v>2379</v>
      </c>
      <c r="E2704" t="s">
        <v>2452</v>
      </c>
      <c r="F2704" t="s">
        <v>3747</v>
      </c>
      <c r="G2704" t="s">
        <v>2452</v>
      </c>
      <c r="H2704" t="b">
        <v>1</v>
      </c>
      <c r="I2704" s="8">
        <v>45960.333055555559</v>
      </c>
      <c r="J2704" t="s">
        <v>2380</v>
      </c>
      <c r="K2704">
        <v>1205685</v>
      </c>
      <c r="L2704">
        <v>606887</v>
      </c>
      <c r="M2704" t="s">
        <v>2381</v>
      </c>
      <c r="Q2704" t="s">
        <v>2383</v>
      </c>
      <c r="R2704">
        <v>1</v>
      </c>
      <c r="S2704" t="s">
        <v>2380</v>
      </c>
      <c r="T2704" t="s">
        <v>2383</v>
      </c>
      <c r="U2704" s="8">
        <v>45955.382175925923</v>
      </c>
      <c r="V2704" s="8">
        <v>45964.958333333336</v>
      </c>
      <c r="W2704">
        <v>1</v>
      </c>
      <c r="X2704">
        <v>2.9508796300000002</v>
      </c>
      <c r="Y2704" t="s">
        <v>3748</v>
      </c>
      <c r="Z2704" t="s">
        <v>8646</v>
      </c>
      <c r="AA2704" t="s">
        <v>8647</v>
      </c>
      <c r="AB2704" t="s">
        <v>1278</v>
      </c>
      <c r="AC2704" t="s">
        <v>8648</v>
      </c>
      <c r="AD2704" t="s">
        <v>2708</v>
      </c>
      <c r="AE2704">
        <v>1</v>
      </c>
      <c r="AO2704" t="s">
        <v>2712</v>
      </c>
      <c r="AP2704" t="s">
        <v>2401</v>
      </c>
    </row>
    <row r="2705" spans="1:42">
      <c r="A2705" t="s">
        <v>2411</v>
      </c>
      <c r="B2705" t="s">
        <v>2377</v>
      </c>
      <c r="C2705" t="s">
        <v>2378</v>
      </c>
      <c r="D2705" t="s">
        <v>2379</v>
      </c>
      <c r="E2705" t="s">
        <v>24</v>
      </c>
      <c r="F2705" t="s">
        <v>2409</v>
      </c>
      <c r="G2705" t="s">
        <v>24</v>
      </c>
      <c r="H2705" t="b">
        <v>1</v>
      </c>
      <c r="I2705" s="8">
        <v>45960.480138888888</v>
      </c>
      <c r="J2705" t="s">
        <v>2380</v>
      </c>
      <c r="L2705">
        <v>606815</v>
      </c>
      <c r="M2705" t="s">
        <v>2381</v>
      </c>
      <c r="Q2705" t="s">
        <v>2383</v>
      </c>
      <c r="R2705">
        <v>1</v>
      </c>
      <c r="S2705" t="s">
        <v>2380</v>
      </c>
      <c r="T2705" t="s">
        <v>2383</v>
      </c>
      <c r="U2705" s="8">
        <v>45955.403773148151</v>
      </c>
      <c r="V2705" s="8">
        <v>45960.958333333336</v>
      </c>
      <c r="W2705">
        <v>1</v>
      </c>
      <c r="X2705">
        <v>3.076365741</v>
      </c>
      <c r="Y2705" t="s">
        <v>2410</v>
      </c>
      <c r="Z2705" t="s">
        <v>2412</v>
      </c>
      <c r="AA2705" t="s">
        <v>2413</v>
      </c>
      <c r="AB2705" t="s">
        <v>1278</v>
      </c>
      <c r="AC2705" t="s">
        <v>2414</v>
      </c>
      <c r="AE2705">
        <v>1</v>
      </c>
      <c r="AO2705" t="s">
        <v>2408</v>
      </c>
      <c r="AP2705" t="s">
        <v>2401</v>
      </c>
    </row>
    <row r="2706" spans="1:42">
      <c r="A2706" t="s">
        <v>3474</v>
      </c>
      <c r="B2706" t="s">
        <v>2377</v>
      </c>
      <c r="C2706" t="s">
        <v>2378</v>
      </c>
      <c r="D2706" t="s">
        <v>2379</v>
      </c>
      <c r="E2706" t="s">
        <v>28</v>
      </c>
      <c r="F2706" t="s">
        <v>3472</v>
      </c>
      <c r="G2706" t="s">
        <v>28</v>
      </c>
      <c r="H2706" t="b">
        <v>1</v>
      </c>
      <c r="I2706" s="8">
        <v>45960.611018518517</v>
      </c>
      <c r="J2706" t="s">
        <v>2380</v>
      </c>
      <c r="L2706">
        <v>609747</v>
      </c>
      <c r="M2706" t="s">
        <v>2381</v>
      </c>
      <c r="P2706" t="s">
        <v>2427</v>
      </c>
      <c r="Q2706" t="s">
        <v>2383</v>
      </c>
      <c r="R2706">
        <v>1</v>
      </c>
      <c r="S2706" t="s">
        <v>2380</v>
      </c>
      <c r="T2706" t="s">
        <v>2383</v>
      </c>
      <c r="U2706" s="8">
        <v>45955.447708333333</v>
      </c>
      <c r="V2706" s="8">
        <v>45960.958333333336</v>
      </c>
      <c r="W2706">
        <v>1</v>
      </c>
      <c r="X2706">
        <v>3.1633101849999998</v>
      </c>
      <c r="Y2706" t="s">
        <v>3473</v>
      </c>
      <c r="Z2706" t="s">
        <v>3475</v>
      </c>
      <c r="AA2706" t="s">
        <v>3476</v>
      </c>
      <c r="AB2706" t="s">
        <v>1278</v>
      </c>
      <c r="AC2706" t="s">
        <v>3471</v>
      </c>
      <c r="AE2706">
        <v>1</v>
      </c>
      <c r="AO2706" t="s">
        <v>2957</v>
      </c>
      <c r="AP2706" t="s">
        <v>2401</v>
      </c>
    </row>
    <row r="2707" spans="1:42">
      <c r="A2707" t="s">
        <v>2574</v>
      </c>
      <c r="B2707" t="s">
        <v>2389</v>
      </c>
      <c r="C2707" t="s">
        <v>2390</v>
      </c>
      <c r="D2707" t="s">
        <v>2379</v>
      </c>
      <c r="E2707" t="s">
        <v>25</v>
      </c>
      <c r="F2707" t="s">
        <v>2541</v>
      </c>
      <c r="G2707" t="s">
        <v>25</v>
      </c>
      <c r="H2707" t="b">
        <v>1</v>
      </c>
      <c r="I2707" s="8">
        <v>45959.789895833332</v>
      </c>
      <c r="J2707" t="s">
        <v>2380</v>
      </c>
      <c r="L2707">
        <v>608399</v>
      </c>
      <c r="M2707" t="s">
        <v>2381</v>
      </c>
      <c r="P2707" t="s">
        <v>2427</v>
      </c>
      <c r="Q2707" t="s">
        <v>2383</v>
      </c>
      <c r="R2707">
        <v>1</v>
      </c>
      <c r="S2707" t="s">
        <v>2380</v>
      </c>
      <c r="T2707" t="s">
        <v>2383</v>
      </c>
      <c r="U2707" s="8">
        <v>45955.454745370371</v>
      </c>
      <c r="V2707" s="8">
        <v>45960.958333333336</v>
      </c>
      <c r="W2707">
        <v>1</v>
      </c>
      <c r="X2707">
        <v>2.3351504630000002</v>
      </c>
      <c r="Y2707" t="s">
        <v>2542</v>
      </c>
      <c r="Z2707" t="s">
        <v>2575</v>
      </c>
      <c r="AA2707" t="s">
        <v>2576</v>
      </c>
      <c r="AB2707" t="s">
        <v>1278</v>
      </c>
      <c r="AC2707" t="s">
        <v>2577</v>
      </c>
      <c r="AE2707">
        <v>1</v>
      </c>
      <c r="AO2707" t="s">
        <v>2547</v>
      </c>
      <c r="AP2707" t="s">
        <v>2401</v>
      </c>
    </row>
    <row r="2708" spans="1:42">
      <c r="A2708" t="s">
        <v>10238</v>
      </c>
      <c r="B2708" t="s">
        <v>2377</v>
      </c>
      <c r="C2708" t="s">
        <v>2378</v>
      </c>
      <c r="D2708" t="s">
        <v>2379</v>
      </c>
      <c r="E2708" t="s">
        <v>2416</v>
      </c>
      <c r="F2708" t="s">
        <v>4812</v>
      </c>
      <c r="G2708" t="s">
        <v>2416</v>
      </c>
      <c r="H2708" t="b">
        <v>1</v>
      </c>
      <c r="I2708" s="8">
        <v>45960.722349537034</v>
      </c>
      <c r="J2708" t="s">
        <v>2380</v>
      </c>
      <c r="L2708">
        <v>605558</v>
      </c>
      <c r="M2708" t="s">
        <v>2381</v>
      </c>
      <c r="Q2708" t="s">
        <v>2383</v>
      </c>
      <c r="R2708">
        <v>1</v>
      </c>
      <c r="S2708" t="s">
        <v>2380</v>
      </c>
      <c r="T2708" t="s">
        <v>2383</v>
      </c>
      <c r="U2708" s="8">
        <v>45955.518055555556</v>
      </c>
      <c r="V2708" s="8">
        <v>45960.958333333336</v>
      </c>
      <c r="W2708">
        <v>1</v>
      </c>
      <c r="X2708">
        <v>3.2042939810000002</v>
      </c>
      <c r="Y2708" t="s">
        <v>4813</v>
      </c>
      <c r="Z2708" t="s">
        <v>10239</v>
      </c>
      <c r="AA2708" t="s">
        <v>8938</v>
      </c>
      <c r="AB2708" t="s">
        <v>1278</v>
      </c>
      <c r="AC2708" t="s">
        <v>10240</v>
      </c>
      <c r="AE2708">
        <v>1</v>
      </c>
      <c r="AO2708" t="s">
        <v>2957</v>
      </c>
      <c r="AP2708" t="s">
        <v>8931</v>
      </c>
    </row>
    <row r="2709" spans="1:42">
      <c r="A2709" t="s">
        <v>2444</v>
      </c>
      <c r="B2709" t="s">
        <v>2389</v>
      </c>
      <c r="C2709" t="s">
        <v>2443</v>
      </c>
      <c r="D2709" t="s">
        <v>2443</v>
      </c>
      <c r="E2709" t="s">
        <v>18</v>
      </c>
      <c r="F2709" t="s">
        <v>2417</v>
      </c>
      <c r="G2709" t="s">
        <v>2416</v>
      </c>
      <c r="H2709" t="b">
        <v>1</v>
      </c>
      <c r="I2709" s="8">
        <v>45956.411909722221</v>
      </c>
      <c r="J2709" t="s">
        <v>2380</v>
      </c>
      <c r="L2709">
        <v>608552</v>
      </c>
      <c r="M2709" t="s">
        <v>2381</v>
      </c>
      <c r="Q2709" t="s">
        <v>2383</v>
      </c>
      <c r="R2709">
        <v>1</v>
      </c>
      <c r="S2709" t="s">
        <v>2380</v>
      </c>
      <c r="T2709" t="s">
        <v>2383</v>
      </c>
      <c r="U2709" s="8">
        <v>45952</v>
      </c>
      <c r="V2709" s="8">
        <v>45954.958333333336</v>
      </c>
      <c r="W2709">
        <v>1</v>
      </c>
      <c r="X2709">
        <v>2.4119097219999999</v>
      </c>
      <c r="Y2709" t="s">
        <v>2418</v>
      </c>
      <c r="Z2709" t="s">
        <v>2445</v>
      </c>
      <c r="AA2709" t="s">
        <v>2425</v>
      </c>
      <c r="AB2709" t="s">
        <v>1278</v>
      </c>
      <c r="AC2709" t="s">
        <v>2446</v>
      </c>
      <c r="AE2709">
        <v>1</v>
      </c>
      <c r="AO2709" t="s">
        <v>2408</v>
      </c>
      <c r="AP2709" t="s">
        <v>2401</v>
      </c>
    </row>
    <row r="2710" spans="1:42">
      <c r="A2710" t="s">
        <v>8474</v>
      </c>
      <c r="B2710" t="s">
        <v>2389</v>
      </c>
      <c r="C2710" t="s">
        <v>2378</v>
      </c>
      <c r="D2710" t="s">
        <v>2379</v>
      </c>
      <c r="E2710" t="s">
        <v>25</v>
      </c>
      <c r="F2710" t="s">
        <v>2588</v>
      </c>
      <c r="G2710" t="s">
        <v>25</v>
      </c>
      <c r="H2710" t="b">
        <v>1</v>
      </c>
      <c r="I2710" s="8">
        <v>45959.778321759259</v>
      </c>
      <c r="J2710" t="s">
        <v>2380</v>
      </c>
      <c r="K2710">
        <v>1205672</v>
      </c>
      <c r="L2710">
        <v>604400</v>
      </c>
      <c r="M2710" t="s">
        <v>2381</v>
      </c>
      <c r="N2710">
        <v>5</v>
      </c>
      <c r="P2710" t="s">
        <v>2394</v>
      </c>
      <c r="Q2710" t="s">
        <v>2395</v>
      </c>
      <c r="R2710">
        <v>1</v>
      </c>
      <c r="S2710" t="s">
        <v>2380</v>
      </c>
      <c r="T2710" t="s">
        <v>2383</v>
      </c>
      <c r="U2710" s="8">
        <v>45956.416365740741</v>
      </c>
      <c r="V2710" s="8">
        <v>45960.958333333336</v>
      </c>
      <c r="W2710">
        <v>1</v>
      </c>
      <c r="X2710">
        <v>3.361956019</v>
      </c>
      <c r="Y2710" t="s">
        <v>2579</v>
      </c>
      <c r="Z2710" t="s">
        <v>8475</v>
      </c>
      <c r="AA2710" t="s">
        <v>8476</v>
      </c>
      <c r="AB2710" t="s">
        <v>1278</v>
      </c>
      <c r="AC2710" t="s">
        <v>8477</v>
      </c>
      <c r="AD2710" t="s">
        <v>2708</v>
      </c>
      <c r="AE2710">
        <v>1</v>
      </c>
      <c r="AO2710" t="s">
        <v>4137</v>
      </c>
      <c r="AP2710" t="s">
        <v>2401</v>
      </c>
    </row>
    <row r="2711" spans="1:42">
      <c r="A2711" t="s">
        <v>3011</v>
      </c>
      <c r="B2711" t="s">
        <v>2389</v>
      </c>
      <c r="C2711" t="s">
        <v>2443</v>
      </c>
      <c r="D2711" t="s">
        <v>2443</v>
      </c>
      <c r="E2711" t="s">
        <v>18</v>
      </c>
      <c r="F2711" t="s">
        <v>2417</v>
      </c>
      <c r="G2711" t="s">
        <v>2416</v>
      </c>
      <c r="H2711" t="b">
        <v>1</v>
      </c>
      <c r="I2711" s="8">
        <v>45956.445381944446</v>
      </c>
      <c r="J2711" t="s">
        <v>2380</v>
      </c>
      <c r="K2711">
        <v>1204660</v>
      </c>
      <c r="L2711">
        <v>601143</v>
      </c>
      <c r="M2711" t="s">
        <v>2381</v>
      </c>
      <c r="Q2711" t="s">
        <v>2383</v>
      </c>
      <c r="R2711">
        <v>1</v>
      </c>
      <c r="S2711" t="s">
        <v>2380</v>
      </c>
      <c r="T2711" t="s">
        <v>2383</v>
      </c>
      <c r="U2711" s="8">
        <v>45952</v>
      </c>
      <c r="V2711" s="8">
        <v>45954.958333333336</v>
      </c>
      <c r="W2711">
        <v>1</v>
      </c>
      <c r="X2711">
        <v>2.4453819440000002</v>
      </c>
      <c r="Y2711" t="s">
        <v>2418</v>
      </c>
      <c r="Z2711" t="s">
        <v>3012</v>
      </c>
      <c r="AA2711" t="s">
        <v>2421</v>
      </c>
      <c r="AB2711" t="s">
        <v>1278</v>
      </c>
      <c r="AC2711" t="s">
        <v>3013</v>
      </c>
      <c r="AD2711" t="s">
        <v>2708</v>
      </c>
      <c r="AE2711">
        <v>1</v>
      </c>
      <c r="AO2711" t="s">
        <v>2408</v>
      </c>
      <c r="AP2711" t="s">
        <v>2401</v>
      </c>
    </row>
    <row r="2712" spans="1:42">
      <c r="A2712" t="s">
        <v>513</v>
      </c>
      <c r="B2712" t="s">
        <v>2377</v>
      </c>
      <c r="C2712" t="s">
        <v>2443</v>
      </c>
      <c r="D2712" t="s">
        <v>2443</v>
      </c>
      <c r="E2712" t="s">
        <v>2416</v>
      </c>
      <c r="F2712" t="s">
        <v>3747</v>
      </c>
      <c r="G2712" t="s">
        <v>33</v>
      </c>
      <c r="H2712" t="b">
        <v>1</v>
      </c>
      <c r="I2712" s="8">
        <v>45958.678460648145</v>
      </c>
      <c r="J2712" t="s">
        <v>2380</v>
      </c>
      <c r="L2712">
        <v>606864</v>
      </c>
      <c r="M2712" t="s">
        <v>2381</v>
      </c>
      <c r="Q2712" t="s">
        <v>2383</v>
      </c>
      <c r="R2712">
        <v>1</v>
      </c>
      <c r="S2712" t="s">
        <v>2380</v>
      </c>
      <c r="T2712" t="s">
        <v>2383</v>
      </c>
      <c r="U2712" s="8">
        <v>45952</v>
      </c>
      <c r="V2712" s="8">
        <v>45954.958333333336</v>
      </c>
      <c r="W2712">
        <v>1</v>
      </c>
      <c r="X2712">
        <v>4.6784606479999997</v>
      </c>
      <c r="Y2712" t="s">
        <v>3748</v>
      </c>
      <c r="Z2712" t="s">
        <v>8846</v>
      </c>
      <c r="AA2712" t="s">
        <v>4049</v>
      </c>
      <c r="AB2712" t="s">
        <v>1278</v>
      </c>
      <c r="AC2712" t="s">
        <v>8847</v>
      </c>
      <c r="AD2712" t="s">
        <v>2708</v>
      </c>
      <c r="AE2712">
        <v>1</v>
      </c>
      <c r="AH2712" t="s">
        <v>33</v>
      </c>
      <c r="AI2712" s="8">
        <v>45958.644328703704</v>
      </c>
      <c r="AK2712" t="s">
        <v>2719</v>
      </c>
      <c r="AL2712" t="s">
        <v>2719</v>
      </c>
      <c r="AO2712" t="s">
        <v>2712</v>
      </c>
      <c r="AP2712" t="s">
        <v>2401</v>
      </c>
    </row>
    <row r="2713" spans="1:42">
      <c r="A2713" t="s">
        <v>8513</v>
      </c>
      <c r="B2713" t="s">
        <v>2389</v>
      </c>
      <c r="C2713" t="s">
        <v>2390</v>
      </c>
      <c r="D2713" t="s">
        <v>2379</v>
      </c>
      <c r="E2713" t="s">
        <v>25</v>
      </c>
      <c r="F2713">
        <v>6415</v>
      </c>
      <c r="G2713" t="s">
        <v>25</v>
      </c>
      <c r="H2713" t="b">
        <v>1</v>
      </c>
      <c r="I2713" s="8">
        <v>45959.775925925926</v>
      </c>
      <c r="J2713" t="s">
        <v>2380</v>
      </c>
      <c r="K2713">
        <v>1205671</v>
      </c>
      <c r="L2713">
        <v>604475</v>
      </c>
      <c r="M2713" t="s">
        <v>2381</v>
      </c>
      <c r="N2713">
        <v>5</v>
      </c>
      <c r="P2713" t="s">
        <v>2394</v>
      </c>
      <c r="Q2713" t="s">
        <v>2395</v>
      </c>
      <c r="R2713">
        <v>1</v>
      </c>
      <c r="S2713" t="s">
        <v>2380</v>
      </c>
      <c r="T2713" t="s">
        <v>2383</v>
      </c>
      <c r="U2713" s="8">
        <v>45957.301898148151</v>
      </c>
      <c r="V2713" s="8">
        <v>45960.958333333336</v>
      </c>
      <c r="W2713">
        <v>1</v>
      </c>
      <c r="X2713">
        <v>2.474027778</v>
      </c>
      <c r="Y2713" t="s">
        <v>8176</v>
      </c>
      <c r="Z2713" t="s">
        <v>8514</v>
      </c>
      <c r="AA2713" t="s">
        <v>8179</v>
      </c>
      <c r="AB2713" t="s">
        <v>1278</v>
      </c>
      <c r="AC2713" t="s">
        <v>8515</v>
      </c>
      <c r="AD2713" t="s">
        <v>2708</v>
      </c>
      <c r="AE2713">
        <v>1</v>
      </c>
      <c r="AO2713" t="s">
        <v>4137</v>
      </c>
      <c r="AP2713" t="s">
        <v>2401</v>
      </c>
    </row>
    <row r="2714" spans="1:42">
      <c r="A2714" t="s">
        <v>8417</v>
      </c>
      <c r="B2714" t="s">
        <v>2389</v>
      </c>
      <c r="C2714" t="s">
        <v>2378</v>
      </c>
      <c r="D2714" t="s">
        <v>2379</v>
      </c>
      <c r="E2714" t="s">
        <v>24</v>
      </c>
      <c r="F2714" t="s">
        <v>2417</v>
      </c>
      <c r="G2714" t="s">
        <v>24</v>
      </c>
      <c r="H2714" t="b">
        <v>1</v>
      </c>
      <c r="I2714" s="8">
        <v>45960.619259259256</v>
      </c>
      <c r="J2714" t="s">
        <v>2380</v>
      </c>
      <c r="K2714">
        <v>1205858</v>
      </c>
      <c r="L2714">
        <v>602990</v>
      </c>
      <c r="M2714" t="s">
        <v>2381</v>
      </c>
      <c r="P2714" t="s">
        <v>2394</v>
      </c>
      <c r="Q2714" t="s">
        <v>2383</v>
      </c>
      <c r="R2714">
        <v>1</v>
      </c>
      <c r="S2714" t="s">
        <v>2380</v>
      </c>
      <c r="T2714" t="s">
        <v>2383</v>
      </c>
      <c r="U2714" s="8">
        <v>45957.345810185187</v>
      </c>
      <c r="V2714" s="8">
        <v>45960.958333333336</v>
      </c>
      <c r="W2714">
        <v>1</v>
      </c>
      <c r="X2714">
        <v>3.2734490740000002</v>
      </c>
      <c r="Y2714" t="s">
        <v>2418</v>
      </c>
      <c r="Z2714" t="s">
        <v>8418</v>
      </c>
      <c r="AA2714" t="s">
        <v>8419</v>
      </c>
      <c r="AB2714" t="s">
        <v>1278</v>
      </c>
      <c r="AD2714" t="s">
        <v>2708</v>
      </c>
      <c r="AE2714">
        <v>1</v>
      </c>
      <c r="AO2714" t="s">
        <v>4121</v>
      </c>
      <c r="AP2714" t="s">
        <v>2401</v>
      </c>
    </row>
    <row r="2715" spans="1:42">
      <c r="A2715" t="s">
        <v>9895</v>
      </c>
      <c r="B2715" t="s">
        <v>2377</v>
      </c>
      <c r="C2715" t="s">
        <v>2378</v>
      </c>
      <c r="D2715" t="s">
        <v>2379</v>
      </c>
      <c r="E2715" t="s">
        <v>2416</v>
      </c>
      <c r="F2715" t="s">
        <v>8551</v>
      </c>
      <c r="G2715" t="s">
        <v>2416</v>
      </c>
      <c r="H2715" t="b">
        <v>1</v>
      </c>
      <c r="I2715" s="8">
        <v>45960.733055555553</v>
      </c>
      <c r="J2715" t="s">
        <v>2380</v>
      </c>
      <c r="L2715">
        <v>602799</v>
      </c>
      <c r="M2715" t="s">
        <v>2381</v>
      </c>
      <c r="P2715" t="s">
        <v>2394</v>
      </c>
      <c r="Q2715" t="s">
        <v>2383</v>
      </c>
      <c r="R2715">
        <v>1</v>
      </c>
      <c r="S2715" t="s">
        <v>2380</v>
      </c>
      <c r="T2715" t="s">
        <v>2383</v>
      </c>
      <c r="U2715" s="8">
        <v>45957.37027777778</v>
      </c>
      <c r="V2715" s="8">
        <v>45960.958333333336</v>
      </c>
      <c r="W2715">
        <v>1</v>
      </c>
      <c r="X2715">
        <v>3.3627777779999999</v>
      </c>
      <c r="Y2715" t="s">
        <v>2628</v>
      </c>
      <c r="Z2715" t="s">
        <v>9896</v>
      </c>
      <c r="AA2715" t="s">
        <v>9897</v>
      </c>
      <c r="AB2715" t="s">
        <v>1278</v>
      </c>
      <c r="AC2715" t="s">
        <v>9898</v>
      </c>
      <c r="AE2715">
        <v>1</v>
      </c>
      <c r="AO2715" t="s">
        <v>3586</v>
      </c>
      <c r="AP2715" t="s">
        <v>2401</v>
      </c>
    </row>
    <row r="2716" spans="1:42">
      <c r="A2716" t="s">
        <v>8562</v>
      </c>
      <c r="B2716" t="s">
        <v>2389</v>
      </c>
      <c r="C2716" t="s">
        <v>2378</v>
      </c>
      <c r="D2716" t="s">
        <v>2379</v>
      </c>
      <c r="E2716" t="s">
        <v>24</v>
      </c>
      <c r="F2716" t="s">
        <v>3472</v>
      </c>
      <c r="G2716" t="s">
        <v>24</v>
      </c>
      <c r="H2716" t="b">
        <v>1</v>
      </c>
      <c r="I2716" s="8">
        <v>45960.628449074073</v>
      </c>
      <c r="J2716" t="s">
        <v>2380</v>
      </c>
      <c r="K2716">
        <v>1205861</v>
      </c>
      <c r="L2716">
        <v>603593</v>
      </c>
      <c r="M2716" t="s">
        <v>2381</v>
      </c>
      <c r="P2716" t="s">
        <v>2394</v>
      </c>
      <c r="Q2716" t="s">
        <v>2383</v>
      </c>
      <c r="R2716">
        <v>1</v>
      </c>
      <c r="S2716" t="s">
        <v>2380</v>
      </c>
      <c r="T2716" t="s">
        <v>2383</v>
      </c>
      <c r="U2716" s="8">
        <v>45957.375219907408</v>
      </c>
      <c r="V2716" s="8">
        <v>45960.958333333336</v>
      </c>
      <c r="W2716">
        <v>1</v>
      </c>
      <c r="X2716">
        <v>3.2532291670000002</v>
      </c>
      <c r="Y2716" t="s">
        <v>3473</v>
      </c>
      <c r="Z2716" t="s">
        <v>8563</v>
      </c>
      <c r="AA2716" t="s">
        <v>8564</v>
      </c>
      <c r="AB2716" t="s">
        <v>1278</v>
      </c>
      <c r="AD2716" t="s">
        <v>2708</v>
      </c>
      <c r="AE2716">
        <v>1</v>
      </c>
      <c r="AO2716" t="s">
        <v>3608</v>
      </c>
      <c r="AP2716" t="s">
        <v>2401</v>
      </c>
    </row>
    <row r="2717" spans="1:42">
      <c r="A2717" t="s">
        <v>8927</v>
      </c>
      <c r="B2717" t="s">
        <v>2389</v>
      </c>
      <c r="C2717" t="s">
        <v>2378</v>
      </c>
      <c r="D2717" t="s">
        <v>2379</v>
      </c>
      <c r="E2717" t="s">
        <v>2601</v>
      </c>
      <c r="F2717" t="s">
        <v>2588</v>
      </c>
      <c r="G2717" t="s">
        <v>2601</v>
      </c>
      <c r="H2717" t="b">
        <v>1</v>
      </c>
      <c r="I2717" s="8">
        <v>45960.530023148145</v>
      </c>
      <c r="J2717" t="s">
        <v>2380</v>
      </c>
      <c r="K2717">
        <v>1205834</v>
      </c>
      <c r="L2717">
        <v>605907</v>
      </c>
      <c r="M2717" t="s">
        <v>2381</v>
      </c>
      <c r="P2717" t="s">
        <v>2394</v>
      </c>
      <c r="Q2717" t="s">
        <v>2383</v>
      </c>
      <c r="R2717">
        <v>1</v>
      </c>
      <c r="S2717" t="s">
        <v>2380</v>
      </c>
      <c r="T2717" t="s">
        <v>2383</v>
      </c>
      <c r="U2717" s="8">
        <v>45957.42696759259</v>
      </c>
      <c r="V2717" s="8">
        <v>45960.958333333336</v>
      </c>
      <c r="W2717">
        <v>1</v>
      </c>
      <c r="X2717">
        <v>3.1030555560000002</v>
      </c>
      <c r="Y2717" t="s">
        <v>2579</v>
      </c>
      <c r="Z2717" t="s">
        <v>8928</v>
      </c>
      <c r="AA2717" t="s">
        <v>8929</v>
      </c>
      <c r="AB2717" t="s">
        <v>1278</v>
      </c>
      <c r="AC2717" t="s">
        <v>8930</v>
      </c>
      <c r="AD2717" t="s">
        <v>2708</v>
      </c>
      <c r="AE2717">
        <v>1</v>
      </c>
      <c r="AO2717" t="s">
        <v>2388</v>
      </c>
      <c r="AP2717" t="s">
        <v>8931</v>
      </c>
    </row>
    <row r="2718" spans="1:42">
      <c r="A2718" t="s">
        <v>2478</v>
      </c>
      <c r="B2718" t="s">
        <v>2389</v>
      </c>
      <c r="C2718" t="s">
        <v>2378</v>
      </c>
      <c r="D2718" t="s">
        <v>2379</v>
      </c>
      <c r="E2718" t="s">
        <v>2416</v>
      </c>
      <c r="F2718" t="s">
        <v>2477</v>
      </c>
      <c r="G2718" t="s">
        <v>2416</v>
      </c>
      <c r="H2718" t="b">
        <v>1</v>
      </c>
      <c r="I2718" s="8">
        <v>45960.748182870368</v>
      </c>
      <c r="J2718" t="s">
        <v>2380</v>
      </c>
      <c r="L2718">
        <v>603341</v>
      </c>
      <c r="M2718" t="s">
        <v>2381</v>
      </c>
      <c r="P2718" t="s">
        <v>2394</v>
      </c>
      <c r="Q2718" t="s">
        <v>2383</v>
      </c>
      <c r="R2718">
        <v>1</v>
      </c>
      <c r="S2718" t="s">
        <v>2380</v>
      </c>
      <c r="T2718" t="s">
        <v>2383</v>
      </c>
      <c r="U2718" s="8">
        <v>45957.575069444443</v>
      </c>
      <c r="V2718" s="8">
        <v>45960.958333333336</v>
      </c>
      <c r="W2718">
        <v>1</v>
      </c>
      <c r="X2718">
        <v>3.173113426</v>
      </c>
      <c r="Y2718" t="s">
        <v>2403</v>
      </c>
      <c r="Z2718" t="s">
        <v>2479</v>
      </c>
      <c r="AA2718" t="s">
        <v>2480</v>
      </c>
      <c r="AB2718" t="s">
        <v>1278</v>
      </c>
      <c r="AC2718" t="s">
        <v>2481</v>
      </c>
      <c r="AE2718">
        <v>1</v>
      </c>
      <c r="AO2718" t="s">
        <v>2408</v>
      </c>
      <c r="AP2718" t="s">
        <v>2401</v>
      </c>
    </row>
    <row r="2719" spans="1:42">
      <c r="A2719" t="s">
        <v>8387</v>
      </c>
      <c r="B2719" t="s">
        <v>2389</v>
      </c>
      <c r="C2719" t="s">
        <v>2378</v>
      </c>
      <c r="D2719" t="s">
        <v>2379</v>
      </c>
      <c r="E2719" t="s">
        <v>25</v>
      </c>
      <c r="F2719" t="s">
        <v>3491</v>
      </c>
      <c r="G2719" t="s">
        <v>25</v>
      </c>
      <c r="H2719" t="b">
        <v>1</v>
      </c>
      <c r="I2719" s="8">
        <v>45958.570497685185</v>
      </c>
      <c r="J2719" t="s">
        <v>2380</v>
      </c>
      <c r="K2719">
        <v>1204965</v>
      </c>
      <c r="L2719">
        <v>602666</v>
      </c>
      <c r="M2719" t="s">
        <v>2381</v>
      </c>
      <c r="N2719">
        <v>5</v>
      </c>
      <c r="P2719" t="s">
        <v>2394</v>
      </c>
      <c r="Q2719" t="s">
        <v>2383</v>
      </c>
      <c r="R2719">
        <v>1</v>
      </c>
      <c r="S2719" t="s">
        <v>2380</v>
      </c>
      <c r="T2719" t="s">
        <v>2383</v>
      </c>
      <c r="U2719" s="8">
        <v>45952.614085648151</v>
      </c>
      <c r="V2719" s="8">
        <v>45958.958333333336</v>
      </c>
      <c r="W2719">
        <v>1</v>
      </c>
      <c r="X2719">
        <v>3.9564120370000002</v>
      </c>
      <c r="Y2719" t="s">
        <v>3492</v>
      </c>
      <c r="Z2719" t="s">
        <v>8388</v>
      </c>
      <c r="AA2719" t="s">
        <v>3495</v>
      </c>
      <c r="AB2719" t="s">
        <v>1278</v>
      </c>
      <c r="AC2719" t="s">
        <v>8389</v>
      </c>
      <c r="AD2719" t="s">
        <v>2708</v>
      </c>
      <c r="AE2719">
        <v>1</v>
      </c>
      <c r="AO2719" t="s">
        <v>2957</v>
      </c>
      <c r="AP2719" t="s">
        <v>2401</v>
      </c>
    </row>
    <row r="2720" spans="1:42">
      <c r="A2720" t="s">
        <v>3497</v>
      </c>
      <c r="B2720" t="s">
        <v>2389</v>
      </c>
      <c r="C2720" t="s">
        <v>2415</v>
      </c>
      <c r="D2720" t="s">
        <v>2379</v>
      </c>
      <c r="E2720" t="s">
        <v>2452</v>
      </c>
      <c r="F2720" t="s">
        <v>3491</v>
      </c>
      <c r="G2720" t="s">
        <v>2452</v>
      </c>
      <c r="H2720" t="b">
        <v>1</v>
      </c>
      <c r="I2720" s="8">
        <v>45959.630243055559</v>
      </c>
      <c r="J2720" t="s">
        <v>2380</v>
      </c>
      <c r="L2720">
        <v>602666</v>
      </c>
      <c r="M2720" t="s">
        <v>2381</v>
      </c>
      <c r="Q2720" t="s">
        <v>2383</v>
      </c>
      <c r="R2720">
        <v>1</v>
      </c>
      <c r="S2720" t="s">
        <v>2380</v>
      </c>
      <c r="T2720" t="s">
        <v>2383</v>
      </c>
      <c r="U2720" s="8">
        <v>45958.338229166664</v>
      </c>
      <c r="V2720" s="8">
        <v>45961.958333333336</v>
      </c>
      <c r="W2720">
        <v>1</v>
      </c>
      <c r="X2720">
        <v>1.2920138889999999</v>
      </c>
      <c r="Y2720" t="s">
        <v>3492</v>
      </c>
      <c r="Z2720" t="s">
        <v>3498</v>
      </c>
      <c r="AA2720" t="s">
        <v>3495</v>
      </c>
      <c r="AB2720" t="s">
        <v>1278</v>
      </c>
      <c r="AC2720" t="s">
        <v>3499</v>
      </c>
      <c r="AE2720">
        <v>1</v>
      </c>
      <c r="AO2720" t="s">
        <v>2957</v>
      </c>
      <c r="AP2720" t="s">
        <v>2401</v>
      </c>
    </row>
    <row r="2721" spans="1:42">
      <c r="A2721" t="s">
        <v>8390</v>
      </c>
      <c r="B2721" t="s">
        <v>2389</v>
      </c>
      <c r="C2721" t="s">
        <v>2378</v>
      </c>
      <c r="D2721" t="s">
        <v>2379</v>
      </c>
      <c r="E2721" t="s">
        <v>25</v>
      </c>
      <c r="F2721" t="s">
        <v>3491</v>
      </c>
      <c r="G2721" t="s">
        <v>25</v>
      </c>
      <c r="H2721" t="b">
        <v>1</v>
      </c>
      <c r="I2721" s="8">
        <v>45958.543877314813</v>
      </c>
      <c r="J2721" t="s">
        <v>2380</v>
      </c>
      <c r="K2721">
        <v>1204955</v>
      </c>
      <c r="L2721">
        <v>602666</v>
      </c>
      <c r="M2721" t="s">
        <v>2381</v>
      </c>
      <c r="N2721">
        <v>5</v>
      </c>
      <c r="P2721" t="s">
        <v>2394</v>
      </c>
      <c r="Q2721" t="s">
        <v>2383</v>
      </c>
      <c r="R2721">
        <v>1</v>
      </c>
      <c r="S2721" t="s">
        <v>2380</v>
      </c>
      <c r="T2721" t="s">
        <v>2383</v>
      </c>
      <c r="U2721" s="8">
        <v>45952.551435185182</v>
      </c>
      <c r="V2721" s="8">
        <v>45958.958333333336</v>
      </c>
      <c r="W2721">
        <v>1</v>
      </c>
      <c r="X2721">
        <v>3.9924421300000001</v>
      </c>
      <c r="Y2721" t="s">
        <v>3492</v>
      </c>
      <c r="Z2721" t="s">
        <v>8391</v>
      </c>
      <c r="AA2721" t="s">
        <v>3495</v>
      </c>
      <c r="AB2721" t="s">
        <v>1278</v>
      </c>
      <c r="AC2721" t="s">
        <v>8392</v>
      </c>
      <c r="AD2721" t="s">
        <v>2708</v>
      </c>
      <c r="AE2721">
        <v>1</v>
      </c>
      <c r="AO2721" t="s">
        <v>2957</v>
      </c>
      <c r="AP2721" t="s">
        <v>2401</v>
      </c>
    </row>
    <row r="2722" spans="1:42">
      <c r="A2722" t="s">
        <v>802</v>
      </c>
      <c r="B2722" t="s">
        <v>2377</v>
      </c>
      <c r="C2722" t="s">
        <v>2438</v>
      </c>
      <c r="D2722" t="s">
        <v>2379</v>
      </c>
      <c r="E2722" t="s">
        <v>33</v>
      </c>
      <c r="F2722" t="s">
        <v>2409</v>
      </c>
      <c r="G2722" t="s">
        <v>33</v>
      </c>
      <c r="H2722" t="b">
        <v>1</v>
      </c>
      <c r="I2722" s="8">
        <v>45959.37232638889</v>
      </c>
      <c r="J2722" t="s">
        <v>2380</v>
      </c>
      <c r="L2722">
        <v>608028</v>
      </c>
      <c r="M2722" t="s">
        <v>2381</v>
      </c>
      <c r="Q2722" t="s">
        <v>2383</v>
      </c>
      <c r="R2722">
        <v>1</v>
      </c>
      <c r="S2722" t="s">
        <v>2380</v>
      </c>
      <c r="T2722" t="s">
        <v>2383</v>
      </c>
      <c r="U2722" s="8">
        <v>45958.403460648151</v>
      </c>
      <c r="V2722" s="8">
        <v>45961.958333333336</v>
      </c>
      <c r="W2722">
        <v>1</v>
      </c>
      <c r="X2722">
        <v>0.968865741</v>
      </c>
      <c r="Y2722" t="s">
        <v>2410</v>
      </c>
      <c r="Z2722" t="s">
        <v>8805</v>
      </c>
      <c r="AA2722" t="s">
        <v>8806</v>
      </c>
      <c r="AB2722" t="s">
        <v>1278</v>
      </c>
      <c r="AC2722" t="s">
        <v>8807</v>
      </c>
      <c r="AD2722" t="s">
        <v>2708</v>
      </c>
      <c r="AE2722">
        <v>1</v>
      </c>
      <c r="AH2722" t="s">
        <v>2723</v>
      </c>
      <c r="AI2722" s="8">
        <v>45958.706701388888</v>
      </c>
      <c r="AK2722" t="s">
        <v>2719</v>
      </c>
      <c r="AL2722" t="s">
        <v>2719</v>
      </c>
      <c r="AO2722" t="s">
        <v>3644</v>
      </c>
      <c r="AP2722" t="s">
        <v>2401</v>
      </c>
    </row>
    <row r="2723" spans="1:42">
      <c r="A2723" t="s">
        <v>3140</v>
      </c>
      <c r="B2723" t="s">
        <v>2389</v>
      </c>
      <c r="C2723" t="s">
        <v>2415</v>
      </c>
      <c r="D2723" t="s">
        <v>2379</v>
      </c>
      <c r="E2723" t="s">
        <v>25</v>
      </c>
      <c r="F2723" t="s">
        <v>2541</v>
      </c>
      <c r="G2723" t="s">
        <v>25</v>
      </c>
      <c r="H2723" t="b">
        <v>1</v>
      </c>
      <c r="I2723" s="8">
        <v>45959.788773148146</v>
      </c>
      <c r="J2723" t="s">
        <v>2380</v>
      </c>
      <c r="K2723">
        <v>1205676</v>
      </c>
      <c r="L2723">
        <v>608399</v>
      </c>
      <c r="M2723" t="s">
        <v>2381</v>
      </c>
      <c r="N2723">
        <v>5</v>
      </c>
      <c r="Q2723" t="s">
        <v>2383</v>
      </c>
      <c r="R2723">
        <v>1</v>
      </c>
      <c r="S2723" t="s">
        <v>2380</v>
      </c>
      <c r="T2723" t="s">
        <v>2383</v>
      </c>
      <c r="U2723" s="8">
        <v>45958.417048611111</v>
      </c>
      <c r="V2723" s="8">
        <v>45961.958333333336</v>
      </c>
      <c r="W2723">
        <v>1</v>
      </c>
      <c r="X2723">
        <v>1.371724537</v>
      </c>
      <c r="Y2723" t="s">
        <v>2542</v>
      </c>
      <c r="Z2723" t="s">
        <v>3141</v>
      </c>
      <c r="AA2723" t="s">
        <v>2576</v>
      </c>
      <c r="AB2723" t="s">
        <v>1278</v>
      </c>
      <c r="AC2723" t="s">
        <v>3142</v>
      </c>
      <c r="AD2723" t="s">
        <v>2708</v>
      </c>
      <c r="AE2723">
        <v>1</v>
      </c>
      <c r="AO2723" t="s">
        <v>2547</v>
      </c>
      <c r="AP2723" t="s">
        <v>2401</v>
      </c>
    </row>
    <row r="2724" spans="1:42">
      <c r="A2724" t="s">
        <v>3127</v>
      </c>
      <c r="B2724" t="s">
        <v>2389</v>
      </c>
      <c r="C2724" t="s">
        <v>2390</v>
      </c>
      <c r="D2724" t="s">
        <v>2379</v>
      </c>
      <c r="E2724" t="s">
        <v>2601</v>
      </c>
      <c r="F2724" t="s">
        <v>2541</v>
      </c>
      <c r="G2724" t="s">
        <v>2601</v>
      </c>
      <c r="H2724" t="b">
        <v>1</v>
      </c>
      <c r="I2724" s="8">
        <v>45960.57880787037</v>
      </c>
      <c r="J2724" t="s">
        <v>2380</v>
      </c>
      <c r="K2724">
        <v>1205838</v>
      </c>
      <c r="L2724">
        <v>605500</v>
      </c>
      <c r="M2724" t="s">
        <v>2381</v>
      </c>
      <c r="P2724" t="s">
        <v>2548</v>
      </c>
      <c r="Q2724" t="s">
        <v>2383</v>
      </c>
      <c r="R2724">
        <v>1</v>
      </c>
      <c r="S2724" t="s">
        <v>2380</v>
      </c>
      <c r="T2724" t="s">
        <v>2383</v>
      </c>
      <c r="U2724" s="8">
        <v>45958.420532407406</v>
      </c>
      <c r="V2724" s="8">
        <v>45961.958333333336</v>
      </c>
      <c r="W2724">
        <v>1</v>
      </c>
      <c r="X2724">
        <v>2.1582754629999998</v>
      </c>
      <c r="Y2724" t="s">
        <v>2542</v>
      </c>
      <c r="Z2724" t="s">
        <v>3128</v>
      </c>
      <c r="AA2724" t="s">
        <v>3129</v>
      </c>
      <c r="AB2724" t="s">
        <v>1278</v>
      </c>
      <c r="AC2724" t="s">
        <v>3130</v>
      </c>
      <c r="AD2724" t="s">
        <v>2708</v>
      </c>
      <c r="AE2724">
        <v>1</v>
      </c>
      <c r="AO2724" t="s">
        <v>2547</v>
      </c>
      <c r="AP2724" t="s">
        <v>2401</v>
      </c>
    </row>
    <row r="2725" spans="1:42">
      <c r="A2725" t="s">
        <v>8534</v>
      </c>
      <c r="B2725" t="s">
        <v>2389</v>
      </c>
      <c r="C2725" t="s">
        <v>2378</v>
      </c>
      <c r="D2725" t="s">
        <v>2379</v>
      </c>
      <c r="E2725" t="s">
        <v>25</v>
      </c>
      <c r="F2725" t="s">
        <v>3891</v>
      </c>
      <c r="G2725" t="s">
        <v>25</v>
      </c>
      <c r="H2725" t="b">
        <v>1</v>
      </c>
      <c r="I2725" s="8">
        <v>45958.568287037036</v>
      </c>
      <c r="J2725" t="s">
        <v>2380</v>
      </c>
      <c r="K2725">
        <v>1204964</v>
      </c>
      <c r="L2725">
        <v>604453</v>
      </c>
      <c r="M2725" t="s">
        <v>2381</v>
      </c>
      <c r="N2725">
        <v>5</v>
      </c>
      <c r="P2725" t="s">
        <v>2394</v>
      </c>
      <c r="Q2725" t="s">
        <v>2395</v>
      </c>
      <c r="R2725">
        <v>1</v>
      </c>
      <c r="S2725" t="s">
        <v>2380</v>
      </c>
      <c r="T2725" t="s">
        <v>2383</v>
      </c>
      <c r="U2725" s="8">
        <v>45952.655844907407</v>
      </c>
      <c r="V2725" s="8">
        <v>45958.958333333336</v>
      </c>
      <c r="W2725">
        <v>1</v>
      </c>
      <c r="X2725">
        <v>3.9124421300000001</v>
      </c>
      <c r="Y2725" t="s">
        <v>3892</v>
      </c>
      <c r="Z2725" t="s">
        <v>8535</v>
      </c>
      <c r="AA2725" t="s">
        <v>8341</v>
      </c>
      <c r="AB2725" t="s">
        <v>1278</v>
      </c>
      <c r="AC2725" t="s">
        <v>8536</v>
      </c>
      <c r="AD2725" t="s">
        <v>2708</v>
      </c>
      <c r="AE2725">
        <v>1</v>
      </c>
      <c r="AO2725" t="s">
        <v>4137</v>
      </c>
      <c r="AP2725" t="s">
        <v>2401</v>
      </c>
    </row>
    <row r="2726" spans="1:42">
      <c r="A2726" t="s">
        <v>2960</v>
      </c>
      <c r="B2726" t="s">
        <v>2389</v>
      </c>
      <c r="C2726" t="s">
        <v>2438</v>
      </c>
      <c r="D2726" t="s">
        <v>2379</v>
      </c>
      <c r="E2726" t="s">
        <v>2391</v>
      </c>
      <c r="F2726" t="s">
        <v>2392</v>
      </c>
      <c r="H2726" t="b">
        <v>1</v>
      </c>
      <c r="I2726" s="8">
        <v>45958.503553240742</v>
      </c>
      <c r="J2726" t="s">
        <v>2393</v>
      </c>
      <c r="K2726">
        <v>1204925</v>
      </c>
      <c r="L2726">
        <v>604513</v>
      </c>
      <c r="M2726" t="s">
        <v>2381</v>
      </c>
      <c r="Q2726" t="s">
        <v>2395</v>
      </c>
      <c r="R2726">
        <v>1</v>
      </c>
      <c r="S2726" t="s">
        <v>2393</v>
      </c>
      <c r="T2726" t="s">
        <v>2383</v>
      </c>
      <c r="U2726" s="8">
        <v>45958.452245370368</v>
      </c>
      <c r="V2726" s="8">
        <v>45961.958333333336</v>
      </c>
      <c r="W2726">
        <v>1</v>
      </c>
      <c r="X2726">
        <v>5.1307869999999998E-2</v>
      </c>
      <c r="Y2726" t="s">
        <v>2396</v>
      </c>
      <c r="Z2726" t="s">
        <v>2961</v>
      </c>
      <c r="AA2726" t="s">
        <v>2311</v>
      </c>
      <c r="AB2726" t="s">
        <v>1278</v>
      </c>
      <c r="AC2726" t="s">
        <v>2962</v>
      </c>
      <c r="AD2726" t="s">
        <v>2708</v>
      </c>
      <c r="AE2726">
        <v>1</v>
      </c>
      <c r="AO2726" t="s">
        <v>2400</v>
      </c>
      <c r="AP2726" t="s">
        <v>2401</v>
      </c>
    </row>
    <row r="2727" spans="1:42">
      <c r="A2727" t="s">
        <v>2963</v>
      </c>
      <c r="B2727" t="s">
        <v>2389</v>
      </c>
      <c r="C2727" t="s">
        <v>2438</v>
      </c>
      <c r="D2727" t="s">
        <v>2379</v>
      </c>
      <c r="E2727" t="s">
        <v>2391</v>
      </c>
      <c r="F2727" t="s">
        <v>2392</v>
      </c>
      <c r="H2727" t="b">
        <v>1</v>
      </c>
      <c r="I2727" s="8">
        <v>45958.505636574075</v>
      </c>
      <c r="J2727" t="s">
        <v>2393</v>
      </c>
      <c r="K2727">
        <v>1204926</v>
      </c>
      <c r="L2727">
        <v>604513</v>
      </c>
      <c r="M2727" t="s">
        <v>2381</v>
      </c>
      <c r="Q2727" t="s">
        <v>2395</v>
      </c>
      <c r="R2727">
        <v>1</v>
      </c>
      <c r="S2727" t="s">
        <v>2393</v>
      </c>
      <c r="T2727" t="s">
        <v>2383</v>
      </c>
      <c r="U2727" s="8">
        <v>45958.453055555554</v>
      </c>
      <c r="V2727" s="8">
        <v>45961.958333333336</v>
      </c>
      <c r="W2727">
        <v>1</v>
      </c>
      <c r="X2727">
        <v>5.2581019E-2</v>
      </c>
      <c r="Y2727" t="s">
        <v>2396</v>
      </c>
      <c r="Z2727" t="s">
        <v>2964</v>
      </c>
      <c r="AA2727" t="s">
        <v>2311</v>
      </c>
      <c r="AB2727" t="s">
        <v>1278</v>
      </c>
      <c r="AC2727" t="s">
        <v>2965</v>
      </c>
      <c r="AD2727" t="s">
        <v>2708</v>
      </c>
      <c r="AE2727">
        <v>1</v>
      </c>
      <c r="AO2727" t="s">
        <v>2400</v>
      </c>
      <c r="AP2727" t="s">
        <v>2401</v>
      </c>
    </row>
    <row r="2728" spans="1:42">
      <c r="A2728" t="s">
        <v>4449</v>
      </c>
      <c r="B2728" t="s">
        <v>2389</v>
      </c>
      <c r="C2728" t="s">
        <v>2390</v>
      </c>
      <c r="D2728" t="s">
        <v>2379</v>
      </c>
      <c r="E2728" t="s">
        <v>2601</v>
      </c>
      <c r="F2728">
        <v>4056</v>
      </c>
      <c r="G2728" t="s">
        <v>2601</v>
      </c>
      <c r="H2728" t="b">
        <v>1</v>
      </c>
      <c r="I2728" s="8">
        <v>45960.616469907407</v>
      </c>
      <c r="J2728" t="s">
        <v>2380</v>
      </c>
      <c r="K2728">
        <v>1205854</v>
      </c>
      <c r="L2728">
        <v>601303</v>
      </c>
      <c r="M2728" t="s">
        <v>2381</v>
      </c>
      <c r="P2728" t="s">
        <v>2394</v>
      </c>
      <c r="Q2728" t="s">
        <v>2383</v>
      </c>
      <c r="R2728">
        <v>1</v>
      </c>
      <c r="S2728" t="s">
        <v>2380</v>
      </c>
      <c r="T2728" t="s">
        <v>2383</v>
      </c>
      <c r="U2728" s="8">
        <v>45958.594363425924</v>
      </c>
      <c r="V2728" s="8">
        <v>45961.958333333336</v>
      </c>
      <c r="W2728">
        <v>1</v>
      </c>
      <c r="X2728">
        <v>2.0221064809999998</v>
      </c>
      <c r="Y2728" t="s">
        <v>3379</v>
      </c>
      <c r="Z2728" t="s">
        <v>4450</v>
      </c>
      <c r="AA2728" t="s">
        <v>4451</v>
      </c>
      <c r="AB2728" t="s">
        <v>1278</v>
      </c>
      <c r="AC2728" t="s">
        <v>4452</v>
      </c>
      <c r="AD2728" t="s">
        <v>2708</v>
      </c>
      <c r="AE2728">
        <v>1</v>
      </c>
      <c r="AO2728" t="s">
        <v>2388</v>
      </c>
      <c r="AP2728" t="s">
        <v>2401</v>
      </c>
    </row>
    <row r="2729" spans="1:42">
      <c r="A2729" t="s">
        <v>3032</v>
      </c>
      <c r="B2729" t="s">
        <v>2389</v>
      </c>
      <c r="C2729" t="s">
        <v>2390</v>
      </c>
      <c r="D2729" t="s">
        <v>2379</v>
      </c>
      <c r="E2729" t="s">
        <v>2601</v>
      </c>
      <c r="F2729" t="s">
        <v>2431</v>
      </c>
      <c r="G2729" t="s">
        <v>2601</v>
      </c>
      <c r="H2729" t="b">
        <v>1</v>
      </c>
      <c r="I2729" s="8">
        <v>45960.607974537037</v>
      </c>
      <c r="J2729" t="s">
        <v>2380</v>
      </c>
      <c r="K2729">
        <v>1205851</v>
      </c>
      <c r="L2729">
        <v>603934</v>
      </c>
      <c r="M2729" t="s">
        <v>2381</v>
      </c>
      <c r="P2729" t="s">
        <v>2394</v>
      </c>
      <c r="Q2729" t="s">
        <v>2383</v>
      </c>
      <c r="R2729">
        <v>1</v>
      </c>
      <c r="S2729" t="s">
        <v>2380</v>
      </c>
      <c r="T2729" t="s">
        <v>2383</v>
      </c>
      <c r="U2729" s="8">
        <v>45958.595810185187</v>
      </c>
      <c r="V2729" s="8">
        <v>45961.958333333336</v>
      </c>
      <c r="W2729">
        <v>1</v>
      </c>
      <c r="X2729">
        <v>2.0121643520000001</v>
      </c>
      <c r="Y2729" t="s">
        <v>2433</v>
      </c>
      <c r="Z2729" t="s">
        <v>3033</v>
      </c>
      <c r="AA2729" t="s">
        <v>3034</v>
      </c>
      <c r="AB2729" t="s">
        <v>1278</v>
      </c>
      <c r="AC2729" t="s">
        <v>3035</v>
      </c>
      <c r="AD2729" t="s">
        <v>2708</v>
      </c>
      <c r="AE2729">
        <v>1</v>
      </c>
      <c r="AO2729" t="s">
        <v>2408</v>
      </c>
      <c r="AP2729" t="s">
        <v>2401</v>
      </c>
    </row>
    <row r="2730" spans="1:42">
      <c r="A2730" t="s">
        <v>4439</v>
      </c>
      <c r="B2730" t="s">
        <v>2389</v>
      </c>
      <c r="C2730" t="s">
        <v>2415</v>
      </c>
      <c r="D2730" t="s">
        <v>2379</v>
      </c>
      <c r="E2730" t="s">
        <v>2601</v>
      </c>
      <c r="F2730" t="s">
        <v>2578</v>
      </c>
      <c r="G2730" t="s">
        <v>2601</v>
      </c>
      <c r="H2730" t="b">
        <v>1</v>
      </c>
      <c r="I2730" s="8">
        <v>45960.59542824074</v>
      </c>
      <c r="J2730" t="s">
        <v>2380</v>
      </c>
      <c r="K2730">
        <v>1205847</v>
      </c>
      <c r="L2730">
        <v>609779</v>
      </c>
      <c r="M2730" t="s">
        <v>2381</v>
      </c>
      <c r="P2730" t="s">
        <v>2394</v>
      </c>
      <c r="Q2730" t="s">
        <v>2383</v>
      </c>
      <c r="R2730">
        <v>1</v>
      </c>
      <c r="S2730" t="s">
        <v>2380</v>
      </c>
      <c r="T2730" t="s">
        <v>2383</v>
      </c>
      <c r="U2730" s="8">
        <v>45958.600729166668</v>
      </c>
      <c r="V2730" s="8">
        <v>45961.958333333336</v>
      </c>
      <c r="W2730">
        <v>1</v>
      </c>
      <c r="X2730">
        <v>1.9946990739999999</v>
      </c>
      <c r="Y2730" t="s">
        <v>2579</v>
      </c>
      <c r="Z2730" t="s">
        <v>4440</v>
      </c>
      <c r="AA2730" t="s">
        <v>4441</v>
      </c>
      <c r="AB2730" t="s">
        <v>1278</v>
      </c>
      <c r="AC2730" t="s">
        <v>4442</v>
      </c>
      <c r="AD2730" t="s">
        <v>2708</v>
      </c>
      <c r="AE2730">
        <v>1</v>
      </c>
      <c r="AO2730" t="s">
        <v>2388</v>
      </c>
      <c r="AP2730" t="s">
        <v>2401</v>
      </c>
    </row>
    <row r="2731" spans="1:42">
      <c r="A2731" t="s">
        <v>4443</v>
      </c>
      <c r="B2731" t="s">
        <v>2389</v>
      </c>
      <c r="C2731" t="s">
        <v>2415</v>
      </c>
      <c r="D2731" t="s">
        <v>2379</v>
      </c>
      <c r="E2731" t="s">
        <v>2601</v>
      </c>
      <c r="F2731" t="s">
        <v>2578</v>
      </c>
      <c r="G2731" t="s">
        <v>2601</v>
      </c>
      <c r="H2731" t="b">
        <v>1</v>
      </c>
      <c r="I2731" s="8">
        <v>45960.590960648151</v>
      </c>
      <c r="J2731" t="s">
        <v>2380</v>
      </c>
      <c r="K2731">
        <v>1205846</v>
      </c>
      <c r="L2731">
        <v>606871</v>
      </c>
      <c r="M2731" t="s">
        <v>2381</v>
      </c>
      <c r="P2731" t="s">
        <v>2394</v>
      </c>
      <c r="Q2731" t="s">
        <v>2383</v>
      </c>
      <c r="R2731">
        <v>1</v>
      </c>
      <c r="S2731" t="s">
        <v>2380</v>
      </c>
      <c r="T2731" t="s">
        <v>2383</v>
      </c>
      <c r="U2731" s="8">
        <v>45958.620625000003</v>
      </c>
      <c r="V2731" s="8">
        <v>45961.958333333336</v>
      </c>
      <c r="W2731">
        <v>1</v>
      </c>
      <c r="X2731">
        <v>1.9703356480000001</v>
      </c>
      <c r="Y2731" t="s">
        <v>2579</v>
      </c>
      <c r="Z2731" t="s">
        <v>4444</v>
      </c>
      <c r="AA2731" t="s">
        <v>3283</v>
      </c>
      <c r="AB2731" t="s">
        <v>1278</v>
      </c>
      <c r="AC2731" t="s">
        <v>4445</v>
      </c>
      <c r="AD2731" t="s">
        <v>2708</v>
      </c>
      <c r="AE2731">
        <v>1</v>
      </c>
      <c r="AO2731" t="s">
        <v>2388</v>
      </c>
      <c r="AP2731" t="s">
        <v>2401</v>
      </c>
    </row>
    <row r="2732" spans="1:42">
      <c r="A2732" t="s">
        <v>3024</v>
      </c>
      <c r="B2732" t="s">
        <v>2389</v>
      </c>
      <c r="C2732" t="s">
        <v>2415</v>
      </c>
      <c r="D2732" t="s">
        <v>2379</v>
      </c>
      <c r="E2732" t="s">
        <v>2601</v>
      </c>
      <c r="F2732" t="s">
        <v>2417</v>
      </c>
      <c r="G2732" t="s">
        <v>2601</v>
      </c>
      <c r="H2732" t="b">
        <v>1</v>
      </c>
      <c r="I2732" s="8">
        <v>45960.586377314816</v>
      </c>
      <c r="J2732" t="s">
        <v>2380</v>
      </c>
      <c r="K2732">
        <v>1205845</v>
      </c>
      <c r="L2732">
        <v>609874</v>
      </c>
      <c r="M2732" t="s">
        <v>2381</v>
      </c>
      <c r="P2732" t="s">
        <v>2394</v>
      </c>
      <c r="Q2732" t="s">
        <v>2383</v>
      </c>
      <c r="R2732">
        <v>1</v>
      </c>
      <c r="S2732" t="s">
        <v>2380</v>
      </c>
      <c r="T2732" t="s">
        <v>2383</v>
      </c>
      <c r="U2732" s="8">
        <v>45958.621342592596</v>
      </c>
      <c r="V2732" s="8">
        <v>45961.958333333336</v>
      </c>
      <c r="W2732">
        <v>1</v>
      </c>
      <c r="X2732">
        <v>1.965034722</v>
      </c>
      <c r="Y2732" t="s">
        <v>2418</v>
      </c>
      <c r="Z2732" t="s">
        <v>3025</v>
      </c>
      <c r="AA2732" t="s">
        <v>3026</v>
      </c>
      <c r="AB2732" t="s">
        <v>1278</v>
      </c>
      <c r="AC2732" t="s">
        <v>3027</v>
      </c>
      <c r="AD2732" t="s">
        <v>2708</v>
      </c>
      <c r="AE2732">
        <v>1</v>
      </c>
      <c r="AO2732" t="s">
        <v>2408</v>
      </c>
      <c r="AP2732" t="s">
        <v>2401</v>
      </c>
    </row>
    <row r="2733" spans="1:42">
      <c r="A2733" t="s">
        <v>1214</v>
      </c>
      <c r="B2733" t="s">
        <v>2377</v>
      </c>
      <c r="C2733" t="s">
        <v>2438</v>
      </c>
      <c r="D2733" t="s">
        <v>2379</v>
      </c>
      <c r="E2733" t="s">
        <v>11</v>
      </c>
      <c r="F2733" t="s">
        <v>2409</v>
      </c>
      <c r="G2733" t="s">
        <v>11</v>
      </c>
      <c r="H2733" t="b">
        <v>1</v>
      </c>
      <c r="I2733" s="8">
        <v>45958.70753472222</v>
      </c>
      <c r="J2733" t="s">
        <v>2380</v>
      </c>
      <c r="L2733">
        <v>608028</v>
      </c>
      <c r="M2733" t="s">
        <v>2381</v>
      </c>
      <c r="Q2733" t="s">
        <v>2383</v>
      </c>
      <c r="R2733">
        <v>1</v>
      </c>
      <c r="S2733" t="s">
        <v>2380</v>
      </c>
      <c r="T2733" t="s">
        <v>2383</v>
      </c>
      <c r="U2733" s="8">
        <v>45958.631643518522</v>
      </c>
      <c r="V2733" s="8">
        <v>45961.958333333336</v>
      </c>
      <c r="W2733">
        <v>1</v>
      </c>
      <c r="X2733">
        <v>7.5891204000000004E-2</v>
      </c>
      <c r="Y2733" t="s">
        <v>2410</v>
      </c>
      <c r="Z2733" t="s">
        <v>8809</v>
      </c>
      <c r="AA2733" t="s">
        <v>8806</v>
      </c>
      <c r="AB2733" t="s">
        <v>1278</v>
      </c>
      <c r="AC2733" t="s">
        <v>8810</v>
      </c>
      <c r="AD2733" t="s">
        <v>2708</v>
      </c>
      <c r="AE2733">
        <v>1</v>
      </c>
      <c r="AH2733" t="s">
        <v>2723</v>
      </c>
      <c r="AI2733" s="8">
        <v>45958.704456018517</v>
      </c>
      <c r="AK2733" t="s">
        <v>2719</v>
      </c>
      <c r="AL2733" t="s">
        <v>2719</v>
      </c>
      <c r="AO2733" t="s">
        <v>3644</v>
      </c>
      <c r="AP2733" t="s">
        <v>2401</v>
      </c>
    </row>
    <row r="2734" spans="1:42">
      <c r="A2734" t="s">
        <v>2995</v>
      </c>
      <c r="B2734" t="s">
        <v>2389</v>
      </c>
      <c r="C2734" t="s">
        <v>2438</v>
      </c>
      <c r="D2734" t="s">
        <v>2379</v>
      </c>
      <c r="E2734" t="s">
        <v>2439</v>
      </c>
      <c r="F2734" t="s">
        <v>2402</v>
      </c>
      <c r="G2734" t="s">
        <v>2439</v>
      </c>
      <c r="H2734" t="b">
        <v>1</v>
      </c>
      <c r="I2734" s="8">
        <v>45958.653240740743</v>
      </c>
      <c r="J2734" t="s">
        <v>2380</v>
      </c>
      <c r="K2734">
        <v>1205367</v>
      </c>
      <c r="L2734">
        <v>605252</v>
      </c>
      <c r="M2734" t="s">
        <v>2381</v>
      </c>
      <c r="Q2734" t="s">
        <v>2383</v>
      </c>
      <c r="R2734">
        <v>1</v>
      </c>
      <c r="S2734" t="s">
        <v>2380</v>
      </c>
      <c r="T2734" t="s">
        <v>2383</v>
      </c>
      <c r="U2734" s="8">
        <v>45958.63721064815</v>
      </c>
      <c r="V2734" s="8">
        <v>45961.958333333336</v>
      </c>
      <c r="W2734">
        <v>1</v>
      </c>
      <c r="X2734">
        <v>1.6030092999999999E-2</v>
      </c>
      <c r="Y2734" t="s">
        <v>2403</v>
      </c>
      <c r="Z2734" t="s">
        <v>2996</v>
      </c>
      <c r="AA2734" t="s">
        <v>1291</v>
      </c>
      <c r="AB2734" t="s">
        <v>1278</v>
      </c>
      <c r="AC2734" t="s">
        <v>2997</v>
      </c>
      <c r="AD2734" t="s">
        <v>2708</v>
      </c>
      <c r="AE2734">
        <v>1</v>
      </c>
      <c r="AO2734" t="s">
        <v>2408</v>
      </c>
      <c r="AP2734" t="s">
        <v>2401</v>
      </c>
    </row>
    <row r="2735" spans="1:42">
      <c r="A2735" t="s">
        <v>2998</v>
      </c>
      <c r="B2735" t="s">
        <v>2389</v>
      </c>
      <c r="C2735" t="s">
        <v>2438</v>
      </c>
      <c r="D2735" t="s">
        <v>2379</v>
      </c>
      <c r="E2735" t="s">
        <v>2439</v>
      </c>
      <c r="F2735" t="s">
        <v>2402</v>
      </c>
      <c r="G2735" t="s">
        <v>2439</v>
      </c>
      <c r="H2735" t="b">
        <v>1</v>
      </c>
      <c r="I2735" s="8">
        <v>45958.656770833331</v>
      </c>
      <c r="J2735" t="s">
        <v>2380</v>
      </c>
      <c r="K2735">
        <v>1205370</v>
      </c>
      <c r="L2735">
        <v>605252</v>
      </c>
      <c r="M2735" t="s">
        <v>2381</v>
      </c>
      <c r="Q2735" t="s">
        <v>2383</v>
      </c>
      <c r="R2735">
        <v>1</v>
      </c>
      <c r="S2735" t="s">
        <v>2380</v>
      </c>
      <c r="T2735" t="s">
        <v>2383</v>
      </c>
      <c r="U2735" s="8">
        <v>45958.637638888889</v>
      </c>
      <c r="V2735" s="8">
        <v>45961.958333333336</v>
      </c>
      <c r="W2735">
        <v>1</v>
      </c>
      <c r="X2735">
        <v>1.9131944000000001E-2</v>
      </c>
      <c r="Y2735" t="s">
        <v>2403</v>
      </c>
      <c r="Z2735" t="s">
        <v>2999</v>
      </c>
      <c r="AA2735" t="s">
        <v>1291</v>
      </c>
      <c r="AB2735" t="s">
        <v>1278</v>
      </c>
      <c r="AC2735" t="s">
        <v>3000</v>
      </c>
      <c r="AD2735" t="s">
        <v>2708</v>
      </c>
      <c r="AE2735">
        <v>1</v>
      </c>
      <c r="AO2735" t="s">
        <v>2408</v>
      </c>
      <c r="AP2735" t="s">
        <v>2401</v>
      </c>
    </row>
    <row r="2736" spans="1:42">
      <c r="A2736" t="s">
        <v>3001</v>
      </c>
      <c r="B2736" t="s">
        <v>2389</v>
      </c>
      <c r="C2736" t="s">
        <v>2438</v>
      </c>
      <c r="D2736" t="s">
        <v>2379</v>
      </c>
      <c r="E2736" t="s">
        <v>2439</v>
      </c>
      <c r="F2736" t="s">
        <v>2402</v>
      </c>
      <c r="G2736" t="s">
        <v>2439</v>
      </c>
      <c r="H2736" t="b">
        <v>1</v>
      </c>
      <c r="I2736" s="8">
        <v>45958.668773148151</v>
      </c>
      <c r="J2736" t="s">
        <v>2380</v>
      </c>
      <c r="K2736">
        <v>1205388</v>
      </c>
      <c r="L2736">
        <v>605252</v>
      </c>
      <c r="M2736" t="s">
        <v>2381</v>
      </c>
      <c r="Q2736" t="s">
        <v>2383</v>
      </c>
      <c r="R2736">
        <v>1</v>
      </c>
      <c r="S2736" t="s">
        <v>2380</v>
      </c>
      <c r="T2736" t="s">
        <v>2383</v>
      </c>
      <c r="U2736" s="8">
        <v>45958.638159722221</v>
      </c>
      <c r="V2736" s="8">
        <v>45961.958333333336</v>
      </c>
      <c r="W2736">
        <v>1</v>
      </c>
      <c r="X2736">
        <v>3.0613425999999999E-2</v>
      </c>
      <c r="Y2736" t="s">
        <v>2403</v>
      </c>
      <c r="Z2736" t="s">
        <v>3002</v>
      </c>
      <c r="AA2736" t="s">
        <v>1291</v>
      </c>
      <c r="AB2736" t="s">
        <v>1278</v>
      </c>
      <c r="AC2736" t="s">
        <v>3003</v>
      </c>
      <c r="AD2736" t="s">
        <v>2708</v>
      </c>
      <c r="AE2736">
        <v>1</v>
      </c>
      <c r="AO2736" t="s">
        <v>2408</v>
      </c>
      <c r="AP2736" t="s">
        <v>2401</v>
      </c>
    </row>
    <row r="2737" spans="1:42">
      <c r="A2737" t="s">
        <v>3004</v>
      </c>
      <c r="B2737" t="s">
        <v>2389</v>
      </c>
      <c r="C2737" t="s">
        <v>2438</v>
      </c>
      <c r="D2737" t="s">
        <v>2379</v>
      </c>
      <c r="E2737" t="s">
        <v>2439</v>
      </c>
      <c r="F2737" t="s">
        <v>2402</v>
      </c>
      <c r="G2737" t="s">
        <v>2439</v>
      </c>
      <c r="H2737" t="b">
        <v>1</v>
      </c>
      <c r="I2737" s="8">
        <v>45958.650543981479</v>
      </c>
      <c r="J2737" t="s">
        <v>2380</v>
      </c>
      <c r="K2737">
        <v>1205362</v>
      </c>
      <c r="L2737">
        <v>605252</v>
      </c>
      <c r="M2737" t="s">
        <v>2381</v>
      </c>
      <c r="Q2737" t="s">
        <v>2383</v>
      </c>
      <c r="R2737">
        <v>1</v>
      </c>
      <c r="S2737" t="s">
        <v>2380</v>
      </c>
      <c r="T2737" t="s">
        <v>2383</v>
      </c>
      <c r="U2737" s="8">
        <v>45958.639027777775</v>
      </c>
      <c r="V2737" s="8">
        <v>45961.958333333336</v>
      </c>
      <c r="W2737">
        <v>1</v>
      </c>
      <c r="X2737">
        <v>1.1516204E-2</v>
      </c>
      <c r="Y2737" t="s">
        <v>2403</v>
      </c>
      <c r="Z2737" t="s">
        <v>3005</v>
      </c>
      <c r="AA2737" t="s">
        <v>1291</v>
      </c>
      <c r="AB2737" t="s">
        <v>1278</v>
      </c>
      <c r="AC2737" t="s">
        <v>3006</v>
      </c>
      <c r="AD2737" t="s">
        <v>2708</v>
      </c>
      <c r="AE2737">
        <v>1</v>
      </c>
      <c r="AO2737" t="s">
        <v>2408</v>
      </c>
      <c r="AP2737" t="s">
        <v>2401</v>
      </c>
    </row>
    <row r="2738" spans="1:42">
      <c r="A2738" t="s">
        <v>4446</v>
      </c>
      <c r="B2738" t="s">
        <v>2389</v>
      </c>
      <c r="C2738" t="s">
        <v>2415</v>
      </c>
      <c r="D2738" t="s">
        <v>2379</v>
      </c>
      <c r="E2738" t="s">
        <v>2601</v>
      </c>
      <c r="F2738" t="s">
        <v>2578</v>
      </c>
      <c r="G2738" t="s">
        <v>2601</v>
      </c>
      <c r="H2738" t="b">
        <v>1</v>
      </c>
      <c r="I2738" s="8">
        <v>45960.558275462965</v>
      </c>
      <c r="J2738" t="s">
        <v>2380</v>
      </c>
      <c r="K2738">
        <v>1205837</v>
      </c>
      <c r="L2738">
        <v>601850</v>
      </c>
      <c r="M2738" t="s">
        <v>2381</v>
      </c>
      <c r="P2738" t="s">
        <v>2394</v>
      </c>
      <c r="Q2738" t="s">
        <v>2383</v>
      </c>
      <c r="R2738">
        <v>1</v>
      </c>
      <c r="S2738" t="s">
        <v>2380</v>
      </c>
      <c r="T2738" t="s">
        <v>2383</v>
      </c>
      <c r="U2738" s="8">
        <v>45958.645289351851</v>
      </c>
      <c r="V2738" s="8">
        <v>45961.958333333336</v>
      </c>
      <c r="W2738">
        <v>1</v>
      </c>
      <c r="X2738">
        <v>1.9129861109999999</v>
      </c>
      <c r="Y2738" t="s">
        <v>2579</v>
      </c>
      <c r="Z2738" t="s">
        <v>4447</v>
      </c>
      <c r="AA2738" t="s">
        <v>2649</v>
      </c>
      <c r="AB2738" t="s">
        <v>1278</v>
      </c>
      <c r="AC2738" t="s">
        <v>4448</v>
      </c>
      <c r="AD2738" t="s">
        <v>2708</v>
      </c>
      <c r="AE2738">
        <v>1</v>
      </c>
      <c r="AO2738" t="s">
        <v>2388</v>
      </c>
      <c r="AP2738" t="s">
        <v>2401</v>
      </c>
    </row>
    <row r="2739" spans="1:42">
      <c r="A2739" t="s">
        <v>1150</v>
      </c>
      <c r="B2739" t="s">
        <v>2377</v>
      </c>
      <c r="C2739" t="s">
        <v>2438</v>
      </c>
      <c r="D2739" t="s">
        <v>2379</v>
      </c>
      <c r="E2739" t="s">
        <v>33</v>
      </c>
      <c r="F2739" t="s">
        <v>2409</v>
      </c>
      <c r="G2739" t="s">
        <v>33</v>
      </c>
      <c r="H2739" t="b">
        <v>1</v>
      </c>
      <c r="I2739" s="8">
        <v>45959.372129629628</v>
      </c>
      <c r="J2739" t="s">
        <v>2380</v>
      </c>
      <c r="L2739">
        <v>608028</v>
      </c>
      <c r="M2739" t="s">
        <v>2381</v>
      </c>
      <c r="Q2739" t="s">
        <v>2383</v>
      </c>
      <c r="R2739">
        <v>1</v>
      </c>
      <c r="S2739" t="s">
        <v>2380</v>
      </c>
      <c r="T2739" t="s">
        <v>2383</v>
      </c>
      <c r="U2739" s="8">
        <v>45958.667893518519</v>
      </c>
      <c r="V2739" s="8">
        <v>45961.958333333336</v>
      </c>
      <c r="W2739">
        <v>1</v>
      </c>
      <c r="X2739">
        <v>0.70423611100000005</v>
      </c>
      <c r="Y2739" t="s">
        <v>2410</v>
      </c>
      <c r="Z2739" t="s">
        <v>8808</v>
      </c>
      <c r="AA2739" t="s">
        <v>8806</v>
      </c>
      <c r="AB2739" t="s">
        <v>1278</v>
      </c>
      <c r="AC2739" t="s">
        <v>8807</v>
      </c>
      <c r="AD2739" t="s">
        <v>2708</v>
      </c>
      <c r="AE2739">
        <v>1</v>
      </c>
      <c r="AH2739" t="s">
        <v>2723</v>
      </c>
      <c r="AI2739" s="8">
        <v>45958.704988425925</v>
      </c>
      <c r="AK2739" t="s">
        <v>2719</v>
      </c>
      <c r="AL2739" t="s">
        <v>2719</v>
      </c>
      <c r="AO2739" t="s">
        <v>3644</v>
      </c>
      <c r="AP2739" t="s">
        <v>2401</v>
      </c>
    </row>
    <row r="2740" spans="1:42">
      <c r="A2740" t="s">
        <v>4716</v>
      </c>
      <c r="B2740" t="s">
        <v>2389</v>
      </c>
      <c r="C2740" t="s">
        <v>2415</v>
      </c>
      <c r="D2740" t="s">
        <v>2379</v>
      </c>
      <c r="E2740" t="s">
        <v>2601</v>
      </c>
      <c r="F2740" t="s">
        <v>4703</v>
      </c>
      <c r="G2740" t="s">
        <v>2601</v>
      </c>
      <c r="H2740" t="b">
        <v>1</v>
      </c>
      <c r="I2740" s="8">
        <v>45960.54583333333</v>
      </c>
      <c r="J2740" t="s">
        <v>2380</v>
      </c>
      <c r="K2740">
        <v>1205836</v>
      </c>
      <c r="L2740">
        <v>603232</v>
      </c>
      <c r="M2740" t="s">
        <v>2381</v>
      </c>
      <c r="P2740" t="s">
        <v>2394</v>
      </c>
      <c r="Q2740" t="s">
        <v>2383</v>
      </c>
      <c r="R2740">
        <v>1</v>
      </c>
      <c r="S2740" t="s">
        <v>2380</v>
      </c>
      <c r="T2740" t="s">
        <v>2383</v>
      </c>
      <c r="U2740" s="8">
        <v>45958.676249999997</v>
      </c>
      <c r="V2740" s="8">
        <v>45961.958333333336</v>
      </c>
      <c r="W2740">
        <v>1</v>
      </c>
      <c r="X2740">
        <v>1.869583333</v>
      </c>
      <c r="Y2740" t="s">
        <v>4704</v>
      </c>
      <c r="Z2740" t="s">
        <v>4717</v>
      </c>
      <c r="AA2740" t="s">
        <v>4707</v>
      </c>
      <c r="AB2740" t="s">
        <v>1278</v>
      </c>
      <c r="AC2740" t="s">
        <v>4718</v>
      </c>
      <c r="AD2740" t="s">
        <v>2708</v>
      </c>
      <c r="AE2740">
        <v>1</v>
      </c>
      <c r="AO2740" t="s">
        <v>2957</v>
      </c>
      <c r="AP2740" t="s">
        <v>2401</v>
      </c>
    </row>
    <row r="2741" spans="1:42">
      <c r="A2741" t="s">
        <v>1158</v>
      </c>
      <c r="B2741" t="s">
        <v>2377</v>
      </c>
      <c r="C2741" t="s">
        <v>2378</v>
      </c>
      <c r="D2741" t="s">
        <v>2379</v>
      </c>
      <c r="E2741" t="s">
        <v>25</v>
      </c>
      <c r="G2741" t="s">
        <v>25</v>
      </c>
      <c r="H2741" t="b">
        <v>1</v>
      </c>
      <c r="I2741" s="8">
        <v>45959.440416666665</v>
      </c>
      <c r="J2741" t="s">
        <v>2380</v>
      </c>
      <c r="L2741">
        <v>603740</v>
      </c>
      <c r="M2741" t="s">
        <v>2381</v>
      </c>
      <c r="N2741">
        <v>10</v>
      </c>
      <c r="P2741" t="s">
        <v>2704</v>
      </c>
      <c r="Q2741" t="s">
        <v>2383</v>
      </c>
      <c r="R2741">
        <v>1</v>
      </c>
      <c r="S2741" t="s">
        <v>2380</v>
      </c>
      <c r="T2741" t="s">
        <v>2383</v>
      </c>
      <c r="U2741" s="8">
        <v>45953.572650462964</v>
      </c>
      <c r="V2741" s="8">
        <v>45959.958333333336</v>
      </c>
      <c r="W2741">
        <v>1</v>
      </c>
      <c r="X2741">
        <v>3.867766204</v>
      </c>
      <c r="Z2741" t="s">
        <v>2955</v>
      </c>
      <c r="AA2741" t="s">
        <v>2956</v>
      </c>
      <c r="AB2741" t="s">
        <v>1278</v>
      </c>
      <c r="AC2741" t="s">
        <v>1157</v>
      </c>
      <c r="AD2741" t="s">
        <v>2708</v>
      </c>
      <c r="AE2741">
        <v>1</v>
      </c>
      <c r="AO2741" t="s">
        <v>2957</v>
      </c>
    </row>
    <row r="2742" spans="1:42">
      <c r="A2742" t="s">
        <v>259</v>
      </c>
      <c r="B2742" t="s">
        <v>2377</v>
      </c>
      <c r="C2742" t="s">
        <v>2378</v>
      </c>
      <c r="D2742" t="s">
        <v>2379</v>
      </c>
      <c r="E2742" t="s">
        <v>25</v>
      </c>
      <c r="G2742" t="s">
        <v>25</v>
      </c>
      <c r="H2742" t="b">
        <v>1</v>
      </c>
      <c r="I2742" s="8">
        <v>45959.448206018518</v>
      </c>
      <c r="J2742" t="s">
        <v>2380</v>
      </c>
      <c r="L2742">
        <v>603740</v>
      </c>
      <c r="M2742" t="s">
        <v>2381</v>
      </c>
      <c r="N2742">
        <v>10</v>
      </c>
      <c r="P2742" t="s">
        <v>2704</v>
      </c>
      <c r="Q2742" t="s">
        <v>2383</v>
      </c>
      <c r="R2742">
        <v>1</v>
      </c>
      <c r="S2742" t="s">
        <v>2380</v>
      </c>
      <c r="T2742" t="s">
        <v>2383</v>
      </c>
      <c r="U2742" s="8">
        <v>45953.572650462964</v>
      </c>
      <c r="V2742" s="8">
        <v>45959.958333333336</v>
      </c>
      <c r="W2742">
        <v>1</v>
      </c>
      <c r="X2742">
        <v>3.8755555560000001</v>
      </c>
      <c r="Z2742" t="s">
        <v>2958</v>
      </c>
      <c r="AA2742" t="s">
        <v>2956</v>
      </c>
      <c r="AB2742" t="s">
        <v>1278</v>
      </c>
      <c r="AC2742" t="s">
        <v>2959</v>
      </c>
      <c r="AD2742" t="s">
        <v>2708</v>
      </c>
      <c r="AE2742">
        <v>1</v>
      </c>
      <c r="AO2742" t="s">
        <v>2957</v>
      </c>
    </row>
    <row r="2743" spans="1:42">
      <c r="A2743" t="s">
        <v>4691</v>
      </c>
      <c r="B2743" t="s">
        <v>2389</v>
      </c>
      <c r="C2743" t="s">
        <v>2443</v>
      </c>
      <c r="D2743" t="s">
        <v>2443</v>
      </c>
      <c r="E2743" t="s">
        <v>18</v>
      </c>
      <c r="F2743" t="s">
        <v>3339</v>
      </c>
      <c r="G2743" t="s">
        <v>2416</v>
      </c>
      <c r="H2743" t="b">
        <v>1</v>
      </c>
      <c r="I2743" s="8">
        <v>45959.432060185187</v>
      </c>
      <c r="J2743" t="s">
        <v>2380</v>
      </c>
      <c r="K2743">
        <v>1205413</v>
      </c>
      <c r="L2743">
        <v>603025</v>
      </c>
      <c r="M2743" t="s">
        <v>2381</v>
      </c>
      <c r="Q2743" t="s">
        <v>2383</v>
      </c>
      <c r="R2743">
        <v>1</v>
      </c>
      <c r="S2743" t="s">
        <v>2380</v>
      </c>
      <c r="T2743" t="s">
        <v>2383</v>
      </c>
      <c r="U2743" s="8">
        <v>45953</v>
      </c>
      <c r="V2743" s="8">
        <v>45958.958333333336</v>
      </c>
      <c r="W2743">
        <v>1</v>
      </c>
      <c r="X2743">
        <v>4.4320601850000001</v>
      </c>
      <c r="Y2743" t="s">
        <v>3340</v>
      </c>
      <c r="Z2743" t="s">
        <v>4692</v>
      </c>
      <c r="AA2743" t="s">
        <v>4619</v>
      </c>
      <c r="AB2743" t="s">
        <v>1278</v>
      </c>
      <c r="AC2743" t="s">
        <v>4693</v>
      </c>
      <c r="AD2743" t="s">
        <v>2708</v>
      </c>
      <c r="AE2743">
        <v>1</v>
      </c>
      <c r="AO2743" t="s">
        <v>2957</v>
      </c>
      <c r="AP2743" t="s">
        <v>2401</v>
      </c>
    </row>
    <row r="2744" spans="1:42">
      <c r="A2744" t="s">
        <v>8468</v>
      </c>
      <c r="B2744" t="s">
        <v>2389</v>
      </c>
      <c r="C2744" t="s">
        <v>2443</v>
      </c>
      <c r="D2744" t="s">
        <v>2443</v>
      </c>
      <c r="E2744" t="s">
        <v>25</v>
      </c>
      <c r="F2744">
        <v>3801</v>
      </c>
      <c r="G2744" t="s">
        <v>25</v>
      </c>
      <c r="H2744" t="b">
        <v>1</v>
      </c>
      <c r="I2744" s="8">
        <v>45959.487453703703</v>
      </c>
      <c r="J2744" t="s">
        <v>2380</v>
      </c>
      <c r="K2744">
        <v>1205456</v>
      </c>
      <c r="L2744">
        <v>604334</v>
      </c>
      <c r="M2744" t="s">
        <v>2381</v>
      </c>
      <c r="N2744">
        <v>5</v>
      </c>
      <c r="P2744" t="s">
        <v>2394</v>
      </c>
      <c r="Q2744" t="s">
        <v>2395</v>
      </c>
      <c r="R2744">
        <v>1</v>
      </c>
      <c r="S2744" t="s">
        <v>2380</v>
      </c>
      <c r="T2744" t="s">
        <v>2383</v>
      </c>
      <c r="U2744" s="8">
        <v>45946.629641203705</v>
      </c>
      <c r="V2744" s="8">
        <v>45951.958333333336</v>
      </c>
      <c r="W2744">
        <v>1</v>
      </c>
      <c r="X2744">
        <v>8.8578124999999996</v>
      </c>
      <c r="Y2744" t="s">
        <v>3318</v>
      </c>
      <c r="Z2744" t="s">
        <v>8469</v>
      </c>
      <c r="AA2744" t="s">
        <v>8250</v>
      </c>
      <c r="AB2744" t="s">
        <v>1278</v>
      </c>
      <c r="AC2744" t="s">
        <v>8470</v>
      </c>
      <c r="AD2744" t="s">
        <v>2708</v>
      </c>
      <c r="AE2744">
        <v>1</v>
      </c>
      <c r="AO2744" t="s">
        <v>4137</v>
      </c>
      <c r="AP2744" t="s">
        <v>2401</v>
      </c>
    </row>
    <row r="2745" spans="1:42">
      <c r="A2745" t="s">
        <v>8589</v>
      </c>
      <c r="B2745" t="s">
        <v>2389</v>
      </c>
      <c r="C2745" t="s">
        <v>2415</v>
      </c>
      <c r="D2745" t="s">
        <v>2379</v>
      </c>
      <c r="E2745" t="s">
        <v>28</v>
      </c>
      <c r="F2745" t="s">
        <v>3570</v>
      </c>
      <c r="G2745" t="s">
        <v>28</v>
      </c>
      <c r="H2745" t="b">
        <v>1</v>
      </c>
      <c r="I2745" s="8">
        <v>45960.668877314813</v>
      </c>
      <c r="J2745" t="s">
        <v>2380</v>
      </c>
      <c r="K2745">
        <v>1205951</v>
      </c>
      <c r="L2745">
        <v>602348</v>
      </c>
      <c r="M2745" t="s">
        <v>2381</v>
      </c>
      <c r="N2745">
        <v>15</v>
      </c>
      <c r="Q2745" t="s">
        <v>2383</v>
      </c>
      <c r="R2745">
        <v>1</v>
      </c>
      <c r="S2745" t="s">
        <v>2380</v>
      </c>
      <c r="T2745" t="s">
        <v>2383</v>
      </c>
      <c r="U2745" s="8">
        <v>45959.519560185188</v>
      </c>
      <c r="V2745" s="8">
        <v>45964.958333333336</v>
      </c>
      <c r="W2745">
        <v>1</v>
      </c>
      <c r="X2745">
        <v>1.14931713</v>
      </c>
      <c r="Y2745" t="s">
        <v>3572</v>
      </c>
      <c r="Z2745" t="s">
        <v>8590</v>
      </c>
      <c r="AA2745" t="s">
        <v>8591</v>
      </c>
      <c r="AB2745" t="s">
        <v>1278</v>
      </c>
      <c r="AC2745" t="s">
        <v>8592</v>
      </c>
      <c r="AD2745" t="s">
        <v>2708</v>
      </c>
      <c r="AE2745">
        <v>1</v>
      </c>
      <c r="AO2745" t="s">
        <v>3608</v>
      </c>
      <c r="AP2745" t="s">
        <v>2401</v>
      </c>
    </row>
    <row r="2746" spans="1:42">
      <c r="A2746" t="s">
        <v>8593</v>
      </c>
      <c r="B2746" t="s">
        <v>2389</v>
      </c>
      <c r="C2746" t="s">
        <v>2415</v>
      </c>
      <c r="D2746" t="s">
        <v>2379</v>
      </c>
      <c r="E2746" t="s">
        <v>28</v>
      </c>
      <c r="F2746" t="s">
        <v>3570</v>
      </c>
      <c r="G2746" t="s">
        <v>28</v>
      </c>
      <c r="H2746" t="b">
        <v>1</v>
      </c>
      <c r="I2746" s="8">
        <v>45960.670914351853</v>
      </c>
      <c r="J2746" t="s">
        <v>2380</v>
      </c>
      <c r="K2746">
        <v>1205953</v>
      </c>
      <c r="L2746">
        <v>602348</v>
      </c>
      <c r="M2746" t="s">
        <v>2381</v>
      </c>
      <c r="N2746">
        <v>15</v>
      </c>
      <c r="Q2746" t="s">
        <v>2383</v>
      </c>
      <c r="R2746">
        <v>1</v>
      </c>
      <c r="S2746" t="s">
        <v>2380</v>
      </c>
      <c r="T2746" t="s">
        <v>2383</v>
      </c>
      <c r="U2746" s="8">
        <v>45959.520231481481</v>
      </c>
      <c r="V2746" s="8">
        <v>45964.958333333336</v>
      </c>
      <c r="W2746">
        <v>1</v>
      </c>
      <c r="X2746">
        <v>1.15068287</v>
      </c>
      <c r="Y2746" t="s">
        <v>3572</v>
      </c>
      <c r="Z2746" t="s">
        <v>8594</v>
      </c>
      <c r="AA2746" t="s">
        <v>8591</v>
      </c>
      <c r="AB2746" t="s">
        <v>1278</v>
      </c>
      <c r="AC2746" t="s">
        <v>8595</v>
      </c>
      <c r="AD2746" t="s">
        <v>2708</v>
      </c>
      <c r="AE2746">
        <v>1</v>
      </c>
      <c r="AO2746" t="s">
        <v>3608</v>
      </c>
      <c r="AP2746" t="s">
        <v>2401</v>
      </c>
    </row>
    <row r="2747" spans="1:42">
      <c r="A2747" t="s">
        <v>3143</v>
      </c>
      <c r="B2747" t="s">
        <v>2389</v>
      </c>
      <c r="C2747" t="s">
        <v>2443</v>
      </c>
      <c r="D2747" t="s">
        <v>2443</v>
      </c>
      <c r="E2747" t="s">
        <v>25</v>
      </c>
      <c r="F2747" t="s">
        <v>2541</v>
      </c>
      <c r="G2747" t="s">
        <v>25</v>
      </c>
      <c r="H2747" t="b">
        <v>1</v>
      </c>
      <c r="I2747" s="8">
        <v>45959.665868055556</v>
      </c>
      <c r="J2747" t="s">
        <v>2380</v>
      </c>
      <c r="K2747">
        <v>1205633</v>
      </c>
      <c r="L2747">
        <v>608626</v>
      </c>
      <c r="M2747" t="s">
        <v>2381</v>
      </c>
      <c r="N2747">
        <v>5</v>
      </c>
      <c r="Q2747" t="s">
        <v>2383</v>
      </c>
      <c r="R2747">
        <v>1</v>
      </c>
      <c r="S2747" t="s">
        <v>2380</v>
      </c>
      <c r="T2747" t="s">
        <v>2383</v>
      </c>
      <c r="U2747" s="8">
        <v>45952.386342592596</v>
      </c>
      <c r="V2747" s="8">
        <v>45958.958333333336</v>
      </c>
      <c r="W2747">
        <v>1</v>
      </c>
      <c r="X2747">
        <v>5.2795254629999997</v>
      </c>
      <c r="Y2747" t="s">
        <v>2542</v>
      </c>
      <c r="Z2747" t="s">
        <v>3144</v>
      </c>
      <c r="AA2747" t="s">
        <v>2551</v>
      </c>
      <c r="AB2747" t="s">
        <v>1278</v>
      </c>
      <c r="AC2747" t="s">
        <v>3145</v>
      </c>
      <c r="AD2747" t="s">
        <v>2708</v>
      </c>
      <c r="AE2747">
        <v>1</v>
      </c>
      <c r="AO2747" t="s">
        <v>2547</v>
      </c>
      <c r="AP2747" t="s">
        <v>2401</v>
      </c>
    </row>
    <row r="2748" spans="1:42">
      <c r="A2748" t="s">
        <v>4424</v>
      </c>
      <c r="B2748" t="s">
        <v>2389</v>
      </c>
      <c r="C2748" t="s">
        <v>2415</v>
      </c>
      <c r="D2748" t="s">
        <v>2379</v>
      </c>
      <c r="E2748" t="s">
        <v>33</v>
      </c>
      <c r="F2748" t="s">
        <v>2578</v>
      </c>
      <c r="G2748" t="s">
        <v>33</v>
      </c>
      <c r="H2748" t="b">
        <v>1</v>
      </c>
      <c r="I2748" s="8">
        <v>45960.606770833336</v>
      </c>
      <c r="J2748" t="s">
        <v>2380</v>
      </c>
      <c r="K2748">
        <v>1205850</v>
      </c>
      <c r="L2748">
        <v>601730</v>
      </c>
      <c r="M2748" t="s">
        <v>2381</v>
      </c>
      <c r="P2748" t="s">
        <v>2394</v>
      </c>
      <c r="Q2748" t="s">
        <v>2383</v>
      </c>
      <c r="R2748">
        <v>1</v>
      </c>
      <c r="S2748" t="s">
        <v>2380</v>
      </c>
      <c r="T2748" t="s">
        <v>2383</v>
      </c>
      <c r="U2748" s="8">
        <v>45959.569780092592</v>
      </c>
      <c r="V2748" s="8">
        <v>45964.958333333336</v>
      </c>
      <c r="W2748">
        <v>1</v>
      </c>
      <c r="X2748">
        <v>1.0369907410000001</v>
      </c>
      <c r="Y2748" t="s">
        <v>2579</v>
      </c>
      <c r="Z2748" t="s">
        <v>4425</v>
      </c>
      <c r="AA2748" t="s">
        <v>4426</v>
      </c>
      <c r="AB2748" t="s">
        <v>1278</v>
      </c>
      <c r="AC2748" t="s">
        <v>4427</v>
      </c>
      <c r="AD2748" t="s">
        <v>2708</v>
      </c>
      <c r="AE2748">
        <v>1</v>
      </c>
      <c r="AO2748" t="s">
        <v>2388</v>
      </c>
      <c r="AP2748" t="s">
        <v>2401</v>
      </c>
    </row>
    <row r="2749" spans="1:42">
      <c r="A2749" t="s">
        <v>4601</v>
      </c>
      <c r="B2749" t="s">
        <v>2389</v>
      </c>
      <c r="C2749" t="s">
        <v>2378</v>
      </c>
      <c r="D2749" t="s">
        <v>2379</v>
      </c>
      <c r="E2749" t="s">
        <v>25</v>
      </c>
      <c r="F2749" t="s">
        <v>2578</v>
      </c>
      <c r="G2749" t="s">
        <v>25</v>
      </c>
      <c r="H2749" t="b">
        <v>1</v>
      </c>
      <c r="I2749" s="8">
        <v>45959.682349537034</v>
      </c>
      <c r="J2749" t="s">
        <v>2380</v>
      </c>
      <c r="K2749">
        <v>1205654</v>
      </c>
      <c r="L2749">
        <v>603303</v>
      </c>
      <c r="M2749" t="s">
        <v>2381</v>
      </c>
      <c r="N2749">
        <v>5</v>
      </c>
      <c r="P2749" t="s">
        <v>2394</v>
      </c>
      <c r="Q2749" t="s">
        <v>2383</v>
      </c>
      <c r="R2749">
        <v>1</v>
      </c>
      <c r="S2749" t="s">
        <v>2380</v>
      </c>
      <c r="T2749" t="s">
        <v>2383</v>
      </c>
      <c r="U2749" s="8">
        <v>45954.299745370372</v>
      </c>
      <c r="V2749" s="8">
        <v>45959.958333333336</v>
      </c>
      <c r="W2749">
        <v>1</v>
      </c>
      <c r="X2749">
        <v>3.3826041670000002</v>
      </c>
      <c r="Y2749" t="s">
        <v>2579</v>
      </c>
      <c r="Z2749" t="s">
        <v>4602</v>
      </c>
      <c r="AA2749" t="s">
        <v>4599</v>
      </c>
      <c r="AB2749" t="s">
        <v>1278</v>
      </c>
      <c r="AC2749" t="s">
        <v>4603</v>
      </c>
      <c r="AD2749" t="s">
        <v>2708</v>
      </c>
      <c r="AE2749">
        <v>1</v>
      </c>
      <c r="AO2749" t="s">
        <v>2388</v>
      </c>
      <c r="AP2749" t="s">
        <v>2401</v>
      </c>
    </row>
    <row r="2750" spans="1:42">
      <c r="A2750" t="s">
        <v>283</v>
      </c>
      <c r="B2750" t="s">
        <v>2377</v>
      </c>
      <c r="C2750" t="s">
        <v>2438</v>
      </c>
      <c r="D2750" t="s">
        <v>2379</v>
      </c>
      <c r="E2750" t="s">
        <v>33</v>
      </c>
      <c r="F2750" t="s">
        <v>4122</v>
      </c>
      <c r="G2750" t="s">
        <v>33</v>
      </c>
      <c r="H2750" t="b">
        <v>1</v>
      </c>
      <c r="I2750" s="8">
        <v>45960.63077546296</v>
      </c>
      <c r="J2750" t="s">
        <v>2380</v>
      </c>
      <c r="L2750">
        <v>602334</v>
      </c>
      <c r="M2750" t="s">
        <v>2381</v>
      </c>
      <c r="Q2750" t="s">
        <v>2383</v>
      </c>
      <c r="R2750">
        <v>1</v>
      </c>
      <c r="S2750" t="s">
        <v>2380</v>
      </c>
      <c r="T2750" t="s">
        <v>2383</v>
      </c>
      <c r="U2750" s="8">
        <v>45959.640659722223</v>
      </c>
      <c r="V2750" s="8">
        <v>45964.958333333336</v>
      </c>
      <c r="W2750">
        <v>1</v>
      </c>
      <c r="X2750">
        <v>0.99011574099999999</v>
      </c>
      <c r="Y2750" t="s">
        <v>1352</v>
      </c>
      <c r="Z2750" t="s">
        <v>8798</v>
      </c>
      <c r="AA2750" t="s">
        <v>1288</v>
      </c>
      <c r="AB2750" t="s">
        <v>1278</v>
      </c>
      <c r="AC2750" t="s">
        <v>8799</v>
      </c>
      <c r="AD2750" t="s">
        <v>2708</v>
      </c>
      <c r="AE2750">
        <v>1</v>
      </c>
      <c r="AH2750" t="s">
        <v>24</v>
      </c>
      <c r="AI2750" s="8">
        <v>45960.630266203705</v>
      </c>
      <c r="AK2750" t="s">
        <v>2719</v>
      </c>
      <c r="AL2750" t="s">
        <v>2719</v>
      </c>
      <c r="AO2750" t="s">
        <v>4121</v>
      </c>
      <c r="AP2750" t="s">
        <v>2401</v>
      </c>
    </row>
    <row r="2751" spans="1:42">
      <c r="A2751" t="s">
        <v>4384</v>
      </c>
      <c r="B2751" t="s">
        <v>2389</v>
      </c>
      <c r="C2751" t="s">
        <v>2378</v>
      </c>
      <c r="D2751" t="s">
        <v>2379</v>
      </c>
      <c r="E2751" t="s">
        <v>25</v>
      </c>
      <c r="F2751" t="s">
        <v>2541</v>
      </c>
      <c r="G2751" t="s">
        <v>25</v>
      </c>
      <c r="H2751" t="b">
        <v>1</v>
      </c>
      <c r="I2751" s="8">
        <v>45959.794525462959</v>
      </c>
      <c r="J2751" t="s">
        <v>2380</v>
      </c>
      <c r="K2751">
        <v>1205677</v>
      </c>
      <c r="L2751">
        <v>608170</v>
      </c>
      <c r="M2751" t="s">
        <v>2381</v>
      </c>
      <c r="N2751">
        <v>5</v>
      </c>
      <c r="P2751" t="s">
        <v>2427</v>
      </c>
      <c r="Q2751" t="s">
        <v>2383</v>
      </c>
      <c r="R2751">
        <v>1</v>
      </c>
      <c r="S2751" t="s">
        <v>2380</v>
      </c>
      <c r="T2751" t="s">
        <v>2383</v>
      </c>
      <c r="U2751" s="8">
        <v>45954.530624999999</v>
      </c>
      <c r="V2751" s="8">
        <v>45960.958333333336</v>
      </c>
      <c r="W2751">
        <v>1</v>
      </c>
      <c r="X2751">
        <v>3.2639004630000001</v>
      </c>
      <c r="Y2751" t="s">
        <v>2542</v>
      </c>
      <c r="Z2751" t="s">
        <v>4385</v>
      </c>
      <c r="AA2751" t="s">
        <v>4386</v>
      </c>
      <c r="AB2751" t="s">
        <v>1278</v>
      </c>
      <c r="AC2751" t="s">
        <v>4387</v>
      </c>
      <c r="AD2751" t="s">
        <v>2708</v>
      </c>
      <c r="AE2751">
        <v>1</v>
      </c>
      <c r="AO2751" t="s">
        <v>2547</v>
      </c>
      <c r="AP2751" t="s">
        <v>2401</v>
      </c>
    </row>
    <row r="2752" spans="1:42">
      <c r="A2752" t="s">
        <v>4388</v>
      </c>
      <c r="B2752" t="s">
        <v>2389</v>
      </c>
      <c r="C2752" t="s">
        <v>2378</v>
      </c>
      <c r="D2752" t="s">
        <v>2379</v>
      </c>
      <c r="E2752" t="s">
        <v>25</v>
      </c>
      <c r="F2752" t="s">
        <v>2541</v>
      </c>
      <c r="G2752" t="s">
        <v>25</v>
      </c>
      <c r="H2752" t="b">
        <v>1</v>
      </c>
      <c r="I2752" s="8">
        <v>45959.813784722224</v>
      </c>
      <c r="J2752" t="s">
        <v>2380</v>
      </c>
      <c r="K2752">
        <v>1205684</v>
      </c>
      <c r="L2752">
        <v>608170</v>
      </c>
      <c r="M2752" t="s">
        <v>2381</v>
      </c>
      <c r="N2752">
        <v>5</v>
      </c>
      <c r="P2752" t="s">
        <v>2427</v>
      </c>
      <c r="Q2752" t="s">
        <v>2383</v>
      </c>
      <c r="R2752">
        <v>1</v>
      </c>
      <c r="S2752" t="s">
        <v>2380</v>
      </c>
      <c r="T2752" t="s">
        <v>2383</v>
      </c>
      <c r="U2752" s="8">
        <v>45954.530624999999</v>
      </c>
      <c r="V2752" s="8">
        <v>45960.958333333336</v>
      </c>
      <c r="W2752">
        <v>1</v>
      </c>
      <c r="X2752">
        <v>3.2831597220000002</v>
      </c>
      <c r="Y2752" t="s">
        <v>2542</v>
      </c>
      <c r="Z2752" t="s">
        <v>4389</v>
      </c>
      <c r="AA2752" t="s">
        <v>4386</v>
      </c>
      <c r="AB2752" t="s">
        <v>1278</v>
      </c>
      <c r="AC2752" t="s">
        <v>4390</v>
      </c>
      <c r="AD2752" t="s">
        <v>2708</v>
      </c>
      <c r="AE2752">
        <v>1</v>
      </c>
      <c r="AO2752" t="s">
        <v>2547</v>
      </c>
      <c r="AP2752" t="s">
        <v>2401</v>
      </c>
    </row>
    <row r="2753" spans="1:42">
      <c r="A2753" t="s">
        <v>3113</v>
      </c>
      <c r="B2753" t="s">
        <v>2389</v>
      </c>
      <c r="C2753" t="s">
        <v>2438</v>
      </c>
      <c r="D2753" t="s">
        <v>2379</v>
      </c>
      <c r="E2753" t="s">
        <v>2452</v>
      </c>
      <c r="F2753" t="s">
        <v>2541</v>
      </c>
      <c r="G2753" t="s">
        <v>2452</v>
      </c>
      <c r="H2753" t="b">
        <v>1</v>
      </c>
      <c r="I2753" s="8">
        <v>45960.407870370371</v>
      </c>
      <c r="J2753" t="s">
        <v>2380</v>
      </c>
      <c r="K2753">
        <v>1205733</v>
      </c>
      <c r="L2753">
        <v>608142</v>
      </c>
      <c r="M2753" t="s">
        <v>2381</v>
      </c>
      <c r="Q2753" t="s">
        <v>2383</v>
      </c>
      <c r="R2753">
        <v>1</v>
      </c>
      <c r="S2753" t="s">
        <v>2380</v>
      </c>
      <c r="T2753" t="s">
        <v>2383</v>
      </c>
      <c r="U2753" s="8">
        <v>45960.401689814818</v>
      </c>
      <c r="V2753" s="8">
        <v>45965.958333333336</v>
      </c>
      <c r="W2753">
        <v>1</v>
      </c>
      <c r="X2753">
        <v>6.1805560000000002E-3</v>
      </c>
      <c r="Y2753" t="s">
        <v>2542</v>
      </c>
      <c r="Z2753" t="s">
        <v>3114</v>
      </c>
      <c r="AA2753" t="s">
        <v>3115</v>
      </c>
      <c r="AB2753" t="s">
        <v>1278</v>
      </c>
      <c r="AC2753" t="s">
        <v>3116</v>
      </c>
      <c r="AD2753" t="s">
        <v>2708</v>
      </c>
      <c r="AE2753">
        <v>1</v>
      </c>
      <c r="AO2753" t="s">
        <v>2547</v>
      </c>
      <c r="AP2753" t="s">
        <v>2401</v>
      </c>
    </row>
    <row r="2754" spans="1:42">
      <c r="A2754" t="s">
        <v>1125</v>
      </c>
      <c r="B2754" t="s">
        <v>2377</v>
      </c>
      <c r="C2754" t="s">
        <v>2443</v>
      </c>
      <c r="D2754" t="s">
        <v>2443</v>
      </c>
      <c r="E2754" t="s">
        <v>18</v>
      </c>
      <c r="F2754" t="s">
        <v>3747</v>
      </c>
      <c r="G2754" t="s">
        <v>2416</v>
      </c>
      <c r="H2754" t="b">
        <v>1</v>
      </c>
      <c r="I2754" s="8">
        <v>45960.432453703703</v>
      </c>
      <c r="J2754" t="s">
        <v>2380</v>
      </c>
      <c r="L2754">
        <v>606966</v>
      </c>
      <c r="M2754" t="s">
        <v>2381</v>
      </c>
      <c r="Q2754" t="s">
        <v>2383</v>
      </c>
      <c r="R2754">
        <v>1</v>
      </c>
      <c r="S2754" t="s">
        <v>2380</v>
      </c>
      <c r="T2754" t="s">
        <v>2383</v>
      </c>
      <c r="U2754" s="8">
        <v>45953</v>
      </c>
      <c r="V2754" s="8">
        <v>45958.958333333336</v>
      </c>
      <c r="W2754">
        <v>1</v>
      </c>
      <c r="X2754">
        <v>5.4324537040000003</v>
      </c>
      <c r="Y2754" t="s">
        <v>3748</v>
      </c>
      <c r="Z2754" t="s">
        <v>8625</v>
      </c>
      <c r="AA2754" t="s">
        <v>1055</v>
      </c>
      <c r="AB2754" t="s">
        <v>1278</v>
      </c>
      <c r="AC2754" t="s">
        <v>7457</v>
      </c>
      <c r="AD2754" t="s">
        <v>2708</v>
      </c>
      <c r="AE2754">
        <v>1</v>
      </c>
      <c r="AO2754" t="s">
        <v>2712</v>
      </c>
      <c r="AP2754" t="s">
        <v>2401</v>
      </c>
    </row>
    <row r="2755" spans="1:42">
      <c r="A2755" t="s">
        <v>4682</v>
      </c>
      <c r="B2755" t="s">
        <v>2389</v>
      </c>
      <c r="C2755" t="s">
        <v>2438</v>
      </c>
      <c r="D2755" t="s">
        <v>2379</v>
      </c>
      <c r="E2755" t="s">
        <v>2452</v>
      </c>
      <c r="F2755" t="s">
        <v>3514</v>
      </c>
      <c r="G2755" t="s">
        <v>2452</v>
      </c>
      <c r="H2755" t="b">
        <v>1</v>
      </c>
      <c r="I2755" s="8">
        <v>45960.476585648146</v>
      </c>
      <c r="J2755" t="s">
        <v>2380</v>
      </c>
      <c r="K2755">
        <v>1205789</v>
      </c>
      <c r="L2755">
        <v>603695</v>
      </c>
      <c r="M2755" t="s">
        <v>2381</v>
      </c>
      <c r="Q2755" t="s">
        <v>2383</v>
      </c>
      <c r="R2755">
        <v>1</v>
      </c>
      <c r="S2755" t="s">
        <v>2380</v>
      </c>
      <c r="T2755" t="s">
        <v>2383</v>
      </c>
      <c r="U2755" s="8">
        <v>45960.465219907404</v>
      </c>
      <c r="V2755" s="8">
        <v>45965.958333333336</v>
      </c>
      <c r="W2755">
        <v>1</v>
      </c>
      <c r="X2755">
        <v>1.1365741E-2</v>
      </c>
      <c r="Y2755" t="s">
        <v>3515</v>
      </c>
      <c r="Z2755" t="s">
        <v>4683</v>
      </c>
      <c r="AA2755" t="s">
        <v>3518</v>
      </c>
      <c r="AB2755" t="s">
        <v>1278</v>
      </c>
      <c r="AC2755" t="s">
        <v>4684</v>
      </c>
      <c r="AD2755" t="s">
        <v>2708</v>
      </c>
      <c r="AE2755">
        <v>1</v>
      </c>
      <c r="AO2755" t="s">
        <v>2957</v>
      </c>
      <c r="AP2755" t="s">
        <v>2401</v>
      </c>
    </row>
    <row r="2756" spans="1:42">
      <c r="A2756" t="s">
        <v>3007</v>
      </c>
      <c r="B2756" t="s">
        <v>2389</v>
      </c>
      <c r="C2756" t="s">
        <v>2438</v>
      </c>
      <c r="D2756" t="s">
        <v>2379</v>
      </c>
      <c r="E2756" t="s">
        <v>2452</v>
      </c>
      <c r="F2756" t="s">
        <v>2402</v>
      </c>
      <c r="G2756" t="s">
        <v>2452</v>
      </c>
      <c r="H2756" t="b">
        <v>1</v>
      </c>
      <c r="I2756" s="8">
        <v>45960.496493055558</v>
      </c>
      <c r="J2756" t="s">
        <v>2380</v>
      </c>
      <c r="K2756">
        <v>1205803</v>
      </c>
      <c r="L2756">
        <v>609764</v>
      </c>
      <c r="M2756" t="s">
        <v>2381</v>
      </c>
      <c r="Q2756" t="s">
        <v>2383</v>
      </c>
      <c r="R2756">
        <v>1</v>
      </c>
      <c r="S2756" t="s">
        <v>2380</v>
      </c>
      <c r="T2756" t="s">
        <v>2383</v>
      </c>
      <c r="U2756" s="8">
        <v>45960.488344907404</v>
      </c>
      <c r="V2756" s="8">
        <v>45965.958333333336</v>
      </c>
      <c r="W2756">
        <v>1</v>
      </c>
      <c r="X2756">
        <v>8.1481479999999992E-3</v>
      </c>
      <c r="Y2756" t="s">
        <v>2403</v>
      </c>
      <c r="Z2756" t="s">
        <v>3008</v>
      </c>
      <c r="AA2756" t="s">
        <v>3009</v>
      </c>
      <c r="AB2756" t="s">
        <v>1278</v>
      </c>
      <c r="AC2756" t="s">
        <v>3010</v>
      </c>
      <c r="AD2756" t="s">
        <v>2708</v>
      </c>
      <c r="AE2756">
        <v>1</v>
      </c>
      <c r="AO2756" t="s">
        <v>2408</v>
      </c>
      <c r="AP2756" t="s">
        <v>2401</v>
      </c>
    </row>
  </sheetData>
  <sortState xmlns:xlrd2="http://schemas.microsoft.com/office/spreadsheetml/2017/richdata2" ref="A2:AQ2756">
    <sortCondition ref="A2:A275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B4" sqref="B4"/>
    </sheetView>
  </sheetViews>
  <sheetFormatPr defaultRowHeight="14.5"/>
  <cols>
    <col min="1" max="1" width="14.90625" customWidth="1"/>
  </cols>
  <sheetData>
    <row r="2" spans="1:1">
      <c r="A2" t="s">
        <v>1270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78B3-477D-42BD-BBDC-E40225ACF876}">
  <dimension ref="A1:C30"/>
  <sheetViews>
    <sheetView workbookViewId="0">
      <selection activeCell="A15" sqref="A15"/>
    </sheetView>
  </sheetViews>
  <sheetFormatPr defaultRowHeight="14.5"/>
  <cols>
    <col min="1" max="1" width="26.54296875" customWidth="1"/>
    <col min="2" max="2" width="30.54296875" customWidth="1"/>
  </cols>
  <sheetData>
    <row r="1" spans="1:1">
      <c r="A1" s="3" t="s">
        <v>2324</v>
      </c>
    </row>
    <row r="2" spans="1:1">
      <c r="A2" t="s">
        <v>2325</v>
      </c>
    </row>
    <row r="3" spans="1:1">
      <c r="A3" t="s">
        <v>2329</v>
      </c>
    </row>
    <row r="4" spans="1:1">
      <c r="A4" t="s">
        <v>2330</v>
      </c>
    </row>
    <row r="5" spans="1:1">
      <c r="A5" t="s">
        <v>2331</v>
      </c>
    </row>
    <row r="6" spans="1:1">
      <c r="A6" t="s">
        <v>2332</v>
      </c>
    </row>
    <row r="14" spans="1:1">
      <c r="A14" s="3" t="s">
        <v>2326</v>
      </c>
    </row>
    <row r="15" spans="1:1">
      <c r="A15" t="s">
        <v>2327</v>
      </c>
    </row>
    <row r="16" spans="1:1">
      <c r="A16" t="s">
        <v>2328</v>
      </c>
    </row>
    <row r="19" spans="1:3">
      <c r="A19" s="3" t="s">
        <v>2318</v>
      </c>
    </row>
    <row r="20" spans="1:3">
      <c r="A20" t="s">
        <v>1272</v>
      </c>
      <c r="B20" t="s">
        <v>2319</v>
      </c>
    </row>
    <row r="21" spans="1:3">
      <c r="A21" s="2" t="s">
        <v>1275</v>
      </c>
      <c r="B21" t="s">
        <v>2320</v>
      </c>
    </row>
    <row r="22" spans="1:3">
      <c r="A22" t="s">
        <v>10487</v>
      </c>
    </row>
    <row r="23" spans="1:3">
      <c r="A23" t="s">
        <v>10488</v>
      </c>
    </row>
    <row r="25" spans="1:3">
      <c r="A25" s="3" t="s">
        <v>2318</v>
      </c>
    </row>
    <row r="26" spans="1:3">
      <c r="A26" t="s">
        <v>3</v>
      </c>
      <c r="B26" t="s">
        <v>2321</v>
      </c>
    </row>
    <row r="27" spans="1:3">
      <c r="B27" t="s">
        <v>2322</v>
      </c>
      <c r="C27" t="s">
        <v>2323</v>
      </c>
    </row>
    <row r="29" spans="1:3">
      <c r="A29" s="3" t="s">
        <v>10485</v>
      </c>
    </row>
    <row r="30" spans="1:3">
      <c r="A30" t="s">
        <v>10486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8C4A1631F8F44919152CC02118F4A" ma:contentTypeVersion="4" ma:contentTypeDescription="Create a new document." ma:contentTypeScope="" ma:versionID="ed032f996dda80461291860abf268148">
  <xsd:schema xmlns:xsd="http://www.w3.org/2001/XMLSchema" xmlns:xs="http://www.w3.org/2001/XMLSchema" xmlns:p="http://schemas.microsoft.com/office/2006/metadata/properties" xmlns:ns2="67c1d235-0728-4a09-9061-53fa8025ad74" targetNamespace="http://schemas.microsoft.com/office/2006/metadata/properties" ma:root="true" ma:fieldsID="0463cbb3e5db612bb66f2460f10d698d" ns2:_="">
    <xsd:import namespace="67c1d235-0728-4a09-9061-53fa8025ad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1d235-0728-4a09-9061-53fa8025ad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9A284A-9FDB-482F-9582-BF4C4B985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c1d235-0728-4a09-9061-53fa8025ad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D775C4-BD2B-4053-9337-9A6A4F0A62E5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7c1d235-0728-4a09-9061-53fa8025ad74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6237CAA-8631-424E-9322-CB4ED65A889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d17fa1f-6e56-4698-a331-2599427e9c36}" enabled="1" method="Standard" siteId="{54a6c0e8-b873-47a7-a0e3-b1af69cb1d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 Worksheet</vt:lpstr>
      <vt:lpstr>Sheet2</vt:lpstr>
      <vt:lpstr>IP_Org_Usecase_Submission_Statu</vt:lpstr>
      <vt:lpstr>Tableau single and bulk</vt:lpstr>
      <vt:lpstr>SQL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Tawakali, Tony</cp:lastModifiedBy>
  <dcterms:created xsi:type="dcterms:W3CDTF">2025-10-30T12:03:45Z</dcterms:created>
  <dcterms:modified xsi:type="dcterms:W3CDTF">2026-05-01T13:06:55Z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0x01010001D8C4A1631F8F44919152CC02118F4A</vt:lpwstr>
  </property>
</Properties>
</file>